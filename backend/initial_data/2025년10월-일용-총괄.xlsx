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21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17.xml" ContentType="application/vnd.openxmlformats-officedocument.spreadsheetml.externalLink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4.vml" ContentType="application/vnd.openxmlformats-officedocument.vmlDrawing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총괄(10월)" sheetId="1" state="visible" r:id="rId3"/>
    <sheet name="총괄(11월)" sheetId="2" state="visible" r:id="rId4"/>
    <sheet name="업체계좌" sheetId="3" state="hidden" r:id="rId5"/>
    <sheet name="직영노임(박원영목수(9월,10월))" sheetId="4" state="visible" r:id="rId6"/>
    <sheet name="일용직명단" sheetId="5" state="visible" r:id="rId7"/>
    <sheet name="현장관련업체" sheetId="6" state="hidden" r:id="rId8"/>
    <sheet name="특고직" sheetId="7" state="hidden" r:id="rId9"/>
    <sheet name="24년4대보험요율" sheetId="8" state="hidden" r:id="rId10"/>
    <sheet name="월별노무비현황" sheetId="9" state="visible" r:id="rId11"/>
    <sheet name="결재" sheetId="10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function="false" hidden="false" localSheetId="3" name="_xlnm.Print_Area" vbProcedure="false">'직영노임(박원영목수(9월,10월))'!$A$1:$AE$208</definedName>
    <definedName function="false" hidden="false" localSheetId="3" name="_xlnm.Print_Titles" vbProcedure="false">'직영노임(박원영목수(9월,10월))'!$1:$6</definedName>
    <definedName function="false" hidden="false" localSheetId="0" name="_xlnm.Print_Area" vbProcedure="false">'총괄(10월)'!$A$1:$AD$123</definedName>
    <definedName function="false" hidden="false" localSheetId="0" name="_xlnm.Print_Titles" vbProcedure="false">'총괄(10월)'!$1:$6</definedName>
    <definedName function="false" hidden="false" localSheetId="1" name="_xlnm.Print_Area" vbProcedure="false">'총괄(11월)'!$A$1:$AE$153</definedName>
    <definedName function="false" hidden="false" name="_0_0_F" vbProcedure="false">[1]CTEMCOST!GO50117</definedName>
    <definedName function="false" hidden="false" name="_3_0Crite" vbProcedure="false">#REF!</definedName>
    <definedName function="false" hidden="false" name="_3_0Criteria" vbProcedure="false">#REF!</definedName>
    <definedName function="false" hidden="false" name="aaaaaaaaaa" vbProcedure="false">{#N/A,#N/A,FALSE,"운반시간"}</definedName>
    <definedName function="false" hidden="false" name="AccessDatabase" vbProcedure="false">"C:\엑셀파일\상가\집행\INN.mdb"</definedName>
    <definedName function="false" hidden="false" name="Access_Button" vbProcedure="false">"INN_어음지급현황_List"</definedName>
    <definedName function="false" hidden="false" name="dataww" vbProcedure="false">#REF!</definedName>
    <definedName function="false" hidden="false" name="dldldldll" vbProcedure="false">[3]조명시설!$A$1</definedName>
    <definedName function="false" hidden="false" name="dn" vbProcedure="false">{#N/A,#N/A,FALSE,"혼합골재"}</definedName>
    <definedName function="false" hidden="false" name="dsaf" vbProcedure="false">{#N/A,#N/A,FALSE,"조골재"}</definedName>
    <definedName function="false" hidden="false" name="DSF" vbProcedure="false">{#N/A,#N/A,FALSE,"골재소요량";#N/A,#N/A,FALSE,"골재소요량"}</definedName>
    <definedName function="false" hidden="false" name="ee" vbProcedure="false">{#N/A,#N/A,FALSE,"단가표지"}</definedName>
    <definedName function="false" hidden="false" name="Excel_BuiltIn__FilterDatabase" vbProcedure="false">#REF!</definedName>
    <definedName function="false" hidden="false" name="ff" vbProcedure="false">{#N/A,#N/A,FALSE,"현장 NCR 분석";#N/A,#N/A,FALSE,"현장품질감사";#N/A,#N/A,FALSE,"현장품질감사"}</definedName>
    <definedName function="false" hidden="false" name="G_0Extr" vbProcedure="false">#REF!</definedName>
    <definedName function="false" hidden="false" name="G_0Extract" vbProcedure="false">#REF!</definedName>
    <definedName function="false" hidden="false" name="gd" vbProcedure="false">#REF!</definedName>
    <definedName function="false" hidden="false" name="GEMCO" vbProcedure="false">#REF!</definedName>
    <definedName function="false" hidden="false" name="gfgdfg" vbProcedure="false">[5]차액보증!$A$1</definedName>
    <definedName function="false" hidden="false" name="grew" vbProcedure="false">#REF!</definedName>
    <definedName function="false" hidden="false" name="han" vbProcedure="false">#REF!</definedName>
    <definedName function="false" hidden="false" name="hardwar" vbProcedure="false">#REF!</definedName>
    <definedName function="false" hidden="false" name="hdghndgnhg" vbProcedure="false">#REF!</definedName>
    <definedName function="false" hidden="false" name="jkhjk" vbProcedure="false">{#N/A,#N/A,FALSE,"현장 NCR 분석";#N/A,#N/A,FALSE,"현장품질감사";#N/A,#N/A,FALSE,"현장품질감사"}</definedName>
    <definedName function="false" hidden="false" name="JOON4" vbProcedure="false">{#N/A,#N/A,FALSE,"현장 NCR 분석";#N/A,#N/A,FALSE,"현장품질감사";#N/A,#N/A,FALSE,"현장품질감사"}</definedName>
    <definedName function="false" hidden="false" name="kkk" vbProcedure="false">[6]Total!$A$1</definedName>
    <definedName function="false" hidden="false" name="kkkkk" vbProcedure="false">[7]날개벽수량표!$A$1</definedName>
    <definedName function="false" hidden="false" name="klkkk" vbProcedure="false">[7]날개벽수량표!$A$1</definedName>
    <definedName function="false" hidden="false" name="ktf" vbProcedure="false">#REF!</definedName>
    <definedName function="false" hidden="false" name="kty" vbProcedure="false">#REF!</definedName>
    <definedName function="false" hidden="false" name="Q3WEE" vbProcedure="false">{#N/A,#N/A,FALSE,"조골재"}</definedName>
    <definedName function="false" hidden="false" name="qor" vbProcedure="false">[8]실행철강하도!$A$1:$A$4</definedName>
    <definedName function="false" hidden="false" name="qw" vbProcedure="false">{#N/A,#N/A,FALSE,"단가표지"}</definedName>
    <definedName function="false" hidden="false" name="RNSEO" vbProcedure="false">{#N/A,#N/A,FALSE,"현장 NCR 분석";#N/A,#N/A,FALSE,"현장품질감사";#N/A,#N/A,FALSE,"현장품질감사"}</definedName>
    <definedName function="false" hidden="false" name="rr" vbProcedure="false">{#N/A,#N/A,FALSE,"현장 NCR 분석";#N/A,#N/A,FALSE,"현장품질감사";#N/A,#N/A,FALSE,"현장품질감사"}</definedName>
    <definedName function="false" hidden="false" name="ruswjr1" vbProcedure="false">{#N/A,#N/A,FALSE,"현장 NCR 분석";#N/A,#N/A,FALSE,"현장품질감사";#N/A,#N/A,FALSE,"현장품질감사"}</definedName>
    <definedName function="false" hidden="false" name="SDCFG_" vbProcedure="false">{#N/A,#N/A,FALSE,"운반시간"}</definedName>
    <definedName function="false" hidden="false" name="SDF" vbProcedure="false">[1]CTEMCOST!GO50117</definedName>
    <definedName function="false" hidden="false" name="sdg" vbProcedure="false">#REF!</definedName>
    <definedName function="false" hidden="false" name="SDS" vbProcedure="false">{#N/A,#N/A,FALSE,"2~8번"}</definedName>
    <definedName function="false" hidden="false" name="tr" vbProcedure="false">#REF!</definedName>
    <definedName function="false" hidden="false" name="wer" vbProcedure="false">{#N/A,#N/A,FALSE,"골재소요량";#N/A,#N/A,FALSE,"골재소요량"}</definedName>
    <definedName function="false" hidden="false" name="wm_조골재1" vbProcedure="false">{#N/A,#N/A,FALSE,"조골재"}</definedName>
    <definedName function="false" hidden="false" name="wrn_2번_" vbProcedure="false">{#N/A,#N/A,FALSE,"2~8번"}</definedName>
    <definedName function="false" hidden="false" name="wrn_골재소요량_" vbProcedure="false">{#N/A,#N/A,FALSE,"골재소요량";#N/A,#N/A,FALSE,"골재소요량"}</definedName>
    <definedName function="false" hidden="false" name="wrn_교육청_" vbProcedure="false">{#N/A,#N/A,FALSE,"전력간선"}</definedName>
    <definedName function="false" hidden="false" name="wrn_구조2_" vbProcedure="false">{#N/A,#N/A,FALSE,"구조2"}</definedName>
    <definedName function="false" hidden="false" name="wrn_단가표지_" vbProcedure="false">{#N/A,#N/A,FALSE,"단가표지"}</definedName>
    <definedName function="false" hidden="false" name="wrn_배수1_" vbProcedure="false">{#N/A,#N/A,FALSE,"배수1"}</definedName>
    <definedName function="false" hidden="false" name="wrn_배수2_" vbProcedure="false">{#N/A,#N/A,FALSE,"배수2"}</definedName>
    <definedName function="false" hidden="false" name="wrn_부대1_" vbProcedure="false">{#N/A,#N/A,FALSE,"부대1"}</definedName>
    <definedName function="false" hidden="false" name="wrn_부대2_" vbProcedure="false">{#N/A,#N/A,FALSE,"부대2"}</definedName>
    <definedName function="false" hidden="false" name="wrn_속도_" vbProcedure="false">{#N/A,#N/A,FALSE,"속도"}</definedName>
    <definedName function="false" hidden="false" name="wrn_운반시간_" vbProcedure="false">{#N/A,#N/A,FALSE,"운반시간"}</definedName>
    <definedName function="false" hidden="false" name="wrn_이정표_" vbProcedure="false">{#N/A,#N/A,FALSE,"이정표"}</definedName>
    <definedName function="false" hidden="false" name="wrn_조골재_" vbProcedure="false">{#N/A,#N/A,FALSE,"조골재"}</definedName>
    <definedName function="false" hidden="false" name="wrn_토공1_" vbProcedure="false">{#N/A,#N/A,FALSE,"구조1"}</definedName>
    <definedName function="false" hidden="false" name="wrn_토공2_" vbProcedure="false">{#N/A,#N/A,FALSE,"토공2"}</definedName>
    <definedName function="false" hidden="false" name="wrn_통신지_" vbProcedure="false">{#N/A,#N/A,FALSE,"기안지";#N/A,#N/A,FALSE,"통신지"}</definedName>
    <definedName function="false" hidden="false" name="wrn_포장1_" vbProcedure="false">{#N/A,#N/A,FALSE,"포장1";#N/A,#N/A,FALSE,"포장1"}</definedName>
    <definedName function="false" hidden="false" name="wrn_포장2_" vbProcedure="false">{#N/A,#N/A,FALSE,"포장2"}</definedName>
    <definedName function="false" hidden="false" name="wrn_표지목차_" vbProcedure="false">{#N/A,#N/A,FALSE,"표지목차"}</definedName>
    <definedName function="false" hidden="false" name="wrn_현장___NCR___분석_" vbProcedure="false">{#N/A,#N/A,FALSE,"현장 NCR 분석";#N/A,#N/A,FALSE,"현장품질감사";#N/A,#N/A,FALSE,"현장품질감사"}</definedName>
    <definedName function="false" hidden="false" name="wrn_혼합골재_" vbProcedure="false">{#N/A,#N/A,FALSE,"혼합골재"}</definedName>
    <definedName function="false" hidden="false" name="xx" vbProcedure="false">{#N/A,#N/A,FALSE,"현장 NCR 분석";#N/A,#N/A,FALSE,"현장품질감사";#N/A,#N/A,FALSE,"현장품질감사"}</definedName>
    <definedName function="false" hidden="false" name="za" vbProcedure="false">[9]실행철강하도!$A$1:$A$4</definedName>
    <definedName function="false" hidden="false" name="zc" vbProcedure="false">{#N/A,#N/A,FALSE,"현장 NCR 분석";#N/A,#N/A,FALSE,"현장품질감사";#N/A,#N/A,FALSE,"현장품질감사"}</definedName>
    <definedName function="false" hidden="false" name="_8_0_S" vbProcedure="false">#REF!</definedName>
    <definedName function="false" hidden="false" name="_Dist_Bin" vbProcedure="false">'[10]FORM-0'!$A$1</definedName>
    <definedName function="false" hidden="false" name="_Dist_Values" vbProcedure="false">'[10]FORM-0'!$A$1</definedName>
    <definedName function="false" hidden="false" name="_Fill" vbProcedure="false">#REF!</definedName>
    <definedName function="false" hidden="false" name="_Key1" vbProcedure="false">#REF!</definedName>
    <definedName function="false" hidden="false" name="_Key2" vbProcedure="false">#REF!</definedName>
    <definedName function="false" hidden="false" name="_kfkf" vbProcedure="false">#REF!</definedName>
    <definedName function="false" hidden="false" name="_MatInverse_In" vbProcedure="false">'[12]영동(D)'!$AV$48</definedName>
    <definedName function="false" hidden="false" name="_MatMult_A" vbProcedure="false">'[12]영동(D)'!$AV$48</definedName>
    <definedName function="false" hidden="false" name="_MatMult_AxB" vbProcedure="false">'[12]영동(D)'!$AV$48</definedName>
    <definedName function="false" hidden="false" name="_MatMult_B" vbProcedure="false">'[12]영동(D)'!$AV$48</definedName>
    <definedName function="false" hidden="false" name="_Order1" vbProcedure="false">255</definedName>
    <definedName function="false" hidden="false" name="_Order2" vbProcedure="false">255</definedName>
    <definedName function="false" hidden="false" name="_Parse_In" vbProcedure="false">#REF!</definedName>
    <definedName function="false" hidden="false" name="_Parse_Out" vbProcedure="false">#REF!</definedName>
    <definedName function="false" hidden="false" name="_Regression_Int" vbProcedure="false">1</definedName>
    <definedName function="false" hidden="false" name="_Sort" vbProcedure="false">#REF!</definedName>
    <definedName function="false" hidden="false" name="_Table1_In1" vbProcedure="false">#REF!</definedName>
    <definedName function="false" hidden="false" name="_Table1_Out" vbProcedure="false">#REF!</definedName>
    <definedName function="false" hidden="false" name="_woogi" vbProcedure="false">#REF!</definedName>
    <definedName function="false" hidden="false" name="_woogi2" vbProcedure="false">#REF!</definedName>
    <definedName function="false" hidden="false" name="_woogi24" vbProcedure="false">#REF!</definedName>
    <definedName function="false" hidden="false" name="_woogi3" vbProcedure="false">#REF!</definedName>
    <definedName function="false" hidden="false" name="_xlfn_BAHTTEXT" vbProcedure="false">#REF!</definedName>
    <definedName function="false" hidden="false" name="_xlfn_IFERROR" vbProcedure="false">#REF!</definedName>
    <definedName function="false" hidden="false" name="_xlfn_SINGLE" vbProcedure="false">#REF!</definedName>
    <definedName function="false" hidden="false" name="_xlfn__FV" vbProcedure="false">#REF!</definedName>
    <definedName function="false" hidden="false" name="__IntlFixup" vbProcedure="false">TRUE()</definedName>
    <definedName function="false" hidden="false" name="__KEY2" vbProcedure="false">#REF!</definedName>
    <definedName function="false" hidden="false" name="_재ㅐ햐" vbProcedure="false">#REF!</definedName>
    <definedName function="false" hidden="false" name="ㄱㄱㄱㄱ" vbProcedure="false">{#N/A,#N/A,FALSE,"현장 NCR 분석";#N/A,#N/A,FALSE,"현장품질감사";#N/A,#N/A,FALSE,"현장품질감사"}</definedName>
    <definedName function="false" hidden="false" name="ㄱㅈㅎ" vbProcedure="false">#REF!</definedName>
    <definedName function="false" hidden="false" name="ㄴㄱㄹ" vbProcedure="false">#REF!</definedName>
    <definedName function="false" hidden="false" name="ㄴㅁ" vbProcedure="false">#REF!</definedName>
    <definedName function="false" hidden="false" name="ㄴㅇㄹㄴㄹㄴㄹㅇㄴㅇㄹ" vbProcedure="false">[14]조명시설!$A$1</definedName>
    <definedName function="false" hidden="false" name="ㄷㄱ" vbProcedure="false">#REF!</definedName>
    <definedName function="false" hidden="false" name="ㄷㅎㄹㅇ" vbProcedure="false">#REF!</definedName>
    <definedName function="false" hidden="false" name="ㄹㄹㄹ" vbProcedure="false">#REF!</definedName>
    <definedName function="false" hidden="false" name="ㄹ호" vbProcedure="false">#REF!</definedName>
    <definedName function="false" hidden="false" name="ㅁㄴㅇ" vbProcedure="false">{#N/A,#N/A,FALSE,"배수1"}</definedName>
    <definedName function="false" hidden="false" name="ㅁㅁㅁ" vbProcedure="false">#REF!</definedName>
    <definedName function="false" hidden="false" name="ㅁㅁㅁㅁㅁㅁ" vbProcedure="false">#REF!</definedName>
    <definedName function="false" hidden="false" name="ㅇㄱㄱ" vbProcedure="false">1</definedName>
    <definedName function="false" hidden="false" name="ㅇㄴㅁ" vbProcedure="false">[15]실행철강하도!$A$1:$A$4</definedName>
    <definedName function="false" hidden="false" name="ㅇㄹ" vbProcedure="false">#REF!</definedName>
    <definedName function="false" hidden="false" name="ㅇㄹㄹ" vbProcedure="false">#REF!</definedName>
    <definedName function="false" hidden="false" name="ㅇ러알ㅇㄹㅇㄹ" vbProcedure="false">[16]조명시설!$A$1</definedName>
    <definedName function="false" hidden="false" name="ㅈㄱ" vbProcedure="false">{#N/A,#N/A,FALSE,"조골재"}</definedName>
    <definedName function="false" hidden="false" name="ㅎ5" vbProcedure="false">{#N/A,#N/A,FALSE,"골재소요량";#N/A,#N/A,FALSE,"골재소요량"}</definedName>
    <definedName function="false" hidden="false" name="ㅎㅂㄷ" vbProcedure="false">{#N/A,#N/A,FALSE,"배수2"}</definedName>
    <definedName function="false" hidden="false" name="ㅏ" vbProcedure="false">{#N/A,#N/A,FALSE,"운반시간"}</definedName>
    <definedName function="false" hidden="false" name="ㅑ" vbProcedure="false">{#N/A,#N/A,FALSE,"조골재"}</definedName>
    <definedName function="false" hidden="false" name="ㅓ7" vbProcedure="false">{#N/A,#N/A,FALSE,"단가표지"}</definedName>
    <definedName function="false" hidden="false" name="ㅓㄴㄱ" vbProcedure="false">[15]실행철강하도!$A$1:$A$4</definedName>
    <definedName function="false" hidden="false" name="ㅔㅔ" vbProcedure="false">[17]집계표!$A$1</definedName>
    <definedName function="false" hidden="false" name="ㅘㅗ허ㅎ" vbProcedure="false">#REF!</definedName>
    <definedName function="false" hidden="false" name="ㅛㅛㅛ" vbProcedure="false">[7]날개벽수량표!$A$1</definedName>
    <definedName function="false" hidden="false" name="ㅜ" vbProcedure="false">{#N/A,#N/A,FALSE,"조골재"}</definedName>
    <definedName function="false" hidden="false" name="ㅠ뮤ㅐ" vbProcedure="false">#REF!</definedName>
    <definedName function="false" hidden="false" name="ㅣㅣㅣ" vbProcedure="false">'[12]영동(D)'!$AV$48</definedName>
    <definedName function="false" hidden="false" name="가" vbProcedure="false">{#N/A,#N/A,FALSE,"현장 NCR 분석";#N/A,#N/A,FALSE,"현장품질감사";#N/A,#N/A,FALSE,"현장품질감사"}</definedName>
    <definedName function="false" hidden="false" name="가구사" vbProcedure="false">{#N/A,#N/A,FALSE,"현장 NCR 분석";#N/A,#N/A,FALSE,"현장품질감사";#N/A,#N/A,FALSE,"현장품질감사"}</definedName>
    <definedName function="false" hidden="false" name="가속" vbProcedure="false">{#N/A,#N/A,FALSE,"현장 NCR 분석";#N/A,#N/A,FALSE,"현장품질감사";#N/A,#N/A,FALSE,"현장품질감사"}</definedName>
    <definedName function="false" hidden="false" name="간" vbProcedure="false">{#N/A,#N/A,FALSE,"현장 NCR 분석";#N/A,#N/A,FALSE,"현장품질감사";#N/A,#N/A,FALSE,"현장품질감사"}</definedName>
    <definedName function="false" hidden="false" name="거" vbProcedure="false">{#N/A,#N/A,FALSE,"현장 NCR 분석";#N/A,#N/A,FALSE,"현장품질감사";#N/A,#N/A,FALSE,"현장품질감사"}</definedName>
    <definedName function="false" hidden="false" name="거부" vbProcedure="false">{#N/A,#N/A,FALSE,"현장 NCR 분석";#N/A,#N/A,FALSE,"현장품질감사";#N/A,#N/A,FALSE,"현장품질감사"}</definedName>
    <definedName function="false" hidden="false" name="거실" vbProcedure="false">{#N/A,#N/A,FALSE,"현장 NCR 분석";#N/A,#N/A,FALSE,"현장품질감사";#N/A,#N/A,FALSE,"현장품질감사"}</definedName>
    <definedName function="false" hidden="false" name="견" vbProcedure="false">#REF!</definedName>
    <definedName function="false" hidden="false" name="공사자료" vbProcedure="false">공사자료</definedName>
    <definedName function="false" hidden="false" name="구리" vbProcedure="false">{#N/A,#N/A,FALSE,"현장 NCR 분석";#N/A,#N/A,FALSE,"현장품질감사";#N/A,#N/A,FALSE,"현장품질감사"}</definedName>
    <definedName function="false" hidden="false" name="구부" vbProcedure="false">{#N/A,#N/A,FALSE,"현장 NCR 분석";#N/A,#N/A,FALSE,"현장품질감사";#N/A,#N/A,FALSE,"현장품질감사"}</definedName>
    <definedName function="false" hidden="false" name="구산갑지" vbProcedure="false">#REF!</definedName>
    <definedName function="false" hidden="false" name="구속" vbProcedure="false">{#N/A,#N/A,FALSE,"현장 NCR 분석";#N/A,#N/A,FALSE,"현장품질감사";#N/A,#N/A,FALSE,"현장품질감사"}</definedName>
    <definedName function="false" hidden="false" name="기" vbProcedure="false">{#N/A,#N/A,FALSE,"현장 NCR 분석";#N/A,#N/A,FALSE,"현장품질감사";#N/A,#N/A,FALSE,"현장품질감사"}</definedName>
    <definedName function="false" hidden="false" name="기둥집계" vbProcedure="false">기둥집계</definedName>
    <definedName function="false" hidden="false" name="기성" vbProcedure="false">{#N/A,#N/A,FALSE,"기안지";#N/A,#N/A,FALSE,"통신지"}</definedName>
    <definedName function="false" hidden="false" name="길음창화" vbProcedure="false">[18]토목주소!$B$2</definedName>
    <definedName function="false" hidden="false" name="나이" vbProcedure="false">{#N/A,#N/A,FALSE,"현장 NCR 분석";#N/A,#N/A,FALSE,"현장품질감사";#N/A,#N/A,FALSE,"현장품질감사"}</definedName>
    <definedName function="false" hidden="false" name="난반공사" vbProcedure="false">{#N/A,#N/A,FALSE,"현장 NCR 분석";#N/A,#N/A,FALSE,"현장품질감사";#N/A,#N/A,FALSE,"현장품질감사"}</definedName>
    <definedName function="false" hidden="false" name="내역서" vbProcedure="false">'[19]6공구(당초)'!$J$6:$J$1706</definedName>
    <definedName function="false" hidden="false" name="내역서1" vbProcedure="false">[17]집계표!$A$1</definedName>
    <definedName function="false" hidden="false" name="다" vbProcedure="false">{#N/A,#N/A,FALSE,"현장 NCR 분석";#N/A,#N/A,FALSE,"현장품질감사";#N/A,#N/A,FALSE,"현장품질감사"}</definedName>
    <definedName function="false" hidden="false" name="단국대토적표" vbProcedure="false">[14]조명시설!$A$1</definedName>
    <definedName function="false" hidden="false" name="대비" vbProcedure="false">#REF!</definedName>
    <definedName function="false" hidden="false" name="대비1" vbProcedure="false">{#N/A,#N/A,FALSE,"혼합골재"}</definedName>
    <definedName function="false" hidden="false" name="대비표2" vbProcedure="false">{#N/A,#N/A,FALSE,"골재소요량";#N/A,#N/A,FALSE,"골재소요량"}</definedName>
    <definedName function="false" hidden="false" name="대표모임" vbProcedure="false">{#N/A,#N/A,FALSE,"현장 NCR 분석";#N/A,#N/A,FALSE,"현장품질감사";#N/A,#N/A,FALSE,"현장품질감사"}</definedName>
    <definedName function="false" hidden="false" name="대표회의" vbProcedure="false">{#N/A,#N/A,FALSE,"현장 NCR 분석";#N/A,#N/A,FALSE,"현장품질감사";#N/A,#N/A,FALSE,"현장품질감사"}</definedName>
    <definedName function="false" hidden="false" name="랄민러ㅣ" vbProcedure="false">{#N/A,#N/A,FALSE,"현장 NCR 분석";#N/A,#N/A,FALSE,"현장품질감사";#N/A,#N/A,FALSE,"현장품질감사"}</definedName>
    <definedName function="false" hidden="false" name="롸" vbProcedure="false">[7]날개벽수량표!$A$1</definedName>
    <definedName function="false" hidden="false" name="만수" vbProcedure="false">{#N/A,#N/A,FALSE,"현장 NCR 분석";#N/A,#N/A,FALSE,"현장품질감사";#N/A,#N/A,FALSE,"현장품질감사"}</definedName>
    <definedName function="false" hidden="false" name="먼동" vbProcedure="false">{#N/A,#N/A,FALSE,"현장 NCR 분석";#N/A,#N/A,FALSE,"현장품질감사";#N/A,#N/A,FALSE,"현장품질감사"}</definedName>
    <definedName function="false" hidden="false" name="명진출력" vbProcedure="false">명진출력</definedName>
    <definedName function="false" hidden="false" name="목공" vbProcedure="false">#REF!</definedName>
    <definedName function="false" hidden="false" name="믿음" vbProcedure="false">{#N/A,#N/A,FALSE,"기안지";#N/A,#N/A,FALSE,"통신지"}</definedName>
    <definedName function="false" hidden="false" name="방음벽" vbProcedure="false">{#N/A,#N/A,FALSE,"배수2"}</definedName>
    <definedName function="false" hidden="false" name="부손익" vbProcedure="false">{#N/A,#N/A,FALSE,"현장 NCR 분석";#N/A,#N/A,FALSE,"현장품질감사";#N/A,#N/A,FALSE,"현장품질감사"}</definedName>
    <definedName function="false" hidden="false" name="부전지" vbProcedure="false">#REF!</definedName>
    <definedName function="false" hidden="false" name="비목별금액" vbProcedure="false">{#N/A,#N/A,FALSE,"단가표지"}</definedName>
    <definedName function="false" hidden="false" name="비목별금액1" vbProcedure="false">{#N/A,#N/A,FALSE,"조골재"}</definedName>
    <definedName function="false" hidden="false" name="사" vbProcedure="false">#REF!</definedName>
    <definedName function="false" hidden="false" name="사고뭉치" vbProcedure="false">{#N/A,#N/A,FALSE,"현장 NCR 분석";#N/A,#N/A,FALSE,"현장품질감사";#N/A,#N/A,FALSE,"현장품질감사"}</definedName>
    <definedName function="false" hidden="false" name="사구러" vbProcedure="false">{#N/A,#N/A,FALSE,"현장 NCR 분석";#N/A,#N/A,FALSE,"현장품질감사";#N/A,#N/A,FALSE,"현장품질감사"}</definedName>
    <definedName function="false" hidden="false" name="사랑" vbProcedure="false">{#N/A,#N/A,FALSE,"기안지";#N/A,#N/A,FALSE,"통신지"}</definedName>
    <definedName function="false" hidden="false" name="선양" vbProcedure="false">#REF!</definedName>
    <definedName function="false" hidden="false" name="성실한" vbProcedure="false">{#N/A,#N/A,FALSE,"현장 NCR 분석";#N/A,#N/A,FALSE,"현장품질감사";#N/A,#N/A,FALSE,"현장품질감사"}</definedName>
    <definedName function="false" hidden="false" name="신청서출력" vbProcedure="false">신청서출력</definedName>
    <definedName function="false" hidden="false" name="아ㅏ" vbProcedure="false">{#N/A,#N/A,FALSE,"조골재"}</definedName>
    <definedName function="false" hidden="false" name="아스콘2" vbProcedure="false">[14]조명시설!$A$1</definedName>
    <definedName function="false" hidden="false" name="암거날개벽" vbProcedure="false">[7]덕전리!$A$1</definedName>
    <definedName function="false" hidden="false" name="어" vbProcedure="false">{#N/A,#N/A,FALSE,"현장 NCR 분석";#N/A,#N/A,FALSE,"현장품질감사";#N/A,#N/A,FALSE,"현장품질감사"}</definedName>
    <definedName function="false" hidden="false" name="억이상" vbProcedure="false">{#N/A,#N/A,FALSE,"2~8번"}</definedName>
    <definedName function="false" hidden="false" name="업체" vbProcedure="false">#REF!</definedName>
    <definedName function="false" hidden="false" name="영원" vbProcedure="false">{#N/A,#N/A,FALSE,"현장 NCR 분석";#N/A,#N/A,FALSE,"현장품질감사";#N/A,#N/A,FALSE,"현장품질감사"}</definedName>
    <definedName function="false" hidden="false" name="예가작성" vbProcedure="false">예가작성</definedName>
    <definedName function="false" hidden="false" name="외주" vbProcedure="false">{#N/A,#N/A,FALSE,"부대2"}</definedName>
    <definedName function="false" hidden="false" name="원남내역" vbProcedure="false">[20]실행철강하도!$A$1:$A$4</definedName>
    <definedName function="false" hidden="false" name="월명출력" vbProcedure="false">월명출력</definedName>
    <definedName function="false" hidden="false" name="유대" vbProcedure="false">{#N/A,#N/A,FALSE,"기안지";#N/A,#N/A,FALSE,"통신지"}</definedName>
    <definedName function="false" hidden="false" name="을ㄹㄹㄹ" vbProcedure="false">#REF!</definedName>
    <definedName function="false" hidden="false" name="의" vbProcedure="false">{#N/A,#N/A,FALSE,"운반시간"}</definedName>
    <definedName function="false" hidden="false" name="이정" vbProcedure="false">{#N/A,#N/A,FALSE,"2~8번"}</definedName>
    <definedName function="false" hidden="false" name="인정" vbProcedure="false">{#N/A,#N/A,FALSE,"현장 NCR 분석";#N/A,#N/A,FALSE,"현장품질감사";#N/A,#N/A,FALSE,"현장품질감사"}</definedName>
    <definedName function="false" hidden="false" name="일반부" vbProcedure="false">{#N/A,#N/A,FALSE,"조골재"}</definedName>
    <definedName function="false" hidden="false" name="일용" vbProcedure="false">{#N/A,#N/A,FALSE,"기안지";#N/A,#N/A,FALSE,"통신지"}</definedName>
    <definedName function="false" hidden="false" name="입찰금액안" vbProcedure="false">[21]집계표!$A$1</definedName>
    <definedName function="false" hidden="false" name="자재" vbProcedure="false">{#N/A,#N/A,FALSE,"현장 NCR 분석";#N/A,#N/A,FALSE,"현장품질감사";#N/A,#N/A,FALSE,"현장품질감사"}</definedName>
    <definedName function="false" hidden="false" name="적용" vbProcedure="false">{#N/A,#N/A,FALSE,"현장 NCR 분석";#N/A,#N/A,FALSE,"현장품질감사";#N/A,#N/A,FALSE,"현장품질감사"}</definedName>
    <definedName function="false" hidden="false" name="적용내역1" vbProcedure="false">{#N/A,#N/A,FALSE,"현장 NCR 분석";#N/A,#N/A,FALSE,"현장품질감사";#N/A,#N/A,FALSE,"현장품질감사"}</definedName>
    <definedName function="false" hidden="false" name="적용내역내역" vbProcedure="false">{#N/A,#N/A,FALSE,"현장 NCR 분석";#N/A,#N/A,FALSE,"현장품질감사";#N/A,#N/A,FALSE,"현장품질감사"}</definedName>
    <definedName function="false" hidden="false" name="정말" vbProcedure="false">{#N/A,#N/A,FALSE,"현장 NCR 분석";#N/A,#N/A,FALSE,"현장품질감사";#N/A,#N/A,FALSE,"현장품질감사"}</definedName>
    <definedName function="false" hidden="false" name="정수" vbProcedure="false">{#N/A,#N/A,FALSE,"현장 NCR 분석";#N/A,#N/A,FALSE,"현장품질감사";#N/A,#N/A,FALSE,"현장품질감사"}</definedName>
    <definedName function="false" hidden="false" name="정숙이" vbProcedure="false">{#N/A,#N/A,FALSE,"현장 NCR 분석";#N/A,#N/A,FALSE,"현장품질감사";#N/A,#N/A,FALSE,"현장품질감사"}</definedName>
    <definedName function="false" hidden="false" name="정정아" vbProcedure="false">{#N/A,#N/A,FALSE,"현장 NCR 분석";#N/A,#N/A,FALSE,"현장품질감사";#N/A,#N/A,FALSE,"현장품질감사"}</definedName>
    <definedName function="false" hidden="false" name="조" vbProcedure="false">{#N/A,#N/A,FALSE,"조골재"}</definedName>
    <definedName function="false" hidden="false" name="조사가" vbProcedure="false">[22]입찰안!$A$1</definedName>
    <definedName function="false" hidden="false" name="종자" vbProcedure="false">{#N/A,#N/A,FALSE,"현장 NCR 분석";#N/A,#N/A,FALSE,"현장품질감사";#N/A,#N/A,FALSE,"현장품질감사"}</definedName>
    <definedName function="false" hidden="false" name="중산" vbProcedure="false">255</definedName>
    <definedName function="false" hidden="false" name="철2" vbProcedure="false">{#N/A,#N/A,FALSE,"혼합골재"}</definedName>
    <definedName function="false" hidden="false" name="총공" vbProcedure="false">{#N/A,#N/A,FALSE,"운반시간"}</definedName>
    <definedName function="false" hidden="false" name="총괄내역" vbProcedure="false">#REF!</definedName>
    <definedName function="false" hidden="false" name="춘추" vbProcedure="false">{#N/A,#N/A,FALSE,"현장 NCR 분석";#N/A,#N/A,FALSE,"현장품질감사";#N/A,#N/A,FALSE,"현장품질감사"}</definedName>
    <definedName function="false" hidden="false" name="출력공사" vbProcedure="false">출력공사</definedName>
    <definedName function="false" hidden="false" name="테스트" vbProcedure="false">#REF!</definedName>
    <definedName function="false" hidden="false" name="토공2" vbProcedure="false">{#N/A,#N/A,FALSE,"2~8번"}</definedName>
    <definedName function="false" hidden="false" name="토공전체" vbProcedure="false">{#N/A,#N/A,FALSE,"운반시간"}</definedName>
    <definedName function="false" hidden="false" name="토목설계" vbProcedure="false">{#N/A,#N/A,FALSE,"골재소요량";#N/A,#N/A,FALSE,"골재소요량"}</definedName>
    <definedName function="false" hidden="false" name="토적집계표" vbProcedure="false">[14]조명시설!$A$1</definedName>
    <definedName function="false" hidden="false" name="파일" vbProcedure="false">#REF!</definedName>
    <definedName function="false" hidden="false" name="팔" vbProcedure="false">#REF!</definedName>
    <definedName function="false" hidden="false" name="호ㅓㅕㅏ6ㅅ서ㅛㅓ" vbProcedure="false">[23]입찰안!$A$1</definedName>
    <definedName function="false" hidden="false" localSheetId="0" name="AAA" vbProcedure="false">[7]날개벽수량표!$A$1</definedName>
    <definedName function="false" hidden="false" localSheetId="0" name="Excel_BuiltIn__FilterDatabase" vbProcedure="false">#REF!</definedName>
    <definedName function="false" hidden="false" localSheetId="0" name="GEMCO" vbProcedure="false">#REF!</definedName>
    <definedName function="false" hidden="false" localSheetId="0" name="hardwar" vbProcedure="false">#REF!</definedName>
    <definedName function="false" hidden="false" localSheetId="0" name="j" vbProcedure="false">#REF!</definedName>
    <definedName function="false" hidden="false" localSheetId="0" name="kk" vbProcedure="false">#REF!</definedName>
    <definedName function="false" hidden="false" localSheetId="0" name="SDF" vbProcedure="false">{#N/A,#N/A,FALSE,"혼합골재"}</definedName>
    <definedName function="false" hidden="false" localSheetId="0" name="wrn_현장___NCR___분석_" vbProcedure="false">{#N/A,#N/A,FALSE,"현장 NCR 분석";#N/A,#N/A,FALSE,"현장품질감사";#N/A,#N/A,FALSE,"현장품질감사"}</definedName>
    <definedName function="false" hidden="false" localSheetId="0" name="xx" vbProcedure="false">#REF!</definedName>
    <definedName function="false" hidden="false" localSheetId="0" name="_Dist_Bin" vbProcedure="false">[24]조명시설!$A$1</definedName>
    <definedName function="false" hidden="false" localSheetId="0" name="_Dist_Values" vbProcedure="false">[24]조명시설!$A$1</definedName>
    <definedName function="false" hidden="false" localSheetId="0" name="_Fill" vbProcedure="false">#REF!</definedName>
    <definedName function="false" hidden="false" localSheetId="0" name="_Key1" vbProcedure="false">#REF!</definedName>
    <definedName function="false" hidden="false" localSheetId="0" name="_Key2" vbProcedure="false">#REF!</definedName>
    <definedName function="false" hidden="false" localSheetId="0" name="_Parse_In" vbProcedure="false">#REF!</definedName>
    <definedName function="false" hidden="false" localSheetId="0" name="_Parse_Out" vbProcedure="false">#REF!</definedName>
    <definedName function="false" hidden="false" localSheetId="0" name="_Sort" vbProcedure="false">#REF!</definedName>
    <definedName function="false" hidden="false" localSheetId="0" name="ㅁㄴ" vbProcedure="false">#REF!</definedName>
    <definedName function="false" hidden="false" localSheetId="0" name="ㅓㅓㅓ" vbProcedure="false">1</definedName>
    <definedName function="false" hidden="false" localSheetId="0" name="기" vbProcedure="false">{#N/A,#N/A,FALSE,"기안지";#N/A,#N/A,FALSE,"통신지"}</definedName>
    <definedName function="false" hidden="false" localSheetId="0" name="김" vbProcedure="false">[25]대비!$A$1</definedName>
    <definedName function="false" hidden="false" localSheetId="0" name="부손익" vbProcedure="false">{#N/A,#N/A,FALSE,"현장 NCR 분석";#N/A,#N/A,FALSE,"현장품질감사";#N/A,#N/A,FALSE,"현장품질감사"}</definedName>
    <definedName function="false" hidden="false" localSheetId="0" name="선양" vbProcedure="false">#REF!</definedName>
    <definedName function="false" hidden="false" localSheetId="0" name="원가" vbProcedure="false">{#N/A,#N/A,FALSE,"운반시간"}</definedName>
    <definedName function="false" hidden="false" localSheetId="0" name="총괄내역" vbProcedure="false">#REF!</definedName>
    <definedName function="false" hidden="false" localSheetId="0" name="한" vbProcedure="false">#REF!</definedName>
    <definedName function="false" hidden="false" localSheetId="3" name="AAA" vbProcedure="false">[7]날개벽수량표!$A$1</definedName>
    <definedName function="false" hidden="false" localSheetId="3" name="aaaaaaaaaa" vbProcedure="false">{#N/A,#N/A,FALSE,"운반시간"}</definedName>
    <definedName function="false" hidden="false" localSheetId="3" name="dn" vbProcedure="false">{#N/A,#N/A,FALSE,"혼합골재"}</definedName>
    <definedName function="false" hidden="false" localSheetId="3" name="dsaf" vbProcedure="false">{#N/A,#N/A,FALSE,"조골재"}</definedName>
    <definedName function="false" hidden="false" localSheetId="3" name="DSF" vbProcedure="false">{#N/A,#N/A,FALSE,"골재소요량";#N/A,#N/A,FALSE,"골재소요량"}</definedName>
    <definedName function="false" hidden="false" localSheetId="3" name="ee" vbProcedure="false">{#N/A,#N/A,FALSE,"단가표지"}</definedName>
    <definedName function="false" hidden="false" localSheetId="3" name="Excel_BuiltIn__FilterDatabase" vbProcedure="false">#REF!</definedName>
    <definedName function="false" hidden="false" localSheetId="3" name="ff" vbProcedure="false">{#N/A,#N/A,FALSE,"현장 NCR 분석";#N/A,#N/A,FALSE,"현장품질감사";#N/A,#N/A,FALSE,"현장품질감사"}</definedName>
    <definedName function="false" hidden="false" localSheetId="3" name="GEMCO" vbProcedure="false">#REF!</definedName>
    <definedName function="false" hidden="false" localSheetId="3" name="hardwar" vbProcedure="false">#REF!</definedName>
    <definedName function="false" hidden="false" localSheetId="3" name="j" vbProcedure="false">#REF!</definedName>
    <definedName function="false" hidden="false" localSheetId="3" name="jkhjk" vbProcedure="false">{#N/A,#N/A,FALSE,"현장 NCR 분석";#N/A,#N/A,FALSE,"현장품질감사";#N/A,#N/A,FALSE,"현장품질감사"}</definedName>
    <definedName function="false" hidden="false" localSheetId="3" name="JOON4" vbProcedure="false">{#N/A,#N/A,FALSE,"현장 NCR 분석";#N/A,#N/A,FALSE,"현장품질감사";#N/A,#N/A,FALSE,"현장품질감사"}</definedName>
    <definedName function="false" hidden="false" localSheetId="3" name="kk" vbProcedure="false">#REF!</definedName>
    <definedName function="false" hidden="false" localSheetId="3" name="Q3WEE" vbProcedure="false">{#N/A,#N/A,FALSE,"조골재"}</definedName>
    <definedName function="false" hidden="false" localSheetId="3" name="qw" vbProcedure="false">{#N/A,#N/A,FALSE,"단가표지"}</definedName>
    <definedName function="false" hidden="false" localSheetId="3" name="RNSEO" vbProcedure="false">{#N/A,#N/A,FALSE,"현장 NCR 분석";#N/A,#N/A,FALSE,"현장품질감사";#N/A,#N/A,FALSE,"현장품질감사"}</definedName>
    <definedName function="false" hidden="false" localSheetId="3" name="rr" vbProcedure="false">{#N/A,#N/A,FALSE,"현장 NCR 분석";#N/A,#N/A,FALSE,"현장품질감사";#N/A,#N/A,FALSE,"현장품질감사"}</definedName>
    <definedName function="false" hidden="false" localSheetId="3" name="ruswjr1" vbProcedure="false">{#N/A,#N/A,FALSE,"현장 NCR 분석";#N/A,#N/A,FALSE,"현장품질감사";#N/A,#N/A,FALSE,"현장품질감사"}</definedName>
    <definedName function="false" hidden="false" localSheetId="3" name="SDCFG_" vbProcedure="false">{#N/A,#N/A,FALSE,"운반시간"}</definedName>
    <definedName function="false" hidden="false" localSheetId="3" name="SDF" vbProcedure="false">{#N/A,#N/A,FALSE,"혼합골재"}</definedName>
    <definedName function="false" hidden="false" localSheetId="3" name="SDS" vbProcedure="false">{#N/A,#N/A,FALSE,"2~8번"}</definedName>
    <definedName function="false" hidden="false" localSheetId="3" name="wer" vbProcedure="false">{#N/A,#N/A,FALSE,"골재소요량";#N/A,#N/A,FALSE,"골재소요량"}</definedName>
    <definedName function="false" hidden="false" localSheetId="3" name="wm_조골재1" vbProcedure="false">{#N/A,#N/A,FALSE,"조골재"}</definedName>
    <definedName function="false" hidden="false" localSheetId="3" name="wrn_2번_" vbProcedure="false">{#N/A,#N/A,FALSE,"2~8번"}</definedName>
    <definedName function="false" hidden="false" localSheetId="3" name="wrn_골재소요량_" vbProcedure="false">{#N/A,#N/A,FALSE,"골재소요량";#N/A,#N/A,FALSE,"골재소요량"}</definedName>
    <definedName function="false" hidden="false" localSheetId="3" name="wrn_교육청_" vbProcedure="false">{#N/A,#N/A,FALSE,"전력간선"}</definedName>
    <definedName function="false" hidden="false" localSheetId="3" name="wrn_구조2_" vbProcedure="false">{#N/A,#N/A,FALSE,"구조2"}</definedName>
    <definedName function="false" hidden="false" localSheetId="3" name="wrn_단가표지_" vbProcedure="false">{#N/A,#N/A,FALSE,"단가표지"}</definedName>
    <definedName function="false" hidden="false" localSheetId="3" name="wrn_배수1_" vbProcedure="false">{#N/A,#N/A,FALSE,"배수1"}</definedName>
    <definedName function="false" hidden="false" localSheetId="3" name="wrn_배수2_" vbProcedure="false">{#N/A,#N/A,FALSE,"배수2"}</definedName>
    <definedName function="false" hidden="false" localSheetId="3" name="wrn_부대1_" vbProcedure="false">{#N/A,#N/A,FALSE,"부대1"}</definedName>
    <definedName function="false" hidden="false" localSheetId="3" name="wrn_부대2_" vbProcedure="false">{#N/A,#N/A,FALSE,"부대2"}</definedName>
    <definedName function="false" hidden="false" localSheetId="3" name="wrn_속도_" vbProcedure="false">{#N/A,#N/A,FALSE,"속도"}</definedName>
    <definedName function="false" hidden="false" localSheetId="3" name="wrn_운반시간_" vbProcedure="false">{#N/A,#N/A,FALSE,"운반시간"}</definedName>
    <definedName function="false" hidden="false" localSheetId="3" name="wrn_이정표_" vbProcedure="false">{#N/A,#N/A,FALSE,"이정표"}</definedName>
    <definedName function="false" hidden="false" localSheetId="3" name="wrn_조골재_" vbProcedure="false">{#N/A,#N/A,FALSE,"조골재"}</definedName>
    <definedName function="false" hidden="false" localSheetId="3" name="wrn_토공1_" vbProcedure="false">{#N/A,#N/A,FALSE,"구조1"}</definedName>
    <definedName function="false" hidden="false" localSheetId="3" name="wrn_토공2_" vbProcedure="false">{#N/A,#N/A,FALSE,"토공2"}</definedName>
    <definedName function="false" hidden="false" localSheetId="3" name="wrn_통신지_" vbProcedure="false">{#N/A,#N/A,FALSE,"기안지";#N/A,#N/A,FALSE,"통신지"}</definedName>
    <definedName function="false" hidden="false" localSheetId="3" name="wrn_포장1_" vbProcedure="false">{#N/A,#N/A,FALSE,"포장1";#N/A,#N/A,FALSE,"포장1"}</definedName>
    <definedName function="false" hidden="false" localSheetId="3" name="wrn_포장2_" vbProcedure="false">{#N/A,#N/A,FALSE,"포장2"}</definedName>
    <definedName function="false" hidden="false" localSheetId="3" name="wrn_표지목차_" vbProcedure="false">{#N/A,#N/A,FALSE,"표지목차"}</definedName>
    <definedName function="false" hidden="false" localSheetId="3" name="wrn_현장___NCR___분석_" vbProcedure="false">{#N/A,#N/A,FALSE,"현장 NCR 분석";#N/A,#N/A,FALSE,"현장품질감사";#N/A,#N/A,FALSE,"현장품질감사"}</definedName>
    <definedName function="false" hidden="false" localSheetId="3" name="wrn_혼합골재_" vbProcedure="false">{#N/A,#N/A,FALSE,"혼합골재"}</definedName>
    <definedName function="false" hidden="false" localSheetId="3" name="xx" vbProcedure="false">#REF!</definedName>
    <definedName function="false" hidden="false" localSheetId="3" name="zc" vbProcedure="false">{#N/A,#N/A,FALSE,"현장 NCR 분석";#N/A,#N/A,FALSE,"현장품질감사";#N/A,#N/A,FALSE,"현장품질감사"}</definedName>
    <definedName function="false" hidden="false" localSheetId="3" name="_Dist_Bin" vbProcedure="false">[24]조명시설!$A$1</definedName>
    <definedName function="false" hidden="false" localSheetId="3" name="_Dist_Values" vbProcedure="false">[24]조명시설!$A$1</definedName>
    <definedName function="false" hidden="false" localSheetId="3" name="_Fill" vbProcedure="false">#REF!</definedName>
    <definedName function="false" hidden="false" localSheetId="3" name="_Key1" vbProcedure="false">#REF!</definedName>
    <definedName function="false" hidden="false" localSheetId="3" name="_Key2" vbProcedure="false">#REF!</definedName>
    <definedName function="false" hidden="false" localSheetId="3" name="_Parse_In" vbProcedure="false">#REF!</definedName>
    <definedName function="false" hidden="false" localSheetId="3" name="_Parse_Out" vbProcedure="false">#REF!</definedName>
    <definedName function="false" hidden="false" localSheetId="3" name="_Sort" vbProcedure="false">#REF!</definedName>
    <definedName function="false" hidden="false" localSheetId="3" name="ㄱㄱㄱㄱ" vbProcedure="false">{#N/A,#N/A,FALSE,"현장 NCR 분석";#N/A,#N/A,FALSE,"현장품질감사";#N/A,#N/A,FALSE,"현장품질감사"}</definedName>
    <definedName function="false" hidden="false" localSheetId="3" name="ㅁㄴ" vbProcedure="false">#REF!</definedName>
    <definedName function="false" hidden="false" localSheetId="3" name="ㅁㄴㅇ" vbProcedure="false">{#N/A,#N/A,FALSE,"배수1"}</definedName>
    <definedName function="false" hidden="false" localSheetId="3" name="ㅈㄱ" vbProcedure="false">{#N/A,#N/A,FALSE,"조골재"}</definedName>
    <definedName function="false" hidden="false" localSheetId="3" name="ㅎ5" vbProcedure="false">{#N/A,#N/A,FALSE,"골재소요량";#N/A,#N/A,FALSE,"골재소요량"}</definedName>
    <definedName function="false" hidden="false" localSheetId="3" name="ㅎㅂㄷ" vbProcedure="false">{#N/A,#N/A,FALSE,"배수2"}</definedName>
    <definedName function="false" hidden="false" localSheetId="3" name="ㅏ" vbProcedure="false">{#N/A,#N/A,FALSE,"운반시간"}</definedName>
    <definedName function="false" hidden="false" localSheetId="3" name="ㅑ" vbProcedure="false">{#N/A,#N/A,FALSE,"조골재"}</definedName>
    <definedName function="false" hidden="false" localSheetId="3" name="ㅓ7" vbProcedure="false">{#N/A,#N/A,FALSE,"단가표지"}</definedName>
    <definedName function="false" hidden="false" localSheetId="3" name="ㅓㅓㅓ" vbProcedure="false">1</definedName>
    <definedName function="false" hidden="false" localSheetId="3" name="ㅜ" vbProcedure="false">{#N/A,#N/A,FALSE,"조골재"}</definedName>
    <definedName function="false" hidden="false" localSheetId="3" name="가" vbProcedure="false">{#N/A,#N/A,FALSE,"현장 NCR 분석";#N/A,#N/A,FALSE,"현장품질감사";#N/A,#N/A,FALSE,"현장품질감사"}</definedName>
    <definedName function="false" hidden="false" localSheetId="3" name="가구사" vbProcedure="false">{#N/A,#N/A,FALSE,"현장 NCR 분석";#N/A,#N/A,FALSE,"현장품질감사";#N/A,#N/A,FALSE,"현장품질감사"}</definedName>
    <definedName function="false" hidden="false" localSheetId="3" name="가속" vbProcedure="false">{#N/A,#N/A,FALSE,"현장 NCR 분석";#N/A,#N/A,FALSE,"현장품질감사";#N/A,#N/A,FALSE,"현장품질감사"}</definedName>
    <definedName function="false" hidden="false" localSheetId="3" name="간" vbProcedure="false">{#N/A,#N/A,FALSE,"현장 NCR 분석";#N/A,#N/A,FALSE,"현장품질감사";#N/A,#N/A,FALSE,"현장품질감사"}</definedName>
    <definedName function="false" hidden="false" localSheetId="3" name="거" vbProcedure="false">{#N/A,#N/A,FALSE,"현장 NCR 분석";#N/A,#N/A,FALSE,"현장품질감사";#N/A,#N/A,FALSE,"현장품질감사"}</definedName>
    <definedName function="false" hidden="false" localSheetId="3" name="거부" vbProcedure="false">{#N/A,#N/A,FALSE,"현장 NCR 분석";#N/A,#N/A,FALSE,"현장품질감사";#N/A,#N/A,FALSE,"현장품질감사"}</definedName>
    <definedName function="false" hidden="false" localSheetId="3" name="거실" vbProcedure="false">{#N/A,#N/A,FALSE,"현장 NCR 분석";#N/A,#N/A,FALSE,"현장품질감사";#N/A,#N/A,FALSE,"현장품질감사"}</definedName>
    <definedName function="false" hidden="false" localSheetId="3" name="구리" vbProcedure="false">{#N/A,#N/A,FALSE,"현장 NCR 분석";#N/A,#N/A,FALSE,"현장품질감사";#N/A,#N/A,FALSE,"현장품질감사"}</definedName>
    <definedName function="false" hidden="false" localSheetId="3" name="구부" vbProcedure="false">{#N/A,#N/A,FALSE,"현장 NCR 분석";#N/A,#N/A,FALSE,"현장품질감사";#N/A,#N/A,FALSE,"현장품질감사"}</definedName>
    <definedName function="false" hidden="false" localSheetId="3" name="구속" vbProcedure="false">{#N/A,#N/A,FALSE,"현장 NCR 분석";#N/A,#N/A,FALSE,"현장품질감사";#N/A,#N/A,FALSE,"현장품질감사"}</definedName>
    <definedName function="false" hidden="false" localSheetId="3" name="기" vbProcedure="false">{#N/A,#N/A,FALSE,"기안지";#N/A,#N/A,FALSE,"통신지"}</definedName>
    <definedName function="false" hidden="false" localSheetId="3" name="기성" vbProcedure="false">{#N/A,#N/A,FALSE,"기안지";#N/A,#N/A,FALSE,"통신지"}</definedName>
    <definedName function="false" hidden="false" localSheetId="3" name="김" vbProcedure="false">[25]대비!$A$1</definedName>
    <definedName function="false" hidden="false" localSheetId="3" name="나이" vbProcedure="false">{#N/A,#N/A,FALSE,"현장 NCR 분석";#N/A,#N/A,FALSE,"현장품질감사";#N/A,#N/A,FALSE,"현장품질감사"}</definedName>
    <definedName function="false" hidden="false" localSheetId="3" name="난반공사" vbProcedure="false">{#N/A,#N/A,FALSE,"현장 NCR 분석";#N/A,#N/A,FALSE,"현장품질감사";#N/A,#N/A,FALSE,"현장품질감사"}</definedName>
    <definedName function="false" hidden="false" localSheetId="3" name="다" vbProcedure="false">{#N/A,#N/A,FALSE,"현장 NCR 분석";#N/A,#N/A,FALSE,"현장품질감사";#N/A,#N/A,FALSE,"현장품질감사"}</definedName>
    <definedName function="false" hidden="false" localSheetId="3" name="대비1" vbProcedure="false">{#N/A,#N/A,FALSE,"혼합골재"}</definedName>
    <definedName function="false" hidden="false" localSheetId="3" name="대비표2" vbProcedure="false">{#N/A,#N/A,FALSE,"골재소요량";#N/A,#N/A,FALSE,"골재소요량"}</definedName>
    <definedName function="false" hidden="false" localSheetId="3" name="대표모임" vbProcedure="false">{#N/A,#N/A,FALSE,"현장 NCR 분석";#N/A,#N/A,FALSE,"현장품질감사";#N/A,#N/A,FALSE,"현장품질감사"}</definedName>
    <definedName function="false" hidden="false" localSheetId="3" name="대표회의" vbProcedure="false">{#N/A,#N/A,FALSE,"현장 NCR 분석";#N/A,#N/A,FALSE,"현장품질감사";#N/A,#N/A,FALSE,"현장품질감사"}</definedName>
    <definedName function="false" hidden="false" localSheetId="3" name="랄민러ㅣ" vbProcedure="false">{#N/A,#N/A,FALSE,"현장 NCR 분석";#N/A,#N/A,FALSE,"현장품질감사";#N/A,#N/A,FALSE,"현장품질감사"}</definedName>
    <definedName function="false" hidden="false" localSheetId="3" name="만수" vbProcedure="false">{#N/A,#N/A,FALSE,"현장 NCR 분석";#N/A,#N/A,FALSE,"현장품질감사";#N/A,#N/A,FALSE,"현장품질감사"}</definedName>
    <definedName function="false" hidden="false" localSheetId="3" name="먼동" vbProcedure="false">{#N/A,#N/A,FALSE,"현장 NCR 분석";#N/A,#N/A,FALSE,"현장품질감사";#N/A,#N/A,FALSE,"현장품질감사"}</definedName>
    <definedName function="false" hidden="false" localSheetId="3" name="믿음" vbProcedure="false">{#N/A,#N/A,FALSE,"기안지";#N/A,#N/A,FALSE,"통신지"}</definedName>
    <definedName function="false" hidden="false" localSheetId="3" name="방음벽" vbProcedure="false">{#N/A,#N/A,FALSE,"배수2"}</definedName>
    <definedName function="false" hidden="false" localSheetId="3" name="부손익" vbProcedure="false">{#N/A,#N/A,FALSE,"현장 NCR 분석";#N/A,#N/A,FALSE,"현장품질감사";#N/A,#N/A,FALSE,"현장품질감사"}</definedName>
    <definedName function="false" hidden="false" localSheetId="3" name="비목별금액" vbProcedure="false">{#N/A,#N/A,FALSE,"단가표지"}</definedName>
    <definedName function="false" hidden="false" localSheetId="3" name="비목별금액1" vbProcedure="false">{#N/A,#N/A,FALSE,"조골재"}</definedName>
    <definedName function="false" hidden="false" localSheetId="3" name="사고뭉치" vbProcedure="false">{#N/A,#N/A,FALSE,"현장 NCR 분석";#N/A,#N/A,FALSE,"현장품질감사";#N/A,#N/A,FALSE,"현장품질감사"}</definedName>
    <definedName function="false" hidden="false" localSheetId="3" name="사구러" vbProcedure="false">{#N/A,#N/A,FALSE,"현장 NCR 분석";#N/A,#N/A,FALSE,"현장품질감사";#N/A,#N/A,FALSE,"현장품질감사"}</definedName>
    <definedName function="false" hidden="false" localSheetId="3" name="사랑" vbProcedure="false">{#N/A,#N/A,FALSE,"기안지";#N/A,#N/A,FALSE,"통신지"}</definedName>
    <definedName function="false" hidden="false" localSheetId="3" name="선양" vbProcedure="false">#REF!</definedName>
    <definedName function="false" hidden="false" localSheetId="3" name="성실한" vbProcedure="false">{#N/A,#N/A,FALSE,"현장 NCR 분석";#N/A,#N/A,FALSE,"현장품질감사";#N/A,#N/A,FALSE,"현장품질감사"}</definedName>
    <definedName function="false" hidden="false" localSheetId="3" name="아ㅏ" vbProcedure="false">{#N/A,#N/A,FALSE,"조골재"}</definedName>
    <definedName function="false" hidden="false" localSheetId="3" name="어" vbProcedure="false">{#N/A,#N/A,FALSE,"현장 NCR 분석";#N/A,#N/A,FALSE,"현장품질감사";#N/A,#N/A,FALSE,"현장품질감사"}</definedName>
    <definedName function="false" hidden="false" localSheetId="3" name="억이상" vbProcedure="false">{#N/A,#N/A,FALSE,"2~8번"}</definedName>
    <definedName function="false" hidden="false" localSheetId="3" name="영원" vbProcedure="false">{#N/A,#N/A,FALSE,"현장 NCR 분석";#N/A,#N/A,FALSE,"현장품질감사";#N/A,#N/A,FALSE,"현장품질감사"}</definedName>
    <definedName function="false" hidden="false" localSheetId="3" name="외주" vbProcedure="false">{#N/A,#N/A,FALSE,"부대2"}</definedName>
    <definedName function="false" hidden="false" localSheetId="3" name="원가" vbProcedure="false">{#N/A,#N/A,FALSE,"운반시간"}</definedName>
    <definedName function="false" hidden="false" localSheetId="3" name="유대" vbProcedure="false">{#N/A,#N/A,FALSE,"기안지";#N/A,#N/A,FALSE,"통신지"}</definedName>
    <definedName function="false" hidden="false" localSheetId="3" name="의" vbProcedure="false">{#N/A,#N/A,FALSE,"운반시간"}</definedName>
    <definedName function="false" hidden="false" localSheetId="3" name="이정" vbProcedure="false">{#N/A,#N/A,FALSE,"2~8번"}</definedName>
    <definedName function="false" hidden="false" localSheetId="3" name="인정" vbProcedure="false">{#N/A,#N/A,FALSE,"현장 NCR 분석";#N/A,#N/A,FALSE,"현장품질감사";#N/A,#N/A,FALSE,"현장품질감사"}</definedName>
    <definedName function="false" hidden="false" localSheetId="3" name="일반부" vbProcedure="false">{#N/A,#N/A,FALSE,"조골재"}</definedName>
    <definedName function="false" hidden="false" localSheetId="3" name="일용" vbProcedure="false">{#N/A,#N/A,FALSE,"기안지";#N/A,#N/A,FALSE,"통신지"}</definedName>
    <definedName function="false" hidden="false" localSheetId="3" name="자재" vbProcedure="false">{#N/A,#N/A,FALSE,"현장 NCR 분석";#N/A,#N/A,FALSE,"현장품질감사";#N/A,#N/A,FALSE,"현장품질감사"}</definedName>
    <definedName function="false" hidden="false" localSheetId="3" name="적용" vbProcedure="false">{#N/A,#N/A,FALSE,"현장 NCR 분석";#N/A,#N/A,FALSE,"현장품질감사";#N/A,#N/A,FALSE,"현장품질감사"}</definedName>
    <definedName function="false" hidden="false" localSheetId="3" name="적용내역1" vbProcedure="false">{#N/A,#N/A,FALSE,"현장 NCR 분석";#N/A,#N/A,FALSE,"현장품질감사";#N/A,#N/A,FALSE,"현장품질감사"}</definedName>
    <definedName function="false" hidden="false" localSheetId="3" name="적용내역내역" vbProcedure="false">{#N/A,#N/A,FALSE,"현장 NCR 분석";#N/A,#N/A,FALSE,"현장품질감사";#N/A,#N/A,FALSE,"현장품질감사"}</definedName>
    <definedName function="false" hidden="false" localSheetId="3" name="정말" vbProcedure="false">{#N/A,#N/A,FALSE,"현장 NCR 분석";#N/A,#N/A,FALSE,"현장품질감사";#N/A,#N/A,FALSE,"현장품질감사"}</definedName>
    <definedName function="false" hidden="false" localSheetId="3" name="정수" vbProcedure="false">{#N/A,#N/A,FALSE,"현장 NCR 분석";#N/A,#N/A,FALSE,"현장품질감사";#N/A,#N/A,FALSE,"현장품질감사"}</definedName>
    <definedName function="false" hidden="false" localSheetId="3" name="정숙이" vbProcedure="false">{#N/A,#N/A,FALSE,"현장 NCR 분석";#N/A,#N/A,FALSE,"현장품질감사";#N/A,#N/A,FALSE,"현장품질감사"}</definedName>
    <definedName function="false" hidden="false" localSheetId="3" name="정정아" vbProcedure="false">{#N/A,#N/A,FALSE,"현장 NCR 분석";#N/A,#N/A,FALSE,"현장품질감사";#N/A,#N/A,FALSE,"현장품질감사"}</definedName>
    <definedName function="false" hidden="false" localSheetId="3" name="조" vbProcedure="false">{#N/A,#N/A,FALSE,"조골재"}</definedName>
    <definedName function="false" hidden="false" localSheetId="3" name="종자" vbProcedure="false">{#N/A,#N/A,FALSE,"현장 NCR 분석";#N/A,#N/A,FALSE,"현장품질감사";#N/A,#N/A,FALSE,"현장품질감사"}</definedName>
    <definedName function="false" hidden="false" localSheetId="3" name="철2" vbProcedure="false">{#N/A,#N/A,FALSE,"혼합골재"}</definedName>
    <definedName function="false" hidden="false" localSheetId="3" name="총공" vbProcedure="false">{#N/A,#N/A,FALSE,"운반시간"}</definedName>
    <definedName function="false" hidden="false" localSheetId="3" name="총괄내역" vbProcedure="false">#REF!</definedName>
    <definedName function="false" hidden="false" localSheetId="3" name="춘추" vbProcedure="false">{#N/A,#N/A,FALSE,"현장 NCR 분석";#N/A,#N/A,FALSE,"현장품질감사";#N/A,#N/A,FALSE,"현장품질감사"}</definedName>
    <definedName function="false" hidden="false" localSheetId="3" name="토공2" vbProcedure="false">{#N/A,#N/A,FALSE,"2~8번"}</definedName>
    <definedName function="false" hidden="false" localSheetId="3" name="토공전체" vbProcedure="false">{#N/A,#N/A,FALSE,"운반시간"}</definedName>
    <definedName function="false" hidden="false" localSheetId="3" name="토목설계" vbProcedure="false">{#N/A,#N/A,FALSE,"골재소요량";#N/A,#N/A,FALSE,"골재소요량"}</definedName>
    <definedName function="false" hidden="false" localSheetId="3" name="한" vbProcedure="false">#REF!</definedName>
    <definedName function="false" hidden="false" localSheetId="5" name="Excel_BuiltIn__FilterDatabase" vbProcedure="false">현장관련업체!$A$2:$G$10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Q4" authorId="0">
      <text>
        <r>
          <rPr>
            <b val="true"/>
            <sz val="9"/>
            <color rgb="FF000000"/>
            <rFont val="DejaVu Sans"/>
            <family val="2"/>
          </rPr>
          <t xml:space="preserve">건강보험료 </t>
        </r>
        <r>
          <rPr>
            <b val="true"/>
            <sz val="9"/>
            <color rgb="FF000000"/>
            <rFont val="Tahoma"/>
            <family val="2"/>
          </rPr>
          <t xml:space="preserve">: 12.95%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13</xdr:colOff>
                <xdr:row>2</xdr:row>
                <xdr:rowOff>6</xdr:rowOff>
              </xdr:from>
              <xdr:to>
                <xdr:col>21</xdr:col>
                <xdr:colOff>9</xdr:colOff>
                <xdr:row>6</xdr:row>
                <xdr:rowOff>6</xdr:rowOff>
              </xdr:to>
            </anchor>
          </commentPr>
        </mc:Choice>
        <mc:Fallback/>
      </mc:AlternateContent>
    </comment>
    <comment ref="AB3" authorId="0">
      <text>
        <r>
          <rPr>
            <b val="true"/>
            <sz val="9"/>
            <color rgb="FF000000"/>
            <rFont val="Tahoma"/>
            <family val="2"/>
          </rPr>
          <t xml:space="preserve">2024</t>
        </r>
        <r>
          <rPr>
            <b val="true"/>
            <sz val="9"/>
            <color rgb="FF000000"/>
            <rFont val="DejaVu Sans"/>
            <family val="2"/>
          </rPr>
          <t xml:space="preserve">년 요율 적용함</t>
        </r>
      </text>
      <mc:AlternateContent>
        <mc:Choice Requires="v2">
          <commentPr autoFill="true" autoScale="false" colHidden="false" locked="false" rowHidden="false" textHAlign="justify" textVAlign="center">
            <anchor moveWithCells="false" sizeWithCells="false">
              <xdr:from>
                <xdr:col>31</xdr:col>
                <xdr:colOff>0</xdr:colOff>
                <xdr:row>1</xdr:row>
                <xdr:rowOff>6</xdr:rowOff>
              </xdr:from>
              <xdr:to>
                <xdr:col>32</xdr:col>
                <xdr:colOff>18</xdr:colOff>
                <xdr:row>2</xdr:row>
                <xdr:rowOff>12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Q4" authorId="0">
      <text>
        <r>
          <rPr>
            <b val="true"/>
            <sz val="9"/>
            <color rgb="FF000000"/>
            <rFont val="DejaVu Sans"/>
            <family val="2"/>
          </rPr>
          <t xml:space="preserve">건강보험료 </t>
        </r>
        <r>
          <rPr>
            <b val="true"/>
            <sz val="9"/>
            <color rgb="FF000000"/>
            <rFont val="Tahoma"/>
            <family val="2"/>
          </rPr>
          <t xml:space="preserve">: 12.95%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16</xdr:colOff>
                <xdr:row>2</xdr:row>
                <xdr:rowOff>6</xdr:rowOff>
              </xdr:from>
              <xdr:to>
                <xdr:col>21</xdr:col>
                <xdr:colOff>47</xdr:colOff>
                <xdr:row>6</xdr:row>
                <xdr:rowOff>6</xdr:rowOff>
              </xdr:to>
            </anchor>
          </commentPr>
        </mc:Choice>
        <mc:Fallback/>
      </mc:AlternateContent>
    </comment>
    <comment ref="AB3" authorId="0">
      <text>
        <r>
          <rPr>
            <b val="true"/>
            <sz val="9"/>
            <color rgb="FF000000"/>
            <rFont val="Tahoma"/>
            <family val="2"/>
          </rPr>
          <t xml:space="preserve">2024</t>
        </r>
        <r>
          <rPr>
            <b val="true"/>
            <sz val="9"/>
            <color rgb="FF000000"/>
            <rFont val="DejaVu Sans"/>
            <family val="2"/>
          </rPr>
          <t xml:space="preserve">년 요율 적용함</t>
        </r>
      </text>
      <mc:AlternateContent>
        <mc:Choice Requires="v2">
          <commentPr autoFill="true" autoScale="false" colHidden="false" locked="false" rowHidden="false" textHAlign="justify" textVAlign="center">
            <anchor moveWithCells="false" sizeWithCells="false">
              <xdr:from>
                <xdr:col>31</xdr:col>
                <xdr:colOff>16</xdr:colOff>
                <xdr:row>1</xdr:row>
                <xdr:rowOff>6</xdr:rowOff>
              </xdr:from>
              <xdr:to>
                <xdr:col>32</xdr:col>
                <xdr:colOff>33</xdr:colOff>
                <xdr:row>2</xdr:row>
                <xdr:rowOff>12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R4" authorId="0">
      <text>
        <r>
          <rPr>
            <b val="true"/>
            <sz val="9"/>
            <color rgb="FF000000"/>
            <rFont val="DejaVu Sans"/>
            <family val="2"/>
          </rPr>
          <t xml:space="preserve">건강보험료 </t>
        </r>
        <r>
          <rPr>
            <b val="true"/>
            <sz val="9"/>
            <color rgb="FF000000"/>
            <rFont val="Tahoma"/>
            <family val="2"/>
          </rPr>
          <t xml:space="preserve">: 12.95%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24</xdr:colOff>
                <xdr:row>3</xdr:row>
                <xdr:rowOff>12</xdr:rowOff>
              </xdr:from>
              <xdr:to>
                <xdr:col>16</xdr:col>
                <xdr:colOff>32</xdr:colOff>
                <xdr:row>6</xdr:row>
                <xdr:rowOff>13</xdr:rowOff>
              </xdr:to>
            </anchor>
          </commentPr>
        </mc:Choice>
        <mc:Fallback/>
      </mc:AlternateContent>
    </comment>
    <comment ref="R108" authorId="0">
      <text>
        <r>
          <rPr>
            <b val="true"/>
            <sz val="9"/>
            <color rgb="FF000000"/>
            <rFont val="DejaVu Sans"/>
            <family val="2"/>
          </rPr>
          <t xml:space="preserve">건강보험료 </t>
        </r>
        <r>
          <rPr>
            <b val="true"/>
            <sz val="9"/>
            <color rgb="FF000000"/>
            <rFont val="Tahoma"/>
            <family val="2"/>
          </rPr>
          <t xml:space="preserve">: 12.95%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16</xdr:colOff>
                <xdr:row>106</xdr:row>
                <xdr:rowOff>16</xdr:rowOff>
              </xdr:from>
              <xdr:to>
                <xdr:col>23</xdr:col>
                <xdr:colOff>11</xdr:colOff>
                <xdr:row>109</xdr:row>
                <xdr:rowOff>17</xdr:rowOff>
              </xdr:to>
            </anchor>
          </commentPr>
        </mc:Choice>
        <mc:Fallback/>
      </mc:AlternateContent>
    </comment>
    <comment ref="AC3" authorId="0">
      <text>
        <r>
          <rPr>
            <b val="true"/>
            <sz val="9"/>
            <color rgb="FF000000"/>
            <rFont val="Tahoma"/>
            <family val="2"/>
          </rPr>
          <t xml:space="preserve">2024</t>
        </r>
        <r>
          <rPr>
            <b val="true"/>
            <sz val="9"/>
            <color rgb="FF000000"/>
            <rFont val="DejaVu Sans"/>
            <family val="2"/>
          </rPr>
          <t xml:space="preserve">년 요율 적용함</t>
        </r>
      </text>
      <mc:AlternateContent>
        <mc:Choice Requires="v2">
          <commentPr autoFill="true" autoScale="false" colHidden="false" locked="false" rowHidden="false" textHAlign="justify" textVAlign="center">
            <anchor moveWithCells="false" sizeWithCells="false">
              <xdr:from>
                <xdr:col>30</xdr:col>
                <xdr:colOff>46</xdr:colOff>
                <xdr:row>0</xdr:row>
                <xdr:rowOff>7</xdr:rowOff>
              </xdr:from>
              <xdr:to>
                <xdr:col>33</xdr:col>
                <xdr:colOff>39</xdr:colOff>
                <xdr:row>1</xdr:row>
                <xdr:rowOff>7</xdr:rowOff>
              </xdr:to>
            </anchor>
          </commentPr>
        </mc:Choice>
        <mc:Fallback/>
      </mc:AlternateContent>
    </comment>
    <comment ref="AC107" authorId="0">
      <text>
        <r>
          <rPr>
            <b val="true"/>
            <sz val="9"/>
            <color rgb="FF000000"/>
            <rFont val="Tahoma"/>
            <family val="2"/>
          </rPr>
          <t xml:space="preserve">2024</t>
        </r>
        <r>
          <rPr>
            <b val="true"/>
            <sz val="9"/>
            <color rgb="FF000000"/>
            <rFont val="DejaVu Sans"/>
            <family val="2"/>
          </rPr>
          <t xml:space="preserve">년 요율 적용함</t>
        </r>
      </text>
      <mc:AlternateContent>
        <mc:Choice Requires="v2">
          <commentPr autoFill="true" autoScale="false" colHidden="false" locked="false" rowHidden="false" textHAlign="justify" textVAlign="center">
            <anchor moveWithCells="false" sizeWithCells="false">
              <xdr:from>
                <xdr:col>32</xdr:col>
                <xdr:colOff>7</xdr:colOff>
                <xdr:row>105</xdr:row>
                <xdr:rowOff>17</xdr:rowOff>
              </xdr:from>
              <xdr:to>
                <xdr:col>34</xdr:col>
                <xdr:colOff>12</xdr:colOff>
                <xdr:row>106</xdr:row>
                <xdr:rowOff>17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49" authorId="0">
      <text>
        <r>
          <rPr>
            <b val="true"/>
            <sz val="15"/>
            <color rgb="FF000000"/>
            <rFont val="DejaVu Sans"/>
            <family val="2"/>
          </rPr>
          <t xml:space="preserve">슬레이트 작업은 안하다고함
</t>
        </r>
      </text>
      <mc:AlternateContent>
        <mc:Choice Requires="v2">
          <commentPr autoFill="true" autoScale="false" colHidden="false" locked="false" rowHidden="false" textHAlign="justify" textVAlign="center">
            <anchor moveWithCells="false" sizeWithCells="false">
              <xdr:from>
                <xdr:col>0</xdr:col>
                <xdr:colOff>162</xdr:colOff>
                <xdr:row>148</xdr:row>
                <xdr:rowOff>9</xdr:rowOff>
              </xdr:from>
              <xdr:to>
                <xdr:col>3</xdr:col>
                <xdr:colOff>92</xdr:colOff>
                <xdr:row>149</xdr:row>
                <xdr:rowOff>26</xdr:rowOff>
              </xdr:to>
            </anchor>
          </commentPr>
        </mc:Choice>
        <mc:Fallback/>
      </mc:AlternateContent>
    </comment>
    <comment ref="A165" authorId="0">
      <text>
        <r>
          <rPr>
            <b val="true"/>
            <sz val="9"/>
            <color rgb="FF000000"/>
            <rFont val="Tahoma"/>
            <family val="2"/>
          </rPr>
          <t xml:space="preserve">USER: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163</xdr:row>
                <xdr:rowOff>9</xdr:rowOff>
              </xdr:from>
              <xdr:to>
                <xdr:col>2</xdr:col>
                <xdr:colOff>85</xdr:colOff>
                <xdr:row>166</xdr:row>
                <xdr:rowOff>7</xdr:rowOff>
              </xdr:to>
            </anchor>
          </commentPr>
        </mc:Choice>
        <mc:Fallback/>
      </mc:AlternateContent>
    </comment>
    <comment ref="A169" authorId="0">
      <text>
        <r>
          <rPr>
            <b val="true"/>
            <sz val="13"/>
            <color rgb="FF000000"/>
            <rFont val="DejaVu Sans"/>
            <family val="2"/>
          </rPr>
          <t xml:space="preserve">근로일자만 적용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162</xdr:colOff>
                <xdr:row>168</xdr:row>
                <xdr:rowOff>17</xdr:rowOff>
              </xdr:from>
              <xdr:to>
                <xdr:col>2</xdr:col>
                <xdr:colOff>48</xdr:colOff>
                <xdr:row>169</xdr:row>
                <xdr:rowOff>14</xdr:rowOff>
              </xdr:to>
            </anchor>
          </commentPr>
        </mc:Choice>
        <mc:Fallback/>
      </mc:AlternateContent>
    </comment>
    <comment ref="A282" authorId="0">
      <text>
        <r>
          <rPr>
            <b val="true"/>
            <sz val="12"/>
            <color rgb="FF000000"/>
            <rFont val="DejaVu Sans"/>
            <family val="2"/>
          </rPr>
          <t xml:space="preserve">돌려 받기 힘든분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162</xdr:colOff>
                <xdr:row>281</xdr:row>
                <xdr:rowOff>20</xdr:rowOff>
              </xdr:from>
              <xdr:to>
                <xdr:col>2</xdr:col>
                <xdr:colOff>47</xdr:colOff>
                <xdr:row>282</xdr:row>
                <xdr:rowOff>16</xdr:rowOff>
              </xdr:to>
            </anchor>
          </commentPr>
        </mc:Choice>
        <mc:Fallback/>
      </mc:AlternateContent>
    </comment>
    <comment ref="A285" authorId="0">
      <text>
        <r>
          <rPr>
            <sz val="13"/>
            <color rgb="FF000000"/>
            <rFont val="DejaVu Sans"/>
            <family val="2"/>
          </rPr>
          <t xml:space="preserve">사용불가
</t>
        </r>
      </text>
      <mc:AlternateContent>
        <mc:Choice Requires="v2">
          <commentPr autoFill="true" autoScale="false" colHidden="false" locked="false" rowHidden="false" textHAlign="justify" textVAlign="center">
            <anchor moveWithCells="false" sizeWithCells="false">
              <xdr:from>
                <xdr:col>0</xdr:col>
                <xdr:colOff>162</xdr:colOff>
                <xdr:row>284</xdr:row>
                <xdr:rowOff>17</xdr:rowOff>
              </xdr:from>
              <xdr:to>
                <xdr:col>1</xdr:col>
                <xdr:colOff>61</xdr:colOff>
                <xdr:row>285</xdr:row>
                <xdr:rowOff>8</xdr:rowOff>
              </xdr:to>
            </anchor>
          </commentPr>
        </mc:Choice>
        <mc:Fallback/>
      </mc:AlternateContent>
    </comment>
    <comment ref="C219" authorId="0">
      <text>
        <r>
          <rPr>
            <b val="true"/>
            <sz val="9"/>
            <color rgb="FF000000"/>
            <rFont val="Tahoma"/>
            <family val="2"/>
          </rPr>
          <t xml:space="preserve">2025</t>
        </r>
        <r>
          <rPr>
            <b val="true"/>
            <sz val="9"/>
            <color rgb="FF000000"/>
            <rFont val="DejaVu Sans"/>
            <family val="2"/>
          </rPr>
          <t xml:space="preserve">년</t>
        </r>
        <r>
          <rPr>
            <b val="true"/>
            <sz val="9"/>
            <color rgb="FF000000"/>
            <rFont val="Tahoma"/>
            <family val="2"/>
          </rPr>
          <t xml:space="preserve">01</t>
        </r>
        <r>
          <rPr>
            <b val="true"/>
            <sz val="9"/>
            <color rgb="FF000000"/>
            <rFont val="DejaVu Sans"/>
            <family val="2"/>
          </rPr>
          <t xml:space="preserve">월부터 사용불가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108</xdr:colOff>
                <xdr:row>218</xdr:row>
                <xdr:rowOff>22</xdr:rowOff>
              </xdr:from>
              <xdr:to>
                <xdr:col>3</xdr:col>
                <xdr:colOff>161</xdr:colOff>
                <xdr:row>219</xdr:row>
                <xdr:rowOff>19</xdr:rowOff>
              </xdr:to>
            </anchor>
          </commentPr>
        </mc:Choice>
        <mc:Fallback/>
      </mc:AlternateContent>
    </comment>
    <comment ref="I216" authorId="0">
      <text>
        <r>
          <rPr>
            <b val="true"/>
            <sz val="12"/>
            <color rgb="FF000000"/>
            <rFont val="DejaVu Sans"/>
            <family val="2"/>
          </rPr>
          <t xml:space="preserve">배우자 핸드폰임</t>
        </r>
      </text>
      <mc:AlternateContent>
        <mc:Choice Requires="v2">
          <commentPr autoFill="true" autoScale="false" colHidden="false" locked="false" rowHidden="false" textHAlign="justify" textVAlign="center">
            <anchor moveWithCells="false" sizeWithCells="false">
              <xdr:from>
                <xdr:col>11</xdr:col>
                <xdr:colOff>36</xdr:colOff>
                <xdr:row>214</xdr:row>
                <xdr:rowOff>7</xdr:rowOff>
              </xdr:from>
              <xdr:to>
                <xdr:col>12</xdr:col>
                <xdr:colOff>-344</xdr:colOff>
                <xdr:row>215</xdr:row>
                <xdr:rowOff>12</xdr:rowOff>
              </xdr:to>
            </anchor>
          </commentPr>
        </mc:Choice>
        <mc:Fallback/>
      </mc:AlternateContent>
    </comment>
    <comment ref="K143" authorId="0">
      <text>
        <r>
          <rPr>
            <sz val="9"/>
            <color rgb="FF000000"/>
            <rFont val="DejaVu Sans"/>
            <family val="2"/>
          </rPr>
          <t xml:space="preserve">비탄리 </t>
        </r>
        <r>
          <rPr>
            <sz val="9"/>
            <color rgb="FF000000"/>
            <rFont val="Tahoma"/>
            <family val="2"/>
          </rPr>
          <t xml:space="preserve">22 </t>
        </r>
        <r>
          <rPr>
            <sz val="9"/>
            <color rgb="FF000000"/>
            <rFont val="DejaVu Sans"/>
            <family val="2"/>
          </rPr>
          <t xml:space="preserve">적용함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50</xdr:colOff>
                <xdr:row>142</xdr:row>
                <xdr:rowOff>11</xdr:rowOff>
              </xdr:from>
              <xdr:to>
                <xdr:col>11</xdr:col>
                <xdr:colOff>132</xdr:colOff>
                <xdr:row>145</xdr:row>
                <xdr:rowOff>21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<sst xmlns="http://schemas.openxmlformats.org/spreadsheetml/2006/main" count="3254" uniqueCount="2040">
  <si>
    <t xml:space="preserve">아이엔건설환경</t>
  </si>
  <si>
    <t xml:space="preserve">새암건설㈜</t>
  </si>
  <si>
    <t xml:space="preserve">건우건설㈜</t>
  </si>
  <si>
    <r>
      <rPr>
        <b val="true"/>
        <sz val="12"/>
        <rFont val="DejaVu Sans"/>
        <family val="2"/>
      </rPr>
      <t xml:space="preserve">청리면 덕산지구</t>
    </r>
    <r>
      <rPr>
        <b val="true"/>
        <sz val="12"/>
        <rFont val="맑은 고딕"/>
        <family val="3"/>
        <charset val="129"/>
      </rPr>
      <t xml:space="preserve">~~~</t>
    </r>
  </si>
  <si>
    <r>
      <rPr>
        <b val="true"/>
        <sz val="12"/>
        <rFont val="DejaVu Sans"/>
        <family val="2"/>
      </rPr>
      <t xml:space="preserve">영동 산과고</t>
    </r>
    <r>
      <rPr>
        <b val="true"/>
        <sz val="12"/>
        <rFont val="맑은 고딕"/>
        <family val="3"/>
        <charset val="129"/>
      </rPr>
      <t xml:space="preserve">~~~</t>
    </r>
  </si>
  <si>
    <r>
      <rPr>
        <b val="true"/>
        <sz val="12"/>
        <color rgb="FF000000"/>
        <rFont val="DejaVu Sans"/>
        <family val="2"/>
      </rPr>
      <t xml:space="preserve">금성면</t>
    </r>
    <r>
      <rPr>
        <b val="true"/>
        <sz val="12"/>
        <color rgb="FF000000"/>
        <rFont val="맑은 고딕"/>
        <family val="3"/>
        <charset val="129"/>
      </rPr>
      <t xml:space="preserve">~~~</t>
    </r>
  </si>
  <si>
    <t xml:space="preserve">특수형태근로자</t>
  </si>
  <si>
    <t xml:space="preserve">일용노무비 지급명세서</t>
  </si>
  <si>
    <t xml:space="preserve">공 제
요 율</t>
  </si>
  <si>
    <t xml:space="preserve">국민연금</t>
  </si>
  <si>
    <t xml:space="preserve">건강보험</t>
  </si>
  <si>
    <t xml:space="preserve">장기요양</t>
  </si>
  <si>
    <t xml:space="preserve">갑근세</t>
  </si>
  <si>
    <t xml:space="preserve">주민세</t>
  </si>
  <si>
    <t xml:space="preserve">갑근세기준</t>
  </si>
  <si>
    <t xml:space="preserve">고용보험율</t>
  </si>
  <si>
    <r>
      <rPr>
        <sz val="10"/>
        <color rgb="FF000000"/>
        <rFont val="맑은 고딕"/>
        <family val="3"/>
        <charset val="129"/>
      </rPr>
      <t xml:space="preserve">※4</t>
    </r>
    <r>
      <rPr>
        <sz val="10"/>
        <color rgb="FF000000"/>
        <rFont val="DejaVu Sans"/>
        <family val="2"/>
      </rPr>
      <t xml:space="preserve">대보험적용대상
월</t>
    </r>
    <r>
      <rPr>
        <sz val="10"/>
        <color rgb="FF000000"/>
        <rFont val="맑은 고딕"/>
        <family val="3"/>
        <charset val="129"/>
      </rPr>
      <t xml:space="preserve">8</t>
    </r>
    <r>
      <rPr>
        <sz val="10"/>
        <color rgb="FF000000"/>
        <rFont val="DejaVu Sans"/>
        <family val="2"/>
      </rPr>
      <t xml:space="preserve">일 이상근무자</t>
    </r>
  </si>
  <si>
    <r>
      <rPr>
        <sz val="10"/>
        <color rgb="FFFF0000"/>
        <rFont val="DejaVu Sans"/>
        <family val="2"/>
      </rPr>
      <t xml:space="preserve">출력인원 증가시 </t>
    </r>
    <r>
      <rPr>
        <sz val="10"/>
        <color rgb="FFFF0000"/>
        <rFont val="맑은 고딕"/>
        <family val="3"/>
        <charset val="129"/>
      </rPr>
      <t xml:space="preserve">: 1</t>
    </r>
    <r>
      <rPr>
        <sz val="10"/>
        <color rgb="FFFF0000"/>
        <rFont val="DejaVu Sans"/>
        <family val="2"/>
      </rPr>
      <t xml:space="preserve">번행과</t>
    </r>
    <r>
      <rPr>
        <sz val="10"/>
        <color rgb="FFFF0000"/>
        <rFont val="맑은 고딕"/>
        <family val="3"/>
        <charset val="129"/>
      </rPr>
      <t xml:space="preserve">15</t>
    </r>
    <r>
      <rPr>
        <sz val="10"/>
        <color rgb="FFFF0000"/>
        <rFont val="DejaVu Sans"/>
        <family val="2"/>
      </rPr>
      <t xml:space="preserve">번행 제외하고 그사이에 행을 복사하여 삽입하면 산식은 자동으로 인식됨</t>
    </r>
    <r>
      <rPr>
        <sz val="10"/>
        <color rgb="FFFF0000"/>
        <rFont val="맑은 고딕"/>
        <family val="3"/>
        <charset val="129"/>
      </rPr>
      <t xml:space="preserve">.</t>
    </r>
  </si>
  <si>
    <t xml:space="preserve">통장갖고있어서 자유롭게 신고가능자</t>
  </si>
  <si>
    <t xml:space="preserve">고용보험요율</t>
  </si>
  <si>
    <r>
      <rPr>
        <sz val="10"/>
        <color rgb="FF000000"/>
        <rFont val="DejaVu Sans"/>
        <family val="2"/>
      </rPr>
      <t xml:space="preserve">건</t>
    </r>
    <r>
      <rPr>
        <sz val="10"/>
        <color rgb="FF000000"/>
        <rFont val="맑은 고딕"/>
        <family val="3"/>
        <charset val="129"/>
      </rPr>
      <t xml:space="preserve">*</t>
    </r>
  </si>
  <si>
    <r>
      <rPr>
        <sz val="10"/>
        <color rgb="FF000000"/>
        <rFont val="DejaVu Sans"/>
        <family val="2"/>
      </rPr>
      <t xml:space="preserve">갑</t>
    </r>
    <r>
      <rPr>
        <sz val="10"/>
        <color rgb="FF000000"/>
        <rFont val="맑은 고딕"/>
        <family val="3"/>
        <charset val="129"/>
      </rPr>
      <t xml:space="preserve">*10%</t>
    </r>
  </si>
  <si>
    <r>
      <rPr>
        <sz val="10"/>
        <color rgb="FF000000"/>
        <rFont val="DejaVu Sans"/>
        <family val="2"/>
      </rPr>
      <t xml:space="preserve">임종관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DejaVu Sans"/>
        <family val="2"/>
      </rPr>
      <t xml:space="preserve">민헌기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DejaVu Sans"/>
        <family val="2"/>
      </rPr>
      <t xml:space="preserve">박범해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DejaVu Sans"/>
        <family val="2"/>
      </rPr>
      <t xml:space="preserve">신용철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DejaVu Sans"/>
        <family val="2"/>
      </rPr>
      <t xml:space="preserve">전덕하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DejaVu Sans"/>
        <family val="2"/>
      </rPr>
      <t xml:space="preserve">최순자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DejaVu Sans"/>
        <family val="2"/>
      </rPr>
      <t xml:space="preserve">최순옥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DejaVu Sans"/>
        <family val="2"/>
      </rPr>
      <t xml:space="preserve">양희옥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DejaVu Sans"/>
        <family val="2"/>
      </rPr>
      <t xml:space="preserve">김양수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DejaVu Sans"/>
        <family val="2"/>
      </rPr>
      <t xml:space="preserve">장영석</t>
    </r>
  </si>
  <si>
    <t xml:space="preserve">0.7%→0.8%</t>
  </si>
  <si>
    <t xml:space="preserve">회사명</t>
  </si>
  <si>
    <t xml:space="preserve">총괄</t>
  </si>
  <si>
    <t xml:space="preserve">기간</t>
  </si>
  <si>
    <t xml:space="preserve">일간</t>
  </si>
  <si>
    <t xml:space="preserve">공사명</t>
  </si>
  <si>
    <t xml:space="preserve">공종명</t>
  </si>
  <si>
    <t xml:space="preserve">연번</t>
  </si>
  <si>
    <t xml:space="preserve">직 종</t>
  </si>
  <si>
    <t xml:space="preserve">성  명</t>
  </si>
  <si>
    <t xml:space="preserve">주민등록
번     호</t>
  </si>
  <si>
    <t xml:space="preserve">주    소</t>
  </si>
  <si>
    <t xml:space="preserve">출력현황</t>
  </si>
  <si>
    <t xml:space="preserve">출력
공수</t>
  </si>
  <si>
    <t xml:space="preserve">노무비</t>
  </si>
  <si>
    <t xml:space="preserve">근로소득세액공제</t>
  </si>
  <si>
    <t xml:space="preserve">공제합계</t>
  </si>
  <si>
    <t xml:space="preserve">차   감
지급액</t>
  </si>
  <si>
    <t xml:space="preserve">결재정보</t>
  </si>
  <si>
    <t xml:space="preserve">출력일수</t>
  </si>
  <si>
    <t xml:space="preserve">단  가</t>
  </si>
  <si>
    <t xml:space="preserve">고용보험</t>
  </si>
  <si>
    <t xml:space="preserve">은행</t>
  </si>
  <si>
    <t xml:space="preserve">예금주</t>
  </si>
  <si>
    <t xml:space="preserve">우편번호</t>
  </si>
  <si>
    <t xml:space="preserve">전화번호</t>
  </si>
  <si>
    <t xml:space="preserve">총  액</t>
  </si>
  <si>
    <t xml:space="preserve">계좌번호</t>
  </si>
  <si>
    <t xml:space="preserve">생년월일</t>
  </si>
  <si>
    <t xml:space="preserve">만나이</t>
  </si>
  <si>
    <t xml:space="preserve">임종관</t>
  </si>
  <si>
    <t xml:space="preserve">민헌기</t>
  </si>
  <si>
    <t xml:space="preserve">박범해</t>
  </si>
  <si>
    <t xml:space="preserve">신용철</t>
  </si>
  <si>
    <t xml:space="preserve">전덕하</t>
  </si>
  <si>
    <t xml:space="preserve">최순자</t>
  </si>
  <si>
    <t xml:space="preserve">최순옥</t>
  </si>
  <si>
    <t xml:space="preserve">양희옥</t>
  </si>
  <si>
    <t xml:space="preserve">김양수</t>
  </si>
  <si>
    <t xml:space="preserve">장영석</t>
  </si>
  <si>
    <t xml:space="preserve">박봉열</t>
  </si>
  <si>
    <t xml:space="preserve">장신진</t>
  </si>
  <si>
    <t xml:space="preserve">민백규</t>
  </si>
  <si>
    <t xml:space="preserve">김판수</t>
  </si>
  <si>
    <t xml:space="preserve">김환배</t>
  </si>
  <si>
    <t xml:space="preserve">정상천</t>
  </si>
  <si>
    <t xml:space="preserve">장인숙</t>
  </si>
  <si>
    <t xml:space="preserve">이인순</t>
  </si>
  <si>
    <t xml:space="preserve">신현진</t>
  </si>
  <si>
    <t xml:space="preserve">김성옥</t>
  </si>
  <si>
    <t xml:space="preserve">박찬식</t>
  </si>
  <si>
    <t xml:space="preserve">이선임</t>
  </si>
  <si>
    <t xml:space="preserve">심종섭</t>
  </si>
  <si>
    <t xml:space="preserve">장경훈</t>
  </si>
  <si>
    <t xml:space="preserve">황지화</t>
  </si>
  <si>
    <t xml:space="preserve">박원용</t>
  </si>
  <si>
    <t xml:space="preserve">배순히</t>
  </si>
  <si>
    <t xml:space="preserve">출력합계</t>
  </si>
  <si>
    <t xml:space="preserve">건우건설</t>
  </si>
  <si>
    <t xml:space="preserve">아이엔</t>
  </si>
  <si>
    <t xml:space="preserve">새암건설</t>
  </si>
  <si>
    <t xml:space="preserve">건우</t>
  </si>
  <si>
    <t xml:space="preserve">영동유색깔</t>
  </si>
  <si>
    <t xml:space="preserve">제천금성면</t>
  </si>
  <si>
    <t xml:space="preserve">산과고</t>
  </si>
  <si>
    <t xml:space="preserve">수자원</t>
  </si>
  <si>
    <t xml:space="preserve">청리면</t>
  </si>
  <si>
    <r>
      <rPr>
        <b val="true"/>
        <sz val="10"/>
        <rFont val="DejaVu Sans"/>
        <family val="2"/>
      </rPr>
      <t xml:space="preserve">작점리</t>
    </r>
    <r>
      <rPr>
        <b val="true"/>
        <sz val="10"/>
        <rFont val="맑은 고딕"/>
        <family val="3"/>
        <charset val="129"/>
      </rPr>
      <t xml:space="preserve">(</t>
    </r>
    <r>
      <rPr>
        <b val="true"/>
        <sz val="10"/>
        <rFont val="DejaVu Sans"/>
        <family val="2"/>
      </rPr>
      <t xml:space="preserve">이종성</t>
    </r>
    <r>
      <rPr>
        <b val="true"/>
        <sz val="10"/>
        <rFont val="맑은 고딕"/>
        <family val="3"/>
        <charset val="129"/>
      </rPr>
      <t xml:space="preserve">)</t>
    </r>
  </si>
  <si>
    <t xml:space="preserve">제천늘봄</t>
  </si>
  <si>
    <t xml:space="preserve">소죽천</t>
  </si>
  <si>
    <t xml:space="preserve">새암</t>
  </si>
  <si>
    <t xml:space="preserve">이명철</t>
  </si>
  <si>
    <t xml:space="preserve">김운수</t>
  </si>
  <si>
    <t xml:space="preserve">손승국</t>
  </si>
  <si>
    <t xml:space="preserve">이선래</t>
  </si>
  <si>
    <t xml:space="preserve">대민분</t>
  </si>
  <si>
    <t xml:space="preserve">손광희</t>
  </si>
  <si>
    <t xml:space="preserve">김규엽</t>
  </si>
  <si>
    <t xml:space="preserve">박찬순</t>
  </si>
  <si>
    <t xml:space="preserve">김외자</t>
  </si>
  <si>
    <t xml:space="preserve">제천  금성면</t>
  </si>
  <si>
    <t xml:space="preserve">영동유</t>
  </si>
  <si>
    <t xml:space="preserve">하재주</t>
  </si>
  <si>
    <t xml:space="preserve">김동필</t>
  </si>
  <si>
    <t xml:space="preserve">개미인력</t>
  </si>
  <si>
    <t xml:space="preserve">이정철</t>
  </si>
  <si>
    <r>
      <rPr>
        <sz val="10"/>
        <color rgb="FFFF6600"/>
        <rFont val="맑은 고딕"/>
        <family val="3"/>
        <charset val="129"/>
      </rPr>
      <t xml:space="preserve">(</t>
    </r>
    <r>
      <rPr>
        <sz val="10"/>
        <color rgb="FFFF6600"/>
        <rFont val="DejaVu Sans"/>
        <family val="2"/>
      </rPr>
      <t xml:space="preserve">수자원</t>
    </r>
  </si>
  <si>
    <t xml:space="preserve">이진호</t>
  </si>
  <si>
    <t xml:space="preserve">윤태순</t>
  </si>
  <si>
    <t xml:space="preserve">김창권</t>
  </si>
  <si>
    <t xml:space="preserve">임재준</t>
  </si>
  <si>
    <r>
      <rPr>
        <sz val="10"/>
        <rFont val="DejaVu Sans"/>
        <family val="2"/>
      </rPr>
      <t xml:space="preserve">황인호외</t>
    </r>
    <r>
      <rPr>
        <sz val="10"/>
        <rFont val="맑은 고딕"/>
        <family val="3"/>
        <charset val="129"/>
      </rPr>
      <t xml:space="preserve">7</t>
    </r>
    <r>
      <rPr>
        <sz val="10"/>
        <rFont val="DejaVu Sans"/>
        <family val="2"/>
      </rPr>
      <t xml:space="preserve">명</t>
    </r>
  </si>
  <si>
    <t xml:space="preserve">작점리</t>
  </si>
  <si>
    <r>
      <rPr>
        <sz val="10"/>
        <rFont val="DejaVu Sans"/>
        <family val="2"/>
      </rPr>
      <t xml:space="preserve">박충열외</t>
    </r>
    <r>
      <rPr>
        <sz val="10"/>
        <rFont val="맑은 고딕"/>
        <family val="3"/>
        <charset val="129"/>
      </rPr>
      <t xml:space="preserve">3</t>
    </r>
    <r>
      <rPr>
        <sz val="10"/>
        <rFont val="DejaVu Sans"/>
        <family val="2"/>
      </rPr>
      <t xml:space="preserve">명</t>
    </r>
  </si>
  <si>
    <t xml:space="preserve">무병묘</t>
  </si>
  <si>
    <t xml:space="preserve">확인요망</t>
  </si>
  <si>
    <r>
      <rPr>
        <sz val="24"/>
        <rFont val="DejaVu Sans"/>
        <family val="2"/>
      </rPr>
      <t xml:space="preserve">       제</t>
    </r>
    <r>
      <rPr>
        <sz val="24"/>
        <rFont val="바탕체"/>
        <family val="1"/>
        <charset val="129"/>
      </rPr>
      <t xml:space="preserve">1</t>
    </r>
    <r>
      <rPr>
        <sz val="24"/>
        <rFont val="DejaVu Sans"/>
        <family val="2"/>
      </rPr>
      <t xml:space="preserve">차기성 집행처및 내역</t>
    </r>
  </si>
  <si>
    <t xml:space="preserve">계정명</t>
  </si>
  <si>
    <t xml:space="preserve">업체명</t>
  </si>
  <si>
    <t xml:space="preserve">사 용 내 역</t>
  </si>
  <si>
    <t xml:space="preserve">집 행 금 액</t>
  </si>
  <si>
    <t xml:space="preserve">비고</t>
  </si>
  <si>
    <t xml:space="preserve">전회기성</t>
  </si>
  <si>
    <t xml:space="preserve">금회기성</t>
  </si>
  <si>
    <t xml:space="preserve">누계금액</t>
  </si>
  <si>
    <t xml:space="preserve">형틀노무비</t>
  </si>
  <si>
    <r>
      <rPr>
        <sz val="10"/>
        <rFont val="DejaVu Sans"/>
        <family val="2"/>
      </rPr>
      <t xml:space="preserve">농협 </t>
    </r>
    <r>
      <rPr>
        <sz val="10"/>
        <rFont val="바탕체"/>
        <family val="1"/>
        <charset val="129"/>
      </rPr>
      <t xml:space="preserve">401143-52-236161 </t>
    </r>
    <r>
      <rPr>
        <sz val="10"/>
        <rFont val="DejaVu Sans"/>
        <family val="2"/>
      </rPr>
      <t xml:space="preserve">조성전</t>
    </r>
  </si>
  <si>
    <r>
      <rPr>
        <sz val="10"/>
        <rFont val="DejaVu Sans"/>
        <family val="2"/>
      </rPr>
      <t xml:space="preserve">새마을 </t>
    </r>
    <r>
      <rPr>
        <sz val="10"/>
        <rFont val="바탕체"/>
        <family val="1"/>
        <charset val="129"/>
      </rPr>
      <t xml:space="preserve">4515-10-003605-4 </t>
    </r>
    <r>
      <rPr>
        <sz val="10"/>
        <rFont val="DejaVu Sans"/>
        <family val="2"/>
      </rPr>
      <t xml:space="preserve">고후득</t>
    </r>
  </si>
  <si>
    <r>
      <rPr>
        <sz val="10"/>
        <rFont val="DejaVu Sans"/>
        <family val="2"/>
      </rPr>
      <t xml:space="preserve">농협 </t>
    </r>
    <r>
      <rPr>
        <sz val="10"/>
        <rFont val="바탕체"/>
        <family val="1"/>
        <charset val="129"/>
      </rPr>
      <t xml:space="preserve">401147-56-118220 </t>
    </r>
    <r>
      <rPr>
        <sz val="10"/>
        <rFont val="DejaVu Sans"/>
        <family val="2"/>
      </rPr>
      <t xml:space="preserve">김덕수</t>
    </r>
  </si>
  <si>
    <r>
      <rPr>
        <sz val="10"/>
        <rFont val="DejaVu Sans"/>
        <family val="2"/>
      </rPr>
      <t xml:space="preserve">농협 </t>
    </r>
    <r>
      <rPr>
        <sz val="10"/>
        <rFont val="바탕체"/>
        <family val="1"/>
        <charset val="129"/>
      </rPr>
      <t xml:space="preserve">307-12-357551 </t>
    </r>
    <r>
      <rPr>
        <sz val="10"/>
        <rFont val="DejaVu Sans"/>
        <family val="2"/>
      </rPr>
      <t xml:space="preserve">최세영</t>
    </r>
  </si>
  <si>
    <r>
      <rPr>
        <sz val="10"/>
        <rFont val="DejaVu Sans"/>
        <family val="2"/>
      </rPr>
      <t xml:space="preserve">하나 </t>
    </r>
    <r>
      <rPr>
        <sz val="10"/>
        <rFont val="바탕체"/>
        <family val="1"/>
        <charset val="129"/>
      </rPr>
      <t xml:space="preserve">692-810154-36907 </t>
    </r>
    <r>
      <rPr>
        <sz val="10"/>
        <rFont val="DejaVu Sans"/>
        <family val="2"/>
      </rPr>
      <t xml:space="preserve">김진용</t>
    </r>
  </si>
  <si>
    <r>
      <rPr>
        <sz val="10"/>
        <rFont val="DejaVu Sans"/>
        <family val="2"/>
      </rPr>
      <t xml:space="preserve">국민 </t>
    </r>
    <r>
      <rPr>
        <sz val="10"/>
        <rFont val="바탕체"/>
        <family val="1"/>
        <charset val="129"/>
      </rPr>
      <t xml:space="preserve">701402-94-141382 </t>
    </r>
    <r>
      <rPr>
        <sz val="10"/>
        <rFont val="DejaVu Sans"/>
        <family val="2"/>
      </rPr>
      <t xml:space="preserve">김상근</t>
    </r>
  </si>
  <si>
    <r>
      <rPr>
        <sz val="10"/>
        <rFont val="DejaVu Sans"/>
        <family val="2"/>
      </rPr>
      <t xml:space="preserve">농협 </t>
    </r>
    <r>
      <rPr>
        <sz val="10"/>
        <rFont val="바탕체"/>
        <family val="1"/>
        <charset val="129"/>
      </rPr>
      <t xml:space="preserve">352-0484-6308-13 </t>
    </r>
    <r>
      <rPr>
        <sz val="10"/>
        <rFont val="DejaVu Sans"/>
        <family val="2"/>
      </rPr>
      <t xml:space="preserve">조순전</t>
    </r>
  </si>
  <si>
    <t xml:space="preserve">합  계</t>
  </si>
  <si>
    <r>
      <rPr>
        <sz val="11"/>
        <rFont val="DejaVu Sans"/>
        <family val="2"/>
      </rPr>
      <t xml:space="preserve">현장소장</t>
    </r>
    <r>
      <rPr>
        <sz val="11"/>
        <rFont val="바탕체"/>
        <family val="1"/>
        <charset val="129"/>
      </rPr>
      <t xml:space="preserve">:</t>
    </r>
  </si>
  <si>
    <t xml:space="preserve">황      현      우</t>
  </si>
  <si>
    <r>
      <rPr>
        <sz val="11"/>
        <rFont val="바탕체"/>
        <family val="1"/>
        <charset val="129"/>
      </rPr>
      <t xml:space="preserve">(</t>
    </r>
    <r>
      <rPr>
        <sz val="11"/>
        <rFont val="DejaVu Sans"/>
        <family val="2"/>
      </rPr>
      <t xml:space="preserve">인</t>
    </r>
    <r>
      <rPr>
        <sz val="11"/>
        <rFont val="바탕체"/>
        <family val="1"/>
        <charset val="129"/>
      </rPr>
      <t xml:space="preserve">)</t>
    </r>
  </si>
  <si>
    <r>
      <rPr>
        <b val="true"/>
        <sz val="12"/>
        <rFont val="DejaVu Sans"/>
        <family val="2"/>
      </rPr>
      <t xml:space="preserve">영동유 학교색깔</t>
    </r>
    <r>
      <rPr>
        <b val="true"/>
        <sz val="12"/>
        <rFont val="맑은 고딕"/>
        <family val="3"/>
        <charset val="129"/>
      </rPr>
      <t xml:space="preserve">~~~</t>
    </r>
  </si>
  <si>
    <t xml:space="preserve">영동유 학교색깔 꾸미기 도장공사</t>
  </si>
  <si>
    <t xml:space="preserve">오류</t>
  </si>
  <si>
    <t xml:space="preserve">㈜나산건설</t>
  </si>
  <si>
    <r>
      <rPr>
        <sz val="11"/>
        <color rgb="FF000000"/>
        <rFont val="맑은 고딕"/>
        <family val="3"/>
        <charset val="129"/>
      </rPr>
      <t xml:space="preserve">2025</t>
    </r>
    <r>
      <rPr>
        <sz val="11"/>
        <color rgb="FF000000"/>
        <rFont val="DejaVu Sans"/>
        <family val="2"/>
      </rPr>
      <t xml:space="preserve">년 충북 괴산군 슬레이트 처리 지원사업</t>
    </r>
    <r>
      <rPr>
        <sz val="11"/>
        <color rgb="FF000000"/>
        <rFont val="맑은 고딕"/>
        <family val="3"/>
        <charset val="129"/>
      </rPr>
      <t xml:space="preserve">(3,5</t>
    </r>
    <r>
      <rPr>
        <sz val="11"/>
        <color rgb="FF000000"/>
        <rFont val="DejaVu Sans"/>
        <family val="2"/>
      </rPr>
      <t xml:space="preserve">권역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</si>
  <si>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고용보험 제외</t>
  </si>
  <si>
    <r>
      <rPr>
        <sz val="10"/>
        <rFont val="DejaVu Sans"/>
        <family val="2"/>
      </rPr>
      <t xml:space="preserve">년 이전 출생자</t>
    </r>
    <r>
      <rPr>
        <sz val="10"/>
        <rFont val="돋움"/>
        <family val="3"/>
        <charset val="129"/>
      </rPr>
      <t xml:space="preserve">(2011</t>
    </r>
    <r>
      <rPr>
        <sz val="10"/>
        <rFont val="DejaVu Sans"/>
        <family val="2"/>
      </rPr>
      <t xml:space="preserve">년 현재 </t>
    </r>
    <r>
      <rPr>
        <sz val="10"/>
        <rFont val="돋움"/>
        <family val="3"/>
        <charset val="129"/>
      </rPr>
      <t xml:space="preserve">65</t>
    </r>
    <r>
      <rPr>
        <sz val="10"/>
        <rFont val="DejaVu Sans"/>
        <family val="2"/>
      </rPr>
      <t xml:space="preserve">세 이상 제외</t>
    </r>
    <r>
      <rPr>
        <sz val="10"/>
        <rFont val="돋움"/>
        <family val="3"/>
        <charset val="129"/>
      </rPr>
      <t xml:space="preserve">)</t>
    </r>
  </si>
  <si>
    <t xml:space="preserve">이름</t>
  </si>
  <si>
    <t xml:space="preserve">공종</t>
  </si>
  <si>
    <t xml:space="preserve">주민등록번호</t>
  </si>
  <si>
    <t xml:space="preserve">주소</t>
  </si>
  <si>
    <t xml:space="preserve">은행명</t>
  </si>
  <si>
    <t xml:space="preserve">일당</t>
  </si>
  <si>
    <t xml:space="preserve">연락처</t>
  </si>
  <si>
    <t xml:space="preserve">오정만</t>
  </si>
  <si>
    <t xml:space="preserve">직영인부</t>
  </si>
  <si>
    <t xml:space="preserve">520205-1057335</t>
  </si>
  <si>
    <r>
      <rPr>
        <sz val="10"/>
        <rFont val="DejaVu Sans"/>
        <family val="2"/>
      </rPr>
      <t xml:space="preserve">충북 영동군 학산면 모산</t>
    </r>
    <r>
      <rPr>
        <sz val="10"/>
        <rFont val="돋움"/>
        <family val="3"/>
        <charset val="129"/>
      </rPr>
      <t xml:space="preserve">1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16-14</t>
    </r>
  </si>
  <si>
    <t xml:space="preserve">농협</t>
  </si>
  <si>
    <t xml:space="preserve">302-0809-4379-11</t>
  </si>
  <si>
    <t xml:space="preserve">010-5334-6133</t>
  </si>
  <si>
    <t xml:space="preserve">29164</t>
  </si>
  <si>
    <t xml:space="preserve">금걸</t>
  </si>
  <si>
    <t xml:space="preserve">보통인부</t>
  </si>
  <si>
    <t xml:space="preserve">640415-1384716</t>
  </si>
  <si>
    <r>
      <rPr>
        <sz val="10"/>
        <rFont val="DejaVu Sans"/>
        <family val="2"/>
      </rPr>
      <t xml:space="preserve">충북 옥천군 이원면 건진리 </t>
    </r>
    <r>
      <rPr>
        <sz val="10"/>
        <rFont val="돋움"/>
        <family val="3"/>
        <charset val="129"/>
      </rPr>
      <t xml:space="preserve">630-8</t>
    </r>
  </si>
  <si>
    <t xml:space="preserve">국민</t>
  </si>
  <si>
    <t xml:space="preserve"> 405-21-0020-797</t>
  </si>
  <si>
    <t xml:space="preserve">010-9207-4425</t>
  </si>
  <si>
    <t xml:space="preserve">29061</t>
  </si>
  <si>
    <t xml:space="preserve">주도현</t>
  </si>
  <si>
    <t xml:space="preserve">990511-1384718</t>
  </si>
  <si>
    <r>
      <rPr>
        <sz val="10"/>
        <rFont val="DejaVu Sans"/>
        <family val="2"/>
      </rPr>
      <t xml:space="preserve"> 충북 옥천군 이원면 지탄</t>
    </r>
    <r>
      <rPr>
        <sz val="10"/>
        <rFont val="돋움"/>
        <family val="3"/>
        <charset val="129"/>
      </rPr>
      <t xml:space="preserve">6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24</t>
    </r>
  </si>
  <si>
    <t xml:space="preserve"> 351-1021-5063-63</t>
  </si>
  <si>
    <t xml:space="preserve">010-5402-6851</t>
  </si>
  <si>
    <t xml:space="preserve">29062</t>
  </si>
  <si>
    <t xml:space="preserve">채청기</t>
  </si>
  <si>
    <t xml:space="preserve">작업반장</t>
  </si>
  <si>
    <t xml:space="preserve">611117-1644319</t>
  </si>
  <si>
    <r>
      <rPr>
        <sz val="10"/>
        <color rgb="FF000000"/>
        <rFont val="DejaVu Sans"/>
        <family val="2"/>
      </rPr>
      <t xml:space="preserve"> 충북 영동군 매천</t>
    </r>
    <r>
      <rPr>
        <sz val="10"/>
        <color rgb="FF000000"/>
        <rFont val="돋움"/>
        <family val="3"/>
        <charset val="129"/>
      </rPr>
      <t xml:space="preserve">1</t>
    </r>
    <r>
      <rPr>
        <sz val="10"/>
        <color rgb="FF000000"/>
        <rFont val="DejaVu Sans"/>
        <family val="2"/>
      </rPr>
      <t xml:space="preserve">길 </t>
    </r>
    <r>
      <rPr>
        <sz val="10"/>
        <color rgb="FF000000"/>
        <rFont val="돋움"/>
        <family val="3"/>
        <charset val="129"/>
      </rPr>
      <t xml:space="preserve">11-10</t>
    </r>
  </si>
  <si>
    <t xml:space="preserve">403063-51-043152</t>
  </si>
  <si>
    <t xml:space="preserve">010-7357-9166</t>
  </si>
  <si>
    <t xml:space="preserve">채성진</t>
  </si>
  <si>
    <t xml:space="preserve">930707-1386119</t>
  </si>
  <si>
    <r>
      <rPr>
        <sz val="10"/>
        <color rgb="FF000000"/>
        <rFont val="DejaVu Sans"/>
        <family val="2"/>
      </rPr>
      <t xml:space="preserve"> 충북 영동군 영동읍 매천</t>
    </r>
    <r>
      <rPr>
        <sz val="10"/>
        <color rgb="FF000000"/>
        <rFont val="돋움"/>
        <family val="3"/>
        <charset val="129"/>
      </rPr>
      <t xml:space="preserve">1</t>
    </r>
    <r>
      <rPr>
        <sz val="10"/>
        <color rgb="FF000000"/>
        <rFont val="DejaVu Sans"/>
        <family val="2"/>
      </rPr>
      <t xml:space="preserve">길 </t>
    </r>
    <r>
      <rPr>
        <sz val="10"/>
        <color rgb="FF000000"/>
        <rFont val="돋움"/>
        <family val="3"/>
        <charset val="129"/>
      </rPr>
      <t xml:space="preserve">11-10</t>
    </r>
  </si>
  <si>
    <t xml:space="preserve">356-0214-5208-83</t>
  </si>
  <si>
    <t xml:space="preserve">010-2842-9171</t>
  </si>
  <si>
    <t xml:space="preserve">29150</t>
  </si>
  <si>
    <t xml:space="preserve">이준호</t>
  </si>
  <si>
    <t xml:space="preserve">680526-1167726</t>
  </si>
  <si>
    <r>
      <rPr>
        <sz val="10"/>
        <color rgb="FF000000"/>
        <rFont val="DejaVu Sans"/>
        <family val="2"/>
      </rPr>
      <t xml:space="preserve"> 충북 영동군 영동읍 성안길 </t>
    </r>
    <r>
      <rPr>
        <sz val="10"/>
        <color rgb="FF000000"/>
        <rFont val="돋움"/>
        <family val="3"/>
        <charset val="129"/>
      </rPr>
      <t xml:space="preserve">20-7</t>
    </r>
  </si>
  <si>
    <t xml:space="preserve">356-0927-9268-73</t>
  </si>
  <si>
    <t xml:space="preserve">010-7324-3090</t>
  </si>
  <si>
    <t xml:space="preserve">29149</t>
  </si>
  <si>
    <t xml:space="preserve">박희석</t>
  </si>
  <si>
    <t xml:space="preserve">목공</t>
  </si>
  <si>
    <t xml:space="preserve">620320-1386717</t>
  </si>
  <si>
    <r>
      <rPr>
        <sz val="10"/>
        <color rgb="FF000000"/>
        <rFont val="DejaVu Sans"/>
        <family val="2"/>
      </rPr>
      <t xml:space="preserve"> 충북 영동군 양강면 남전</t>
    </r>
    <r>
      <rPr>
        <sz val="10"/>
        <color rgb="FF000000"/>
        <rFont val="돋움"/>
        <family val="3"/>
        <charset val="129"/>
      </rPr>
      <t xml:space="preserve">2</t>
    </r>
    <r>
      <rPr>
        <sz val="10"/>
        <color rgb="FF000000"/>
        <rFont val="DejaVu Sans"/>
        <family val="2"/>
      </rPr>
      <t xml:space="preserve">안길 </t>
    </r>
    <r>
      <rPr>
        <sz val="10"/>
        <color rgb="FF000000"/>
        <rFont val="돋움"/>
        <family val="3"/>
        <charset val="129"/>
      </rPr>
      <t xml:space="preserve">4-16</t>
    </r>
  </si>
  <si>
    <t xml:space="preserve">407023-52-023453</t>
  </si>
  <si>
    <t xml:space="preserve">010-3033-5024</t>
  </si>
  <si>
    <t xml:space="preserve">29155</t>
  </si>
  <si>
    <t xml:space="preserve">박희원</t>
  </si>
  <si>
    <t xml:space="preserve">591208-1386711</t>
  </si>
  <si>
    <r>
      <rPr>
        <sz val="10"/>
        <color rgb="FF000000"/>
        <rFont val="DejaVu Sans"/>
        <family val="2"/>
      </rPr>
      <t xml:space="preserve"> 충북 영동군 양강면 남전</t>
    </r>
    <r>
      <rPr>
        <sz val="10"/>
        <color rgb="FF000000"/>
        <rFont val="돋움"/>
        <family val="3"/>
        <charset val="129"/>
      </rPr>
      <t xml:space="preserve">2</t>
    </r>
    <r>
      <rPr>
        <sz val="10"/>
        <color rgb="FF000000"/>
        <rFont val="DejaVu Sans"/>
        <family val="2"/>
      </rPr>
      <t xml:space="preserve">안길 </t>
    </r>
    <r>
      <rPr>
        <sz val="10"/>
        <color rgb="FF000000"/>
        <rFont val="돋움"/>
        <family val="3"/>
        <charset val="129"/>
      </rPr>
      <t xml:space="preserve">4-17</t>
    </r>
  </si>
  <si>
    <t xml:space="preserve">352-1445-5223-63</t>
  </si>
  <si>
    <t xml:space="preserve">010-5461-8445</t>
  </si>
  <si>
    <t xml:space="preserve">김주열</t>
  </si>
  <si>
    <t xml:space="preserve">철근공</t>
  </si>
  <si>
    <t xml:space="preserve">661109-1384112</t>
  </si>
  <si>
    <r>
      <rPr>
        <sz val="10"/>
        <rFont val="DejaVu Sans"/>
        <family val="2"/>
      </rPr>
      <t xml:space="preserve">충북 옥천군 옥천읍 관성로 </t>
    </r>
    <r>
      <rPr>
        <sz val="10"/>
        <rFont val="돋움"/>
        <family val="3"/>
        <charset val="129"/>
      </rPr>
      <t xml:space="preserve">29</t>
    </r>
  </si>
  <si>
    <t xml:space="preserve">중소기업</t>
  </si>
  <si>
    <t xml:space="preserve">010-5454-1383</t>
  </si>
  <si>
    <t xml:space="preserve">29039</t>
  </si>
  <si>
    <t xml:space="preserve">김덕환</t>
  </si>
  <si>
    <t xml:space="preserve">671203-1386930</t>
  </si>
  <si>
    <r>
      <rPr>
        <sz val="10"/>
        <rFont val="DejaVu Sans"/>
        <family val="2"/>
      </rPr>
      <t xml:space="preserve">충북 옥천군 옥천읍 신기</t>
    </r>
    <r>
      <rPr>
        <sz val="10"/>
        <rFont val="돋움"/>
        <family val="3"/>
        <charset val="129"/>
      </rPr>
      <t xml:space="preserve">4</t>
    </r>
    <r>
      <rPr>
        <sz val="10"/>
        <rFont val="DejaVu Sans"/>
        <family val="2"/>
      </rPr>
      <t xml:space="preserve">길</t>
    </r>
    <r>
      <rPr>
        <sz val="10"/>
        <rFont val="돋움"/>
        <family val="3"/>
        <charset val="129"/>
      </rPr>
      <t xml:space="preserve">16,a</t>
    </r>
    <r>
      <rPr>
        <sz val="10"/>
        <rFont val="DejaVu Sans"/>
        <family val="2"/>
      </rPr>
      <t xml:space="preserve">동</t>
    </r>
    <r>
      <rPr>
        <sz val="10"/>
        <rFont val="돋움"/>
        <family val="3"/>
        <charset val="129"/>
      </rPr>
      <t xml:space="preserve">102</t>
    </r>
  </si>
  <si>
    <t xml:space="preserve">356-0961-2797-13</t>
  </si>
  <si>
    <t xml:space="preserve">010-9422-5581</t>
  </si>
  <si>
    <r>
      <rPr>
        <sz val="10"/>
        <rFont val="DejaVu Sans"/>
        <family val="2"/>
      </rPr>
      <t xml:space="preserve">김동진</t>
    </r>
    <r>
      <rPr>
        <sz val="10"/>
        <rFont val="돋움"/>
        <family val="3"/>
        <charset val="129"/>
      </rPr>
      <t xml:space="preserve">1</t>
    </r>
  </si>
  <si>
    <t xml:space="preserve">740215-1384136</t>
  </si>
  <si>
    <r>
      <rPr>
        <sz val="10"/>
        <rFont val="DejaVu Sans"/>
        <family val="2"/>
      </rPr>
      <t xml:space="preserve">충북 옥천군 옥천읍 성신로</t>
    </r>
    <r>
      <rPr>
        <sz val="10"/>
        <rFont val="돋움"/>
        <family val="3"/>
        <charset val="129"/>
      </rPr>
      <t xml:space="preserve">21-10</t>
    </r>
  </si>
  <si>
    <t xml:space="preserve">317-02-252767</t>
  </si>
  <si>
    <t xml:space="preserve">010-4569-4810</t>
  </si>
  <si>
    <t xml:space="preserve">29048</t>
  </si>
  <si>
    <t xml:space="preserve">김동진</t>
  </si>
  <si>
    <t xml:space="preserve">이영철</t>
  </si>
  <si>
    <t xml:space="preserve">650222-1384139</t>
  </si>
  <si>
    <r>
      <rPr>
        <sz val="10"/>
        <rFont val="DejaVu Sans"/>
        <family val="2"/>
      </rPr>
      <t xml:space="preserve">충북 옥천군 옥천읍 가화</t>
    </r>
    <r>
      <rPr>
        <sz val="10"/>
        <rFont val="돋움"/>
        <family val="3"/>
        <charset val="129"/>
      </rPr>
      <t xml:space="preserve">3</t>
    </r>
    <r>
      <rPr>
        <sz val="10"/>
        <rFont val="DejaVu Sans"/>
        <family val="2"/>
      </rPr>
      <t xml:space="preserve">길</t>
    </r>
    <r>
      <rPr>
        <sz val="10"/>
        <rFont val="돋움"/>
        <family val="3"/>
        <charset val="129"/>
      </rPr>
      <t xml:space="preserve">18,101</t>
    </r>
    <r>
      <rPr>
        <sz val="10"/>
        <rFont val="DejaVu Sans"/>
        <family val="2"/>
      </rPr>
      <t xml:space="preserve">동</t>
    </r>
    <r>
      <rPr>
        <sz val="10"/>
        <rFont val="돋움"/>
        <family val="3"/>
        <charset val="129"/>
      </rPr>
      <t xml:space="preserve">105</t>
    </r>
    <r>
      <rPr>
        <sz val="10"/>
        <rFont val="DejaVu Sans"/>
        <family val="2"/>
      </rPr>
      <t xml:space="preserve">호</t>
    </r>
  </si>
  <si>
    <t xml:space="preserve">317-12-395296</t>
  </si>
  <si>
    <t xml:space="preserve">010-5405-3976</t>
  </si>
  <si>
    <t xml:space="preserve">29034</t>
  </si>
  <si>
    <t xml:space="preserve">박용옥</t>
  </si>
  <si>
    <t xml:space="preserve">580304-1384211</t>
  </si>
  <si>
    <r>
      <rPr>
        <sz val="10"/>
        <rFont val="DejaVu Sans"/>
        <family val="2"/>
      </rPr>
      <t xml:space="preserve">충북 옥천군 옥천읍 금구리</t>
    </r>
    <r>
      <rPr>
        <sz val="10"/>
        <rFont val="돋움"/>
        <family val="3"/>
        <charset val="129"/>
      </rPr>
      <t xml:space="preserve">18-2</t>
    </r>
  </si>
  <si>
    <t xml:space="preserve">317-12-351368</t>
  </si>
  <si>
    <t xml:space="preserve">010-6438-1661</t>
  </si>
  <si>
    <t xml:space="preserve">29046</t>
  </si>
  <si>
    <t xml:space="preserve">박종복</t>
  </si>
  <si>
    <t xml:space="preserve">561005-1384211</t>
  </si>
  <si>
    <r>
      <rPr>
        <sz val="10"/>
        <rFont val="DejaVu Sans"/>
        <family val="2"/>
      </rPr>
      <t xml:space="preserve">충북 옥천군 옥천읍 동부로</t>
    </r>
    <r>
      <rPr>
        <sz val="10"/>
        <rFont val="돋움"/>
        <family val="3"/>
        <charset val="129"/>
      </rPr>
      <t xml:space="preserve">16,102</t>
    </r>
    <r>
      <rPr>
        <sz val="10"/>
        <rFont val="DejaVu Sans"/>
        <family val="2"/>
      </rPr>
      <t xml:space="preserve">동</t>
    </r>
    <r>
      <rPr>
        <sz val="10"/>
        <rFont val="돋움"/>
        <family val="3"/>
        <charset val="129"/>
      </rPr>
      <t xml:space="preserve">901</t>
    </r>
  </si>
  <si>
    <t xml:space="preserve">302-0299-7809-11</t>
  </si>
  <si>
    <t xml:space="preserve">010-5457-5297</t>
  </si>
  <si>
    <t xml:space="preserve">김일용</t>
  </si>
  <si>
    <t xml:space="preserve">580211-1403112</t>
  </si>
  <si>
    <r>
      <rPr>
        <sz val="10"/>
        <rFont val="DejaVu Sans"/>
        <family val="2"/>
      </rPr>
      <t xml:space="preserve">충북 옥천군 옥천읍 신기</t>
    </r>
    <r>
      <rPr>
        <sz val="10"/>
        <rFont val="돋움"/>
        <family val="3"/>
        <charset val="129"/>
      </rPr>
      <t xml:space="preserve">4</t>
    </r>
    <r>
      <rPr>
        <sz val="10"/>
        <rFont val="DejaVu Sans"/>
        <family val="2"/>
      </rPr>
      <t xml:space="preserve">길</t>
    </r>
    <r>
      <rPr>
        <sz val="10"/>
        <rFont val="돋움"/>
        <family val="3"/>
        <charset val="129"/>
      </rPr>
      <t xml:space="preserve">18,</t>
    </r>
    <r>
      <rPr>
        <sz val="10"/>
        <rFont val="DejaVu Sans"/>
        <family val="2"/>
      </rPr>
      <t xml:space="preserve">나동</t>
    </r>
    <r>
      <rPr>
        <sz val="10"/>
        <rFont val="돋움"/>
        <family val="3"/>
        <charset val="129"/>
      </rPr>
      <t xml:space="preserve">201</t>
    </r>
    <r>
      <rPr>
        <sz val="10"/>
        <rFont val="DejaVu Sans"/>
        <family val="2"/>
      </rPr>
      <t xml:space="preserve">호</t>
    </r>
  </si>
  <si>
    <t xml:space="preserve">새마을금고</t>
  </si>
  <si>
    <t xml:space="preserve">9003-2149-2059-6</t>
  </si>
  <si>
    <t xml:space="preserve">010-9439-5026</t>
  </si>
  <si>
    <t xml:space="preserve">29049</t>
  </si>
  <si>
    <t xml:space="preserve">김일호</t>
  </si>
  <si>
    <t xml:space="preserve">600413-1386324</t>
  </si>
  <si>
    <r>
      <rPr>
        <sz val="10"/>
        <rFont val="DejaVu Sans"/>
        <family val="2"/>
      </rPr>
      <t xml:space="preserve">충북 영동군 황간면 마산리</t>
    </r>
    <r>
      <rPr>
        <sz val="10"/>
        <rFont val="돋움"/>
        <family val="3"/>
        <charset val="129"/>
      </rPr>
      <t xml:space="preserve">109</t>
    </r>
  </si>
  <si>
    <t xml:space="preserve">407089-52-142573</t>
  </si>
  <si>
    <t xml:space="preserve">010-3060-5145</t>
  </si>
  <si>
    <t xml:space="preserve">29114</t>
  </si>
  <si>
    <t xml:space="preserve">정재인</t>
  </si>
  <si>
    <t xml:space="preserve">580217-1384115</t>
  </si>
  <si>
    <r>
      <rPr>
        <sz val="10"/>
        <rFont val="DejaVu Sans"/>
        <family val="2"/>
      </rPr>
      <t xml:space="preserve">충북 옥천군 옥천읍 성신로</t>
    </r>
    <r>
      <rPr>
        <sz val="10"/>
        <rFont val="돋움"/>
        <family val="3"/>
        <charset val="129"/>
      </rPr>
      <t xml:space="preserve">27B</t>
    </r>
    <r>
      <rPr>
        <sz val="10"/>
        <rFont val="DejaVu Sans"/>
        <family val="2"/>
      </rPr>
      <t xml:space="preserve">동</t>
    </r>
    <r>
      <rPr>
        <sz val="10"/>
        <rFont val="돋움"/>
        <family val="3"/>
        <charset val="129"/>
      </rPr>
      <t xml:space="preserve">101</t>
    </r>
    <r>
      <rPr>
        <sz val="10"/>
        <rFont val="DejaVu Sans"/>
        <family val="2"/>
      </rPr>
      <t xml:space="preserve">호</t>
    </r>
  </si>
  <si>
    <t xml:space="preserve">405010-51-123375</t>
  </si>
  <si>
    <t xml:space="preserve">010-5493-3436</t>
  </si>
  <si>
    <t xml:space="preserve">정백교</t>
  </si>
  <si>
    <t xml:space="preserve">561220-1812524</t>
  </si>
  <si>
    <r>
      <rPr>
        <sz val="10"/>
        <rFont val="DejaVu Sans"/>
        <family val="2"/>
      </rPr>
      <t xml:space="preserve">대전광역시 동구 대동 </t>
    </r>
    <r>
      <rPr>
        <sz val="10"/>
        <rFont val="돋움"/>
        <family val="3"/>
        <charset val="129"/>
      </rPr>
      <t xml:space="preserve">33-119</t>
    </r>
  </si>
  <si>
    <t xml:space="preserve">734402-01-012660</t>
  </si>
  <si>
    <t xml:space="preserve">010-5408-8423</t>
  </si>
  <si>
    <t xml:space="preserve">공양록</t>
  </si>
  <si>
    <t xml:space="preserve">570505-1384112</t>
  </si>
  <si>
    <r>
      <rPr>
        <sz val="10"/>
        <rFont val="DejaVu Sans"/>
        <family val="2"/>
      </rPr>
      <t xml:space="preserve">충북 옥천군 옥천읍 대천</t>
    </r>
    <r>
      <rPr>
        <sz val="10"/>
        <rFont val="돋움"/>
        <family val="3"/>
        <charset val="129"/>
      </rPr>
      <t xml:space="preserve">557-1   25</t>
    </r>
  </si>
  <si>
    <t xml:space="preserve">405-21-0588-793</t>
  </si>
  <si>
    <t xml:space="preserve">010-3456-5927</t>
  </si>
  <si>
    <t xml:space="preserve">이정열</t>
  </si>
  <si>
    <t xml:space="preserve">590820-1384819</t>
  </si>
  <si>
    <r>
      <rPr>
        <sz val="10"/>
        <rFont val="DejaVu Sans"/>
        <family val="2"/>
      </rPr>
      <t xml:space="preserve">충북 옥천군 옥천읍 중앙로</t>
    </r>
    <r>
      <rPr>
        <sz val="10"/>
        <rFont val="돋움"/>
        <family val="3"/>
        <charset val="129"/>
      </rPr>
      <t xml:space="preserve">2</t>
    </r>
    <r>
      <rPr>
        <sz val="10"/>
        <rFont val="DejaVu Sans"/>
        <family val="2"/>
      </rPr>
      <t xml:space="preserve">길</t>
    </r>
    <r>
      <rPr>
        <sz val="10"/>
        <rFont val="돋움"/>
        <family val="3"/>
        <charset val="129"/>
      </rPr>
      <t xml:space="preserve">24</t>
    </r>
  </si>
  <si>
    <t xml:space="preserve">356-1330-1383-03</t>
  </si>
  <si>
    <t xml:space="preserve">011-464-4388</t>
  </si>
  <si>
    <t xml:space="preserve">29047</t>
  </si>
  <si>
    <t xml:space="preserve">정경섭</t>
  </si>
  <si>
    <t xml:space="preserve">580319-1254218</t>
  </si>
  <si>
    <r>
      <rPr>
        <sz val="10"/>
        <rFont val="DejaVu Sans"/>
        <family val="2"/>
      </rPr>
      <t xml:space="preserve">충북 옥천군 동이면 남곡리</t>
    </r>
    <r>
      <rPr>
        <sz val="10"/>
        <rFont val="돋움"/>
        <family val="3"/>
        <charset val="129"/>
      </rPr>
      <t xml:space="preserve">151</t>
    </r>
  </si>
  <si>
    <t xml:space="preserve">173128-52-132419</t>
  </si>
  <si>
    <t xml:space="preserve">010-8808-1863</t>
  </si>
  <si>
    <t xml:space="preserve">29021</t>
  </si>
  <si>
    <t xml:space="preserve">이종선</t>
  </si>
  <si>
    <t xml:space="preserve">620315-1382711</t>
  </si>
  <si>
    <r>
      <rPr>
        <sz val="10"/>
        <rFont val="DejaVu Sans"/>
        <family val="2"/>
      </rPr>
      <t xml:space="preserve">충북 보은군 수한면 차정리</t>
    </r>
    <r>
      <rPr>
        <sz val="10"/>
        <rFont val="돋움"/>
        <family val="3"/>
        <charset val="129"/>
      </rPr>
      <t xml:space="preserve">99-1</t>
    </r>
  </si>
  <si>
    <t xml:space="preserve">356-0638-7963-13</t>
  </si>
  <si>
    <t xml:space="preserve">28919</t>
  </si>
  <si>
    <t xml:space="preserve">황인호</t>
  </si>
  <si>
    <t xml:space="preserve">570625-1384117</t>
  </si>
  <si>
    <r>
      <rPr>
        <sz val="10"/>
        <rFont val="DejaVu Sans"/>
        <family val="2"/>
      </rPr>
      <t xml:space="preserve">대전 동구 자양</t>
    </r>
    <r>
      <rPr>
        <sz val="10"/>
        <rFont val="돋움"/>
        <family val="3"/>
        <charset val="129"/>
      </rPr>
      <t xml:space="preserve">35-14</t>
    </r>
  </si>
  <si>
    <t xml:space="preserve">356-1420-1868-53</t>
  </si>
  <si>
    <t xml:space="preserve">010-9874-7747</t>
  </si>
  <si>
    <t xml:space="preserve">공양호</t>
  </si>
  <si>
    <t xml:space="preserve">620302-1384112</t>
  </si>
  <si>
    <r>
      <rPr>
        <sz val="10"/>
        <rFont val="DejaVu Sans"/>
        <family val="2"/>
      </rPr>
      <t xml:space="preserve">충북 옥천군 옥천읍 장이</t>
    </r>
    <r>
      <rPr>
        <sz val="10"/>
        <rFont val="돋움"/>
        <family val="3"/>
        <charset val="129"/>
      </rPr>
      <t xml:space="preserve">1</t>
    </r>
    <r>
      <rPr>
        <sz val="10"/>
        <rFont val="DejaVu Sans"/>
        <family val="2"/>
      </rPr>
      <t xml:space="preserve">길</t>
    </r>
    <r>
      <rPr>
        <sz val="10"/>
        <rFont val="돋움"/>
        <family val="3"/>
        <charset val="129"/>
      </rPr>
      <t xml:space="preserve">1005</t>
    </r>
    <r>
      <rPr>
        <sz val="10"/>
        <rFont val="DejaVu Sans"/>
        <family val="2"/>
      </rPr>
      <t xml:space="preserve">호</t>
    </r>
  </si>
  <si>
    <t xml:space="preserve">356-1307-5702-93</t>
  </si>
  <si>
    <t xml:space="preserve">010-5450-2276</t>
  </si>
  <si>
    <t xml:space="preserve">김홍성</t>
  </si>
  <si>
    <t xml:space="preserve">490418-1447611</t>
  </si>
  <si>
    <r>
      <rPr>
        <sz val="10"/>
        <rFont val="DejaVu Sans"/>
        <family val="2"/>
      </rPr>
      <t xml:space="preserve">대전 대덕구 대덕대로</t>
    </r>
    <r>
      <rPr>
        <sz val="10"/>
        <rFont val="돋움"/>
        <family val="3"/>
        <charset val="129"/>
      </rPr>
      <t xml:space="preserve">1601</t>
    </r>
    <r>
      <rPr>
        <sz val="10"/>
        <rFont val="DejaVu Sans"/>
        <family val="2"/>
      </rPr>
      <t xml:space="preserve">번길</t>
    </r>
    <r>
      <rPr>
        <sz val="10"/>
        <rFont val="돋움"/>
        <family val="3"/>
        <charset val="129"/>
      </rPr>
      <t xml:space="preserve">40</t>
    </r>
  </si>
  <si>
    <t xml:space="preserve">352-1448-3038-13</t>
  </si>
  <si>
    <t xml:space="preserve">010-5609-4913</t>
  </si>
  <si>
    <t xml:space="preserve">34305</t>
  </si>
  <si>
    <t xml:space="preserve">남상길</t>
  </si>
  <si>
    <t xml:space="preserve">550719-1805215</t>
  </si>
  <si>
    <r>
      <rPr>
        <sz val="10"/>
        <rFont val="DejaVu Sans"/>
        <family val="2"/>
      </rPr>
      <t xml:space="preserve">충북 옥천군 옥천읍 서정</t>
    </r>
    <r>
      <rPr>
        <sz val="10"/>
        <rFont val="돋움"/>
        <family val="3"/>
        <charset val="129"/>
      </rPr>
      <t xml:space="preserve">1</t>
    </r>
    <r>
      <rPr>
        <sz val="10"/>
        <rFont val="DejaVu Sans"/>
        <family val="2"/>
      </rPr>
      <t xml:space="preserve">길</t>
    </r>
    <r>
      <rPr>
        <sz val="10"/>
        <rFont val="돋움"/>
        <family val="3"/>
        <charset val="129"/>
      </rPr>
      <t xml:space="preserve">5-40</t>
    </r>
  </si>
  <si>
    <t xml:space="preserve">356-1314-4411-13</t>
  </si>
  <si>
    <t xml:space="preserve">010-8826-8939</t>
  </si>
  <si>
    <t xml:space="preserve">29025</t>
  </si>
  <si>
    <t xml:space="preserve">최성환</t>
  </si>
  <si>
    <t xml:space="preserve">660710-1386211</t>
  </si>
  <si>
    <r>
      <rPr>
        <sz val="10"/>
        <rFont val="DejaVu Sans"/>
        <family val="2"/>
      </rPr>
      <t xml:space="preserve">충북 옥천군 옥천읍 삼양로</t>
    </r>
    <r>
      <rPr>
        <sz val="10"/>
        <rFont val="돋움"/>
        <family val="3"/>
        <charset val="129"/>
      </rPr>
      <t xml:space="preserve">2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6-4</t>
    </r>
  </si>
  <si>
    <t xml:space="preserve">570-000536-02-026</t>
  </si>
  <si>
    <t xml:space="preserve">010-6641-6613</t>
  </si>
  <si>
    <t xml:space="preserve">29032</t>
  </si>
  <si>
    <t xml:space="preserve">진수영</t>
  </si>
  <si>
    <t xml:space="preserve">550928-1384216</t>
  </si>
  <si>
    <r>
      <rPr>
        <sz val="10"/>
        <rFont val="DejaVu Sans"/>
        <family val="2"/>
      </rPr>
      <t xml:space="preserve">충북 옥천군 동이면 무산리</t>
    </r>
    <r>
      <rPr>
        <sz val="10"/>
        <rFont val="돋움"/>
        <family val="3"/>
        <charset val="129"/>
      </rPr>
      <t xml:space="preserve">657</t>
    </r>
  </si>
  <si>
    <t xml:space="preserve">신협</t>
  </si>
  <si>
    <t xml:space="preserve">131-015-480063</t>
  </si>
  <si>
    <t xml:space="preserve">010-4352-2174</t>
  </si>
  <si>
    <t xml:space="preserve">김종덕</t>
  </si>
  <si>
    <t xml:space="preserve">551120-1449514</t>
  </si>
  <si>
    <r>
      <rPr>
        <sz val="10"/>
        <rFont val="DejaVu Sans"/>
        <family val="2"/>
      </rPr>
      <t xml:space="preserve">대전 광역시 중구 유천동 </t>
    </r>
    <r>
      <rPr>
        <sz val="10"/>
        <rFont val="돋움"/>
        <family val="3"/>
        <charset val="129"/>
      </rPr>
      <t xml:space="preserve">340-51</t>
    </r>
  </si>
  <si>
    <t xml:space="preserve">460001-04-016552</t>
  </si>
  <si>
    <t xml:space="preserve">010-3418-1669</t>
  </si>
  <si>
    <t xml:space="preserve">김용근</t>
  </si>
  <si>
    <t xml:space="preserve">491010-1403113</t>
  </si>
  <si>
    <r>
      <rPr>
        <sz val="10"/>
        <rFont val="DejaVu Sans"/>
        <family val="2"/>
      </rPr>
      <t xml:space="preserve">충북 옥천군 동이면 무산리</t>
    </r>
    <r>
      <rPr>
        <sz val="10"/>
        <rFont val="돋움"/>
        <family val="3"/>
        <charset val="129"/>
      </rPr>
      <t xml:space="preserve">658</t>
    </r>
  </si>
  <si>
    <t xml:space="preserve">740902-93-109270</t>
  </si>
  <si>
    <t xml:space="preserve">010-5456-3529</t>
  </si>
  <si>
    <t xml:space="preserve">윤진한</t>
  </si>
  <si>
    <t xml:space="preserve">석공</t>
  </si>
  <si>
    <t xml:space="preserve">760224-1386921</t>
  </si>
  <si>
    <r>
      <rPr>
        <sz val="10"/>
        <rFont val="DejaVu Sans"/>
        <family val="2"/>
      </rPr>
      <t xml:space="preserve">충북 영동군 영동읍 계산리 </t>
    </r>
    <r>
      <rPr>
        <sz val="10"/>
        <rFont val="돋움"/>
        <family val="3"/>
        <charset val="129"/>
      </rPr>
      <t xml:space="preserve">197-2</t>
    </r>
  </si>
  <si>
    <t xml:space="preserve">356-0991-0651-23</t>
  </si>
  <si>
    <t xml:space="preserve">010-7360-3345</t>
  </si>
  <si>
    <t xml:space="preserve">29139</t>
  </si>
  <si>
    <t xml:space="preserve">권오득</t>
  </si>
  <si>
    <t xml:space="preserve">640529-1386416</t>
  </si>
  <si>
    <r>
      <rPr>
        <sz val="10"/>
        <color rgb="FF000000"/>
        <rFont val="DejaVu Sans"/>
        <family val="2"/>
      </rPr>
      <t xml:space="preserve">충북영동군추풍령면추풍령로</t>
    </r>
    <r>
      <rPr>
        <sz val="10"/>
        <color rgb="FF000000"/>
        <rFont val="돋움"/>
        <family val="3"/>
        <charset val="129"/>
      </rPr>
      <t xml:space="preserve">9</t>
    </r>
    <r>
      <rPr>
        <sz val="10"/>
        <color rgb="FF000000"/>
        <rFont val="DejaVu Sans"/>
        <family val="2"/>
      </rPr>
      <t xml:space="preserve">길</t>
    </r>
    <r>
      <rPr>
        <sz val="10"/>
        <color rgb="FF000000"/>
        <rFont val="돋움"/>
        <family val="3"/>
        <charset val="129"/>
      </rPr>
      <t xml:space="preserve">10-2</t>
    </r>
  </si>
  <si>
    <t xml:space="preserve">352-1857-0983-23</t>
  </si>
  <si>
    <t xml:space="preserve">010-9133-8928</t>
  </si>
  <si>
    <t xml:space="preserve">손석래</t>
  </si>
  <si>
    <t xml:space="preserve">600404-1386121</t>
  </si>
  <si>
    <r>
      <rPr>
        <sz val="10"/>
        <rFont val="DejaVu Sans"/>
        <family val="2"/>
      </rPr>
      <t xml:space="preserve">충북 영동군 영동읍 새심길</t>
    </r>
    <r>
      <rPr>
        <sz val="10"/>
        <rFont val="돋움"/>
        <family val="3"/>
        <charset val="129"/>
      </rPr>
      <t xml:space="preserve">18,1004</t>
    </r>
    <r>
      <rPr>
        <sz val="10"/>
        <rFont val="DejaVu Sans"/>
        <family val="2"/>
      </rPr>
      <t xml:space="preserve">호 조한드림플러스</t>
    </r>
    <r>
      <rPr>
        <sz val="10"/>
        <rFont val="돋움"/>
        <family val="3"/>
        <charset val="129"/>
      </rPr>
      <t xml:space="preserve">@</t>
    </r>
  </si>
  <si>
    <t xml:space="preserve">356-1493-9522-63</t>
  </si>
  <si>
    <t xml:space="preserve">043-744-5228</t>
  </si>
  <si>
    <t xml:space="preserve">29142</t>
  </si>
  <si>
    <t xml:space="preserve">조운규</t>
  </si>
  <si>
    <t xml:space="preserve">특별인부</t>
  </si>
  <si>
    <t xml:space="preserve">650305-1386131</t>
  </si>
  <si>
    <r>
      <rPr>
        <sz val="10"/>
        <rFont val="DejaVu Sans"/>
        <family val="2"/>
      </rPr>
      <t xml:space="preserve">충북 영동군 영동읍 금동안길 </t>
    </r>
    <r>
      <rPr>
        <sz val="10"/>
        <rFont val="돋움"/>
        <family val="3"/>
        <charset val="129"/>
      </rPr>
      <t xml:space="preserve">60</t>
    </r>
  </si>
  <si>
    <t xml:space="preserve">우체국</t>
  </si>
  <si>
    <t xml:space="preserve">301515-02-022804</t>
  </si>
  <si>
    <t xml:space="preserve">010-8343-0468</t>
  </si>
  <si>
    <t xml:space="preserve">29138</t>
  </si>
  <si>
    <t xml:space="preserve">강희종</t>
  </si>
  <si>
    <t xml:space="preserve">단순노무자</t>
  </si>
  <si>
    <t xml:space="preserve">540612-1400325</t>
  </si>
  <si>
    <r>
      <rPr>
        <sz val="10"/>
        <rFont val="DejaVu Sans"/>
        <family val="2"/>
      </rPr>
      <t xml:space="preserve">충북 영동군 추풍령면 추풍령로</t>
    </r>
    <r>
      <rPr>
        <sz val="10"/>
        <rFont val="돋움"/>
        <family val="3"/>
        <charset val="129"/>
      </rPr>
      <t xml:space="preserve">5</t>
    </r>
    <r>
      <rPr>
        <sz val="10"/>
        <rFont val="DejaVu Sans"/>
        <family val="2"/>
      </rPr>
      <t xml:space="preserve">안길</t>
    </r>
    <r>
      <rPr>
        <sz val="10"/>
        <rFont val="돋움"/>
        <family val="3"/>
        <charset val="129"/>
      </rPr>
      <t xml:space="preserve">8</t>
    </r>
  </si>
  <si>
    <t xml:space="preserve">351-1142-0210-73</t>
  </si>
  <si>
    <t xml:space="preserve">010-5028-0656</t>
  </si>
  <si>
    <t xml:space="preserve">명장인력</t>
  </si>
  <si>
    <t xml:space="preserve">29120</t>
  </si>
  <si>
    <t xml:space="preserve">김기필</t>
  </si>
  <si>
    <t xml:space="preserve">611022-1386251</t>
  </si>
  <si>
    <r>
      <rPr>
        <sz val="10"/>
        <rFont val="DejaVu Sans"/>
        <family val="2"/>
      </rPr>
      <t xml:space="preserve">충북 영동군 용산면 금곡</t>
    </r>
    <r>
      <rPr>
        <sz val="10"/>
        <rFont val="돋움"/>
        <family val="3"/>
        <charset val="129"/>
      </rPr>
      <t xml:space="preserve">3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19</t>
    </r>
  </si>
  <si>
    <t xml:space="preserve">010-6428-8990</t>
  </si>
  <si>
    <t xml:space="preserve">29100</t>
  </si>
  <si>
    <t xml:space="preserve">윤석률</t>
  </si>
  <si>
    <t xml:space="preserve">681215-1384614</t>
  </si>
  <si>
    <r>
      <rPr>
        <sz val="10"/>
        <rFont val="DejaVu Sans"/>
        <family val="2"/>
      </rPr>
      <t xml:space="preserve">충북 옥천군 청산면 효목</t>
    </r>
    <r>
      <rPr>
        <sz val="10"/>
        <rFont val="돋움"/>
        <family val="3"/>
        <charset val="129"/>
      </rPr>
      <t xml:space="preserve">1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83</t>
    </r>
  </si>
  <si>
    <t xml:space="preserve">010-3425-9337</t>
  </si>
  <si>
    <t xml:space="preserve">29015</t>
  </si>
  <si>
    <t xml:space="preserve">전근성</t>
  </si>
  <si>
    <t xml:space="preserve">721105-1386912</t>
  </si>
  <si>
    <r>
      <rPr>
        <sz val="10"/>
        <rFont val="DejaVu Sans"/>
        <family val="2"/>
      </rPr>
      <t xml:space="preserve">충북 영동군 학산면 모정길 </t>
    </r>
    <r>
      <rPr>
        <sz val="10"/>
        <rFont val="돋움"/>
        <family val="3"/>
        <charset val="129"/>
      </rPr>
      <t xml:space="preserve">78</t>
    </r>
  </si>
  <si>
    <t xml:space="preserve">010-3405-4114</t>
  </si>
  <si>
    <t xml:space="preserve">29165</t>
  </si>
  <si>
    <t xml:space="preserve">김병호</t>
  </si>
  <si>
    <t xml:space="preserve">921202-1058619</t>
  </si>
  <si>
    <t xml:space="preserve">300111-02-297282</t>
  </si>
  <si>
    <t xml:space="preserve">010-4904-9092</t>
  </si>
  <si>
    <t xml:space="preserve">최동섭</t>
  </si>
  <si>
    <t xml:space="preserve">670211-1386119</t>
  </si>
  <si>
    <r>
      <rPr>
        <sz val="10"/>
        <rFont val="DejaVu Sans"/>
        <family val="2"/>
      </rPr>
      <t xml:space="preserve">충북 영동군 영동읍 부용</t>
    </r>
    <r>
      <rPr>
        <sz val="10"/>
        <rFont val="돋움"/>
        <family val="3"/>
        <charset val="129"/>
      </rPr>
      <t xml:space="preserve">7</t>
    </r>
    <r>
      <rPr>
        <sz val="10"/>
        <rFont val="DejaVu Sans"/>
        <family val="2"/>
      </rPr>
      <t xml:space="preserve">안길</t>
    </r>
    <r>
      <rPr>
        <sz val="10"/>
        <rFont val="돋움"/>
        <family val="3"/>
        <charset val="129"/>
      </rPr>
      <t xml:space="preserve">7-1</t>
    </r>
  </si>
  <si>
    <t xml:space="preserve">173173-52-042958</t>
  </si>
  <si>
    <t xml:space="preserve">010-4114-2902</t>
  </si>
  <si>
    <t xml:space="preserve">김영환</t>
  </si>
  <si>
    <t xml:space="preserve">600925-1386115</t>
  </si>
  <si>
    <r>
      <rPr>
        <sz val="10"/>
        <rFont val="DejaVu Sans"/>
        <family val="2"/>
      </rPr>
      <t xml:space="preserve">충북 영동군 영동읍 계산리 </t>
    </r>
    <r>
      <rPr>
        <sz val="10"/>
        <rFont val="돋움"/>
        <family val="3"/>
        <charset val="129"/>
      </rPr>
      <t xml:space="preserve">426-1</t>
    </r>
  </si>
  <si>
    <t xml:space="preserve">302-1601-4630-21</t>
  </si>
  <si>
    <t xml:space="preserve">김명숙</t>
  </si>
  <si>
    <t xml:space="preserve">660125-2524919</t>
  </si>
  <si>
    <r>
      <rPr>
        <sz val="10"/>
        <rFont val="DejaVu Sans"/>
        <family val="2"/>
      </rPr>
      <t xml:space="preserve">대전 동구 판암동 </t>
    </r>
    <r>
      <rPr>
        <sz val="10"/>
        <rFont val="돋움"/>
        <family val="3"/>
        <charset val="129"/>
      </rPr>
      <t xml:space="preserve">328</t>
    </r>
    <r>
      <rPr>
        <sz val="10"/>
        <rFont val="DejaVu Sans"/>
        <family val="2"/>
      </rPr>
      <t xml:space="preserve">방주아파트</t>
    </r>
    <r>
      <rPr>
        <sz val="10"/>
        <rFont val="돋움"/>
        <family val="3"/>
        <charset val="129"/>
      </rPr>
      <t xml:space="preserve">101-604</t>
    </r>
  </si>
  <si>
    <t xml:space="preserve">302-0957-7396-11</t>
  </si>
  <si>
    <t xml:space="preserve">이홍성</t>
  </si>
  <si>
    <t xml:space="preserve">510520-1384216</t>
  </si>
  <si>
    <r>
      <rPr>
        <sz val="10"/>
        <rFont val="DejaVu Sans"/>
        <family val="2"/>
      </rPr>
      <t xml:space="preserve">충북 옥천 옥천읍 미암리</t>
    </r>
    <r>
      <rPr>
        <sz val="10"/>
        <rFont val="돋움"/>
        <family val="3"/>
        <charset val="129"/>
      </rPr>
      <t xml:space="preserve">49-1</t>
    </r>
  </si>
  <si>
    <t xml:space="preserve">356-1306-8954-13</t>
  </si>
  <si>
    <t xml:space="preserve">010-5100-7490</t>
  </si>
  <si>
    <t xml:space="preserve">김장곤</t>
  </si>
  <si>
    <t xml:space="preserve">611211-1458428</t>
  </si>
  <si>
    <r>
      <rPr>
        <sz val="10"/>
        <rFont val="DejaVu Sans"/>
        <family val="2"/>
      </rPr>
      <t xml:space="preserve">대전광역시 중구 산성동 </t>
    </r>
    <r>
      <rPr>
        <sz val="10"/>
        <rFont val="돋움"/>
        <family val="3"/>
        <charset val="129"/>
      </rPr>
      <t xml:space="preserve">304-18</t>
    </r>
  </si>
  <si>
    <t xml:space="preserve">356-1483-5978-13</t>
  </si>
  <si>
    <t xml:space="preserve">010-4830-2110</t>
  </si>
  <si>
    <t xml:space="preserve">35054</t>
  </si>
  <si>
    <t xml:space="preserve">김효식</t>
  </si>
  <si>
    <t xml:space="preserve">630220-1384116</t>
  </si>
  <si>
    <r>
      <rPr>
        <sz val="10"/>
        <rFont val="DejaVu Sans"/>
        <family val="2"/>
      </rPr>
      <t xml:space="preserve">충북 옥천 옥천읍 송신길 </t>
    </r>
    <r>
      <rPr>
        <sz val="10"/>
        <rFont val="돋움"/>
        <family val="3"/>
        <charset val="129"/>
      </rPr>
      <t xml:space="preserve">89-1</t>
    </r>
  </si>
  <si>
    <t xml:space="preserve">356-1306-7504-13</t>
  </si>
  <si>
    <t xml:space="preserve">010-3448-1889</t>
  </si>
  <si>
    <t xml:space="preserve">김정자</t>
  </si>
  <si>
    <t xml:space="preserve">600225-2408313</t>
  </si>
  <si>
    <r>
      <rPr>
        <sz val="10"/>
        <rFont val="DejaVu Sans"/>
        <family val="2"/>
      </rPr>
      <t xml:space="preserve">대전 동구 판암동</t>
    </r>
    <r>
      <rPr>
        <sz val="10"/>
        <rFont val="돋움"/>
        <family val="3"/>
        <charset val="129"/>
      </rPr>
      <t xml:space="preserve">236</t>
    </r>
    <r>
      <rPr>
        <sz val="10"/>
        <rFont val="DejaVu Sans"/>
        <family val="2"/>
      </rPr>
      <t xml:space="preserve">주공 </t>
    </r>
    <r>
      <rPr>
        <sz val="10"/>
        <rFont val="돋움"/>
        <family val="3"/>
        <charset val="129"/>
      </rPr>
      <t xml:space="preserve">508-1302</t>
    </r>
  </si>
  <si>
    <t xml:space="preserve">010-5402-7460</t>
  </si>
  <si>
    <t xml:space="preserve">이순희</t>
  </si>
  <si>
    <t xml:space="preserve">610808-2379713</t>
  </si>
  <si>
    <r>
      <rPr>
        <sz val="10"/>
        <rFont val="DejaVu Sans"/>
        <family val="2"/>
      </rPr>
      <t xml:space="preserve">충북 옥천 옥천읍 마암리</t>
    </r>
    <r>
      <rPr>
        <sz val="10"/>
        <rFont val="돋움"/>
        <family val="3"/>
        <charset val="129"/>
      </rPr>
      <t xml:space="preserve">22-4</t>
    </r>
    <r>
      <rPr>
        <sz val="10"/>
        <rFont val="DejaVu Sans"/>
        <family val="2"/>
      </rPr>
      <t xml:space="preserve">은혜연립</t>
    </r>
    <r>
      <rPr>
        <sz val="10"/>
        <rFont val="돋움"/>
        <family val="3"/>
        <charset val="129"/>
      </rPr>
      <t xml:space="preserve">B</t>
    </r>
    <r>
      <rPr>
        <sz val="10"/>
        <rFont val="DejaVu Sans"/>
        <family val="2"/>
      </rPr>
      <t xml:space="preserve">동</t>
    </r>
    <r>
      <rPr>
        <sz val="10"/>
        <rFont val="돋움"/>
        <family val="3"/>
        <charset val="129"/>
      </rPr>
      <t xml:space="preserve">101</t>
    </r>
  </si>
  <si>
    <t xml:space="preserve">010-9138-3436</t>
  </si>
  <si>
    <t xml:space="preserve">김태식</t>
  </si>
  <si>
    <t xml:space="preserve">551215-1384133</t>
  </si>
  <si>
    <r>
      <rPr>
        <sz val="10"/>
        <rFont val="DejaVu Sans"/>
        <family val="2"/>
      </rPr>
      <t xml:space="preserve">충북옥천 옥천읍문정리 </t>
    </r>
    <r>
      <rPr>
        <sz val="10"/>
        <rFont val="돋움"/>
        <family val="3"/>
        <charset val="129"/>
      </rPr>
      <t xml:space="preserve">62-1</t>
    </r>
  </si>
  <si>
    <t xml:space="preserve">302-5458-3411-01</t>
  </si>
  <si>
    <t xml:space="preserve">010-5458-3411</t>
  </si>
  <si>
    <t xml:space="preserve">유현봉</t>
  </si>
  <si>
    <t xml:space="preserve">531210-1384312</t>
  </si>
  <si>
    <r>
      <rPr>
        <sz val="10"/>
        <rFont val="DejaVu Sans"/>
        <family val="2"/>
      </rPr>
      <t xml:space="preserve">충북 옥천 옥천읍 양수로</t>
    </r>
    <r>
      <rPr>
        <sz val="10"/>
        <rFont val="돋움"/>
        <family val="3"/>
        <charset val="129"/>
      </rPr>
      <t xml:space="preserve">6</t>
    </r>
    <r>
      <rPr>
        <sz val="10"/>
        <rFont val="DejaVu Sans"/>
        <family val="2"/>
      </rPr>
      <t xml:space="preserve">길</t>
    </r>
    <r>
      <rPr>
        <sz val="10"/>
        <rFont val="돋움"/>
        <family val="3"/>
        <charset val="129"/>
      </rPr>
      <t xml:space="preserve">4</t>
    </r>
  </si>
  <si>
    <t xml:space="preserve">405-24-0081-770</t>
  </si>
  <si>
    <t xml:space="preserve">010-5427-7937</t>
  </si>
  <si>
    <t xml:space="preserve">신기창</t>
  </si>
  <si>
    <t xml:space="preserve">611028-1411611</t>
  </si>
  <si>
    <r>
      <rPr>
        <sz val="10"/>
        <rFont val="DejaVu Sans"/>
        <family val="2"/>
      </rPr>
      <t xml:space="preserve">충북 옥천 옥천읍 성암</t>
    </r>
    <r>
      <rPr>
        <sz val="10"/>
        <rFont val="돋움"/>
        <family val="3"/>
        <charset val="129"/>
      </rPr>
      <t xml:space="preserve">2</t>
    </r>
    <r>
      <rPr>
        <sz val="10"/>
        <rFont val="DejaVu Sans"/>
        <family val="2"/>
      </rPr>
      <t xml:space="preserve">길</t>
    </r>
    <r>
      <rPr>
        <sz val="10"/>
        <rFont val="돋움"/>
        <family val="3"/>
        <charset val="129"/>
      </rPr>
      <t xml:space="preserve">30-1</t>
    </r>
  </si>
  <si>
    <t xml:space="preserve">356-1479-8602-73</t>
  </si>
  <si>
    <t xml:space="preserve">010-3893-7198</t>
  </si>
  <si>
    <t xml:space="preserve">김충재</t>
  </si>
  <si>
    <t xml:space="preserve">590114-1384121</t>
  </si>
  <si>
    <r>
      <rPr>
        <sz val="10"/>
        <rFont val="DejaVu Sans"/>
        <family val="2"/>
      </rPr>
      <t xml:space="preserve">충북 옥천 옥천읍 금구천길</t>
    </r>
    <r>
      <rPr>
        <sz val="10"/>
        <rFont val="돋움"/>
        <family val="3"/>
        <charset val="129"/>
      </rPr>
      <t xml:space="preserve">15</t>
    </r>
    <r>
      <rPr>
        <sz val="10"/>
        <rFont val="DejaVu Sans"/>
        <family val="2"/>
      </rPr>
      <t xml:space="preserve">나동</t>
    </r>
    <r>
      <rPr>
        <sz val="10"/>
        <rFont val="돋움"/>
        <family val="3"/>
        <charset val="129"/>
      </rPr>
      <t xml:space="preserve">103</t>
    </r>
    <r>
      <rPr>
        <sz val="10"/>
        <rFont val="DejaVu Sans"/>
        <family val="2"/>
      </rPr>
      <t xml:space="preserve">호</t>
    </r>
  </si>
  <si>
    <t xml:space="preserve">356-1488-3009-73</t>
  </si>
  <si>
    <t xml:space="preserve">010-5465-8302</t>
  </si>
  <si>
    <t xml:space="preserve">김정식</t>
  </si>
  <si>
    <t xml:space="preserve">760110-1384826</t>
  </si>
  <si>
    <r>
      <rPr>
        <sz val="10"/>
        <rFont val="DejaVu Sans"/>
        <family val="2"/>
      </rPr>
      <t xml:space="preserve">충북 옥천 옥천읍가화</t>
    </r>
    <r>
      <rPr>
        <sz val="10"/>
        <rFont val="돋움"/>
        <family val="3"/>
        <charset val="129"/>
      </rPr>
      <t xml:space="preserve">3</t>
    </r>
    <r>
      <rPr>
        <sz val="10"/>
        <rFont val="DejaVu Sans"/>
        <family val="2"/>
      </rPr>
      <t xml:space="preserve">길</t>
    </r>
    <r>
      <rPr>
        <sz val="10"/>
        <rFont val="돋움"/>
        <family val="3"/>
        <charset val="129"/>
      </rPr>
      <t xml:space="preserve">23</t>
    </r>
  </si>
  <si>
    <t xml:space="preserve">302-0953-8269-11</t>
  </si>
  <si>
    <t xml:space="preserve">010-6252-2437</t>
  </si>
  <si>
    <t xml:space="preserve">소세영</t>
  </si>
  <si>
    <t xml:space="preserve">661110-1403017</t>
  </si>
  <si>
    <r>
      <rPr>
        <sz val="10"/>
        <rFont val="DejaVu Sans"/>
        <family val="2"/>
      </rPr>
      <t xml:space="preserve">대전 동구 번동 </t>
    </r>
    <r>
      <rPr>
        <sz val="10"/>
        <rFont val="돋움"/>
        <family val="3"/>
        <charset val="129"/>
      </rPr>
      <t xml:space="preserve">2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25(</t>
    </r>
    <r>
      <rPr>
        <sz val="10"/>
        <rFont val="DejaVu Sans"/>
        <family val="2"/>
      </rPr>
      <t xml:space="preserve">천동</t>
    </r>
    <r>
      <rPr>
        <sz val="10"/>
        <rFont val="돋움"/>
        <family val="3"/>
        <charset val="129"/>
      </rPr>
      <t xml:space="preserve">)</t>
    </r>
  </si>
  <si>
    <t xml:space="preserve">351-0883-3616-63</t>
  </si>
  <si>
    <t xml:space="preserve">010-8859-2729</t>
  </si>
  <si>
    <t xml:space="preserve">34683</t>
  </si>
  <si>
    <t xml:space="preserve">이영훈</t>
  </si>
  <si>
    <t xml:space="preserve">941126-1055311</t>
  </si>
  <si>
    <r>
      <rPr>
        <sz val="10"/>
        <rFont val="DejaVu Sans"/>
        <family val="2"/>
      </rPr>
      <t xml:space="preserve">서울 영등포구 도신로</t>
    </r>
    <r>
      <rPr>
        <sz val="10"/>
        <rFont val="돋움"/>
        <family val="3"/>
        <charset val="129"/>
      </rPr>
      <t xml:space="preserve">29</t>
    </r>
    <r>
      <rPr>
        <sz val="10"/>
        <rFont val="DejaVu Sans"/>
        <family val="2"/>
      </rPr>
      <t xml:space="preserve">길</t>
    </r>
    <r>
      <rPr>
        <sz val="10"/>
        <rFont val="돋움"/>
        <family val="3"/>
        <charset val="129"/>
      </rPr>
      <t xml:space="preserve">28</t>
    </r>
  </si>
  <si>
    <t xml:space="preserve">570-020656-01-010</t>
  </si>
  <si>
    <t xml:space="preserve">010-9358-8464</t>
  </si>
  <si>
    <t xml:space="preserve">07365</t>
  </si>
  <si>
    <t xml:space="preserve">박길환</t>
  </si>
  <si>
    <t xml:space="preserve">671015-1920528</t>
  </si>
  <si>
    <r>
      <rPr>
        <sz val="10"/>
        <rFont val="DejaVu Sans"/>
        <family val="2"/>
      </rPr>
      <t xml:space="preserve">충북 옥천 옥천읍 중앙로</t>
    </r>
    <r>
      <rPr>
        <sz val="10"/>
        <rFont val="돋움"/>
        <family val="3"/>
        <charset val="129"/>
      </rPr>
      <t xml:space="preserve">6</t>
    </r>
    <r>
      <rPr>
        <sz val="10"/>
        <rFont val="DejaVu Sans"/>
        <family val="2"/>
      </rPr>
      <t xml:space="preserve">길</t>
    </r>
    <r>
      <rPr>
        <sz val="10"/>
        <rFont val="돋움"/>
        <family val="3"/>
        <charset val="129"/>
      </rPr>
      <t xml:space="preserve">8</t>
    </r>
  </si>
  <si>
    <t xml:space="preserve">010-4486-7508</t>
  </si>
  <si>
    <t xml:space="preserve">원용길</t>
  </si>
  <si>
    <t xml:space="preserve">640220-5141993</t>
  </si>
  <si>
    <r>
      <rPr>
        <sz val="10"/>
        <rFont val="DejaVu Sans"/>
        <family val="2"/>
      </rPr>
      <t xml:space="preserve">재외동포</t>
    </r>
    <r>
      <rPr>
        <sz val="10"/>
        <rFont val="돋움"/>
        <family val="3"/>
        <charset val="129"/>
      </rPr>
      <t xml:space="preserve">(F-4)</t>
    </r>
  </si>
  <si>
    <t xml:space="preserve">010-2293-0638</t>
  </si>
  <si>
    <t xml:space="preserve">조갑성</t>
  </si>
  <si>
    <t xml:space="preserve">540619-1384810</t>
  </si>
  <si>
    <r>
      <rPr>
        <sz val="10"/>
        <rFont val="DejaVu Sans"/>
        <family val="2"/>
      </rPr>
      <t xml:space="preserve">충북 옥천 옥천읍 문장로</t>
    </r>
    <r>
      <rPr>
        <sz val="10"/>
        <rFont val="돋움"/>
        <family val="3"/>
        <charset val="129"/>
      </rPr>
      <t xml:space="preserve">2</t>
    </r>
    <r>
      <rPr>
        <sz val="10"/>
        <rFont val="DejaVu Sans"/>
        <family val="2"/>
      </rPr>
      <t xml:space="preserve">길</t>
    </r>
    <r>
      <rPr>
        <sz val="10"/>
        <rFont val="돋움"/>
        <family val="3"/>
        <charset val="129"/>
      </rPr>
      <t xml:space="preserve">9</t>
    </r>
  </si>
  <si>
    <t xml:space="preserve">102434-02-170588</t>
  </si>
  <si>
    <t xml:space="preserve">박준용</t>
  </si>
  <si>
    <t xml:space="preserve">571003-1386215</t>
  </si>
  <si>
    <r>
      <rPr>
        <sz val="10"/>
        <rFont val="DejaVu Sans"/>
        <family val="2"/>
      </rPr>
      <t xml:space="preserve">충북 영동군 영동읍 중앙로</t>
    </r>
    <r>
      <rPr>
        <sz val="10"/>
        <rFont val="돋움"/>
        <family val="3"/>
        <charset val="129"/>
      </rPr>
      <t xml:space="preserve">1</t>
    </r>
    <r>
      <rPr>
        <sz val="10"/>
        <rFont val="DejaVu Sans"/>
        <family val="2"/>
      </rPr>
      <t xml:space="preserve">길</t>
    </r>
    <r>
      <rPr>
        <sz val="10"/>
        <rFont val="돋움"/>
        <family val="3"/>
        <charset val="129"/>
      </rPr>
      <t xml:space="preserve">18</t>
    </r>
  </si>
  <si>
    <t xml:space="preserve">407034-52-068141</t>
  </si>
  <si>
    <t xml:space="preserve">29145</t>
  </si>
  <si>
    <t xml:space="preserve">백경훈</t>
  </si>
  <si>
    <t xml:space="preserve">850202-1386312</t>
  </si>
  <si>
    <r>
      <rPr>
        <sz val="10"/>
        <rFont val="DejaVu Sans"/>
        <family val="2"/>
      </rPr>
      <t xml:space="preserve">충북 영동군 황간면 남성동</t>
    </r>
    <r>
      <rPr>
        <sz val="10"/>
        <rFont val="돋움"/>
        <family val="3"/>
        <charset val="129"/>
      </rPr>
      <t xml:space="preserve">3</t>
    </r>
    <r>
      <rPr>
        <sz val="10"/>
        <rFont val="DejaVu Sans"/>
        <family val="2"/>
      </rPr>
      <t xml:space="preserve">길</t>
    </r>
    <r>
      <rPr>
        <sz val="10"/>
        <rFont val="돋움"/>
        <family val="3"/>
        <charset val="129"/>
      </rPr>
      <t xml:space="preserve">27</t>
    </r>
  </si>
  <si>
    <t xml:space="preserve">29115</t>
  </si>
  <si>
    <t xml:space="preserve">이진권</t>
  </si>
  <si>
    <t xml:space="preserve">610210-1238818</t>
  </si>
  <si>
    <r>
      <rPr>
        <sz val="10"/>
        <rFont val="DejaVu Sans"/>
        <family val="2"/>
      </rPr>
      <t xml:space="preserve">경기도 연천군 전곡읍 전곡리 </t>
    </r>
    <r>
      <rPr>
        <sz val="10"/>
        <rFont val="돋움"/>
        <family val="3"/>
        <charset val="129"/>
      </rPr>
      <t xml:space="preserve">324-33</t>
    </r>
    <r>
      <rPr>
        <sz val="10"/>
        <rFont val="DejaVu Sans"/>
        <family val="2"/>
      </rPr>
      <t xml:space="preserve">세림빌라</t>
    </r>
    <r>
      <rPr>
        <sz val="10"/>
        <rFont val="돋움"/>
        <family val="3"/>
        <charset val="129"/>
      </rPr>
      <t xml:space="preserve">7</t>
    </r>
    <r>
      <rPr>
        <sz val="10"/>
        <rFont val="DejaVu Sans"/>
        <family val="2"/>
      </rPr>
      <t xml:space="preserve">동</t>
    </r>
    <r>
      <rPr>
        <sz val="10"/>
        <rFont val="돋움"/>
        <family val="3"/>
        <charset val="129"/>
      </rPr>
      <t xml:space="preserve">301</t>
    </r>
    <r>
      <rPr>
        <sz val="10"/>
        <rFont val="DejaVu Sans"/>
        <family val="2"/>
      </rPr>
      <t xml:space="preserve">호</t>
    </r>
  </si>
  <si>
    <t xml:space="preserve">356-0129-1298-13</t>
  </si>
  <si>
    <t xml:space="preserve">760715-1386710</t>
  </si>
  <si>
    <r>
      <rPr>
        <sz val="10"/>
        <rFont val="DejaVu Sans"/>
        <family val="2"/>
      </rPr>
      <t xml:space="preserve">충북 영동군 영동읍금동로</t>
    </r>
    <r>
      <rPr>
        <sz val="10"/>
        <rFont val="돋움"/>
        <family val="3"/>
        <charset val="129"/>
      </rPr>
      <t xml:space="preserve">1</t>
    </r>
    <r>
      <rPr>
        <sz val="10"/>
        <rFont val="DejaVu Sans"/>
        <family val="2"/>
      </rPr>
      <t xml:space="preserve">길</t>
    </r>
    <r>
      <rPr>
        <sz val="10"/>
        <rFont val="돋움"/>
        <family val="3"/>
        <charset val="129"/>
      </rPr>
      <t xml:space="preserve">6,202</t>
    </r>
    <r>
      <rPr>
        <sz val="10"/>
        <rFont val="DejaVu Sans"/>
        <family val="2"/>
      </rPr>
      <t xml:space="preserve">호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혜성빌라</t>
    </r>
    <r>
      <rPr>
        <sz val="10"/>
        <rFont val="돋움"/>
        <family val="3"/>
        <charset val="129"/>
      </rPr>
      <t xml:space="preserve">)</t>
    </r>
  </si>
  <si>
    <t xml:space="preserve">301515-02-072801</t>
  </si>
  <si>
    <t xml:space="preserve">김동식</t>
  </si>
  <si>
    <t xml:space="preserve">정광일</t>
  </si>
  <si>
    <t xml:space="preserve">600220-1041824</t>
  </si>
  <si>
    <r>
      <rPr>
        <sz val="10"/>
        <rFont val="DejaVu Sans"/>
        <family val="2"/>
      </rPr>
      <t xml:space="preserve">충북 옥천군 옥천읍 동부로</t>
    </r>
    <r>
      <rPr>
        <sz val="10"/>
        <rFont val="돋움"/>
        <family val="3"/>
        <charset val="129"/>
      </rPr>
      <t xml:space="preserve">16 101</t>
    </r>
    <r>
      <rPr>
        <sz val="10"/>
        <rFont val="DejaVu Sans"/>
        <family val="2"/>
      </rPr>
      <t xml:space="preserve">동</t>
    </r>
    <r>
      <rPr>
        <sz val="10"/>
        <rFont val="돋움"/>
        <family val="3"/>
        <charset val="129"/>
      </rPr>
      <t xml:space="preserve">301</t>
    </r>
    <r>
      <rPr>
        <sz val="10"/>
        <rFont val="DejaVu Sans"/>
        <family val="2"/>
      </rPr>
      <t xml:space="preserve">호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하늘빛아파트</t>
    </r>
    <r>
      <rPr>
        <sz val="10"/>
        <rFont val="돋움"/>
        <family val="3"/>
        <charset val="129"/>
      </rPr>
      <t xml:space="preserve">)</t>
    </r>
  </si>
  <si>
    <t xml:space="preserve">이윤건</t>
  </si>
  <si>
    <t xml:space="preserve">630822-1229912</t>
  </si>
  <si>
    <r>
      <rPr>
        <sz val="10"/>
        <rFont val="DejaVu Sans"/>
        <family val="2"/>
      </rPr>
      <t xml:space="preserve">충북 옥천군 군서면 성왕로 </t>
    </r>
    <r>
      <rPr>
        <sz val="10"/>
        <rFont val="돋움"/>
        <family val="3"/>
        <charset val="129"/>
      </rPr>
      <t xml:space="preserve">489-16</t>
    </r>
  </si>
  <si>
    <t xml:space="preserve">29059</t>
  </si>
  <si>
    <t xml:space="preserve">박래일</t>
  </si>
  <si>
    <t xml:space="preserve">590108-1386126</t>
  </si>
  <si>
    <r>
      <rPr>
        <sz val="10"/>
        <rFont val="DejaVu Sans"/>
        <family val="2"/>
      </rPr>
      <t xml:space="preserve">충북 영동군 영동읍 양산로</t>
    </r>
    <r>
      <rPr>
        <sz val="10"/>
        <rFont val="돋움"/>
        <family val="3"/>
        <charset val="129"/>
      </rPr>
      <t xml:space="preserve">7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2</t>
    </r>
    <r>
      <rPr>
        <sz val="10"/>
        <rFont val="DejaVu Sans"/>
        <family val="2"/>
      </rPr>
      <t xml:space="preserve">가동</t>
    </r>
    <r>
      <rPr>
        <sz val="10"/>
        <rFont val="돋움"/>
        <family val="3"/>
        <charset val="129"/>
      </rPr>
      <t xml:space="preserve">106</t>
    </r>
    <r>
      <rPr>
        <sz val="10"/>
        <rFont val="DejaVu Sans"/>
        <family val="2"/>
      </rPr>
      <t xml:space="preserve">호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양지연립</t>
    </r>
    <r>
      <rPr>
        <sz val="10"/>
        <rFont val="돋움"/>
        <family val="3"/>
        <charset val="129"/>
      </rPr>
      <t xml:space="preserve">)</t>
    </r>
  </si>
  <si>
    <t xml:space="preserve">774-02-269271</t>
  </si>
  <si>
    <t xml:space="preserve">010-9405-6479</t>
  </si>
  <si>
    <t xml:space="preserve">이정근</t>
  </si>
  <si>
    <t xml:space="preserve">590825-1386143</t>
  </si>
  <si>
    <r>
      <rPr>
        <sz val="10"/>
        <rFont val="DejaVu Sans"/>
        <family val="2"/>
      </rPr>
      <t xml:space="preserve">충북 영동군 영동읍 계산리</t>
    </r>
    <r>
      <rPr>
        <sz val="10"/>
        <rFont val="돋움"/>
        <family val="3"/>
        <charset val="129"/>
      </rPr>
      <t xml:space="preserve">280</t>
    </r>
  </si>
  <si>
    <t xml:space="preserve">300160-02-240447</t>
  </si>
  <si>
    <t xml:space="preserve">육종필</t>
  </si>
  <si>
    <t xml:space="preserve">681020-1384919</t>
  </si>
  <si>
    <r>
      <rPr>
        <sz val="10"/>
        <rFont val="DejaVu Sans"/>
        <family val="2"/>
      </rPr>
      <t xml:space="preserve">충북 옥천군 옥천읍 장야리 </t>
    </r>
    <r>
      <rPr>
        <sz val="10"/>
        <rFont val="돋움"/>
        <family val="3"/>
        <charset val="129"/>
      </rPr>
      <t xml:space="preserve">313 </t>
    </r>
    <r>
      <rPr>
        <sz val="10"/>
        <rFont val="DejaVu Sans"/>
        <family val="2"/>
      </rPr>
      <t xml:space="preserve">장야</t>
    </r>
    <r>
      <rPr>
        <sz val="10"/>
        <rFont val="돋움"/>
        <family val="3"/>
        <charset val="129"/>
      </rPr>
      <t xml:space="preserve">1</t>
    </r>
    <r>
      <rPr>
        <sz val="10"/>
        <rFont val="DejaVu Sans"/>
        <family val="2"/>
      </rPr>
      <t xml:space="preserve">주공</t>
    </r>
    <r>
      <rPr>
        <sz val="10"/>
        <rFont val="돋움"/>
        <family val="3"/>
        <charset val="129"/>
      </rPr>
      <t xml:space="preserve">106-304</t>
    </r>
  </si>
  <si>
    <t xml:space="preserve">570-007217-02-013</t>
  </si>
  <si>
    <t xml:space="preserve">010-6800-2394</t>
  </si>
  <si>
    <t xml:space="preserve">29045</t>
  </si>
  <si>
    <t xml:space="preserve">조기혁</t>
  </si>
  <si>
    <t xml:space="preserve">630523-1402713</t>
  </si>
  <si>
    <r>
      <rPr>
        <sz val="10"/>
        <rFont val="DejaVu Sans"/>
        <family val="2"/>
      </rPr>
      <t xml:space="preserve">대전광역시 동구 우암로</t>
    </r>
    <r>
      <rPr>
        <sz val="10"/>
        <rFont val="돋움"/>
        <family val="3"/>
        <charset val="129"/>
      </rPr>
      <t xml:space="preserve">326</t>
    </r>
    <r>
      <rPr>
        <sz val="10"/>
        <rFont val="DejaVu Sans"/>
        <family val="2"/>
      </rPr>
      <t xml:space="preserve">번길</t>
    </r>
    <r>
      <rPr>
        <sz val="10"/>
        <rFont val="돋움"/>
        <family val="3"/>
        <charset val="129"/>
      </rPr>
      <t xml:space="preserve">57-1(</t>
    </r>
    <r>
      <rPr>
        <sz val="10"/>
        <rFont val="DejaVu Sans"/>
        <family val="2"/>
      </rPr>
      <t xml:space="preserve">가양동</t>
    </r>
    <r>
      <rPr>
        <sz val="10"/>
        <rFont val="돋움"/>
        <family val="3"/>
        <charset val="129"/>
      </rPr>
      <t xml:space="preserve">)</t>
    </r>
  </si>
  <si>
    <t xml:space="preserve">356-1497-0677-43</t>
  </si>
  <si>
    <t xml:space="preserve">010-8623-6218</t>
  </si>
  <si>
    <t xml:space="preserve">34506</t>
  </si>
  <si>
    <t xml:space="preserve">정일흥</t>
  </si>
  <si>
    <t xml:space="preserve">600605-1384810</t>
  </si>
  <si>
    <r>
      <rPr>
        <sz val="10"/>
        <rFont val="DejaVu Sans"/>
        <family val="2"/>
      </rPr>
      <t xml:space="preserve">충북 옥천군 교서면 원전</t>
    </r>
    <r>
      <rPr>
        <sz val="10"/>
        <rFont val="돋움"/>
        <family val="3"/>
        <charset val="129"/>
      </rPr>
      <t xml:space="preserve">2</t>
    </r>
    <r>
      <rPr>
        <sz val="10"/>
        <rFont val="DejaVu Sans"/>
        <family val="2"/>
      </rPr>
      <t xml:space="preserve">길</t>
    </r>
    <r>
      <rPr>
        <sz val="10"/>
        <rFont val="돋움"/>
        <family val="3"/>
        <charset val="129"/>
      </rPr>
      <t xml:space="preserve">86-9</t>
    </r>
  </si>
  <si>
    <t xml:space="preserve">352-1559-7324-93</t>
  </si>
  <si>
    <t xml:space="preserve">010-8843-0512</t>
  </si>
  <si>
    <t xml:space="preserve">곽태</t>
  </si>
  <si>
    <t xml:space="preserve">551001-1448815</t>
  </si>
  <si>
    <r>
      <rPr>
        <sz val="10"/>
        <rFont val="DejaVu Sans"/>
        <family val="2"/>
      </rPr>
      <t xml:space="preserve">충북 옥천군 옥천읍 중앙로</t>
    </r>
    <r>
      <rPr>
        <sz val="10"/>
        <rFont val="돋움"/>
        <family val="3"/>
        <charset val="129"/>
      </rPr>
      <t xml:space="preserve">1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6-4602</t>
    </r>
    <r>
      <rPr>
        <sz val="10"/>
        <rFont val="DejaVu Sans"/>
        <family val="2"/>
      </rPr>
      <t xml:space="preserve">호</t>
    </r>
  </si>
  <si>
    <t xml:space="preserve">356-1434-8325-93</t>
  </si>
  <si>
    <t xml:space="preserve">0106423-3895</t>
  </si>
  <si>
    <t xml:space="preserve">29037</t>
  </si>
  <si>
    <t xml:space="preserve">박세호</t>
  </si>
  <si>
    <t xml:space="preserve">641015-1386715</t>
  </si>
  <si>
    <r>
      <rPr>
        <sz val="10"/>
        <rFont val="DejaVu Sans"/>
        <family val="2"/>
      </rPr>
      <t xml:space="preserve">충북 영동군 영동읍 동정로 </t>
    </r>
    <r>
      <rPr>
        <sz val="10"/>
        <rFont val="돋움"/>
        <family val="3"/>
        <charset val="129"/>
      </rPr>
      <t xml:space="preserve">47,103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1303</t>
    </r>
    <r>
      <rPr>
        <sz val="10"/>
        <rFont val="DejaVu Sans"/>
        <family val="2"/>
      </rPr>
      <t xml:space="preserve">호</t>
    </r>
  </si>
  <si>
    <t xml:space="preserve">356-1193-1604-23</t>
  </si>
  <si>
    <t xml:space="preserve">010-3896-8077</t>
  </si>
  <si>
    <t xml:space="preserve">29140</t>
  </si>
  <si>
    <t xml:space="preserve">정홍길</t>
  </si>
  <si>
    <t xml:space="preserve">821112-1384119</t>
  </si>
  <si>
    <r>
      <rPr>
        <sz val="10"/>
        <rFont val="DejaVu Sans"/>
        <family val="2"/>
      </rPr>
      <t xml:space="preserve">충북 옥천군 옥천읍 대천길 </t>
    </r>
    <r>
      <rPr>
        <sz val="10"/>
        <rFont val="돋움"/>
        <family val="3"/>
        <charset val="129"/>
      </rPr>
      <t xml:space="preserve">159</t>
    </r>
  </si>
  <si>
    <t xml:space="preserve">302-8622-0879-11</t>
  </si>
  <si>
    <t xml:space="preserve">010-8622-0879</t>
  </si>
  <si>
    <t xml:space="preserve">29052</t>
  </si>
  <si>
    <t xml:space="preserve">백정숙</t>
  </si>
  <si>
    <t xml:space="preserve">550420-2789718</t>
  </si>
  <si>
    <r>
      <rPr>
        <sz val="10"/>
        <rFont val="DejaVu Sans"/>
        <family val="2"/>
      </rPr>
      <t xml:space="preserve">충북 옥천군 옥천읍 대천길 </t>
    </r>
    <r>
      <rPr>
        <sz val="10"/>
        <rFont val="돋움"/>
        <family val="3"/>
        <charset val="129"/>
      </rPr>
      <t xml:space="preserve">549</t>
    </r>
  </si>
  <si>
    <t xml:space="preserve">4614-09-003672-7</t>
  </si>
  <si>
    <t xml:space="preserve">010-8843-</t>
  </si>
  <si>
    <t xml:space="preserve">배태봉</t>
  </si>
  <si>
    <t xml:space="preserve">610303-1386748</t>
  </si>
  <si>
    <r>
      <rPr>
        <sz val="10"/>
        <rFont val="DejaVu Sans"/>
        <family val="2"/>
      </rPr>
      <t xml:space="preserve">충북 영동군 영동읍 당곡로</t>
    </r>
    <r>
      <rPr>
        <sz val="10"/>
        <rFont val="돋움"/>
        <family val="3"/>
        <charset val="129"/>
      </rPr>
      <t xml:space="preserve">14-1</t>
    </r>
  </si>
  <si>
    <t xml:space="preserve">300160-02-231942</t>
  </si>
  <si>
    <t xml:space="preserve">29128</t>
  </si>
  <si>
    <t xml:space="preserve">박재영</t>
  </si>
  <si>
    <t xml:space="preserve">굴삭기기사</t>
  </si>
  <si>
    <t xml:space="preserve">720815-1386721</t>
  </si>
  <si>
    <r>
      <rPr>
        <sz val="10"/>
        <rFont val="DejaVu Sans"/>
        <family val="2"/>
      </rPr>
      <t xml:space="preserve">충북 옥천군 옥천읍 문장로</t>
    </r>
    <r>
      <rPr>
        <sz val="10"/>
        <rFont val="돋움"/>
        <family val="3"/>
        <charset val="129"/>
      </rPr>
      <t xml:space="preserve">2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10, 304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503</t>
    </r>
    <r>
      <rPr>
        <sz val="10"/>
        <rFont val="DejaVu Sans"/>
        <family val="2"/>
      </rPr>
      <t xml:space="preserve">호</t>
    </r>
  </si>
  <si>
    <t xml:space="preserve">29040</t>
  </si>
  <si>
    <t xml:space="preserve">이관우</t>
  </si>
  <si>
    <t xml:space="preserve">590920-1383021</t>
  </si>
  <si>
    <r>
      <rPr>
        <sz val="10"/>
        <rFont val="DejaVu Sans"/>
        <family val="2"/>
      </rPr>
      <t xml:space="preserve">충북 보은군 보은읍 중초</t>
    </r>
    <r>
      <rPr>
        <sz val="10"/>
        <rFont val="돋움"/>
        <family val="3"/>
        <charset val="129"/>
      </rPr>
      <t xml:space="preserve">2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20</t>
    </r>
  </si>
  <si>
    <t xml:space="preserve">118012-00-9732</t>
  </si>
  <si>
    <t xml:space="preserve">010-5464-3462</t>
  </si>
  <si>
    <t xml:space="preserve">28917</t>
  </si>
  <si>
    <t xml:space="preserve">주문식</t>
  </si>
  <si>
    <t xml:space="preserve">650310-1392622</t>
  </si>
  <si>
    <r>
      <rPr>
        <sz val="10"/>
        <rFont val="DejaVu Sans"/>
        <family val="2"/>
      </rPr>
      <t xml:space="preserve">청주시 상당구 영운천로 </t>
    </r>
    <r>
      <rPr>
        <sz val="10"/>
        <rFont val="돋움"/>
        <family val="3"/>
        <charset val="129"/>
      </rPr>
      <t xml:space="preserve">187</t>
    </r>
    <r>
      <rPr>
        <sz val="10"/>
        <rFont val="DejaVu Sans"/>
        <family val="2"/>
      </rPr>
      <t xml:space="preserve">번길 </t>
    </r>
    <r>
      <rPr>
        <sz val="10"/>
        <rFont val="돋움"/>
        <family val="3"/>
        <charset val="129"/>
      </rPr>
      <t xml:space="preserve">7-5</t>
    </r>
  </si>
  <si>
    <t xml:space="preserve">주하정</t>
  </si>
  <si>
    <t xml:space="preserve">356-1247-9282-33</t>
  </si>
  <si>
    <t xml:space="preserve">28750</t>
  </si>
  <si>
    <t xml:space="preserve">최동수</t>
  </si>
  <si>
    <t xml:space="preserve">600824-1392617</t>
  </si>
  <si>
    <r>
      <rPr>
        <sz val="10"/>
        <rFont val="DejaVu Sans"/>
        <family val="2"/>
      </rPr>
      <t xml:space="preserve">충북 청주시 흥덕구 수곡동 </t>
    </r>
    <r>
      <rPr>
        <sz val="10"/>
        <rFont val="돋움"/>
        <family val="3"/>
        <charset val="129"/>
      </rPr>
      <t xml:space="preserve">34-23</t>
    </r>
    <r>
      <rPr>
        <sz val="10"/>
        <rFont val="DejaVu Sans"/>
        <family val="2"/>
      </rPr>
      <t xml:space="preserve">돌체빌라 나동</t>
    </r>
    <r>
      <rPr>
        <sz val="10"/>
        <rFont val="돋움"/>
        <family val="3"/>
        <charset val="129"/>
      </rPr>
      <t xml:space="preserve">102</t>
    </r>
    <r>
      <rPr>
        <sz val="10"/>
        <rFont val="DejaVu Sans"/>
        <family val="2"/>
      </rPr>
      <t xml:space="preserve">호</t>
    </r>
  </si>
  <si>
    <t xml:space="preserve">신한</t>
  </si>
  <si>
    <t xml:space="preserve">110-016-451351</t>
  </si>
  <si>
    <t xml:space="preserve">박종우</t>
  </si>
  <si>
    <t xml:space="preserve">620125-1350833</t>
  </si>
  <si>
    <r>
      <rPr>
        <sz val="10"/>
        <rFont val="DejaVu Sans"/>
        <family val="2"/>
      </rPr>
      <t xml:space="preserve">충북 청주시 상당구 용정로 </t>
    </r>
    <r>
      <rPr>
        <sz val="10"/>
        <rFont val="돋움"/>
        <family val="3"/>
        <charset val="129"/>
      </rPr>
      <t xml:space="preserve">38</t>
    </r>
    <r>
      <rPr>
        <sz val="10"/>
        <rFont val="DejaVu Sans"/>
        <family val="2"/>
      </rPr>
      <t xml:space="preserve">번길 </t>
    </r>
    <r>
      <rPr>
        <sz val="10"/>
        <rFont val="돋움"/>
        <family val="3"/>
        <charset val="129"/>
      </rPr>
      <t xml:space="preserve">27-23,204</t>
    </r>
    <r>
      <rPr>
        <sz val="10"/>
        <rFont val="DejaVu Sans"/>
        <family val="2"/>
      </rPr>
      <t xml:space="preserve">호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용정동</t>
    </r>
    <r>
      <rPr>
        <sz val="10"/>
        <rFont val="돋움"/>
        <family val="3"/>
        <charset val="129"/>
      </rPr>
      <t xml:space="preserve">)</t>
    </r>
  </si>
  <si>
    <t xml:space="preserve">401050-51-041386</t>
  </si>
  <si>
    <t xml:space="preserve">김용국</t>
  </si>
  <si>
    <t xml:space="preserve">590215-1455931</t>
  </si>
  <si>
    <r>
      <rPr>
        <sz val="10"/>
        <rFont val="DejaVu Sans"/>
        <family val="2"/>
      </rPr>
      <t xml:space="preserve">충북 청주시 청원구 주성로</t>
    </r>
    <r>
      <rPr>
        <sz val="10"/>
        <rFont val="돋움"/>
        <family val="3"/>
        <charset val="129"/>
      </rPr>
      <t xml:space="preserve">216,101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904</t>
    </r>
    <r>
      <rPr>
        <sz val="10"/>
        <rFont val="DejaVu Sans"/>
        <family val="2"/>
      </rPr>
      <t xml:space="preserve">호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율량동</t>
    </r>
    <r>
      <rPr>
        <sz val="10"/>
        <rFont val="돋움"/>
        <family val="3"/>
        <charset val="129"/>
      </rPr>
      <t xml:space="preserve">,</t>
    </r>
    <r>
      <rPr>
        <sz val="10"/>
        <rFont val="DejaVu Sans"/>
        <family val="2"/>
      </rPr>
      <t xml:space="preserve">재원</t>
    </r>
    <r>
      <rPr>
        <sz val="10"/>
        <rFont val="돋움"/>
        <family val="3"/>
        <charset val="129"/>
      </rPr>
      <t xml:space="preserve">@)</t>
    </r>
  </si>
  <si>
    <t xml:space="preserve">237097-56-122641</t>
  </si>
  <si>
    <t xml:space="preserve">김진태</t>
  </si>
  <si>
    <t xml:space="preserve">590227-1390025</t>
  </si>
  <si>
    <r>
      <rPr>
        <sz val="10"/>
        <rFont val="DejaVu Sans"/>
        <family val="2"/>
      </rPr>
      <t xml:space="preserve">충북 청주시청원구 새터로</t>
    </r>
    <r>
      <rPr>
        <sz val="10"/>
        <rFont val="돋움"/>
        <family val="3"/>
        <charset val="129"/>
      </rPr>
      <t xml:space="preserve">125</t>
    </r>
    <r>
      <rPr>
        <sz val="10"/>
        <rFont val="DejaVu Sans"/>
        <family val="2"/>
      </rPr>
      <t xml:space="preserve">번길 </t>
    </r>
    <r>
      <rPr>
        <sz val="10"/>
        <rFont val="돋움"/>
        <family val="3"/>
        <charset val="129"/>
      </rPr>
      <t xml:space="preserve">13-1.102</t>
    </r>
    <r>
      <rPr>
        <sz val="10"/>
        <rFont val="DejaVu Sans"/>
        <family val="2"/>
      </rPr>
      <t xml:space="preserve">호</t>
    </r>
  </si>
  <si>
    <t xml:space="preserve">110-350-519515</t>
  </si>
  <si>
    <t xml:space="preserve">이원우</t>
  </si>
  <si>
    <t xml:space="preserve">650901-1351416</t>
  </si>
  <si>
    <r>
      <rPr>
        <sz val="10"/>
        <rFont val="DejaVu Sans"/>
        <family val="2"/>
      </rPr>
      <t xml:space="preserve">충북 청주시 상당구 새터로</t>
    </r>
    <r>
      <rPr>
        <sz val="10"/>
        <rFont val="돋움"/>
        <family val="3"/>
        <charset val="129"/>
      </rPr>
      <t xml:space="preserve">73</t>
    </r>
    <r>
      <rPr>
        <sz val="10"/>
        <rFont val="DejaVu Sans"/>
        <family val="2"/>
      </rPr>
      <t xml:space="preserve">번길 </t>
    </r>
    <r>
      <rPr>
        <sz val="10"/>
        <rFont val="돋움"/>
        <family val="3"/>
        <charset val="129"/>
      </rPr>
      <t xml:space="preserve">17-1,(</t>
    </r>
    <r>
      <rPr>
        <sz val="10"/>
        <rFont val="DejaVu Sans"/>
        <family val="2"/>
      </rPr>
      <t xml:space="preserve">내덕동</t>
    </r>
    <r>
      <rPr>
        <sz val="10"/>
        <rFont val="돋움"/>
        <family val="3"/>
        <charset val="129"/>
      </rPr>
      <t xml:space="preserve">)</t>
    </r>
  </si>
  <si>
    <t xml:space="preserve">356-0421-8806-83</t>
  </si>
  <si>
    <t xml:space="preserve">우성식</t>
  </si>
  <si>
    <t xml:space="preserve">630108-1382116</t>
  </si>
  <si>
    <r>
      <rPr>
        <sz val="10"/>
        <rFont val="DejaVu Sans"/>
        <family val="2"/>
      </rPr>
      <t xml:space="preserve">충북 청주시 흥덕구 신율로</t>
    </r>
    <r>
      <rPr>
        <sz val="10"/>
        <rFont val="돋움"/>
        <family val="3"/>
        <charset val="129"/>
      </rPr>
      <t xml:space="preserve">145</t>
    </r>
    <r>
      <rPr>
        <sz val="10"/>
        <rFont val="DejaVu Sans"/>
        <family val="2"/>
      </rPr>
      <t xml:space="preserve">번길 </t>
    </r>
    <r>
      <rPr>
        <sz val="10"/>
        <rFont val="돋움"/>
        <family val="3"/>
        <charset val="129"/>
      </rPr>
      <t xml:space="preserve">24-5,101</t>
    </r>
    <r>
      <rPr>
        <sz val="10"/>
        <rFont val="DejaVu Sans"/>
        <family val="2"/>
      </rPr>
      <t xml:space="preserve">호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복대동</t>
    </r>
    <r>
      <rPr>
        <sz val="10"/>
        <rFont val="돋움"/>
        <family val="3"/>
        <charset val="129"/>
      </rPr>
      <t xml:space="preserve">)</t>
    </r>
  </si>
  <si>
    <t xml:space="preserve">211042-52-114865</t>
  </si>
  <si>
    <t xml:space="preserve">음희진</t>
  </si>
  <si>
    <t xml:space="preserve">591220-1392335</t>
  </si>
  <si>
    <r>
      <rPr>
        <sz val="10"/>
        <rFont val="DejaVu Sans"/>
        <family val="2"/>
      </rPr>
      <t xml:space="preserve">청주시 흥덕구 장구봉로</t>
    </r>
    <r>
      <rPr>
        <sz val="10"/>
        <rFont val="돋움"/>
        <family val="3"/>
        <charset val="129"/>
      </rPr>
      <t xml:space="preserve">101</t>
    </r>
    <r>
      <rPr>
        <sz val="10"/>
        <rFont val="DejaVu Sans"/>
        <family val="2"/>
      </rPr>
      <t xml:space="preserve">번길</t>
    </r>
    <r>
      <rPr>
        <sz val="10"/>
        <rFont val="돋움"/>
        <family val="3"/>
        <charset val="129"/>
      </rPr>
      <t xml:space="preserve">27, </t>
    </r>
    <r>
      <rPr>
        <sz val="10"/>
        <rFont val="DejaVu Sans"/>
        <family val="2"/>
      </rPr>
      <t xml:space="preserve">사랑동</t>
    </r>
    <r>
      <rPr>
        <sz val="10"/>
        <rFont val="돋움"/>
        <family val="3"/>
        <charset val="129"/>
      </rPr>
      <t xml:space="preserve">405</t>
    </r>
    <r>
      <rPr>
        <sz val="10"/>
        <rFont val="DejaVu Sans"/>
        <family val="2"/>
      </rPr>
      <t xml:space="preserve">호 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복대동</t>
    </r>
    <r>
      <rPr>
        <sz val="10"/>
        <rFont val="돋움"/>
        <family val="3"/>
        <charset val="129"/>
      </rPr>
      <t xml:space="preserve">,</t>
    </r>
    <r>
      <rPr>
        <sz val="10"/>
        <rFont val="DejaVu Sans"/>
        <family val="2"/>
      </rPr>
      <t xml:space="preserve">형석</t>
    </r>
    <r>
      <rPr>
        <sz val="10"/>
        <rFont val="돋움"/>
        <family val="3"/>
        <charset val="129"/>
      </rPr>
      <t xml:space="preserve">@)</t>
    </r>
  </si>
  <si>
    <t xml:space="preserve">401149-56-096884</t>
  </si>
  <si>
    <t xml:space="preserve">28607</t>
  </si>
  <si>
    <t xml:space="preserve">지창기</t>
  </si>
  <si>
    <t xml:space="preserve">울타리공</t>
  </si>
  <si>
    <t xml:space="preserve">681022-1446910</t>
  </si>
  <si>
    <r>
      <rPr>
        <sz val="10"/>
        <rFont val="DejaVu Sans"/>
        <family val="2"/>
      </rPr>
      <t xml:space="preserve">대전광역시 중구 대흥동 현대</t>
    </r>
    <r>
      <rPr>
        <sz val="10"/>
        <rFont val="돋움"/>
        <family val="3"/>
        <charset val="129"/>
      </rPr>
      <t xml:space="preserve">@ 7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1101</t>
    </r>
    <r>
      <rPr>
        <sz val="10"/>
        <rFont val="DejaVu Sans"/>
        <family val="2"/>
      </rPr>
      <t xml:space="preserve">호</t>
    </r>
  </si>
  <si>
    <t xml:space="preserve">34929</t>
  </si>
  <si>
    <r>
      <rPr>
        <sz val="10"/>
        <rFont val="DejaVu Sans"/>
        <family val="2"/>
      </rPr>
      <t xml:space="preserve">대전광역시 중구 대종로 </t>
    </r>
    <r>
      <rPr>
        <sz val="10"/>
        <rFont val="돋움"/>
        <family val="3"/>
        <charset val="129"/>
      </rPr>
      <t xml:space="preserve">425</t>
    </r>
  </si>
  <si>
    <t xml:space="preserve">김재수</t>
  </si>
  <si>
    <t xml:space="preserve">660202-1400210</t>
  </si>
  <si>
    <r>
      <rPr>
        <sz val="10"/>
        <rFont val="DejaVu Sans"/>
        <family val="2"/>
      </rPr>
      <t xml:space="preserve">전북 무주군 부남면 유동길 </t>
    </r>
    <r>
      <rPr>
        <sz val="10"/>
        <rFont val="돋움"/>
        <family val="3"/>
        <charset val="129"/>
      </rPr>
      <t xml:space="preserve">7-4</t>
    </r>
  </si>
  <si>
    <t xml:space="preserve">55501</t>
  </si>
  <si>
    <t xml:space="preserve">980615-1094810</t>
  </si>
  <si>
    <r>
      <rPr>
        <sz val="10"/>
        <rFont val="DejaVu Sans"/>
        <family val="2"/>
      </rPr>
      <t xml:space="preserve">전북 전주시  덕진구 명주</t>
    </r>
    <r>
      <rPr>
        <sz val="10"/>
        <rFont val="돋움"/>
        <family val="3"/>
        <charset val="129"/>
      </rPr>
      <t xml:space="preserve">5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41</t>
    </r>
  </si>
  <si>
    <t xml:space="preserve">우리</t>
  </si>
  <si>
    <t xml:space="preserve">1002763162620</t>
  </si>
  <si>
    <t xml:space="preserve">010-5738-4795</t>
  </si>
  <si>
    <t xml:space="preserve">54918</t>
  </si>
  <si>
    <t xml:space="preserve">이종호</t>
  </si>
  <si>
    <t xml:space="preserve">740211-1149313</t>
  </si>
  <si>
    <r>
      <rPr>
        <sz val="10"/>
        <rFont val="DejaVu Sans"/>
        <family val="2"/>
      </rPr>
      <t xml:space="preserve">인천시 연수구 옥련동 </t>
    </r>
    <r>
      <rPr>
        <sz val="10"/>
        <rFont val="돋움"/>
        <family val="3"/>
        <charset val="129"/>
      </rPr>
      <t xml:space="preserve">642-1</t>
    </r>
  </si>
  <si>
    <t xml:space="preserve">기업</t>
  </si>
  <si>
    <t xml:space="preserve">1064340831</t>
  </si>
  <si>
    <t xml:space="preserve">010-6434-0831</t>
  </si>
  <si>
    <t xml:space="preserve">21952</t>
  </si>
  <si>
    <r>
      <rPr>
        <sz val="10"/>
        <rFont val="DejaVu Sans"/>
        <family val="2"/>
      </rPr>
      <t xml:space="preserve">청주건설기계
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오근장지게차</t>
    </r>
    <r>
      <rPr>
        <sz val="10"/>
        <rFont val="돋움"/>
        <family val="3"/>
        <charset val="129"/>
      </rPr>
      <t xml:space="preserve">,</t>
    </r>
    <r>
      <rPr>
        <sz val="10"/>
        <rFont val="DejaVu Sans"/>
        <family val="2"/>
      </rPr>
      <t xml:space="preserve">공항지게차</t>
    </r>
    <r>
      <rPr>
        <sz val="10"/>
        <rFont val="돋움"/>
        <family val="3"/>
        <charset val="129"/>
      </rPr>
      <t xml:space="preserve">)</t>
    </r>
  </si>
  <si>
    <t xml:space="preserve">지게차</t>
  </si>
  <si>
    <t xml:space="preserve">490-40-00058</t>
  </si>
  <si>
    <r>
      <rPr>
        <sz val="10"/>
        <rFont val="DejaVu Sans"/>
        <family val="2"/>
      </rPr>
      <t xml:space="preserve">농협</t>
    </r>
    <r>
      <rPr>
        <sz val="10"/>
        <rFont val="돋움"/>
        <family val="3"/>
        <charset val="129"/>
      </rPr>
      <t xml:space="preserve">010-8574-3343-09</t>
    </r>
  </si>
  <si>
    <t xml:space="preserve">010-8574-3343-09</t>
  </si>
  <si>
    <t xml:space="preserve">010-8574-3343</t>
  </si>
  <si>
    <t xml:space="preserve">유상철</t>
  </si>
  <si>
    <t xml:space="preserve">780418-1411311</t>
  </si>
  <si>
    <r>
      <rPr>
        <sz val="10"/>
        <rFont val="DejaVu Sans"/>
        <family val="2"/>
      </rPr>
      <t xml:space="preserve">인청광역시 남동구 간석동 </t>
    </r>
    <r>
      <rPr>
        <sz val="10"/>
        <rFont val="돋움"/>
        <family val="3"/>
        <charset val="129"/>
      </rPr>
      <t xml:space="preserve">188-7 203</t>
    </r>
    <r>
      <rPr>
        <sz val="10"/>
        <rFont val="DejaVu Sans"/>
        <family val="2"/>
      </rPr>
      <t xml:space="preserve">호</t>
    </r>
  </si>
  <si>
    <t xml:space="preserve">3020703001141</t>
  </si>
  <si>
    <t xml:space="preserve">010-8997-4235</t>
  </si>
  <si>
    <t xml:space="preserve">박건진</t>
  </si>
  <si>
    <t xml:space="preserve">730926-1182618</t>
  </si>
  <si>
    <r>
      <rPr>
        <sz val="10"/>
        <rFont val="DejaVu Sans"/>
        <family val="2"/>
      </rPr>
      <t xml:space="preserve">인천시 연수구 옥련동 </t>
    </r>
    <r>
      <rPr>
        <sz val="10"/>
        <rFont val="돋움"/>
        <family val="3"/>
        <charset val="129"/>
      </rPr>
      <t xml:space="preserve">642-139</t>
    </r>
  </si>
  <si>
    <t xml:space="preserve">110531618208</t>
  </si>
  <si>
    <t xml:space="preserve">010-2520-9629</t>
  </si>
  <si>
    <t xml:space="preserve">14473</t>
  </si>
  <si>
    <t xml:space="preserve">김도운</t>
  </si>
  <si>
    <t xml:space="preserve">980424-1042216</t>
  </si>
  <si>
    <r>
      <rPr>
        <sz val="10"/>
        <rFont val="DejaVu Sans"/>
        <family val="2"/>
      </rPr>
      <t xml:space="preserve">경기도 부천시 삼적로 </t>
    </r>
    <r>
      <rPr>
        <sz val="10"/>
        <rFont val="돋움"/>
        <family val="3"/>
        <charset val="129"/>
      </rPr>
      <t xml:space="preserve">395</t>
    </r>
    <r>
      <rPr>
        <sz val="10"/>
        <rFont val="DejaVu Sans"/>
        <family val="2"/>
      </rPr>
      <t xml:space="preserve">번길</t>
    </r>
    <r>
      <rPr>
        <sz val="10"/>
        <rFont val="돋움"/>
        <family val="3"/>
        <charset val="129"/>
      </rPr>
      <t xml:space="preserve">8 502</t>
    </r>
    <r>
      <rPr>
        <sz val="10"/>
        <rFont val="DejaVu Sans"/>
        <family val="2"/>
      </rPr>
      <t xml:space="preserve">호</t>
    </r>
  </si>
  <si>
    <t xml:space="preserve">카카오뱅크</t>
  </si>
  <si>
    <t xml:space="preserve">3333-16-5110770</t>
  </si>
  <si>
    <t xml:space="preserve">010-4856-8783</t>
  </si>
  <si>
    <t xml:space="preserve">15805</t>
  </si>
  <si>
    <t xml:space="preserve">최진영</t>
  </si>
  <si>
    <t xml:space="preserve">830808-1273513</t>
  </si>
  <si>
    <r>
      <rPr>
        <sz val="10"/>
        <rFont val="DejaVu Sans"/>
        <family val="2"/>
      </rPr>
      <t xml:space="preserve">경기도 군포시 군포로 </t>
    </r>
    <r>
      <rPr>
        <sz val="10"/>
        <rFont val="돋움"/>
        <family val="3"/>
        <charset val="129"/>
      </rPr>
      <t xml:space="preserve">767</t>
    </r>
    <r>
      <rPr>
        <sz val="10"/>
        <rFont val="DejaVu Sans"/>
        <family val="2"/>
      </rPr>
      <t xml:space="preserve">번길 </t>
    </r>
    <r>
      <rPr>
        <sz val="10"/>
        <rFont val="돋움"/>
        <family val="3"/>
        <charset val="129"/>
      </rPr>
      <t xml:space="preserve">35 </t>
    </r>
  </si>
  <si>
    <t xml:space="preserve">110309789591</t>
  </si>
  <si>
    <t xml:space="preserve">010-2537-9954</t>
  </si>
  <si>
    <t xml:space="preserve">조영준</t>
  </si>
  <si>
    <t xml:space="preserve">890115-1673921</t>
  </si>
  <si>
    <r>
      <rPr>
        <sz val="10"/>
        <rFont val="DejaVu Sans"/>
        <family val="2"/>
      </rPr>
      <t xml:space="preserve">대구광역시 달서구 상화로</t>
    </r>
    <r>
      <rPr>
        <sz val="10"/>
        <rFont val="돋움"/>
        <family val="3"/>
        <charset val="129"/>
      </rPr>
      <t xml:space="preserve">373.202</t>
    </r>
    <r>
      <rPr>
        <sz val="10"/>
        <rFont val="DejaVu Sans"/>
        <family val="2"/>
      </rPr>
      <t xml:space="preserve">동</t>
    </r>
    <r>
      <rPr>
        <sz val="10"/>
        <rFont val="돋움"/>
        <family val="3"/>
        <charset val="129"/>
      </rPr>
      <t xml:space="preserve">214</t>
    </r>
    <r>
      <rPr>
        <sz val="10"/>
        <rFont val="DejaVu Sans"/>
        <family val="2"/>
      </rPr>
      <t xml:space="preserve">호</t>
    </r>
  </si>
  <si>
    <t xml:space="preserve">대구</t>
  </si>
  <si>
    <t xml:space="preserve">508116402427</t>
  </si>
  <si>
    <t xml:space="preserve">010-2523-2611</t>
  </si>
  <si>
    <t xml:space="preserve">정해용</t>
  </si>
  <si>
    <t xml:space="preserve">880309-1144517</t>
  </si>
  <si>
    <r>
      <rPr>
        <sz val="10"/>
        <rFont val="DejaVu Sans"/>
        <family val="2"/>
      </rPr>
      <t xml:space="preserve">인천광역시시 미추홀구 도화동 </t>
    </r>
    <r>
      <rPr>
        <sz val="10"/>
        <rFont val="돋움"/>
        <family val="3"/>
        <charset val="129"/>
      </rPr>
      <t xml:space="preserve">6-26</t>
    </r>
  </si>
  <si>
    <t xml:space="preserve">722125-95-102456</t>
  </si>
  <si>
    <t xml:space="preserve">박동호</t>
  </si>
  <si>
    <t xml:space="preserve">740123-1150216</t>
  </si>
  <si>
    <r>
      <rPr>
        <sz val="10"/>
        <rFont val="DejaVu Sans"/>
        <family val="2"/>
      </rPr>
      <t xml:space="preserve">인천광역시 연수구 학나래로</t>
    </r>
    <r>
      <rPr>
        <sz val="10"/>
        <rFont val="돋움"/>
        <family val="3"/>
        <charset val="129"/>
      </rPr>
      <t xml:space="preserve">34, 101</t>
    </r>
    <r>
      <rPr>
        <sz val="10"/>
        <rFont val="DejaVu Sans"/>
        <family val="2"/>
      </rPr>
      <t xml:space="preserve">동</t>
    </r>
    <r>
      <rPr>
        <sz val="10"/>
        <rFont val="돋움"/>
        <family val="3"/>
        <charset val="129"/>
      </rPr>
      <t xml:space="preserve">501</t>
    </r>
    <r>
      <rPr>
        <sz val="10"/>
        <rFont val="DejaVu Sans"/>
        <family val="2"/>
      </rPr>
      <t xml:space="preserve">호</t>
    </r>
  </si>
  <si>
    <t xml:space="preserve">110388363575</t>
  </si>
  <si>
    <t xml:space="preserve">이동헌</t>
  </si>
  <si>
    <t xml:space="preserve">900614-1674812</t>
  </si>
  <si>
    <r>
      <rPr>
        <sz val="10"/>
        <rFont val="DejaVu Sans"/>
        <family val="2"/>
      </rPr>
      <t xml:space="preserve">인천광역시 부평구 부평대로 </t>
    </r>
    <r>
      <rPr>
        <sz val="10"/>
        <rFont val="돋움"/>
        <family val="3"/>
        <charset val="129"/>
      </rPr>
      <t xml:space="preserve">95</t>
    </r>
  </si>
  <si>
    <t xml:space="preserve">9002172373929</t>
  </si>
  <si>
    <t xml:space="preserve">010-4682-4812</t>
  </si>
  <si>
    <t xml:space="preserve">21379</t>
  </si>
  <si>
    <t xml:space="preserve">김경윤</t>
  </si>
  <si>
    <t xml:space="preserve">지봉수</t>
  </si>
  <si>
    <t xml:space="preserve">871003-</t>
  </si>
  <si>
    <r>
      <rPr>
        <sz val="10"/>
        <rFont val="DejaVu Sans"/>
        <family val="2"/>
      </rPr>
      <t xml:space="preserve">충북 증평군 도안면 탑골길 </t>
    </r>
    <r>
      <rPr>
        <sz val="10"/>
        <rFont val="돋움"/>
        <family val="3"/>
        <charset val="129"/>
      </rPr>
      <t xml:space="preserve">1-22</t>
    </r>
  </si>
  <si>
    <t xml:space="preserve">27901</t>
  </si>
  <si>
    <t xml:space="preserve">이기영</t>
  </si>
  <si>
    <t xml:space="preserve">580824-1390815</t>
  </si>
  <si>
    <r>
      <rPr>
        <sz val="10"/>
        <rFont val="DejaVu Sans"/>
        <family val="2"/>
      </rPr>
      <t xml:space="preserve">충청북도 증평군 도안면 탑골길 </t>
    </r>
    <r>
      <rPr>
        <sz val="10"/>
        <rFont val="돋움"/>
        <family val="3"/>
        <charset val="129"/>
      </rPr>
      <t xml:space="preserve">1-22</t>
    </r>
  </si>
  <si>
    <t xml:space="preserve">삼일용역</t>
  </si>
  <si>
    <t xml:space="preserve">010-9345-3633</t>
  </si>
  <si>
    <t xml:space="preserve">조남부</t>
  </si>
  <si>
    <t xml:space="preserve">600417-1458432</t>
  </si>
  <si>
    <r>
      <rPr>
        <sz val="10"/>
        <rFont val="DejaVu Sans"/>
        <family val="2"/>
      </rPr>
      <t xml:space="preserve">충북 청원군 낭성면 관정길 </t>
    </r>
    <r>
      <rPr>
        <sz val="10"/>
        <rFont val="돋움"/>
        <family val="3"/>
        <charset val="129"/>
      </rPr>
      <t xml:space="preserve">180-1</t>
    </r>
  </si>
  <si>
    <t xml:space="preserve">28194</t>
  </si>
  <si>
    <t xml:space="preserve">임종길</t>
  </si>
  <si>
    <t xml:space="preserve">611204-1346019</t>
  </si>
  <si>
    <r>
      <rPr>
        <sz val="10"/>
        <rFont val="DejaVu Sans"/>
        <family val="2"/>
      </rPr>
      <t xml:space="preserve">경상남도 고성군 거류면 화당</t>
    </r>
    <r>
      <rPr>
        <sz val="10"/>
        <rFont val="돋움"/>
        <family val="3"/>
        <charset val="129"/>
      </rPr>
      <t xml:space="preserve">2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21-10</t>
    </r>
  </si>
  <si>
    <t xml:space="preserve">52926</t>
  </si>
  <si>
    <t xml:space="preserve">윤덕근</t>
  </si>
  <si>
    <t xml:space="preserve">620209-1390912</t>
  </si>
  <si>
    <r>
      <rPr>
        <sz val="10"/>
        <rFont val="DejaVu Sans"/>
        <family val="2"/>
      </rPr>
      <t xml:space="preserve">충청북도 증평군 증평읍 송산로</t>
    </r>
    <r>
      <rPr>
        <sz val="10"/>
        <rFont val="돋움"/>
        <family val="3"/>
        <charset val="129"/>
      </rPr>
      <t xml:space="preserve">4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14,305</t>
    </r>
    <r>
      <rPr>
        <sz val="10"/>
        <rFont val="DejaVu Sans"/>
        <family val="2"/>
      </rPr>
      <t xml:space="preserve">동</t>
    </r>
  </si>
  <si>
    <t xml:space="preserve">010-5498-6461</t>
  </si>
  <si>
    <t xml:space="preserve">27917</t>
  </si>
  <si>
    <t xml:space="preserve">김상만</t>
  </si>
  <si>
    <t xml:space="preserve">730115-1781625</t>
  </si>
  <si>
    <r>
      <rPr>
        <sz val="10"/>
        <rFont val="DejaVu Sans"/>
        <family val="2"/>
      </rPr>
      <t xml:space="preserve">울산광역시 동구 대송</t>
    </r>
    <r>
      <rPr>
        <sz val="10"/>
        <rFont val="돋움"/>
        <family val="3"/>
        <charset val="129"/>
      </rPr>
      <t xml:space="preserve">3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63</t>
    </r>
  </si>
  <si>
    <t xml:space="preserve">44062</t>
  </si>
  <si>
    <t xml:space="preserve">이주은</t>
  </si>
  <si>
    <t xml:space="preserve">930109-2409915</t>
  </si>
  <si>
    <r>
      <rPr>
        <sz val="10"/>
        <rFont val="DejaVu Sans"/>
        <family val="2"/>
      </rPr>
      <t xml:space="preserve">대전광역시 서구 도솔로 </t>
    </r>
    <r>
      <rPr>
        <sz val="10"/>
        <rFont val="돋움"/>
        <family val="3"/>
        <charset val="129"/>
      </rPr>
      <t xml:space="preserve">324-5(</t>
    </r>
    <r>
      <rPr>
        <sz val="10"/>
        <rFont val="DejaVu Sans"/>
        <family val="2"/>
      </rPr>
      <t xml:space="preserve">괴정동</t>
    </r>
    <r>
      <rPr>
        <sz val="10"/>
        <rFont val="돋움"/>
        <family val="3"/>
        <charset val="129"/>
      </rPr>
      <t xml:space="preserve">)</t>
    </r>
  </si>
  <si>
    <t xml:space="preserve">35295</t>
  </si>
  <si>
    <t xml:space="preserve">김정태</t>
  </si>
  <si>
    <t xml:space="preserve">650104-1380821</t>
  </si>
  <si>
    <r>
      <rPr>
        <sz val="10"/>
        <rFont val="DejaVu Sans"/>
        <family val="2"/>
      </rPr>
      <t xml:space="preserve">충청북도 청주시 청원구 오창읍 여천</t>
    </r>
    <r>
      <rPr>
        <sz val="10"/>
        <rFont val="돋움"/>
        <family val="3"/>
        <charset val="129"/>
      </rPr>
      <t xml:space="preserve">2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22-5</t>
    </r>
  </si>
  <si>
    <t xml:space="preserve">28127</t>
  </si>
  <si>
    <t xml:space="preserve">윤희주</t>
  </si>
  <si>
    <t xml:space="preserve">520112-1621913</t>
  </si>
  <si>
    <r>
      <rPr>
        <sz val="10"/>
        <rFont val="DejaVu Sans"/>
        <family val="2"/>
      </rPr>
      <t xml:space="preserve">충북 증평군 증평읍 쇠마루</t>
    </r>
    <r>
      <rPr>
        <sz val="10"/>
        <rFont val="돋움"/>
        <family val="3"/>
        <charset val="129"/>
      </rPr>
      <t xml:space="preserve">1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45</t>
    </r>
  </si>
  <si>
    <t xml:space="preserve">27913</t>
  </si>
  <si>
    <t xml:space="preserve">최성학</t>
  </si>
  <si>
    <t xml:space="preserve">630111-1268111</t>
  </si>
  <si>
    <r>
      <rPr>
        <sz val="10"/>
        <rFont val="DejaVu Sans"/>
        <family val="2"/>
      </rPr>
      <t xml:space="preserve">충북 음성군 설성로 </t>
    </r>
    <r>
      <rPr>
        <sz val="10"/>
        <rFont val="돋움"/>
        <family val="3"/>
        <charset val="129"/>
      </rPr>
      <t xml:space="preserve">2</t>
    </r>
  </si>
  <si>
    <t xml:space="preserve">정복용</t>
  </si>
  <si>
    <t xml:space="preserve">651210-1337113</t>
  </si>
  <si>
    <r>
      <rPr>
        <sz val="10"/>
        <rFont val="DejaVu Sans"/>
        <family val="2"/>
      </rPr>
      <t xml:space="preserve">강원도 화천군 간동면 오음리 오동나무길</t>
    </r>
    <r>
      <rPr>
        <sz val="10"/>
        <rFont val="돋움"/>
        <family val="3"/>
        <charset val="129"/>
      </rPr>
      <t xml:space="preserve">8-9</t>
    </r>
  </si>
  <si>
    <t xml:space="preserve">24137</t>
  </si>
  <si>
    <t xml:space="preserve">정인섭</t>
  </si>
  <si>
    <t xml:space="preserve">610720-1452816</t>
  </si>
  <si>
    <r>
      <rPr>
        <sz val="10"/>
        <rFont val="DejaVu Sans"/>
        <family val="2"/>
      </rPr>
      <t xml:space="preserve">충북 증평군 증평읍 삼보로</t>
    </r>
    <r>
      <rPr>
        <sz val="10"/>
        <rFont val="돋움"/>
        <family val="3"/>
        <charset val="129"/>
      </rPr>
      <t xml:space="preserve">1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21, 104</t>
    </r>
    <r>
      <rPr>
        <sz val="10"/>
        <rFont val="DejaVu Sans"/>
        <family val="2"/>
      </rPr>
      <t xml:space="preserve">동</t>
    </r>
    <r>
      <rPr>
        <sz val="10"/>
        <rFont val="돋움"/>
        <family val="3"/>
        <charset val="129"/>
      </rPr>
      <t xml:space="preserve">110</t>
    </r>
    <r>
      <rPr>
        <sz val="10"/>
        <rFont val="DejaVu Sans"/>
        <family val="2"/>
      </rPr>
      <t xml:space="preserve">호</t>
    </r>
  </si>
  <si>
    <t xml:space="preserve">27928</t>
  </si>
  <si>
    <t xml:space="preserve">연제선</t>
  </si>
  <si>
    <t xml:space="preserve">880417-1390814</t>
  </si>
  <si>
    <r>
      <rPr>
        <sz val="10"/>
        <rFont val="DejaVu Sans"/>
        <family val="2"/>
      </rPr>
      <t xml:space="preserve">충북 증평군 증평읍 송산로 </t>
    </r>
    <r>
      <rPr>
        <sz val="10"/>
        <rFont val="돋움"/>
        <family val="3"/>
        <charset val="129"/>
      </rPr>
      <t xml:space="preserve">53 </t>
    </r>
    <r>
      <rPr>
        <sz val="10"/>
        <rFont val="DejaVu Sans"/>
        <family val="2"/>
      </rPr>
      <t xml:space="preserve">휴먼시아</t>
    </r>
    <r>
      <rPr>
        <sz val="10"/>
        <rFont val="돋움"/>
        <family val="3"/>
        <charset val="129"/>
      </rPr>
      <t xml:space="preserve">@</t>
    </r>
  </si>
  <si>
    <t xml:space="preserve">27918</t>
  </si>
  <si>
    <t xml:space="preserve">이기범</t>
  </si>
  <si>
    <t xml:space="preserve">840608-1227411</t>
  </si>
  <si>
    <r>
      <rPr>
        <sz val="10"/>
        <rFont val="DejaVu Sans"/>
        <family val="2"/>
      </rPr>
      <t xml:space="preserve">경기도 평택시 세교동 </t>
    </r>
    <r>
      <rPr>
        <sz val="10"/>
        <rFont val="돋움"/>
        <family val="3"/>
        <charset val="129"/>
      </rPr>
      <t xml:space="preserve">560, </t>
    </r>
    <r>
      <rPr>
        <sz val="10"/>
        <rFont val="DejaVu Sans"/>
        <family val="2"/>
      </rPr>
      <t xml:space="preserve">향촌현대아파트</t>
    </r>
  </si>
  <si>
    <t xml:space="preserve">17832</t>
  </si>
  <si>
    <t xml:space="preserve">신기호</t>
  </si>
  <si>
    <t xml:space="preserve">740917-1390110</t>
  </si>
  <si>
    <r>
      <rPr>
        <sz val="10"/>
        <rFont val="DejaVu Sans"/>
        <family val="2"/>
      </rPr>
      <t xml:space="preserve">충북 청주시 청원구 오창읍 양천</t>
    </r>
    <r>
      <rPr>
        <sz val="10"/>
        <rFont val="돋움"/>
        <family val="3"/>
        <charset val="129"/>
      </rPr>
      <t xml:space="preserve">6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4-10 104</t>
    </r>
    <r>
      <rPr>
        <sz val="10"/>
        <rFont val="DejaVu Sans"/>
        <family val="2"/>
      </rPr>
      <t xml:space="preserve">호</t>
    </r>
  </si>
  <si>
    <t xml:space="preserve">28116</t>
  </si>
  <si>
    <t xml:space="preserve">한승태</t>
  </si>
  <si>
    <t xml:space="preserve">560216-1390811</t>
  </si>
  <si>
    <r>
      <rPr>
        <sz val="10"/>
        <rFont val="DejaVu Sans"/>
        <family val="2"/>
      </rPr>
      <t xml:space="preserve">충북 증평군 도안면 백암길 </t>
    </r>
    <r>
      <rPr>
        <sz val="10"/>
        <rFont val="돋움"/>
        <family val="3"/>
        <charset val="129"/>
      </rPr>
      <t xml:space="preserve">31-10</t>
    </r>
  </si>
  <si>
    <t xml:space="preserve">한만선</t>
  </si>
  <si>
    <t xml:space="preserve">600709-1398411</t>
  </si>
  <si>
    <r>
      <rPr>
        <sz val="10"/>
        <rFont val="DejaVu Sans"/>
        <family val="2"/>
      </rPr>
      <t xml:space="preserve">대전광영시유성구유성대로</t>
    </r>
    <r>
      <rPr>
        <sz val="10"/>
        <rFont val="돋움"/>
        <family val="3"/>
        <charset val="129"/>
      </rPr>
      <t xml:space="preserve">668</t>
    </r>
    <r>
      <rPr>
        <sz val="10"/>
        <rFont val="DejaVu Sans"/>
        <family val="2"/>
      </rPr>
      <t xml:space="preserve">번길</t>
    </r>
    <r>
      <rPr>
        <sz val="10"/>
        <rFont val="돋움"/>
        <family val="3"/>
        <charset val="129"/>
      </rPr>
      <t xml:space="preserve">64 301</t>
    </r>
    <r>
      <rPr>
        <sz val="10"/>
        <rFont val="DejaVu Sans"/>
        <family val="2"/>
      </rPr>
      <t xml:space="preserve">호</t>
    </r>
  </si>
  <si>
    <t xml:space="preserve">정수용</t>
  </si>
  <si>
    <t xml:space="preserve">610528-1390511</t>
  </si>
  <si>
    <r>
      <rPr>
        <sz val="10"/>
        <rFont val="DejaVu Sans"/>
        <family val="2"/>
      </rPr>
      <t xml:space="preserve">충청북도 증평군 증평읍 광장로 </t>
    </r>
    <r>
      <rPr>
        <sz val="10"/>
        <rFont val="돋움"/>
        <family val="3"/>
        <charset val="129"/>
      </rPr>
      <t xml:space="preserve">534 (</t>
    </r>
    <r>
      <rPr>
        <sz val="10"/>
        <rFont val="DejaVu Sans"/>
        <family val="2"/>
      </rPr>
      <t xml:space="preserve">서호</t>
    </r>
    <r>
      <rPr>
        <sz val="10"/>
        <rFont val="돋움"/>
        <family val="3"/>
        <charset val="129"/>
      </rPr>
      <t xml:space="preserve">e</t>
    </r>
    <r>
      <rPr>
        <sz val="10"/>
        <rFont val="DejaVu Sans"/>
        <family val="2"/>
      </rPr>
      <t xml:space="preserve">타운아파트</t>
    </r>
    <r>
      <rPr>
        <sz val="10"/>
        <rFont val="돋움"/>
        <family val="3"/>
        <charset val="129"/>
      </rPr>
      <t xml:space="preserve">)</t>
    </r>
  </si>
  <si>
    <r>
      <rPr>
        <sz val="10"/>
        <rFont val="DejaVu Sans"/>
        <family val="2"/>
      </rPr>
      <t xml:space="preserve">충북증평군증평읍용강리</t>
    </r>
    <r>
      <rPr>
        <sz val="10"/>
        <rFont val="돋움"/>
        <family val="3"/>
        <charset val="129"/>
      </rPr>
      <t xml:space="preserve">35</t>
    </r>
    <r>
      <rPr>
        <sz val="10"/>
        <rFont val="DejaVu Sans"/>
        <family val="2"/>
      </rPr>
      <t xml:space="preserve">서호</t>
    </r>
    <r>
      <rPr>
        <sz val="10"/>
        <rFont val="돋움"/>
        <family val="3"/>
        <charset val="129"/>
      </rPr>
      <t xml:space="preserve">@506</t>
    </r>
    <r>
      <rPr>
        <sz val="10"/>
        <rFont val="DejaVu Sans"/>
        <family val="2"/>
      </rPr>
      <t xml:space="preserve">호</t>
    </r>
  </si>
  <si>
    <t xml:space="preserve">한상원</t>
  </si>
  <si>
    <t xml:space="preserve">700225-1390926</t>
  </si>
  <si>
    <r>
      <rPr>
        <sz val="10"/>
        <rFont val="DejaVu Sans"/>
        <family val="2"/>
      </rPr>
      <t xml:space="preserve">충청북도 괴산군 사리면 방축리 </t>
    </r>
    <r>
      <rPr>
        <sz val="10"/>
        <rFont val="돋움"/>
        <family val="3"/>
        <charset val="129"/>
      </rPr>
      <t xml:space="preserve">768-130</t>
    </r>
  </si>
  <si>
    <t xml:space="preserve">정문기</t>
  </si>
  <si>
    <t xml:space="preserve">670101-1926014</t>
  </si>
  <si>
    <r>
      <rPr>
        <sz val="10"/>
        <rFont val="DejaVu Sans"/>
        <family val="2"/>
      </rPr>
      <t xml:space="preserve">경기도 김포시 대곶면 대곶서로 </t>
    </r>
    <r>
      <rPr>
        <sz val="10"/>
        <rFont val="돋움"/>
        <family val="3"/>
        <charset val="129"/>
      </rPr>
      <t xml:space="preserve">234</t>
    </r>
    <r>
      <rPr>
        <sz val="10"/>
        <rFont val="DejaVu Sans"/>
        <family val="2"/>
      </rPr>
      <t xml:space="preserve">번길 </t>
    </r>
    <r>
      <rPr>
        <sz val="10"/>
        <rFont val="돋움"/>
        <family val="3"/>
        <charset val="129"/>
      </rPr>
      <t xml:space="preserve">52-16</t>
    </r>
  </si>
  <si>
    <t xml:space="preserve">최영수</t>
  </si>
  <si>
    <t xml:space="preserve">770131-1390916</t>
  </si>
  <si>
    <r>
      <rPr>
        <sz val="10"/>
        <rFont val="DejaVu Sans"/>
        <family val="2"/>
      </rPr>
      <t xml:space="preserve">증평군 증평읍 충청대로 </t>
    </r>
    <r>
      <rPr>
        <sz val="10"/>
        <rFont val="돋움"/>
        <family val="3"/>
        <charset val="129"/>
      </rPr>
      <t xml:space="preserve">1746,105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102</t>
    </r>
    <r>
      <rPr>
        <sz val="10"/>
        <rFont val="DejaVu Sans"/>
        <family val="2"/>
      </rPr>
      <t xml:space="preserve">호 </t>
    </r>
  </si>
  <si>
    <t xml:space="preserve">이권희</t>
  </si>
  <si>
    <t xml:space="preserve">600920-1390816</t>
  </si>
  <si>
    <r>
      <rPr>
        <sz val="10"/>
        <rFont val="DejaVu Sans"/>
        <family val="2"/>
      </rPr>
      <t xml:space="preserve">충북 증평군 도안면 도당리 </t>
    </r>
    <r>
      <rPr>
        <sz val="10"/>
        <rFont val="돋움"/>
        <family val="3"/>
        <charset val="129"/>
      </rPr>
      <t xml:space="preserve">131</t>
    </r>
  </si>
  <si>
    <r>
      <rPr>
        <sz val="10"/>
        <rFont val="DejaVu Sans"/>
        <family val="2"/>
      </rPr>
      <t xml:space="preserve">충북증평군 도안면 도당리 </t>
    </r>
    <r>
      <rPr>
        <sz val="10"/>
        <rFont val="돋움"/>
        <family val="3"/>
        <charset val="129"/>
      </rPr>
      <t xml:space="preserve">131</t>
    </r>
  </si>
  <si>
    <t xml:space="preserve">연영수</t>
  </si>
  <si>
    <t xml:space="preserve">610228-1390814</t>
  </si>
  <si>
    <r>
      <rPr>
        <sz val="10"/>
        <rFont val="DejaVu Sans"/>
        <family val="2"/>
      </rPr>
      <t xml:space="preserve">충북 증평군 증평읍 진지내</t>
    </r>
    <r>
      <rPr>
        <sz val="10"/>
        <rFont val="돋움"/>
        <family val="3"/>
        <charset val="129"/>
      </rPr>
      <t xml:space="preserve">1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21, 3</t>
    </r>
    <r>
      <rPr>
        <sz val="10"/>
        <rFont val="DejaVu Sans"/>
        <family val="2"/>
      </rPr>
      <t xml:space="preserve">호</t>
    </r>
  </si>
  <si>
    <t xml:space="preserve">27933</t>
  </si>
  <si>
    <t xml:space="preserve">정규성</t>
  </si>
  <si>
    <t xml:space="preserve">721023-1904418</t>
  </si>
  <si>
    <r>
      <rPr>
        <sz val="10"/>
        <rFont val="DejaVu Sans"/>
        <family val="2"/>
      </rPr>
      <t xml:space="preserve">울산광역시 울주군 삼남면 서향교</t>
    </r>
    <r>
      <rPr>
        <sz val="10"/>
        <rFont val="돋움"/>
        <family val="3"/>
        <charset val="129"/>
      </rPr>
      <t xml:space="preserve">1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59-9</t>
    </r>
  </si>
  <si>
    <t xml:space="preserve">이승태</t>
  </si>
  <si>
    <t xml:space="preserve">760221-1537211</t>
  </si>
  <si>
    <r>
      <rPr>
        <sz val="10"/>
        <rFont val="DejaVu Sans"/>
        <family val="2"/>
      </rPr>
      <t xml:space="preserve">충북 청주시 청원구 오창읍 양청</t>
    </r>
    <r>
      <rPr>
        <sz val="10"/>
        <rFont val="돋움"/>
        <family val="3"/>
        <charset val="129"/>
      </rPr>
      <t xml:space="preserve">2</t>
    </r>
    <r>
      <rPr>
        <sz val="10"/>
        <rFont val="DejaVu Sans"/>
        <family val="2"/>
      </rPr>
      <t xml:space="preserve">길</t>
    </r>
    <r>
      <rPr>
        <sz val="10"/>
        <rFont val="돋움"/>
        <family val="3"/>
        <charset val="129"/>
      </rPr>
      <t xml:space="preserve">29-38</t>
    </r>
  </si>
  <si>
    <t xml:space="preserve">이성길</t>
  </si>
  <si>
    <t xml:space="preserve">651105-1046117</t>
  </si>
  <si>
    <r>
      <rPr>
        <sz val="10"/>
        <rFont val="DejaVu Sans"/>
        <family val="2"/>
      </rPr>
      <t xml:space="preserve">경기도 안성시 원곡면 강문길 </t>
    </r>
    <r>
      <rPr>
        <sz val="10"/>
        <rFont val="돋움"/>
        <family val="3"/>
        <charset val="129"/>
      </rPr>
      <t xml:space="preserve">31</t>
    </r>
  </si>
  <si>
    <t xml:space="preserve">17555</t>
  </si>
  <si>
    <t xml:space="preserve">김경선</t>
  </si>
  <si>
    <t xml:space="preserve">590703-1047120</t>
  </si>
  <si>
    <r>
      <rPr>
        <sz val="10"/>
        <rFont val="DejaVu Sans"/>
        <family val="2"/>
      </rPr>
      <t xml:space="preserve">경기도 화성시 떡전골로 </t>
    </r>
    <r>
      <rPr>
        <sz val="10"/>
        <rFont val="돋움"/>
        <family val="3"/>
        <charset val="129"/>
      </rPr>
      <t xml:space="preserve">82, 7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725</t>
    </r>
    <r>
      <rPr>
        <sz val="10"/>
        <rFont val="DejaVu Sans"/>
        <family val="2"/>
      </rPr>
      <t xml:space="preserve">호</t>
    </r>
  </si>
  <si>
    <r>
      <rPr>
        <sz val="10"/>
        <rFont val="DejaVu Sans"/>
        <family val="2"/>
      </rPr>
      <t xml:space="preserve">경기도 화성시 병점동 </t>
    </r>
    <r>
      <rPr>
        <sz val="10"/>
        <rFont val="돋움"/>
        <family val="3"/>
        <charset val="129"/>
      </rPr>
      <t xml:space="preserve">386-12 </t>
    </r>
    <r>
      <rPr>
        <sz val="10"/>
        <rFont val="DejaVu Sans"/>
        <family val="2"/>
      </rPr>
      <t xml:space="preserve">동아고시텔 </t>
    </r>
    <r>
      <rPr>
        <sz val="10"/>
        <rFont val="돋움"/>
        <family val="3"/>
        <charset val="129"/>
      </rPr>
      <t xml:space="preserve">7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725</t>
    </r>
    <r>
      <rPr>
        <sz val="10"/>
        <rFont val="DejaVu Sans"/>
        <family val="2"/>
      </rPr>
      <t xml:space="preserve">호</t>
    </r>
  </si>
  <si>
    <t xml:space="preserve">김주현</t>
  </si>
  <si>
    <t xml:space="preserve">790210-1388411</t>
  </si>
  <si>
    <r>
      <rPr>
        <sz val="10"/>
        <rFont val="DejaVu Sans"/>
        <family val="2"/>
      </rPr>
      <t xml:space="preserve">충북 증평군 증평읍 초중</t>
    </r>
    <r>
      <rPr>
        <sz val="10"/>
        <rFont val="돋움"/>
        <family val="3"/>
        <charset val="129"/>
      </rPr>
      <t xml:space="preserve">12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50, 203</t>
    </r>
    <r>
      <rPr>
        <sz val="10"/>
        <rFont val="DejaVu Sans"/>
        <family val="2"/>
      </rPr>
      <t xml:space="preserve">호</t>
    </r>
  </si>
  <si>
    <t xml:space="preserve">김경민</t>
  </si>
  <si>
    <t xml:space="preserve">790618-1381016</t>
  </si>
  <si>
    <r>
      <rPr>
        <sz val="10"/>
        <rFont val="DejaVu Sans"/>
        <family val="2"/>
      </rPr>
      <t xml:space="preserve">충북 청주시 청원구 내수읍 은곡묵방길</t>
    </r>
    <r>
      <rPr>
        <sz val="10"/>
        <rFont val="돋움"/>
        <family val="3"/>
        <charset val="129"/>
      </rPr>
      <t xml:space="preserve">28, 102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510</t>
    </r>
    <r>
      <rPr>
        <sz val="10"/>
        <rFont val="DejaVu Sans"/>
        <family val="2"/>
      </rPr>
      <t xml:space="preserve">호</t>
    </r>
  </si>
  <si>
    <t xml:space="preserve">700705-1384813</t>
  </si>
  <si>
    <r>
      <rPr>
        <sz val="10"/>
        <color rgb="FF000000"/>
        <rFont val="DejaVu Sans"/>
        <family val="2"/>
      </rPr>
      <t xml:space="preserve">충북 청주시 상당구 중고개로</t>
    </r>
    <r>
      <rPr>
        <sz val="10"/>
        <color rgb="FF000000"/>
        <rFont val="돋움"/>
        <family val="3"/>
        <charset val="129"/>
      </rPr>
      <t xml:space="preserve">248</t>
    </r>
    <r>
      <rPr>
        <sz val="10"/>
        <color rgb="FF000000"/>
        <rFont val="DejaVu Sans"/>
        <family val="2"/>
      </rPr>
      <t xml:space="preserve">번길 </t>
    </r>
    <r>
      <rPr>
        <sz val="10"/>
        <color rgb="FF000000"/>
        <rFont val="돋움"/>
        <family val="3"/>
        <charset val="129"/>
      </rPr>
      <t xml:space="preserve">52-1</t>
    </r>
  </si>
  <si>
    <t xml:space="preserve">401120-52-051004</t>
  </si>
  <si>
    <t xml:space="preserve">이강윤</t>
  </si>
  <si>
    <t xml:space="preserve">580301-1524520</t>
  </si>
  <si>
    <r>
      <rPr>
        <sz val="10"/>
        <rFont val="DejaVu Sans"/>
        <family val="2"/>
      </rPr>
      <t xml:space="preserve">충북 영동군 영동읍 영산로</t>
    </r>
    <r>
      <rPr>
        <sz val="10"/>
        <rFont val="돋움"/>
        <family val="3"/>
        <charset val="129"/>
      </rPr>
      <t xml:space="preserve">6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18-6</t>
    </r>
  </si>
  <si>
    <t xml:space="preserve">407012-52-107196</t>
  </si>
  <si>
    <t xml:space="preserve">010-4420-0758</t>
  </si>
  <si>
    <r>
      <rPr>
        <sz val="10"/>
        <rFont val="DejaVu Sans"/>
        <family val="2"/>
      </rPr>
      <t xml:space="preserve">충북 영동군 영동읍 계산리 </t>
    </r>
    <r>
      <rPr>
        <sz val="10"/>
        <rFont val="돋움"/>
        <family val="3"/>
        <charset val="129"/>
      </rPr>
      <t xml:space="preserve">444-10</t>
    </r>
  </si>
  <si>
    <t xml:space="preserve">곽정관</t>
  </si>
  <si>
    <t xml:space="preserve">530112-1117421</t>
  </si>
  <si>
    <r>
      <rPr>
        <sz val="10"/>
        <color rgb="FF000000"/>
        <rFont val="DejaVu Sans"/>
        <family val="2"/>
      </rPr>
      <t xml:space="preserve">충북 영동군 영동읍 금동로</t>
    </r>
    <r>
      <rPr>
        <sz val="10"/>
        <color rgb="FF000000"/>
        <rFont val="돋움"/>
        <family val="3"/>
        <charset val="129"/>
      </rPr>
      <t xml:space="preserve">3</t>
    </r>
    <r>
      <rPr>
        <sz val="10"/>
        <color rgb="FF000000"/>
        <rFont val="DejaVu Sans"/>
        <family val="2"/>
      </rPr>
      <t xml:space="preserve">길 </t>
    </r>
    <r>
      <rPr>
        <sz val="10"/>
        <color rgb="FF000000"/>
        <rFont val="돋움"/>
        <family val="3"/>
        <charset val="129"/>
      </rPr>
      <t xml:space="preserve">5-9</t>
    </r>
  </si>
  <si>
    <t xml:space="preserve">319-12-247113</t>
  </si>
  <si>
    <t xml:space="preserve">010-5255-9807</t>
  </si>
  <si>
    <t xml:space="preserve">조원제</t>
  </si>
  <si>
    <t xml:space="preserve">641120-1386124</t>
  </si>
  <si>
    <r>
      <rPr>
        <sz val="10"/>
        <color rgb="FF000000"/>
        <rFont val="DejaVu Sans"/>
        <family val="2"/>
      </rPr>
      <t xml:space="preserve">충북 영동군 영동읍 부용</t>
    </r>
    <r>
      <rPr>
        <sz val="10"/>
        <color rgb="FF000000"/>
        <rFont val="돋움"/>
        <family val="3"/>
        <charset val="129"/>
      </rPr>
      <t xml:space="preserve">6</t>
    </r>
    <r>
      <rPr>
        <sz val="10"/>
        <color rgb="FF000000"/>
        <rFont val="DejaVu Sans"/>
        <family val="2"/>
      </rPr>
      <t xml:space="preserve">길 </t>
    </r>
    <r>
      <rPr>
        <sz val="10"/>
        <color rgb="FF000000"/>
        <rFont val="돋움"/>
        <family val="3"/>
        <charset val="129"/>
      </rPr>
      <t xml:space="preserve">20-39</t>
    </r>
  </si>
  <si>
    <t xml:space="preserve">319-12-230641</t>
  </si>
  <si>
    <r>
      <rPr>
        <sz val="10"/>
        <rFont val="DejaVu Sans"/>
        <family val="2"/>
      </rPr>
      <t xml:space="preserve">충북 영동군 영동읍 부용리 </t>
    </r>
    <r>
      <rPr>
        <sz val="10"/>
        <rFont val="돋움"/>
        <family val="3"/>
        <charset val="129"/>
      </rPr>
      <t xml:space="preserve">334-1</t>
    </r>
  </si>
  <si>
    <t xml:space="preserve">최승열</t>
  </si>
  <si>
    <t xml:space="preserve">620724-1648219</t>
  </si>
  <si>
    <r>
      <rPr>
        <sz val="10"/>
        <rFont val="DejaVu Sans"/>
        <family val="2"/>
      </rPr>
      <t xml:space="preserve">충북 영동군 영동읍 부용</t>
    </r>
    <r>
      <rPr>
        <sz val="10"/>
        <rFont val="돋움"/>
        <family val="3"/>
        <charset val="129"/>
      </rPr>
      <t xml:space="preserve">7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12,</t>
    </r>
    <r>
      <rPr>
        <sz val="10"/>
        <rFont val="DejaVu Sans"/>
        <family val="2"/>
      </rPr>
      <t xml:space="preserve">가동 </t>
    </r>
    <r>
      <rPr>
        <sz val="10"/>
        <rFont val="돋움"/>
        <family val="3"/>
        <charset val="129"/>
      </rPr>
      <t xml:space="preserve">201</t>
    </r>
    <r>
      <rPr>
        <sz val="10"/>
        <rFont val="DejaVu Sans"/>
        <family val="2"/>
      </rPr>
      <t xml:space="preserve">호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남경빌라</t>
    </r>
    <r>
      <rPr>
        <sz val="10"/>
        <rFont val="돋움"/>
        <family val="3"/>
        <charset val="129"/>
      </rPr>
      <t xml:space="preserve">)</t>
    </r>
  </si>
  <si>
    <t xml:space="preserve">상용직</t>
  </si>
  <si>
    <t xml:space="preserve">29147</t>
  </si>
  <si>
    <t xml:space="preserve">박래화</t>
  </si>
  <si>
    <t xml:space="preserve">박장현</t>
  </si>
  <si>
    <t xml:space="preserve">690615-1386125</t>
  </si>
  <si>
    <r>
      <rPr>
        <sz val="10"/>
        <rFont val="DejaVu Sans"/>
        <family val="2"/>
      </rPr>
      <t xml:space="preserve">충북 영동군 영동읍 부용</t>
    </r>
    <r>
      <rPr>
        <sz val="10"/>
        <rFont val="돋움"/>
        <family val="3"/>
        <charset val="129"/>
      </rPr>
      <t xml:space="preserve">7</t>
    </r>
    <r>
      <rPr>
        <sz val="10"/>
        <rFont val="DejaVu Sans"/>
        <family val="2"/>
      </rPr>
      <t xml:space="preserve">안길 </t>
    </r>
    <r>
      <rPr>
        <sz val="10"/>
        <rFont val="돋움"/>
        <family val="3"/>
        <charset val="129"/>
      </rPr>
      <t xml:space="preserve">25</t>
    </r>
  </si>
  <si>
    <t xml:space="preserve">29157</t>
  </si>
  <si>
    <r>
      <rPr>
        <sz val="10"/>
        <color rgb="FF000000"/>
        <rFont val="DejaVu Sans"/>
        <family val="2"/>
      </rPr>
      <t xml:space="preserve">충북 영동군 영동읍 영산로</t>
    </r>
    <r>
      <rPr>
        <sz val="10"/>
        <color rgb="FF000000"/>
        <rFont val="돋움"/>
        <family val="3"/>
        <charset val="129"/>
      </rPr>
      <t xml:space="preserve">7</t>
    </r>
    <r>
      <rPr>
        <sz val="10"/>
        <color rgb="FF000000"/>
        <rFont val="DejaVu Sans"/>
        <family val="2"/>
      </rPr>
      <t xml:space="preserve">길 </t>
    </r>
    <r>
      <rPr>
        <sz val="10"/>
        <color rgb="FF000000"/>
        <rFont val="돋움"/>
        <family val="3"/>
        <charset val="129"/>
      </rPr>
      <t xml:space="preserve">2, </t>
    </r>
    <r>
      <rPr>
        <sz val="10"/>
        <color rgb="FF000000"/>
        <rFont val="DejaVu Sans"/>
        <family val="2"/>
      </rPr>
      <t xml:space="preserve">가동 </t>
    </r>
    <r>
      <rPr>
        <sz val="10"/>
        <color rgb="FF000000"/>
        <rFont val="돋움"/>
        <family val="3"/>
        <charset val="129"/>
      </rPr>
      <t xml:space="preserve">106</t>
    </r>
    <r>
      <rPr>
        <sz val="10"/>
        <color rgb="FF000000"/>
        <rFont val="DejaVu Sans"/>
        <family val="2"/>
      </rPr>
      <t xml:space="preserve">호 </t>
    </r>
    <r>
      <rPr>
        <sz val="10"/>
        <color rgb="FF000000"/>
        <rFont val="돋움"/>
        <family val="3"/>
        <charset val="129"/>
      </rPr>
      <t xml:space="preserve">(</t>
    </r>
    <r>
      <rPr>
        <sz val="10"/>
        <color rgb="FF000000"/>
        <rFont val="DejaVu Sans"/>
        <family val="2"/>
      </rPr>
      <t xml:space="preserve">양지연립</t>
    </r>
    <r>
      <rPr>
        <sz val="10"/>
        <color rgb="FF000000"/>
        <rFont val="돋움"/>
        <family val="3"/>
        <charset val="129"/>
      </rPr>
      <t xml:space="preserve">)</t>
    </r>
  </si>
  <si>
    <t xml:space="preserve">356-0895-8530-93</t>
  </si>
  <si>
    <t xml:space="preserve">010-4650-3480</t>
  </si>
  <si>
    <r>
      <rPr>
        <sz val="10"/>
        <color rgb="FF000000"/>
        <rFont val="DejaVu Sans"/>
        <family val="2"/>
      </rPr>
      <t xml:space="preserve">임종관</t>
    </r>
    <r>
      <rPr>
        <sz val="10"/>
        <color rgb="FF000000"/>
        <rFont val="돋움"/>
        <family val="3"/>
        <charset val="129"/>
      </rPr>
      <t xml:space="preserve">, </t>
    </r>
    <r>
      <rPr>
        <sz val="10"/>
        <color rgb="FF000000"/>
        <rFont val="DejaVu Sans"/>
        <family val="2"/>
      </rPr>
      <t xml:space="preserve">민헌기</t>
    </r>
    <r>
      <rPr>
        <sz val="10"/>
        <color rgb="FF000000"/>
        <rFont val="돋움"/>
        <family val="3"/>
        <charset val="129"/>
      </rPr>
      <t xml:space="preserve">, </t>
    </r>
    <r>
      <rPr>
        <sz val="10"/>
        <color rgb="FF000000"/>
        <rFont val="DejaVu Sans"/>
        <family val="2"/>
      </rPr>
      <t xml:space="preserve">박범해</t>
    </r>
    <r>
      <rPr>
        <sz val="10"/>
        <color rgb="FF000000"/>
        <rFont val="돋움"/>
        <family val="3"/>
        <charset val="129"/>
      </rPr>
      <t xml:space="preserve">, </t>
    </r>
    <r>
      <rPr>
        <sz val="10"/>
        <color rgb="FF000000"/>
        <rFont val="DejaVu Sans"/>
        <family val="2"/>
      </rPr>
      <t xml:space="preserve">신용철</t>
    </r>
    <r>
      <rPr>
        <sz val="10"/>
        <color rgb="FF000000"/>
        <rFont val="돋움"/>
        <family val="3"/>
        <charset val="129"/>
      </rPr>
      <t xml:space="preserve">, </t>
    </r>
    <r>
      <rPr>
        <sz val="10"/>
        <color rgb="FF000000"/>
        <rFont val="DejaVu Sans"/>
        <family val="2"/>
      </rPr>
      <t xml:space="preserve">전덕하</t>
    </r>
    <r>
      <rPr>
        <sz val="10"/>
        <color rgb="FF000000"/>
        <rFont val="돋움"/>
        <family val="3"/>
        <charset val="129"/>
      </rPr>
      <t xml:space="preserve">, </t>
    </r>
    <r>
      <rPr>
        <sz val="10"/>
        <color rgb="FF000000"/>
        <rFont val="DejaVu Sans"/>
        <family val="2"/>
      </rPr>
      <t xml:space="preserve">최순자</t>
    </r>
    <r>
      <rPr>
        <sz val="10"/>
        <color rgb="FF000000"/>
        <rFont val="돋움"/>
        <family val="3"/>
        <charset val="129"/>
      </rPr>
      <t xml:space="preserve">, </t>
    </r>
    <r>
      <rPr>
        <sz val="10"/>
        <color rgb="FF000000"/>
        <rFont val="DejaVu Sans"/>
        <family val="2"/>
      </rPr>
      <t xml:space="preserve">최순옥</t>
    </r>
    <r>
      <rPr>
        <sz val="10"/>
        <color rgb="FF000000"/>
        <rFont val="돋움"/>
        <family val="3"/>
        <charset val="129"/>
      </rPr>
      <t xml:space="preserve">, </t>
    </r>
    <r>
      <rPr>
        <sz val="10"/>
        <color rgb="FF000000"/>
        <rFont val="DejaVu Sans"/>
        <family val="2"/>
      </rPr>
      <t xml:space="preserve">양희옥</t>
    </r>
    <r>
      <rPr>
        <sz val="10"/>
        <color rgb="FF000000"/>
        <rFont val="돋움"/>
        <family val="3"/>
        <charset val="129"/>
      </rPr>
      <t xml:space="preserve">, </t>
    </r>
    <r>
      <rPr>
        <sz val="10"/>
        <color rgb="FF000000"/>
        <rFont val="DejaVu Sans"/>
        <family val="2"/>
      </rPr>
      <t xml:space="preserve">김양수</t>
    </r>
    <r>
      <rPr>
        <sz val="10"/>
        <color rgb="FF000000"/>
        <rFont val="돋움"/>
        <family val="3"/>
        <charset val="129"/>
      </rPr>
      <t xml:space="preserve">, </t>
    </r>
    <r>
      <rPr>
        <sz val="10"/>
        <color rgb="FF000000"/>
        <rFont val="DejaVu Sans"/>
        <family val="2"/>
      </rPr>
      <t xml:space="preserve">장영석</t>
    </r>
  </si>
  <si>
    <t xml:space="preserve">660105-1386714</t>
  </si>
  <si>
    <r>
      <rPr>
        <sz val="10"/>
        <color rgb="FF000000"/>
        <rFont val="DejaVu Sans"/>
        <family val="2"/>
      </rPr>
      <t xml:space="preserve">충북 영동군 양강면 남전</t>
    </r>
    <r>
      <rPr>
        <sz val="10"/>
        <color rgb="FF000000"/>
        <rFont val="돋움"/>
        <family val="3"/>
        <charset val="129"/>
      </rPr>
      <t xml:space="preserve">2</t>
    </r>
    <r>
      <rPr>
        <sz val="10"/>
        <color rgb="FF000000"/>
        <rFont val="DejaVu Sans"/>
        <family val="2"/>
      </rPr>
      <t xml:space="preserve">안길 </t>
    </r>
    <r>
      <rPr>
        <sz val="10"/>
        <color rgb="FF000000"/>
        <rFont val="돋움"/>
        <family val="3"/>
        <charset val="129"/>
      </rPr>
      <t xml:space="preserve">4-17 (</t>
    </r>
    <r>
      <rPr>
        <sz val="10"/>
        <color rgb="FF000000"/>
        <rFont val="DejaVu Sans"/>
        <family val="2"/>
      </rPr>
      <t xml:space="preserve">남전리 </t>
    </r>
    <r>
      <rPr>
        <sz val="10"/>
        <color rgb="FF000000"/>
        <rFont val="돋움"/>
        <family val="3"/>
        <charset val="129"/>
      </rPr>
      <t xml:space="preserve">272)</t>
    </r>
  </si>
  <si>
    <t xml:space="preserve">356-1071-0591-83</t>
  </si>
  <si>
    <t xml:space="preserve">010-6356-5898</t>
  </si>
  <si>
    <t xml:space="preserve">000329-3691911</t>
  </si>
  <si>
    <r>
      <rPr>
        <sz val="10"/>
        <color rgb="FF000000"/>
        <rFont val="DejaVu Sans"/>
        <family val="2"/>
      </rPr>
      <t xml:space="preserve">충북 제천시 제천북로</t>
    </r>
    <r>
      <rPr>
        <sz val="10"/>
        <color rgb="FF000000"/>
        <rFont val="돋움"/>
        <family val="3"/>
        <charset val="129"/>
      </rPr>
      <t xml:space="preserve">1</t>
    </r>
    <r>
      <rPr>
        <sz val="10"/>
        <color rgb="FF000000"/>
        <rFont val="DejaVu Sans"/>
        <family val="2"/>
      </rPr>
      <t xml:space="preserve">길 </t>
    </r>
    <r>
      <rPr>
        <sz val="10"/>
        <color rgb="FF000000"/>
        <rFont val="돋움"/>
        <family val="3"/>
        <charset val="129"/>
      </rPr>
      <t xml:space="preserve">75 (</t>
    </r>
    <r>
      <rPr>
        <sz val="10"/>
        <color rgb="FF000000"/>
        <rFont val="DejaVu Sans"/>
        <family val="2"/>
      </rPr>
      <t xml:space="preserve">왕암동</t>
    </r>
    <r>
      <rPr>
        <sz val="10"/>
        <color rgb="FF000000"/>
        <rFont val="돋움"/>
        <family val="3"/>
        <charset val="129"/>
      </rPr>
      <t xml:space="preserve">)</t>
    </r>
  </si>
  <si>
    <t xml:space="preserve">302-1531-6143-71</t>
  </si>
  <si>
    <t xml:space="preserve">010-5301-8775</t>
  </si>
  <si>
    <t xml:space="preserve">29129</t>
  </si>
  <si>
    <t xml:space="preserve">통장은 없고 자유롭게 올릴수 있는분</t>
  </si>
  <si>
    <t xml:space="preserve">배진식</t>
  </si>
  <si>
    <t xml:space="preserve">540910-1386711</t>
  </si>
  <si>
    <r>
      <rPr>
        <sz val="10"/>
        <color rgb="FF000000"/>
        <rFont val="DejaVu Sans"/>
        <family val="2"/>
      </rPr>
      <t xml:space="preserve">충북 영동군 양강면 국촌길</t>
    </r>
    <r>
      <rPr>
        <sz val="10"/>
        <color rgb="FF000000"/>
        <rFont val="돋움"/>
        <family val="3"/>
        <charset val="129"/>
      </rPr>
      <t xml:space="preserve">16-11</t>
    </r>
  </si>
  <si>
    <t xml:space="preserve">069-01-106491</t>
  </si>
  <si>
    <t xml:space="preserve">010-4476-3636</t>
  </si>
  <si>
    <t xml:space="preserve">배진식 박헌태 권영안 민백규 박상복</t>
  </si>
  <si>
    <t xml:space="preserve">박헌태</t>
  </si>
  <si>
    <t xml:space="preserve">551120-1455311</t>
  </si>
  <si>
    <r>
      <rPr>
        <sz val="10"/>
        <color rgb="FF000000"/>
        <rFont val="DejaVu Sans"/>
        <family val="2"/>
      </rPr>
      <t xml:space="preserve">충북 영동군 영동읍 눈어치</t>
    </r>
    <r>
      <rPr>
        <sz val="10"/>
        <color rgb="FF000000"/>
        <rFont val="돋움"/>
        <family val="3"/>
        <charset val="129"/>
      </rPr>
      <t xml:space="preserve">2</t>
    </r>
    <r>
      <rPr>
        <sz val="10"/>
        <color rgb="FF000000"/>
        <rFont val="DejaVu Sans"/>
        <family val="2"/>
      </rPr>
      <t xml:space="preserve">로 </t>
    </r>
    <r>
      <rPr>
        <sz val="10"/>
        <color rgb="FF000000"/>
        <rFont val="돋움"/>
        <family val="3"/>
        <charset val="129"/>
      </rPr>
      <t xml:space="preserve">22</t>
    </r>
  </si>
  <si>
    <t xml:space="preserve">356-0142-0083-23</t>
  </si>
  <si>
    <t xml:space="preserve">010-5450-0950</t>
  </si>
  <si>
    <r>
      <rPr>
        <sz val="10"/>
        <color rgb="FF000000"/>
        <rFont val="DejaVu Sans"/>
        <family val="2"/>
      </rPr>
      <t xml:space="preserve">충북 영동군 영동읍 설계리 </t>
    </r>
    <r>
      <rPr>
        <sz val="10"/>
        <color rgb="FF000000"/>
        <rFont val="돋움"/>
        <family val="3"/>
        <charset val="129"/>
      </rPr>
      <t xml:space="preserve">699</t>
    </r>
  </si>
  <si>
    <t xml:space="preserve">600810-1386721</t>
  </si>
  <si>
    <r>
      <rPr>
        <sz val="10"/>
        <color rgb="FF000000"/>
        <rFont val="DejaVu Sans"/>
        <family val="2"/>
      </rPr>
      <t xml:space="preserve">충북 영동군 양강면 내만길 </t>
    </r>
    <r>
      <rPr>
        <sz val="10"/>
        <color rgb="FF000000"/>
        <rFont val="돋움"/>
        <family val="3"/>
        <charset val="129"/>
      </rPr>
      <t xml:space="preserve">178-2</t>
    </r>
  </si>
  <si>
    <t xml:space="preserve">453060-52-207611</t>
  </si>
  <si>
    <t xml:space="preserve">010-7107-2693</t>
  </si>
  <si>
    <t xml:space="preserve">37274</t>
  </si>
  <si>
    <r>
      <rPr>
        <sz val="10"/>
        <color rgb="FF000000"/>
        <rFont val="DejaVu Sans"/>
        <family val="2"/>
      </rPr>
      <t xml:space="preserve">모동면 수봉</t>
    </r>
    <r>
      <rPr>
        <sz val="10"/>
        <color rgb="FF000000"/>
        <rFont val="돋움"/>
        <family val="3"/>
        <charset val="129"/>
      </rPr>
      <t xml:space="preserve">2</t>
    </r>
    <r>
      <rPr>
        <sz val="10"/>
        <color rgb="FF000000"/>
        <rFont val="DejaVu Sans"/>
        <family val="2"/>
      </rPr>
      <t xml:space="preserve">길 </t>
    </r>
    <r>
      <rPr>
        <sz val="10"/>
        <color rgb="FF000000"/>
        <rFont val="돋움"/>
        <family val="3"/>
        <charset val="129"/>
      </rPr>
      <t xml:space="preserve">29</t>
    </r>
  </si>
  <si>
    <t xml:space="preserve">601219-1386711</t>
  </si>
  <si>
    <r>
      <rPr>
        <sz val="10"/>
        <color rgb="FF000000"/>
        <rFont val="DejaVu Sans"/>
        <family val="2"/>
      </rPr>
      <t xml:space="preserve">충북 영동군 양강면 내만길 </t>
    </r>
    <r>
      <rPr>
        <sz val="10"/>
        <color rgb="FF000000"/>
        <rFont val="돋움"/>
        <family val="3"/>
        <charset val="129"/>
      </rPr>
      <t xml:space="preserve">173 (</t>
    </r>
    <r>
      <rPr>
        <sz val="10"/>
        <color rgb="FF000000"/>
        <rFont val="DejaVu Sans"/>
        <family val="2"/>
      </rPr>
      <t xml:space="preserve">만계리 </t>
    </r>
    <r>
      <rPr>
        <sz val="10"/>
        <color rgb="FF000000"/>
        <rFont val="돋움"/>
        <family val="3"/>
        <charset val="129"/>
      </rPr>
      <t xml:space="preserve">156-4)</t>
    </r>
  </si>
  <si>
    <t xml:space="preserve">352-0293-9952-13</t>
  </si>
  <si>
    <t xml:space="preserve">010-5338-5196</t>
  </si>
  <si>
    <t xml:space="preserve">27116</t>
  </si>
  <si>
    <r>
      <rPr>
        <sz val="10"/>
        <color rgb="FF000000"/>
        <rFont val="DejaVu Sans"/>
        <family val="2"/>
      </rPr>
      <t xml:space="preserve">한희열 </t>
    </r>
    <r>
      <rPr>
        <b val="true"/>
        <sz val="10"/>
        <color rgb="FF0000FF"/>
        <rFont val="DejaVu Sans"/>
        <family val="2"/>
      </rPr>
      <t xml:space="preserve">민헌기</t>
    </r>
    <r>
      <rPr>
        <b val="true"/>
        <sz val="10"/>
        <color rgb="FF0000FF"/>
        <rFont val="돋움"/>
        <family val="3"/>
        <charset val="129"/>
      </rPr>
      <t xml:space="preserve">(7/21</t>
    </r>
    <r>
      <rPr>
        <b val="true"/>
        <sz val="10"/>
        <color rgb="FF0000FF"/>
        <rFont val="DejaVu Sans"/>
        <family val="2"/>
      </rPr>
      <t xml:space="preserve">일부터</t>
    </r>
    <r>
      <rPr>
        <b val="true"/>
        <sz val="10"/>
        <color rgb="FF0000FF"/>
        <rFont val="돋움"/>
        <family val="3"/>
        <charset val="129"/>
      </rPr>
      <t xml:space="preserve">)</t>
    </r>
  </si>
  <si>
    <t xml:space="preserve">박상복</t>
  </si>
  <si>
    <t xml:space="preserve">800702-1386911</t>
  </si>
  <si>
    <r>
      <rPr>
        <sz val="10"/>
        <color rgb="FF000000"/>
        <rFont val="DejaVu Sans"/>
        <family val="2"/>
      </rPr>
      <t xml:space="preserve">충북 영동군 영동읍 동정리</t>
    </r>
    <r>
      <rPr>
        <sz val="10"/>
        <color rgb="FF000000"/>
        <rFont val="돋움"/>
        <family val="3"/>
        <charset val="129"/>
      </rPr>
      <t xml:space="preserve">143</t>
    </r>
  </si>
  <si>
    <t xml:space="preserve">186-041383-01-012</t>
  </si>
  <si>
    <t xml:space="preserve">010-8597-4428</t>
  </si>
  <si>
    <t xml:space="preserve">황동주</t>
  </si>
  <si>
    <t xml:space="preserve">571013-1805110</t>
  </si>
  <si>
    <r>
      <rPr>
        <sz val="10"/>
        <color rgb="FF000000"/>
        <rFont val="DejaVu Sans"/>
        <family val="2"/>
      </rPr>
      <t xml:space="preserve">경상북도 상주시 모동면 수봉리 </t>
    </r>
    <r>
      <rPr>
        <sz val="10"/>
        <color rgb="FF000000"/>
        <rFont val="돋움"/>
        <family val="3"/>
        <charset val="129"/>
      </rPr>
      <t xml:space="preserve">546 </t>
    </r>
  </si>
  <si>
    <t xml:space="preserve">701029-02-013954</t>
  </si>
  <si>
    <t xml:space="preserve">010-3432-0395</t>
  </si>
  <si>
    <t xml:space="preserve">10501</t>
  </si>
  <si>
    <t xml:space="preserve">이병문</t>
  </si>
  <si>
    <t xml:space="preserve">570919-1401027</t>
  </si>
  <si>
    <r>
      <rPr>
        <sz val="10"/>
        <color rgb="FF000000"/>
        <rFont val="DejaVu Sans"/>
        <family val="2"/>
      </rPr>
      <t xml:space="preserve">충북 영동군 영동읍 동정리 </t>
    </r>
    <r>
      <rPr>
        <sz val="10"/>
        <color rgb="FF000000"/>
        <rFont val="돋움"/>
        <family val="3"/>
        <charset val="129"/>
      </rPr>
      <t xml:space="preserve">143</t>
    </r>
  </si>
  <si>
    <t xml:space="preserve">302-0987-1761-21</t>
  </si>
  <si>
    <t xml:space="preserve">010-8975-6129</t>
  </si>
  <si>
    <t xml:space="preserve">34516</t>
  </si>
  <si>
    <t xml:space="preserve">정찬옥</t>
  </si>
  <si>
    <t xml:space="preserve">610512-2328134</t>
  </si>
  <si>
    <r>
      <rPr>
        <sz val="10"/>
        <color rgb="FF000000"/>
        <rFont val="DejaVu Sans"/>
        <family val="2"/>
      </rPr>
      <t xml:space="preserve">대전광역시 동구 백룡로 </t>
    </r>
    <r>
      <rPr>
        <sz val="10"/>
        <color rgb="FF000000"/>
        <rFont val="돋움"/>
        <family val="3"/>
        <charset val="129"/>
      </rPr>
      <t xml:space="preserve">35-10</t>
    </r>
  </si>
  <si>
    <t xml:space="preserve">새마을</t>
  </si>
  <si>
    <t xml:space="preserve">9002-1563-1485-9</t>
  </si>
  <si>
    <t xml:space="preserve">이창우</t>
  </si>
  <si>
    <t xml:space="preserve">670620-1387124</t>
  </si>
  <si>
    <r>
      <rPr>
        <sz val="10"/>
        <color rgb="FF000000"/>
        <rFont val="DejaVu Sans"/>
        <family val="2"/>
      </rPr>
      <t xml:space="preserve">충북 영동군 심천면 지계길 </t>
    </r>
    <r>
      <rPr>
        <sz val="10"/>
        <color rgb="FF000000"/>
        <rFont val="돋움"/>
        <family val="3"/>
        <charset val="129"/>
      </rPr>
      <t xml:space="preserve">113</t>
    </r>
  </si>
  <si>
    <t xml:space="preserve">4070-52-014063</t>
  </si>
  <si>
    <t xml:space="preserve">29101</t>
  </si>
  <si>
    <r>
      <rPr>
        <sz val="10"/>
        <color rgb="FF000000"/>
        <rFont val="DejaVu Sans"/>
        <family val="2"/>
      </rPr>
      <t xml:space="preserve">비탄길 </t>
    </r>
    <r>
      <rPr>
        <sz val="10"/>
        <color rgb="FF000000"/>
        <rFont val="돋움"/>
        <family val="3"/>
        <charset val="129"/>
      </rPr>
      <t xml:space="preserve">22</t>
    </r>
    <r>
      <rPr>
        <sz val="10"/>
        <color rgb="FF000000"/>
        <rFont val="DejaVu Sans"/>
        <family val="2"/>
      </rPr>
      <t xml:space="preserve">로 적용함</t>
    </r>
  </si>
  <si>
    <t xml:space="preserve">530810-1057646</t>
  </si>
  <si>
    <r>
      <rPr>
        <sz val="10"/>
        <color rgb="FF000000"/>
        <rFont val="DejaVu Sans"/>
        <family val="2"/>
      </rPr>
      <t xml:space="preserve">충북 영동군 양강면 남전</t>
    </r>
    <r>
      <rPr>
        <sz val="10"/>
        <color rgb="FF000000"/>
        <rFont val="돋움"/>
        <family val="3"/>
        <charset val="129"/>
      </rPr>
      <t xml:space="preserve">2</t>
    </r>
    <r>
      <rPr>
        <sz val="10"/>
        <color rgb="FF000000"/>
        <rFont val="DejaVu Sans"/>
        <family val="2"/>
      </rPr>
      <t xml:space="preserve">안길 </t>
    </r>
    <r>
      <rPr>
        <sz val="10"/>
        <color rgb="FF000000"/>
        <rFont val="돋움"/>
        <family val="3"/>
        <charset val="129"/>
      </rPr>
      <t xml:space="preserve">4-20</t>
    </r>
  </si>
  <si>
    <t xml:space="preserve">352-0532-0302-03</t>
  </si>
  <si>
    <t xml:space="preserve">010-5326-2934</t>
  </si>
  <si>
    <t xml:space="preserve">정해성</t>
  </si>
  <si>
    <t xml:space="preserve">600611-1453511</t>
  </si>
  <si>
    <r>
      <rPr>
        <sz val="10"/>
        <color rgb="FF000000"/>
        <rFont val="DejaVu Sans"/>
        <family val="2"/>
      </rPr>
      <t xml:space="preserve">충북 영동군 심천면 약목</t>
    </r>
    <r>
      <rPr>
        <sz val="10"/>
        <color rgb="FF000000"/>
        <rFont val="돋움"/>
        <family val="3"/>
        <charset val="129"/>
      </rPr>
      <t xml:space="preserve">1</t>
    </r>
    <r>
      <rPr>
        <sz val="10"/>
        <color rgb="FF000000"/>
        <rFont val="DejaVu Sans"/>
        <family val="2"/>
      </rPr>
      <t xml:space="preserve">길 </t>
    </r>
    <r>
      <rPr>
        <sz val="10"/>
        <color rgb="FF000000"/>
        <rFont val="돋움"/>
        <family val="3"/>
        <charset val="129"/>
      </rPr>
      <t xml:space="preserve">25</t>
    </r>
  </si>
  <si>
    <t xml:space="preserve">010-3475-4236</t>
  </si>
  <si>
    <t xml:space="preserve">엄종섭</t>
  </si>
  <si>
    <t xml:space="preserve">660719-1522231</t>
  </si>
  <si>
    <r>
      <rPr>
        <sz val="10"/>
        <color rgb="FF000000"/>
        <rFont val="DejaVu Sans"/>
        <family val="2"/>
      </rPr>
      <t xml:space="preserve">충북 영동군 용산면 율리</t>
    </r>
    <r>
      <rPr>
        <sz val="10"/>
        <color rgb="FF000000"/>
        <rFont val="돋움"/>
        <family val="3"/>
        <charset val="129"/>
      </rPr>
      <t xml:space="preserve">4</t>
    </r>
    <r>
      <rPr>
        <sz val="10"/>
        <color rgb="FF000000"/>
        <rFont val="DejaVu Sans"/>
        <family val="2"/>
      </rPr>
      <t xml:space="preserve">길 </t>
    </r>
    <r>
      <rPr>
        <sz val="10"/>
        <color rgb="FF000000"/>
        <rFont val="돋움"/>
        <family val="3"/>
        <charset val="129"/>
      </rPr>
      <t xml:space="preserve">18-8</t>
    </r>
  </si>
  <si>
    <t xml:space="preserve">352-0772-2516-93</t>
  </si>
  <si>
    <t xml:space="preserve">010-2031-1002</t>
  </si>
  <si>
    <t xml:space="preserve">정구목</t>
  </si>
  <si>
    <t xml:space="preserve">601005-1386727</t>
  </si>
  <si>
    <r>
      <rPr>
        <sz val="10"/>
        <color rgb="FF000000"/>
        <rFont val="DejaVu Sans"/>
        <family val="2"/>
      </rPr>
      <t xml:space="preserve">충북 영동군 영동읍 구교로 </t>
    </r>
    <r>
      <rPr>
        <sz val="10"/>
        <color rgb="FF000000"/>
        <rFont val="돋움"/>
        <family val="3"/>
        <charset val="129"/>
      </rPr>
      <t xml:space="preserve">32-7, 307</t>
    </r>
    <r>
      <rPr>
        <sz val="10"/>
        <color rgb="FF000000"/>
        <rFont val="DejaVu Sans"/>
        <family val="2"/>
      </rPr>
      <t xml:space="preserve">호 </t>
    </r>
    <r>
      <rPr>
        <sz val="10"/>
        <color rgb="FF000000"/>
        <rFont val="돋움"/>
        <family val="3"/>
        <charset val="129"/>
      </rPr>
      <t xml:space="preserve">(</t>
    </r>
    <r>
      <rPr>
        <sz val="10"/>
        <color rgb="FF000000"/>
        <rFont val="DejaVu Sans"/>
        <family val="2"/>
      </rPr>
      <t xml:space="preserve">대성</t>
    </r>
    <r>
      <rPr>
        <sz val="10"/>
        <color rgb="FF000000"/>
        <rFont val="돋움"/>
        <family val="3"/>
        <charset val="129"/>
      </rPr>
      <t xml:space="preserve">@)</t>
    </r>
  </si>
  <si>
    <t xml:space="preserve">301-0283-3279-11</t>
  </si>
  <si>
    <t xml:space="preserve">전근정</t>
  </si>
  <si>
    <r>
      <rPr>
        <sz val="10"/>
        <color rgb="FF000000"/>
        <rFont val="DejaVu Sans"/>
        <family val="2"/>
      </rPr>
      <t xml:space="preserve">충북 영동군 학산면 모정길 </t>
    </r>
    <r>
      <rPr>
        <sz val="10"/>
        <color rgb="FF000000"/>
        <rFont val="돋움"/>
        <family val="3"/>
        <charset val="129"/>
      </rPr>
      <t xml:space="preserve">78 (</t>
    </r>
    <r>
      <rPr>
        <sz val="10"/>
        <color rgb="FF000000"/>
        <rFont val="DejaVu Sans"/>
        <family val="2"/>
      </rPr>
      <t xml:space="preserve">황산리 </t>
    </r>
    <r>
      <rPr>
        <sz val="10"/>
        <color rgb="FF000000"/>
        <rFont val="돋움"/>
        <family val="3"/>
        <charset val="129"/>
      </rPr>
      <t xml:space="preserve">843)</t>
    </r>
  </si>
  <si>
    <t xml:space="preserve">237824-52-034278</t>
  </si>
  <si>
    <t xml:space="preserve">010-4754-1141</t>
  </si>
  <si>
    <t xml:space="preserve">장갑진</t>
  </si>
  <si>
    <t xml:space="preserve">610210-1386710</t>
  </si>
  <si>
    <r>
      <rPr>
        <sz val="10"/>
        <color rgb="FF000000"/>
        <rFont val="DejaVu Sans"/>
        <family val="2"/>
      </rPr>
      <t xml:space="preserve">충북 영동군 양강면 신기</t>
    </r>
    <r>
      <rPr>
        <sz val="10"/>
        <color rgb="FF000000"/>
        <rFont val="돋움"/>
        <family val="3"/>
        <charset val="129"/>
      </rPr>
      <t xml:space="preserve">1</t>
    </r>
    <r>
      <rPr>
        <sz val="10"/>
        <color rgb="FF000000"/>
        <rFont val="DejaVu Sans"/>
        <family val="2"/>
      </rPr>
      <t xml:space="preserve">길 </t>
    </r>
    <r>
      <rPr>
        <sz val="10"/>
        <color rgb="FF000000"/>
        <rFont val="돋움"/>
        <family val="3"/>
        <charset val="129"/>
      </rPr>
      <t xml:space="preserve">21</t>
    </r>
  </si>
  <si>
    <t xml:space="preserve">407023-51-026910</t>
  </si>
  <si>
    <t xml:space="preserve">29146</t>
  </si>
  <si>
    <t xml:space="preserve">박성안</t>
  </si>
  <si>
    <t xml:space="preserve">570827-1386125</t>
  </si>
  <si>
    <r>
      <rPr>
        <sz val="10"/>
        <color rgb="FF000000"/>
        <rFont val="DejaVu Sans"/>
        <family val="2"/>
      </rPr>
      <t xml:space="preserve">충북 충북 영동군 영동읍 가리 </t>
    </r>
    <r>
      <rPr>
        <sz val="10"/>
        <color rgb="FF000000"/>
        <rFont val="돋움"/>
        <family val="3"/>
        <charset val="129"/>
      </rPr>
      <t xml:space="preserve">755-2</t>
    </r>
  </si>
  <si>
    <t xml:space="preserve">407012-52-048265</t>
  </si>
  <si>
    <t xml:space="preserve">29141</t>
  </si>
  <si>
    <t xml:space="preserve">김이수</t>
  </si>
  <si>
    <t xml:space="preserve">500226-1386711</t>
  </si>
  <si>
    <r>
      <rPr>
        <sz val="10"/>
        <color rgb="FF000000"/>
        <rFont val="DejaVu Sans"/>
        <family val="2"/>
      </rPr>
      <t xml:space="preserve">충북 영동군 영동읍 영동천</t>
    </r>
    <r>
      <rPr>
        <sz val="10"/>
        <color rgb="FF000000"/>
        <rFont val="돋움"/>
        <family val="3"/>
        <charset val="129"/>
      </rPr>
      <t xml:space="preserve">1</t>
    </r>
    <r>
      <rPr>
        <sz val="10"/>
        <color rgb="FF000000"/>
        <rFont val="DejaVu Sans"/>
        <family val="2"/>
      </rPr>
      <t xml:space="preserve">길 </t>
    </r>
    <r>
      <rPr>
        <sz val="10"/>
        <color rgb="FF000000"/>
        <rFont val="돋움"/>
        <family val="3"/>
        <charset val="129"/>
      </rPr>
      <t xml:space="preserve">32-1</t>
    </r>
  </si>
  <si>
    <t xml:space="preserve">356-0817-4633-33</t>
  </si>
  <si>
    <t xml:space="preserve">010-5485-1909</t>
  </si>
  <si>
    <t xml:space="preserve">610205-2400329</t>
  </si>
  <si>
    <r>
      <rPr>
        <sz val="10"/>
        <color rgb="FF000000"/>
        <rFont val="DejaVu Sans"/>
        <family val="2"/>
      </rPr>
      <t xml:space="preserve">충북 영동군 영동읍 회동로 </t>
    </r>
    <r>
      <rPr>
        <sz val="10"/>
        <color rgb="FF000000"/>
        <rFont val="돋움"/>
        <family val="3"/>
        <charset val="129"/>
      </rPr>
      <t xml:space="preserve">156-20</t>
    </r>
  </si>
  <si>
    <t xml:space="preserve">356-1603-8569-73</t>
  </si>
  <si>
    <t xml:space="preserve">010-4034-9739</t>
  </si>
  <si>
    <t xml:space="preserve">34513</t>
  </si>
  <si>
    <t xml:space="preserve">610604-2382923</t>
  </si>
  <si>
    <r>
      <rPr>
        <sz val="10"/>
        <color rgb="FF000000"/>
        <rFont val="DejaVu Sans"/>
        <family val="2"/>
      </rPr>
      <t xml:space="preserve">대전광역시 동구 충정로 </t>
    </r>
    <r>
      <rPr>
        <sz val="10"/>
        <color rgb="FF000000"/>
        <rFont val="돋움"/>
        <family val="3"/>
        <charset val="129"/>
      </rPr>
      <t xml:space="preserve">136, 1102</t>
    </r>
    <r>
      <rPr>
        <sz val="10"/>
        <color rgb="FF000000"/>
        <rFont val="DejaVu Sans"/>
        <family val="2"/>
      </rPr>
      <t xml:space="preserve">동 </t>
    </r>
    <r>
      <rPr>
        <sz val="10"/>
        <color rgb="FF000000"/>
        <rFont val="돋움"/>
        <family val="3"/>
        <charset val="129"/>
      </rPr>
      <t xml:space="preserve">2006</t>
    </r>
    <r>
      <rPr>
        <sz val="10"/>
        <color rgb="FF000000"/>
        <rFont val="DejaVu Sans"/>
        <family val="2"/>
      </rPr>
      <t xml:space="preserve">호 </t>
    </r>
    <r>
      <rPr>
        <sz val="10"/>
        <color rgb="FF000000"/>
        <rFont val="돋움"/>
        <family val="3"/>
        <charset val="129"/>
      </rPr>
      <t xml:space="preserve">(</t>
    </r>
    <r>
      <rPr>
        <sz val="10"/>
        <color rgb="FF000000"/>
        <rFont val="DejaVu Sans"/>
        <family val="2"/>
      </rPr>
      <t xml:space="preserve">가양동</t>
    </r>
    <r>
      <rPr>
        <sz val="10"/>
        <color rgb="FF000000"/>
        <rFont val="돋움"/>
        <family val="3"/>
        <charset val="129"/>
      </rPr>
      <t xml:space="preserve">, </t>
    </r>
    <r>
      <rPr>
        <sz val="10"/>
        <color rgb="FF000000"/>
        <rFont val="DejaVu Sans"/>
        <family val="2"/>
      </rPr>
      <t xml:space="preserve">대주파크빌</t>
    </r>
    <r>
      <rPr>
        <sz val="10"/>
        <color rgb="FF000000"/>
        <rFont val="돋움"/>
        <family val="3"/>
        <charset val="129"/>
      </rPr>
      <t xml:space="preserve">)</t>
    </r>
  </si>
  <si>
    <t xml:space="preserve">356-1585-3805-03</t>
  </si>
  <si>
    <t xml:space="preserve">010-5093-9072</t>
  </si>
  <si>
    <t xml:space="preserve">03419</t>
  </si>
  <si>
    <r>
      <rPr>
        <sz val="10"/>
        <color rgb="FF000000"/>
        <rFont val="DejaVu Sans"/>
        <family val="2"/>
      </rPr>
      <t xml:space="preserve">은평구 연서로</t>
    </r>
    <r>
      <rPr>
        <sz val="10"/>
        <color rgb="FF000000"/>
        <rFont val="돋움"/>
        <family val="3"/>
        <charset val="129"/>
      </rPr>
      <t xml:space="preserve">3</t>
    </r>
    <r>
      <rPr>
        <sz val="10"/>
        <color rgb="FF000000"/>
        <rFont val="DejaVu Sans"/>
        <family val="2"/>
      </rPr>
      <t xml:space="preserve">나길 </t>
    </r>
    <r>
      <rPr>
        <sz val="10"/>
        <color rgb="FF000000"/>
        <rFont val="돋움"/>
        <family val="3"/>
        <charset val="129"/>
      </rPr>
      <t xml:space="preserve">11-33, </t>
    </r>
    <r>
      <rPr>
        <sz val="10"/>
        <color rgb="FF000000"/>
        <rFont val="DejaVu Sans"/>
        <family val="2"/>
      </rPr>
      <t xml:space="preserve">삼풍빌라</t>
    </r>
  </si>
  <si>
    <t xml:space="preserve">661110-2382929</t>
  </si>
  <si>
    <r>
      <rPr>
        <sz val="10"/>
        <color rgb="FF000000"/>
        <rFont val="DejaVu Sans"/>
        <family val="2"/>
      </rPr>
      <t xml:space="preserve">대전광역시 동구 성동로</t>
    </r>
    <r>
      <rPr>
        <sz val="10"/>
        <color rgb="FF000000"/>
        <rFont val="돋움"/>
        <family val="3"/>
        <charset val="129"/>
      </rPr>
      <t xml:space="preserve">7</t>
    </r>
    <r>
      <rPr>
        <sz val="10"/>
        <color rgb="FF000000"/>
        <rFont val="DejaVu Sans"/>
        <family val="2"/>
      </rPr>
      <t xml:space="preserve">번길 </t>
    </r>
    <r>
      <rPr>
        <sz val="10"/>
        <color rgb="FF000000"/>
        <rFont val="돋움"/>
        <family val="3"/>
        <charset val="129"/>
      </rPr>
      <t xml:space="preserve">58-11, 1</t>
    </r>
    <r>
      <rPr>
        <sz val="10"/>
        <color rgb="FF000000"/>
        <rFont val="DejaVu Sans"/>
        <family val="2"/>
      </rPr>
      <t xml:space="preserve">동 </t>
    </r>
    <r>
      <rPr>
        <sz val="10"/>
        <color rgb="FF000000"/>
        <rFont val="돋움"/>
        <family val="3"/>
        <charset val="129"/>
      </rPr>
      <t xml:space="preserve">107</t>
    </r>
    <r>
      <rPr>
        <sz val="10"/>
        <color rgb="FF000000"/>
        <rFont val="DejaVu Sans"/>
        <family val="2"/>
      </rPr>
      <t xml:space="preserve">호 </t>
    </r>
    <r>
      <rPr>
        <sz val="10"/>
        <color rgb="FF000000"/>
        <rFont val="돋움"/>
        <family val="3"/>
        <charset val="129"/>
      </rPr>
      <t xml:space="preserve">(</t>
    </r>
    <r>
      <rPr>
        <sz val="10"/>
        <color rgb="FF000000"/>
        <rFont val="DejaVu Sans"/>
        <family val="2"/>
      </rPr>
      <t xml:space="preserve">자양동</t>
    </r>
    <r>
      <rPr>
        <sz val="10"/>
        <color rgb="FF000000"/>
        <rFont val="돋움"/>
        <family val="3"/>
        <charset val="129"/>
      </rPr>
      <t xml:space="preserve">, </t>
    </r>
    <r>
      <rPr>
        <sz val="10"/>
        <color rgb="FF000000"/>
        <rFont val="DejaVu Sans"/>
        <family val="2"/>
      </rPr>
      <t xml:space="preserve">임광아파트</t>
    </r>
    <r>
      <rPr>
        <sz val="10"/>
        <color rgb="FF000000"/>
        <rFont val="돋움"/>
        <family val="3"/>
        <charset val="129"/>
      </rPr>
      <t xml:space="preserve">)</t>
    </r>
  </si>
  <si>
    <t xml:space="preserve">352-2099-8874-83</t>
  </si>
  <si>
    <t xml:space="preserve">010-8770-7249</t>
  </si>
  <si>
    <t xml:space="preserve">571020-1481929</t>
  </si>
  <si>
    <r>
      <rPr>
        <sz val="10"/>
        <color rgb="FF000000"/>
        <rFont val="DejaVu Sans"/>
        <family val="2"/>
      </rPr>
      <t xml:space="preserve">충북 영동군 양강면 묘동</t>
    </r>
    <r>
      <rPr>
        <sz val="10"/>
        <color rgb="FF000000"/>
        <rFont val="돋움"/>
        <family val="3"/>
        <charset val="129"/>
      </rPr>
      <t xml:space="preserve">3</t>
    </r>
    <r>
      <rPr>
        <sz val="10"/>
        <color rgb="FF000000"/>
        <rFont val="DejaVu Sans"/>
        <family val="2"/>
      </rPr>
      <t xml:space="preserve">길 </t>
    </r>
    <r>
      <rPr>
        <sz val="10"/>
        <color rgb="FF000000"/>
        <rFont val="돋움"/>
        <family val="3"/>
        <charset val="129"/>
      </rPr>
      <t xml:space="preserve">31-3</t>
    </r>
  </si>
  <si>
    <t xml:space="preserve">356-0367-2587-73</t>
  </si>
  <si>
    <r>
      <rPr>
        <sz val="10"/>
        <color rgb="FF000000"/>
        <rFont val="DejaVu Sans"/>
        <family val="2"/>
      </rPr>
      <t xml:space="preserve">서울특별시 은평구 역촌동 </t>
    </r>
    <r>
      <rPr>
        <sz val="10"/>
        <color rgb="FF000000"/>
        <rFont val="돋움"/>
        <family val="3"/>
        <charset val="129"/>
      </rPr>
      <t xml:space="preserve">68-31 </t>
    </r>
    <r>
      <rPr>
        <sz val="10"/>
        <color rgb="FF000000"/>
        <rFont val="DejaVu Sans"/>
        <family val="2"/>
      </rPr>
      <t xml:space="preserve">지층</t>
    </r>
    <r>
      <rPr>
        <sz val="10"/>
        <color rgb="FF000000"/>
        <rFont val="돋움"/>
        <family val="3"/>
        <charset val="129"/>
      </rPr>
      <t xml:space="preserve">-2</t>
    </r>
  </si>
  <si>
    <t xml:space="preserve">491107-1448813</t>
  </si>
  <si>
    <r>
      <rPr>
        <sz val="10"/>
        <rFont val="DejaVu Sans"/>
        <family val="2"/>
      </rPr>
      <t xml:space="preserve">충북 영동군 양강면 국촌</t>
    </r>
    <r>
      <rPr>
        <sz val="10"/>
        <rFont val="돋움"/>
        <family val="3"/>
        <charset val="129"/>
      </rPr>
      <t xml:space="preserve">1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6-6</t>
    </r>
  </si>
  <si>
    <t xml:space="preserve">356-0791-8136-43</t>
  </si>
  <si>
    <t xml:space="preserve">29156</t>
  </si>
  <si>
    <t xml:space="preserve">김경옥</t>
  </si>
  <si>
    <t xml:space="preserve">650424-2785412</t>
  </si>
  <si>
    <r>
      <rPr>
        <sz val="10"/>
        <rFont val="DejaVu Sans"/>
        <family val="2"/>
      </rPr>
      <t xml:space="preserve">충북 영동군 영동읍 동정로 </t>
    </r>
    <r>
      <rPr>
        <sz val="10"/>
        <rFont val="돋움"/>
        <family val="3"/>
        <charset val="129"/>
      </rPr>
      <t xml:space="preserve">47, 103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304</t>
    </r>
    <r>
      <rPr>
        <sz val="10"/>
        <rFont val="DejaVu Sans"/>
        <family val="2"/>
      </rPr>
      <t xml:space="preserve">호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영동가마실휴먼시아</t>
    </r>
    <r>
      <rPr>
        <sz val="10"/>
        <rFont val="돋움"/>
        <family val="3"/>
        <charset val="129"/>
      </rPr>
      <t xml:space="preserve">)</t>
    </r>
  </si>
  <si>
    <t xml:space="preserve">010-5483-0500</t>
  </si>
  <si>
    <t xml:space="preserve">660123-1386716</t>
  </si>
  <si>
    <r>
      <rPr>
        <sz val="10"/>
        <color rgb="FF000000"/>
        <rFont val="DejaVu Sans"/>
        <family val="2"/>
      </rPr>
      <t xml:space="preserve">충북 영동군 양강면 국촌</t>
    </r>
    <r>
      <rPr>
        <sz val="10"/>
        <color rgb="FF000000"/>
        <rFont val="돋움"/>
        <family val="3"/>
        <charset val="129"/>
      </rPr>
      <t xml:space="preserve">1</t>
    </r>
    <r>
      <rPr>
        <sz val="10"/>
        <color rgb="FF000000"/>
        <rFont val="DejaVu Sans"/>
        <family val="2"/>
      </rPr>
      <t xml:space="preserve">길</t>
    </r>
    <r>
      <rPr>
        <sz val="10"/>
        <color rgb="FF000000"/>
        <rFont val="돋움"/>
        <family val="3"/>
        <charset val="129"/>
      </rPr>
      <t xml:space="preserve">10</t>
    </r>
  </si>
  <si>
    <t xml:space="preserve">352-1734-5415-23</t>
  </si>
  <si>
    <t xml:space="preserve">010-3039-3737</t>
  </si>
  <si>
    <t xml:space="preserve">640320-2386922</t>
  </si>
  <si>
    <r>
      <rPr>
        <sz val="10"/>
        <color rgb="FF000000"/>
        <rFont val="DejaVu Sans"/>
        <family val="2"/>
      </rPr>
      <t xml:space="preserve">충북 영동군 양강면 양정리</t>
    </r>
    <r>
      <rPr>
        <sz val="10"/>
        <color rgb="FF000000"/>
        <rFont val="돋움"/>
        <family val="3"/>
        <charset val="129"/>
      </rPr>
      <t xml:space="preserve">116-6</t>
    </r>
  </si>
  <si>
    <t xml:space="preserve">407023-56-010784</t>
  </si>
  <si>
    <t xml:space="preserve">010-8982-1150</t>
  </si>
  <si>
    <t xml:space="preserve">370811</t>
  </si>
  <si>
    <t xml:space="preserve">박창선</t>
  </si>
  <si>
    <t xml:space="preserve">940629-1386117</t>
  </si>
  <si>
    <r>
      <rPr>
        <sz val="10"/>
        <rFont val="DejaVu Sans"/>
        <family val="2"/>
      </rPr>
      <t xml:space="preserve">충북 영동군 영동읍 새심길 </t>
    </r>
    <r>
      <rPr>
        <sz val="10"/>
        <rFont val="돋움"/>
        <family val="3"/>
        <charset val="129"/>
      </rPr>
      <t xml:space="preserve">18, 607</t>
    </r>
    <r>
      <rPr>
        <sz val="10"/>
        <rFont val="DejaVu Sans"/>
        <family val="2"/>
      </rPr>
      <t xml:space="preserve">호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조한드림플러스아파트</t>
    </r>
    <r>
      <rPr>
        <sz val="10"/>
        <rFont val="돋움"/>
        <family val="3"/>
        <charset val="129"/>
      </rPr>
      <t xml:space="preserve">)</t>
    </r>
  </si>
  <si>
    <t xml:space="preserve">302-8982-1150-11</t>
  </si>
  <si>
    <t xml:space="preserve">도창문</t>
  </si>
  <si>
    <t xml:space="preserve">651025-1652425</t>
  </si>
  <si>
    <r>
      <rPr>
        <sz val="10"/>
        <color rgb="FF000000"/>
        <rFont val="DejaVu Sans"/>
        <family val="2"/>
      </rPr>
      <t xml:space="preserve">대전광역시 동구 우암로 </t>
    </r>
    <r>
      <rPr>
        <sz val="10"/>
        <color rgb="FF000000"/>
        <rFont val="돋움"/>
        <family val="3"/>
        <charset val="129"/>
      </rPr>
      <t xml:space="preserve">61-12 (</t>
    </r>
    <r>
      <rPr>
        <sz val="10"/>
        <color rgb="FF000000"/>
        <rFont val="DejaVu Sans"/>
        <family val="2"/>
      </rPr>
      <t xml:space="preserve">삼성동</t>
    </r>
    <r>
      <rPr>
        <sz val="10"/>
        <color rgb="FF000000"/>
        <rFont val="돋움"/>
        <family val="3"/>
        <charset val="129"/>
      </rPr>
      <t xml:space="preserve">)</t>
    </r>
  </si>
  <si>
    <t xml:space="preserve">352-0058-0889-83</t>
  </si>
  <si>
    <t xml:space="preserve">010-8380-1900</t>
  </si>
  <si>
    <t xml:space="preserve">34619</t>
  </si>
  <si>
    <t xml:space="preserve">김경희</t>
  </si>
  <si>
    <t xml:space="preserve">761205-2386722</t>
  </si>
  <si>
    <r>
      <rPr>
        <sz val="10"/>
        <rFont val="DejaVu Sans"/>
        <family val="2"/>
      </rPr>
      <t xml:space="preserve">서울특별시 은평구 은평로</t>
    </r>
    <r>
      <rPr>
        <sz val="10"/>
        <rFont val="돋움"/>
        <family val="3"/>
        <charset val="129"/>
      </rPr>
      <t xml:space="preserve">21</t>
    </r>
    <r>
      <rPr>
        <sz val="10"/>
        <rFont val="DejaVu Sans"/>
        <family val="2"/>
      </rPr>
      <t xml:space="preserve">가길 </t>
    </r>
    <r>
      <rPr>
        <sz val="10"/>
        <rFont val="돋움"/>
        <family val="3"/>
        <charset val="129"/>
      </rPr>
      <t xml:space="preserve">15-9, 201</t>
    </r>
    <r>
      <rPr>
        <sz val="10"/>
        <rFont val="DejaVu Sans"/>
        <family val="2"/>
      </rPr>
      <t xml:space="preserve">호</t>
    </r>
  </si>
  <si>
    <t xml:space="preserve">356-1415-1420-63</t>
  </si>
  <si>
    <t xml:space="preserve">03381</t>
  </si>
  <si>
    <t xml:space="preserve">720402-1798516</t>
  </si>
  <si>
    <r>
      <rPr>
        <sz val="10"/>
        <rFont val="DejaVu Sans"/>
        <family val="2"/>
      </rPr>
      <t xml:space="preserve">경북 칠곡군 북삼읍 인강</t>
    </r>
    <r>
      <rPr>
        <sz val="10"/>
        <rFont val="돋움"/>
        <family val="3"/>
        <charset val="129"/>
      </rPr>
      <t xml:space="preserve">9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10, 101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1212</t>
    </r>
    <r>
      <rPr>
        <sz val="10"/>
        <rFont val="DejaVu Sans"/>
        <family val="2"/>
      </rPr>
      <t xml:space="preserve">호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로얄아파트</t>
    </r>
    <r>
      <rPr>
        <sz val="10"/>
        <rFont val="돋움"/>
        <family val="3"/>
        <charset val="129"/>
      </rPr>
      <t xml:space="preserve">)</t>
    </r>
  </si>
  <si>
    <t xml:space="preserve">735089-56-010696</t>
  </si>
  <si>
    <t xml:space="preserve">010-7520-7708</t>
  </si>
  <si>
    <t xml:space="preserve">강희동</t>
  </si>
  <si>
    <t xml:space="preserve">610226-1386139</t>
  </si>
  <si>
    <r>
      <rPr>
        <sz val="10"/>
        <rFont val="DejaVu Sans"/>
        <family val="2"/>
      </rPr>
      <t xml:space="preserve">대전광역시 중구 보문산로</t>
    </r>
    <r>
      <rPr>
        <sz val="10"/>
        <rFont val="돋움"/>
        <family val="3"/>
        <charset val="129"/>
      </rPr>
      <t xml:space="preserve">77</t>
    </r>
    <r>
      <rPr>
        <sz val="10"/>
        <rFont val="DejaVu Sans"/>
        <family val="2"/>
      </rPr>
      <t xml:space="preserve">번길 </t>
    </r>
    <r>
      <rPr>
        <sz val="10"/>
        <rFont val="돋움"/>
        <family val="3"/>
        <charset val="129"/>
      </rPr>
      <t xml:space="preserve">31-8, (</t>
    </r>
    <r>
      <rPr>
        <sz val="10"/>
        <rFont val="DejaVu Sans"/>
        <family val="2"/>
      </rPr>
      <t xml:space="preserve">산성동</t>
    </r>
    <r>
      <rPr>
        <sz val="10"/>
        <rFont val="돋움"/>
        <family val="3"/>
        <charset val="129"/>
      </rPr>
      <t xml:space="preserve">)</t>
    </r>
  </si>
  <si>
    <t xml:space="preserve">장공섭</t>
  </si>
  <si>
    <t xml:space="preserve">620729-1800210</t>
  </si>
  <si>
    <r>
      <rPr>
        <sz val="10"/>
        <rFont val="DejaVu Sans"/>
        <family val="2"/>
      </rPr>
      <t xml:space="preserve">경상북도 구미시 형곡동 </t>
    </r>
    <r>
      <rPr>
        <sz val="10"/>
        <rFont val="돋움"/>
        <family val="3"/>
        <charset val="129"/>
      </rPr>
      <t xml:space="preserve">184 </t>
    </r>
    <r>
      <rPr>
        <sz val="10"/>
        <rFont val="DejaVu Sans"/>
        <family val="2"/>
      </rPr>
      <t xml:space="preserve">대원로얄타운 </t>
    </r>
    <r>
      <rPr>
        <sz val="10"/>
        <rFont val="돋움"/>
        <family val="3"/>
        <charset val="129"/>
      </rPr>
      <t xml:space="preserve">103</t>
    </r>
    <r>
      <rPr>
        <sz val="10"/>
        <rFont val="DejaVu Sans"/>
        <family val="2"/>
      </rPr>
      <t xml:space="preserve">호</t>
    </r>
  </si>
  <si>
    <t xml:space="preserve">5515-10-012951-5</t>
  </si>
  <si>
    <t xml:space="preserve">010-2065-8977</t>
  </si>
  <si>
    <t xml:space="preserve">민병철</t>
  </si>
  <si>
    <t xml:space="preserve">820918-1449412</t>
  </si>
  <si>
    <r>
      <rPr>
        <sz val="10"/>
        <rFont val="DejaVu Sans"/>
        <family val="2"/>
      </rPr>
      <t xml:space="preserve">대전광역시 중구 산성동 </t>
    </r>
    <r>
      <rPr>
        <sz val="10"/>
        <rFont val="돋움"/>
        <family val="3"/>
        <charset val="129"/>
      </rPr>
      <t xml:space="preserve">96-4 </t>
    </r>
    <r>
      <rPr>
        <sz val="10"/>
        <rFont val="DejaVu Sans"/>
        <family val="2"/>
      </rPr>
      <t xml:space="preserve">동양빌라트 </t>
    </r>
    <r>
      <rPr>
        <sz val="10"/>
        <rFont val="돋움"/>
        <family val="3"/>
        <charset val="129"/>
      </rPr>
      <t xml:space="preserve">301</t>
    </r>
    <r>
      <rPr>
        <sz val="10"/>
        <rFont val="DejaVu Sans"/>
        <family val="2"/>
      </rPr>
      <t xml:space="preserve">호</t>
    </r>
  </si>
  <si>
    <t xml:space="preserve">전민석</t>
  </si>
  <si>
    <t xml:space="preserve">671205-1057614</t>
  </si>
  <si>
    <r>
      <rPr>
        <sz val="10"/>
        <rFont val="DejaVu Sans"/>
        <family val="2"/>
      </rPr>
      <t xml:space="preserve">광주광역시 북구 금호로 </t>
    </r>
    <r>
      <rPr>
        <sz val="10"/>
        <rFont val="돋움"/>
        <family val="3"/>
        <charset val="129"/>
      </rPr>
      <t xml:space="preserve">28(</t>
    </r>
    <r>
      <rPr>
        <sz val="10"/>
        <rFont val="DejaVu Sans"/>
        <family val="2"/>
      </rPr>
      <t xml:space="preserve">운암동</t>
    </r>
    <r>
      <rPr>
        <sz val="10"/>
        <rFont val="돋움"/>
        <family val="3"/>
        <charset val="129"/>
      </rPr>
      <t xml:space="preserve">)</t>
    </r>
  </si>
  <si>
    <t xml:space="preserve">356-1190-0406-13</t>
  </si>
  <si>
    <t xml:space="preserve">이의성</t>
  </si>
  <si>
    <t xml:space="preserve">820103-1456017</t>
  </si>
  <si>
    <r>
      <rPr>
        <sz val="10"/>
        <rFont val="DejaVu Sans"/>
        <family val="2"/>
      </rPr>
      <t xml:space="preserve">대전광역시 중구 대둔산로 </t>
    </r>
    <r>
      <rPr>
        <sz val="10"/>
        <rFont val="돋움"/>
        <family val="3"/>
        <charset val="129"/>
      </rPr>
      <t xml:space="preserve">364</t>
    </r>
  </si>
  <si>
    <t xml:space="preserve">302-1916-5404-81</t>
  </si>
  <si>
    <t xml:space="preserve">노기영</t>
  </si>
  <si>
    <t xml:space="preserve">590111-1400817</t>
  </si>
  <si>
    <r>
      <rPr>
        <sz val="10"/>
        <rFont val="DejaVu Sans"/>
        <family val="2"/>
      </rPr>
      <t xml:space="preserve">대전광역시 대덕구 장동로 </t>
    </r>
    <r>
      <rPr>
        <sz val="10"/>
        <rFont val="돋움"/>
        <family val="3"/>
        <charset val="129"/>
      </rPr>
      <t xml:space="preserve">273-1(</t>
    </r>
    <r>
      <rPr>
        <sz val="10"/>
        <rFont val="DejaVu Sans"/>
        <family val="2"/>
      </rPr>
      <t xml:space="preserve">장동</t>
    </r>
    <r>
      <rPr>
        <sz val="10"/>
        <rFont val="돋움"/>
        <family val="3"/>
        <charset val="129"/>
      </rPr>
      <t xml:space="preserve">)</t>
    </r>
  </si>
  <si>
    <t xml:space="preserve">736001-01-216494</t>
  </si>
  <si>
    <t xml:space="preserve">고광철</t>
  </si>
  <si>
    <t xml:space="preserve">700810-1408415</t>
  </si>
  <si>
    <r>
      <rPr>
        <sz val="10"/>
        <rFont val="DejaVu Sans"/>
        <family val="2"/>
      </rPr>
      <t xml:space="preserve">대전광역시 서구 유등로</t>
    </r>
    <r>
      <rPr>
        <sz val="10"/>
        <rFont val="돋움"/>
        <family val="3"/>
        <charset val="129"/>
      </rPr>
      <t xml:space="preserve">505</t>
    </r>
    <r>
      <rPr>
        <sz val="10"/>
        <rFont val="DejaVu Sans"/>
        <family val="2"/>
      </rPr>
      <t xml:space="preserve">번길 </t>
    </r>
    <r>
      <rPr>
        <sz val="10"/>
        <rFont val="돋움"/>
        <family val="3"/>
        <charset val="129"/>
      </rPr>
      <t xml:space="preserve">28, </t>
    </r>
    <r>
      <rPr>
        <sz val="10"/>
        <rFont val="DejaVu Sans"/>
        <family val="2"/>
      </rPr>
      <t xml:space="preserve">나동 </t>
    </r>
    <r>
      <rPr>
        <sz val="10"/>
        <rFont val="돋움"/>
        <family val="3"/>
        <charset val="129"/>
      </rPr>
      <t xml:space="preserve">301</t>
    </r>
    <r>
      <rPr>
        <sz val="10"/>
        <rFont val="DejaVu Sans"/>
        <family val="2"/>
      </rPr>
      <t xml:space="preserve">호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용문동</t>
    </r>
    <r>
      <rPr>
        <sz val="10"/>
        <rFont val="돋움"/>
        <family val="3"/>
        <charset val="129"/>
      </rPr>
      <t xml:space="preserve">, </t>
    </r>
    <r>
      <rPr>
        <sz val="10"/>
        <rFont val="DejaVu Sans"/>
        <family val="2"/>
      </rPr>
      <t xml:space="preserve">성림빌라</t>
    </r>
    <r>
      <rPr>
        <sz val="10"/>
        <rFont val="돋움"/>
        <family val="3"/>
        <charset val="129"/>
      </rPr>
      <t xml:space="preserve">)</t>
    </r>
  </si>
  <si>
    <t xml:space="preserve">110-485-050895</t>
  </si>
  <si>
    <t xml:space="preserve">송석운</t>
  </si>
  <si>
    <t xml:space="preserve">580819-1522921</t>
  </si>
  <si>
    <r>
      <rPr>
        <sz val="10"/>
        <rFont val="DejaVu Sans"/>
        <family val="2"/>
      </rPr>
      <t xml:space="preserve">대전광역시 서구 둔산로 </t>
    </r>
    <r>
      <rPr>
        <sz val="10"/>
        <rFont val="돋움"/>
        <family val="3"/>
        <charset val="129"/>
      </rPr>
      <t xml:space="preserve">223, 2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1405</t>
    </r>
    <r>
      <rPr>
        <sz val="10"/>
        <rFont val="DejaVu Sans"/>
        <family val="2"/>
      </rPr>
      <t xml:space="preserve">호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청솔</t>
    </r>
    <r>
      <rPr>
        <sz val="10"/>
        <rFont val="돋움"/>
        <family val="3"/>
        <charset val="129"/>
      </rPr>
      <t xml:space="preserve">)</t>
    </r>
  </si>
  <si>
    <t xml:space="preserve">356-1004-4757-53</t>
  </si>
  <si>
    <t xml:space="preserve">송민기</t>
  </si>
  <si>
    <t xml:space="preserve">740424-1522918</t>
  </si>
  <si>
    <r>
      <rPr>
        <sz val="10"/>
        <rFont val="DejaVu Sans"/>
        <family val="2"/>
      </rPr>
      <t xml:space="preserve">대전광역시 동구 가양동 </t>
    </r>
    <r>
      <rPr>
        <sz val="10"/>
        <rFont val="돋움"/>
        <family val="3"/>
        <charset val="129"/>
      </rPr>
      <t xml:space="preserve">308-18</t>
    </r>
  </si>
  <si>
    <t xml:space="preserve">하나</t>
  </si>
  <si>
    <t xml:space="preserve">653-910309-35507</t>
  </si>
  <si>
    <t xml:space="preserve">박도용</t>
  </si>
  <si>
    <t xml:space="preserve">650722-1386718</t>
  </si>
  <si>
    <r>
      <rPr>
        <sz val="10"/>
        <rFont val="DejaVu Sans"/>
        <family val="2"/>
      </rPr>
      <t xml:space="preserve">충북 영동군 양강면 양정죽촌로 </t>
    </r>
    <r>
      <rPr>
        <sz val="10"/>
        <rFont val="돋움"/>
        <family val="3"/>
        <charset val="129"/>
      </rPr>
      <t xml:space="preserve">357-65</t>
    </r>
  </si>
  <si>
    <t xml:space="preserve">352-1621-6425-03</t>
  </si>
  <si>
    <t xml:space="preserve">오종환</t>
  </si>
  <si>
    <t xml:space="preserve">540228-1524514</t>
  </si>
  <si>
    <t xml:space="preserve">전북 무주군 설천면 삼도봉로</t>
  </si>
  <si>
    <t xml:space="preserve">407013-52-132094</t>
  </si>
  <si>
    <r>
      <rPr>
        <sz val="10"/>
        <rFont val="DejaVu Sans"/>
        <family val="2"/>
      </rPr>
      <t xml:space="preserve">전북 무주군 설천면 소천리 </t>
    </r>
    <r>
      <rPr>
        <sz val="10"/>
        <rFont val="돋움"/>
        <family val="3"/>
        <charset val="129"/>
      </rPr>
      <t xml:space="preserve">915-21</t>
    </r>
  </si>
  <si>
    <r>
      <rPr>
        <sz val="10"/>
        <rFont val="DejaVu Sans"/>
        <family val="2"/>
      </rPr>
      <t xml:space="preserve">충북 청주시 상당구 중고개로</t>
    </r>
    <r>
      <rPr>
        <sz val="10"/>
        <rFont val="돋움"/>
        <family val="3"/>
        <charset val="129"/>
      </rPr>
      <t xml:space="preserve">248</t>
    </r>
    <r>
      <rPr>
        <sz val="10"/>
        <rFont val="DejaVu Sans"/>
        <family val="2"/>
      </rPr>
      <t xml:space="preserve">번길 </t>
    </r>
    <r>
      <rPr>
        <sz val="10"/>
        <rFont val="돋움"/>
        <family val="3"/>
        <charset val="129"/>
      </rPr>
      <t xml:space="preserve">52-1,(</t>
    </r>
    <r>
      <rPr>
        <sz val="10"/>
        <rFont val="DejaVu Sans"/>
        <family val="2"/>
      </rPr>
      <t xml:space="preserve">금천동</t>
    </r>
    <r>
      <rPr>
        <sz val="10"/>
        <rFont val="돋움"/>
        <family val="3"/>
        <charset val="129"/>
      </rPr>
      <t xml:space="preserve">)</t>
    </r>
  </si>
  <si>
    <t xml:space="preserve">730108-1148320</t>
  </si>
  <si>
    <r>
      <rPr>
        <sz val="10"/>
        <rFont val="DejaVu Sans"/>
        <family val="2"/>
      </rPr>
      <t xml:space="preserve">충북 영동군 양강면 마포</t>
    </r>
    <r>
      <rPr>
        <sz val="10"/>
        <rFont val="돋움"/>
        <family val="3"/>
        <charset val="129"/>
      </rPr>
      <t xml:space="preserve">2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8</t>
    </r>
  </si>
  <si>
    <t xml:space="preserve">352-1213-5051-73</t>
  </si>
  <si>
    <t xml:space="preserve">010-2304-8648</t>
  </si>
  <si>
    <t xml:space="preserve">630605-1182813</t>
  </si>
  <si>
    <r>
      <rPr>
        <sz val="10"/>
        <rFont val="DejaVu Sans"/>
        <family val="2"/>
      </rPr>
      <t xml:space="preserve">인천광역시 남동구 인주대로 </t>
    </r>
    <r>
      <rPr>
        <sz val="10"/>
        <rFont val="돋움"/>
        <family val="3"/>
        <charset val="129"/>
      </rPr>
      <t xml:space="preserve">857, 102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105</t>
    </r>
    <r>
      <rPr>
        <sz val="10"/>
        <rFont val="DejaVu Sans"/>
        <family val="2"/>
      </rPr>
      <t xml:space="preserve">호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만수동</t>
    </r>
    <r>
      <rPr>
        <sz val="10"/>
        <rFont val="돋움"/>
        <family val="3"/>
        <charset val="129"/>
      </rPr>
      <t xml:space="preserve">,</t>
    </r>
    <r>
      <rPr>
        <sz val="10"/>
        <rFont val="DejaVu Sans"/>
        <family val="2"/>
      </rPr>
      <t xml:space="preserve">삼환아파트</t>
    </r>
    <r>
      <rPr>
        <sz val="10"/>
        <rFont val="돋움"/>
        <family val="3"/>
        <charset val="129"/>
      </rPr>
      <t xml:space="preserve">)</t>
    </r>
  </si>
  <si>
    <t xml:space="preserve">2306-09-0087630-4</t>
  </si>
  <si>
    <t xml:space="preserve">이경민</t>
  </si>
  <si>
    <t xml:space="preserve">580703-1381015</t>
  </si>
  <si>
    <r>
      <rPr>
        <sz val="10"/>
        <rFont val="DejaVu Sans"/>
        <family val="2"/>
      </rPr>
      <t xml:space="preserve">충북 청주시 서원구 </t>
    </r>
    <r>
      <rPr>
        <sz val="10"/>
        <rFont val="돋움"/>
        <family val="3"/>
        <charset val="129"/>
      </rPr>
      <t xml:space="preserve">1</t>
    </r>
    <r>
      <rPr>
        <sz val="10"/>
        <rFont val="DejaVu Sans"/>
        <family val="2"/>
      </rPr>
      <t xml:space="preserve">순환로</t>
    </r>
    <r>
      <rPr>
        <sz val="10"/>
        <rFont val="돋움"/>
        <family val="3"/>
        <charset val="129"/>
      </rPr>
      <t xml:space="preserve">1137</t>
    </r>
    <r>
      <rPr>
        <sz val="10"/>
        <rFont val="DejaVu Sans"/>
        <family val="2"/>
      </rPr>
      <t xml:space="preserve">번길 </t>
    </r>
    <r>
      <rPr>
        <sz val="10"/>
        <rFont val="돋움"/>
        <family val="3"/>
        <charset val="129"/>
      </rPr>
      <t xml:space="preserve">130, 323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708</t>
    </r>
    <r>
      <rPr>
        <sz val="10"/>
        <rFont val="DejaVu Sans"/>
        <family val="2"/>
      </rPr>
      <t xml:space="preserve">호</t>
    </r>
  </si>
  <si>
    <t xml:space="preserve">이경미</t>
  </si>
  <si>
    <t xml:space="preserve">301374-02-119071</t>
  </si>
  <si>
    <t xml:space="preserve">최금식</t>
  </si>
  <si>
    <t xml:space="preserve">570808-1531911</t>
  </si>
  <si>
    <r>
      <rPr>
        <sz val="10"/>
        <rFont val="DejaVu Sans"/>
        <family val="2"/>
      </rPr>
      <t xml:space="preserve">충북 청주시 청원구 교서로</t>
    </r>
    <r>
      <rPr>
        <sz val="10"/>
        <rFont val="돋움"/>
        <family val="3"/>
        <charset val="129"/>
      </rPr>
      <t xml:space="preserve">210</t>
    </r>
    <r>
      <rPr>
        <sz val="10"/>
        <rFont val="DejaVu Sans"/>
        <family val="2"/>
      </rPr>
      <t xml:space="preserve">번길 </t>
    </r>
    <r>
      <rPr>
        <sz val="10"/>
        <rFont val="돋움"/>
        <family val="3"/>
        <charset val="129"/>
      </rPr>
      <t xml:space="preserve">12-7</t>
    </r>
  </si>
  <si>
    <t xml:space="preserve">401144-56-089161</t>
  </si>
  <si>
    <t xml:space="preserve">박옥순</t>
  </si>
  <si>
    <t xml:space="preserve">590322-2925228</t>
  </si>
  <si>
    <t xml:space="preserve">352-2195-2443-73</t>
  </si>
  <si>
    <t xml:space="preserve">임춘애</t>
  </si>
  <si>
    <t xml:space="preserve">580120-2540914</t>
  </si>
  <si>
    <r>
      <rPr>
        <sz val="10"/>
        <rFont val="DejaVu Sans"/>
        <family val="2"/>
      </rPr>
      <t xml:space="preserve">충북 청주시 청원구 내수읍 구성길 </t>
    </r>
    <r>
      <rPr>
        <sz val="10"/>
        <rFont val="돋움"/>
        <family val="3"/>
        <charset val="129"/>
      </rPr>
      <t xml:space="preserve">57</t>
    </r>
  </si>
  <si>
    <t xml:space="preserve">302-1378-9672-91</t>
  </si>
  <si>
    <t xml:space="preserve">박병희</t>
  </si>
  <si>
    <t xml:space="preserve">680210-1648718</t>
  </si>
  <si>
    <r>
      <rPr>
        <sz val="10"/>
        <rFont val="DejaVu Sans"/>
        <family val="2"/>
      </rPr>
      <t xml:space="preserve">광주시 남구 군분로 </t>
    </r>
    <r>
      <rPr>
        <sz val="10"/>
        <rFont val="돋움"/>
        <family val="3"/>
        <charset val="129"/>
      </rPr>
      <t xml:space="preserve">77</t>
    </r>
    <r>
      <rPr>
        <sz val="10"/>
        <rFont val="DejaVu Sans"/>
        <family val="2"/>
      </rPr>
      <t xml:space="preserve">번길 </t>
    </r>
    <r>
      <rPr>
        <sz val="10"/>
        <rFont val="돋움"/>
        <family val="3"/>
        <charset val="129"/>
      </rPr>
      <t xml:space="preserve">26 </t>
    </r>
    <r>
      <rPr>
        <sz val="10"/>
        <rFont val="DejaVu Sans"/>
        <family val="2"/>
      </rPr>
      <t xml:space="preserve">명지로드힐 </t>
    </r>
    <r>
      <rPr>
        <sz val="10"/>
        <rFont val="돋움"/>
        <family val="3"/>
        <charset val="129"/>
      </rPr>
      <t xml:space="preserve">201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1003</t>
    </r>
    <r>
      <rPr>
        <sz val="10"/>
        <rFont val="DejaVu Sans"/>
        <family val="2"/>
      </rPr>
      <t xml:space="preserve">호</t>
    </r>
  </si>
  <si>
    <t xml:space="preserve">박형희</t>
  </si>
  <si>
    <t xml:space="preserve">356-0865-9462-13</t>
  </si>
  <si>
    <t xml:space="preserve">010-6293-9095</t>
  </si>
  <si>
    <t xml:space="preserve">이춘재</t>
  </si>
  <si>
    <t xml:space="preserve">740402-1639320</t>
  </si>
  <si>
    <r>
      <rPr>
        <sz val="10"/>
        <rFont val="DejaVu Sans"/>
        <family val="2"/>
      </rPr>
      <t xml:space="preserve">광주시 광산구 수등로 </t>
    </r>
    <r>
      <rPr>
        <sz val="10"/>
        <rFont val="돋움"/>
        <family val="3"/>
        <charset val="129"/>
      </rPr>
      <t xml:space="preserve">123</t>
    </r>
    <r>
      <rPr>
        <sz val="10"/>
        <rFont val="DejaVu Sans"/>
        <family val="2"/>
      </rPr>
      <t xml:space="preserve">번길 </t>
    </r>
    <r>
      <rPr>
        <sz val="10"/>
        <rFont val="돋움"/>
        <family val="3"/>
        <charset val="129"/>
      </rPr>
      <t xml:space="preserve">21 </t>
    </r>
    <r>
      <rPr>
        <sz val="10"/>
        <rFont val="DejaVu Sans"/>
        <family val="2"/>
      </rPr>
      <t xml:space="preserve">호반아파트 </t>
    </r>
    <r>
      <rPr>
        <sz val="10"/>
        <rFont val="돋움"/>
        <family val="3"/>
        <charset val="129"/>
      </rPr>
      <t xml:space="preserve">102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503</t>
    </r>
    <r>
      <rPr>
        <sz val="10"/>
        <rFont val="DejaVu Sans"/>
        <family val="2"/>
      </rPr>
      <t xml:space="preserve">호</t>
    </r>
  </si>
  <si>
    <t xml:space="preserve">광주</t>
  </si>
  <si>
    <t xml:space="preserve">016-121-541417</t>
  </si>
  <si>
    <t xml:space="preserve">010-3641-8104</t>
  </si>
  <si>
    <t xml:space="preserve">최승원</t>
  </si>
  <si>
    <t xml:space="preserve">671004-1559218</t>
  </si>
  <si>
    <r>
      <rPr>
        <sz val="10"/>
        <rFont val="DejaVu Sans"/>
        <family val="2"/>
      </rPr>
      <t xml:space="preserve">광주기 북구 용봉동 </t>
    </r>
    <r>
      <rPr>
        <sz val="10"/>
        <rFont val="돋움"/>
        <family val="3"/>
        <charset val="129"/>
      </rPr>
      <t xml:space="preserve">1242-1 </t>
    </r>
    <r>
      <rPr>
        <sz val="10"/>
        <rFont val="DejaVu Sans"/>
        <family val="2"/>
      </rPr>
      <t xml:space="preserve">호반아파트 </t>
    </r>
    <r>
      <rPr>
        <sz val="10"/>
        <rFont val="돋움"/>
        <family val="3"/>
        <charset val="129"/>
      </rPr>
      <t xml:space="preserve">101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103</t>
    </r>
    <r>
      <rPr>
        <sz val="10"/>
        <rFont val="DejaVu Sans"/>
        <family val="2"/>
      </rPr>
      <t xml:space="preserve">호</t>
    </r>
  </si>
  <si>
    <t xml:space="preserve">126-890893-28807</t>
  </si>
  <si>
    <t xml:space="preserve">010-6653-6903</t>
  </si>
  <si>
    <t xml:space="preserve">최재혁</t>
  </si>
  <si>
    <t xml:space="preserve">750612-1095412</t>
  </si>
  <si>
    <r>
      <rPr>
        <sz val="10"/>
        <rFont val="DejaVu Sans"/>
        <family val="2"/>
      </rPr>
      <t xml:space="preserve">부산시 영도구 봉래</t>
    </r>
    <r>
      <rPr>
        <sz val="10"/>
        <rFont val="돋움"/>
        <family val="3"/>
        <charset val="129"/>
      </rPr>
      <t xml:space="preserve">2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112 </t>
    </r>
    <r>
      <rPr>
        <sz val="10"/>
        <rFont val="DejaVu Sans"/>
        <family val="2"/>
      </rPr>
      <t xml:space="preserve">미광아파트 </t>
    </r>
    <r>
      <rPr>
        <sz val="10"/>
        <rFont val="돋움"/>
        <family val="3"/>
        <charset val="129"/>
      </rPr>
      <t xml:space="preserve">103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1006</t>
    </r>
    <r>
      <rPr>
        <sz val="10"/>
        <rFont val="DejaVu Sans"/>
        <family val="2"/>
      </rPr>
      <t xml:space="preserve">호</t>
    </r>
  </si>
  <si>
    <t xml:space="preserve">502872-02-334473</t>
  </si>
  <si>
    <t xml:space="preserve">010-2117-0480</t>
  </si>
  <si>
    <t xml:space="preserve">정환몽</t>
  </si>
  <si>
    <t xml:space="preserve">630824-1558411</t>
  </si>
  <si>
    <r>
      <rPr>
        <sz val="10"/>
        <rFont val="DejaVu Sans"/>
        <family val="2"/>
      </rPr>
      <t xml:space="preserve">광주시 북구 풍향동 </t>
    </r>
    <r>
      <rPr>
        <sz val="10"/>
        <rFont val="돋움"/>
        <family val="3"/>
        <charset val="129"/>
      </rPr>
      <t xml:space="preserve">598-19</t>
    </r>
  </si>
  <si>
    <t xml:space="preserve">9002-1781-35808</t>
  </si>
  <si>
    <t xml:space="preserve">010-3192-1283</t>
  </si>
  <si>
    <t xml:space="preserve">이성진</t>
  </si>
  <si>
    <t xml:space="preserve">700910-1630517</t>
  </si>
  <si>
    <r>
      <rPr>
        <sz val="10"/>
        <rFont val="DejaVu Sans"/>
        <family val="2"/>
      </rPr>
      <t xml:space="preserve">광주시 광산구 오룡동길 </t>
    </r>
    <r>
      <rPr>
        <sz val="10"/>
        <rFont val="돋움"/>
        <family val="3"/>
        <charset val="129"/>
      </rPr>
      <t xml:space="preserve">127-29</t>
    </r>
  </si>
  <si>
    <t xml:space="preserve">케이뱅크</t>
  </si>
  <si>
    <t xml:space="preserve">100-135-116290</t>
  </si>
  <si>
    <t xml:space="preserve">010-3643-3773</t>
  </si>
  <si>
    <t xml:space="preserve">이한빛</t>
  </si>
  <si>
    <t xml:space="preserve">990612-1616821</t>
  </si>
  <si>
    <r>
      <rPr>
        <sz val="10"/>
        <rFont val="DejaVu Sans"/>
        <family val="2"/>
      </rPr>
      <t xml:space="preserve">광주광역시 서구 상무오월로</t>
    </r>
    <r>
      <rPr>
        <sz val="10"/>
        <rFont val="돋움"/>
        <family val="3"/>
        <charset val="129"/>
      </rPr>
      <t xml:space="preserve">15</t>
    </r>
    <r>
      <rPr>
        <sz val="10"/>
        <rFont val="DejaVu Sans"/>
        <family val="2"/>
      </rPr>
      <t xml:space="preserve">번길 </t>
    </r>
    <r>
      <rPr>
        <sz val="10"/>
        <rFont val="돋움"/>
        <family val="3"/>
        <charset val="129"/>
      </rPr>
      <t xml:space="preserve">28-18</t>
    </r>
  </si>
  <si>
    <t xml:space="preserve">100-129-100145</t>
  </si>
  <si>
    <t xml:space="preserve">010-5728-2332</t>
  </si>
  <si>
    <t xml:space="preserve">강성철</t>
  </si>
  <si>
    <t xml:space="preserve">001012-3561712</t>
  </si>
  <si>
    <t xml:space="preserve">010-5759-7660</t>
  </si>
  <si>
    <t xml:space="preserve">540710-1332822</t>
  </si>
  <si>
    <r>
      <rPr>
        <sz val="10"/>
        <rFont val="DejaVu Sans"/>
        <family val="2"/>
      </rPr>
      <t xml:space="preserve">충북 청주시 서원구 수곡로</t>
    </r>
    <r>
      <rPr>
        <sz val="10"/>
        <rFont val="돋움"/>
        <family val="3"/>
        <charset val="129"/>
      </rPr>
      <t xml:space="preserve">27</t>
    </r>
    <r>
      <rPr>
        <sz val="10"/>
        <rFont val="DejaVu Sans"/>
        <family val="2"/>
      </rPr>
      <t xml:space="preserve">번길 </t>
    </r>
    <r>
      <rPr>
        <sz val="10"/>
        <rFont val="돋움"/>
        <family val="3"/>
        <charset val="129"/>
      </rPr>
      <t xml:space="preserve">40, (</t>
    </r>
    <r>
      <rPr>
        <sz val="10"/>
        <rFont val="DejaVu Sans"/>
        <family val="2"/>
      </rPr>
      <t xml:space="preserve">수곡동</t>
    </r>
    <r>
      <rPr>
        <sz val="10"/>
        <rFont val="돋움"/>
        <family val="3"/>
        <charset val="129"/>
      </rPr>
      <t xml:space="preserve">)</t>
    </r>
  </si>
  <si>
    <t xml:space="preserve">110 06 95606 40</t>
  </si>
  <si>
    <t xml:space="preserve">570814-2221110</t>
  </si>
  <si>
    <t xml:space="preserve">352-0265-8174-33</t>
  </si>
  <si>
    <t xml:space="preserve">곽영식</t>
  </si>
  <si>
    <t xml:space="preserve">680119-1478919</t>
  </si>
  <si>
    <r>
      <rPr>
        <sz val="10"/>
        <rFont val="DejaVu Sans"/>
        <family val="2"/>
      </rPr>
      <t xml:space="preserve">충북 영동군 영동읍 영산로</t>
    </r>
    <r>
      <rPr>
        <sz val="10"/>
        <rFont val="돋움"/>
        <family val="3"/>
        <charset val="129"/>
      </rPr>
      <t xml:space="preserve">3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20</t>
    </r>
  </si>
  <si>
    <t xml:space="preserve">010-5431-6786</t>
  </si>
  <si>
    <t xml:space="preserve">허대성</t>
  </si>
  <si>
    <t xml:space="preserve">601023-1386121</t>
  </si>
  <si>
    <r>
      <rPr>
        <sz val="10"/>
        <rFont val="DejaVu Sans"/>
        <family val="2"/>
      </rPr>
      <t xml:space="preserve">충북 영동군 영동읍 동정로</t>
    </r>
    <r>
      <rPr>
        <sz val="10"/>
        <rFont val="돋움"/>
        <family val="3"/>
        <charset val="129"/>
      </rPr>
      <t xml:space="preserve">47</t>
    </r>
  </si>
  <si>
    <t xml:space="preserve">고병규</t>
  </si>
  <si>
    <t xml:space="preserve">831017-1408211</t>
  </si>
  <si>
    <r>
      <rPr>
        <sz val="10"/>
        <rFont val="DejaVu Sans"/>
        <family val="2"/>
      </rPr>
      <t xml:space="preserve">대전광역시 중구 문화동 </t>
    </r>
    <r>
      <rPr>
        <sz val="10"/>
        <rFont val="돋움"/>
        <family val="3"/>
        <charset val="129"/>
      </rPr>
      <t xml:space="preserve">644-5</t>
    </r>
  </si>
  <si>
    <t xml:space="preserve">김근호</t>
  </si>
  <si>
    <t xml:space="preserve">831111-1400419</t>
  </si>
  <si>
    <r>
      <rPr>
        <sz val="10"/>
        <rFont val="DejaVu Sans"/>
        <family val="2"/>
      </rPr>
      <t xml:space="preserve">대전광역시 서구 대덕대로 </t>
    </r>
    <r>
      <rPr>
        <sz val="10"/>
        <rFont val="돋움"/>
        <family val="3"/>
        <charset val="129"/>
      </rPr>
      <t xml:space="preserve">150</t>
    </r>
  </si>
  <si>
    <t xml:space="preserve">박희갑</t>
  </si>
  <si>
    <t xml:space="preserve">490202-1386714</t>
  </si>
  <si>
    <r>
      <rPr>
        <sz val="10"/>
        <rFont val="DejaVu Sans"/>
        <family val="2"/>
      </rPr>
      <t xml:space="preserve">충북 영동군 양강면 외만길 </t>
    </r>
    <r>
      <rPr>
        <sz val="10"/>
        <rFont val="돋움"/>
        <family val="3"/>
        <charset val="129"/>
      </rPr>
      <t xml:space="preserve">50-1</t>
    </r>
  </si>
  <si>
    <t xml:space="preserve">407023-52-017758</t>
  </si>
  <si>
    <r>
      <rPr>
        <sz val="10"/>
        <rFont val="DejaVu Sans"/>
        <family val="2"/>
      </rPr>
      <t xml:space="preserve">충북 영동군 양강면 만계리 </t>
    </r>
    <r>
      <rPr>
        <sz val="10"/>
        <rFont val="돋움"/>
        <family val="3"/>
        <charset val="129"/>
      </rPr>
      <t xml:space="preserve">577</t>
    </r>
  </si>
  <si>
    <t xml:space="preserve">한상우</t>
  </si>
  <si>
    <t xml:space="preserve">491011-1386219</t>
  </si>
  <si>
    <r>
      <rPr>
        <sz val="10"/>
        <rFont val="DejaVu Sans"/>
        <family val="2"/>
      </rPr>
      <t xml:space="preserve">충북 영동군 용산면 부상</t>
    </r>
    <r>
      <rPr>
        <sz val="10"/>
        <rFont val="돋움"/>
        <family val="3"/>
        <charset val="129"/>
      </rPr>
      <t xml:space="preserve">1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20</t>
    </r>
  </si>
  <si>
    <t xml:space="preserve">010-9413-3380</t>
  </si>
  <si>
    <r>
      <rPr>
        <sz val="10"/>
        <color rgb="FF000000"/>
        <rFont val="DejaVu Sans"/>
        <family val="2"/>
      </rPr>
      <t xml:space="preserve">충북 영동군 용산면 부상리 </t>
    </r>
    <r>
      <rPr>
        <sz val="10"/>
        <color rgb="FF000000"/>
        <rFont val="돋움"/>
        <family val="3"/>
        <charset val="129"/>
      </rPr>
      <t xml:space="preserve">695</t>
    </r>
  </si>
  <si>
    <t xml:space="preserve">민병주</t>
  </si>
  <si>
    <t xml:space="preserve">660317-1386717</t>
  </si>
  <si>
    <r>
      <rPr>
        <sz val="10"/>
        <rFont val="DejaVu Sans"/>
        <family val="2"/>
      </rPr>
      <t xml:space="preserve">충북 영동군 영동읍 영산로</t>
    </r>
    <r>
      <rPr>
        <sz val="10"/>
        <rFont val="돋움"/>
        <family val="3"/>
        <charset val="129"/>
      </rPr>
      <t xml:space="preserve">1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7, 308</t>
    </r>
    <r>
      <rPr>
        <sz val="10"/>
        <rFont val="DejaVu Sans"/>
        <family val="2"/>
      </rPr>
      <t xml:space="preserve">호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장미연립</t>
    </r>
    <r>
      <rPr>
        <sz val="10"/>
        <rFont val="돋움"/>
        <family val="3"/>
        <charset val="129"/>
      </rPr>
      <t xml:space="preserve">)</t>
    </r>
  </si>
  <si>
    <t xml:space="preserve">010-2326-5147</t>
  </si>
  <si>
    <t xml:space="preserve">640430-1449018</t>
  </si>
  <si>
    <r>
      <rPr>
        <sz val="10"/>
        <rFont val="DejaVu Sans"/>
        <family val="2"/>
      </rPr>
      <t xml:space="preserve">대전광역시 중구 보문산로</t>
    </r>
    <r>
      <rPr>
        <sz val="10"/>
        <rFont val="돋움"/>
        <family val="3"/>
        <charset val="129"/>
      </rPr>
      <t xml:space="preserve">245</t>
    </r>
    <r>
      <rPr>
        <sz val="10"/>
        <rFont val="DejaVu Sans"/>
        <family val="2"/>
      </rPr>
      <t xml:space="preserve">번길 </t>
    </r>
    <r>
      <rPr>
        <sz val="10"/>
        <rFont val="돋움"/>
        <family val="3"/>
        <charset val="129"/>
      </rPr>
      <t xml:space="preserve">3-18, 1</t>
    </r>
    <r>
      <rPr>
        <sz val="10"/>
        <rFont val="DejaVu Sans"/>
        <family val="2"/>
      </rPr>
      <t xml:space="preserve">층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문화동</t>
    </r>
    <r>
      <rPr>
        <sz val="10"/>
        <rFont val="돋움"/>
        <family val="3"/>
        <charset val="129"/>
      </rPr>
      <t xml:space="preserve">)</t>
    </r>
  </si>
  <si>
    <t xml:space="preserve">352-0194-1212-63</t>
  </si>
  <si>
    <t xml:space="preserve">010-3034-8317</t>
  </si>
  <si>
    <t xml:space="preserve">35006</t>
  </si>
  <si>
    <t xml:space="preserve">김재국</t>
  </si>
  <si>
    <t xml:space="preserve">790911-1386312</t>
  </si>
  <si>
    <r>
      <rPr>
        <sz val="10"/>
        <rFont val="DejaVu Sans"/>
        <family val="2"/>
      </rPr>
      <t xml:space="preserve">충북 영동군 황간면 서송원길 </t>
    </r>
    <r>
      <rPr>
        <sz val="10"/>
        <rFont val="돋움"/>
        <family val="3"/>
        <charset val="129"/>
      </rPr>
      <t xml:space="preserve">42</t>
    </r>
  </si>
  <si>
    <t xml:space="preserve">407089-52-145147</t>
  </si>
  <si>
    <t xml:space="preserve">29113</t>
  </si>
  <si>
    <r>
      <rPr>
        <sz val="10"/>
        <rFont val="DejaVu Sans"/>
        <family val="2"/>
      </rPr>
      <t xml:space="preserve">충북 영동군 황간면 서송원리 </t>
    </r>
    <r>
      <rPr>
        <sz val="10"/>
        <rFont val="돋움"/>
        <family val="3"/>
        <charset val="129"/>
      </rPr>
      <t xml:space="preserve">859</t>
    </r>
  </si>
  <si>
    <t xml:space="preserve">김순자</t>
  </si>
  <si>
    <t xml:space="preserve">630203-2386318</t>
  </si>
  <si>
    <r>
      <rPr>
        <sz val="10"/>
        <rFont val="DejaVu Sans"/>
        <family val="2"/>
      </rPr>
      <t xml:space="preserve">충북 영동군 황간면 황간동로 </t>
    </r>
    <r>
      <rPr>
        <sz val="10"/>
        <rFont val="돋움"/>
        <family val="3"/>
        <charset val="129"/>
      </rPr>
      <t xml:space="preserve">156</t>
    </r>
  </si>
  <si>
    <t xml:space="preserve">352-1071-9542-13</t>
  </si>
  <si>
    <t xml:space="preserve">김필규</t>
  </si>
  <si>
    <t xml:space="preserve">591014-1800411</t>
  </si>
  <si>
    <r>
      <rPr>
        <sz val="10"/>
        <rFont val="DejaVu Sans"/>
        <family val="2"/>
      </rPr>
      <t xml:space="preserve">경기도 평택시 진위면 하북</t>
    </r>
    <r>
      <rPr>
        <sz val="10"/>
        <rFont val="돋움"/>
        <family val="3"/>
        <charset val="129"/>
      </rPr>
      <t xml:space="preserve">2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87-14</t>
    </r>
  </si>
  <si>
    <t xml:space="preserve">207087-56-023088</t>
  </si>
  <si>
    <t xml:space="preserve">김정국</t>
  </si>
  <si>
    <t xml:space="preserve">560125-1800011</t>
  </si>
  <si>
    <r>
      <rPr>
        <sz val="10"/>
        <rFont val="DejaVu Sans"/>
        <family val="2"/>
      </rPr>
      <t xml:space="preserve">충북 영동군 영동읍 부용</t>
    </r>
    <r>
      <rPr>
        <sz val="10"/>
        <rFont val="돋움"/>
        <family val="3"/>
        <charset val="129"/>
      </rPr>
      <t xml:space="preserve">4</t>
    </r>
    <r>
      <rPr>
        <sz val="10"/>
        <rFont val="DejaVu Sans"/>
        <family val="2"/>
      </rPr>
      <t xml:space="preserve">안길 </t>
    </r>
    <r>
      <rPr>
        <sz val="10"/>
        <rFont val="돋움"/>
        <family val="3"/>
        <charset val="129"/>
      </rPr>
      <t xml:space="preserve">14</t>
    </r>
  </si>
  <si>
    <t xml:space="preserve">300160-02-045983</t>
  </si>
  <si>
    <r>
      <rPr>
        <sz val="10"/>
        <rFont val="DejaVu Sans"/>
        <family val="2"/>
      </rPr>
      <t xml:space="preserve">충북 영동군 영동읍 부용리 </t>
    </r>
    <r>
      <rPr>
        <sz val="10"/>
        <rFont val="돋움"/>
        <family val="3"/>
        <charset val="129"/>
      </rPr>
      <t xml:space="preserve">343-94</t>
    </r>
  </si>
  <si>
    <t xml:space="preserve">황규석</t>
  </si>
  <si>
    <t xml:space="preserve">490122-1124112</t>
  </si>
  <si>
    <r>
      <rPr>
        <sz val="10"/>
        <rFont val="DejaVu Sans"/>
        <family val="2"/>
      </rPr>
      <t xml:space="preserve">충북 영동군 영동읍 오정길 </t>
    </r>
    <r>
      <rPr>
        <sz val="10"/>
        <rFont val="돋움"/>
        <family val="3"/>
        <charset val="129"/>
      </rPr>
      <t xml:space="preserve">222-5</t>
    </r>
  </si>
  <si>
    <t xml:space="preserve">404015-56-040444</t>
  </si>
  <si>
    <t xml:space="preserve">황대영</t>
  </si>
  <si>
    <t xml:space="preserve">570315-1386147</t>
  </si>
  <si>
    <r>
      <rPr>
        <sz val="10"/>
        <rFont val="DejaVu Sans"/>
        <family val="2"/>
      </rPr>
      <t xml:space="preserve">충북 영동군 영동읍 오정길 </t>
    </r>
    <r>
      <rPr>
        <sz val="10"/>
        <rFont val="돋움"/>
        <family val="3"/>
        <charset val="129"/>
      </rPr>
      <t xml:space="preserve">103</t>
    </r>
  </si>
  <si>
    <t xml:space="preserve">352-1743-8534-13</t>
  </si>
  <si>
    <t xml:space="preserve">박종섭</t>
  </si>
  <si>
    <t xml:space="preserve">550816-1386117</t>
  </si>
  <si>
    <r>
      <rPr>
        <sz val="10"/>
        <rFont val="DejaVu Sans"/>
        <family val="2"/>
      </rPr>
      <t xml:space="preserve">충북 영동군 영동읍 영산로 </t>
    </r>
    <r>
      <rPr>
        <sz val="10"/>
        <rFont val="돋움"/>
        <family val="3"/>
        <charset val="129"/>
      </rPr>
      <t xml:space="preserve">63</t>
    </r>
  </si>
  <si>
    <t xml:space="preserve">352-1743-8668-53</t>
  </si>
  <si>
    <t xml:space="preserve">611022-1386119</t>
  </si>
  <si>
    <r>
      <rPr>
        <sz val="10"/>
        <rFont val="DejaVu Sans"/>
        <family val="2"/>
      </rPr>
      <t xml:space="preserve">충북 영동군 영동읍 영동황간로 </t>
    </r>
    <r>
      <rPr>
        <sz val="10"/>
        <rFont val="돋움"/>
        <family val="3"/>
        <charset val="129"/>
      </rPr>
      <t xml:space="preserve">27, 801</t>
    </r>
    <r>
      <rPr>
        <sz val="10"/>
        <rFont val="DejaVu Sans"/>
        <family val="2"/>
      </rPr>
      <t xml:space="preserve">호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금강타운</t>
    </r>
    <r>
      <rPr>
        <sz val="10"/>
        <rFont val="돋움"/>
        <family val="3"/>
        <charset val="129"/>
      </rPr>
      <t xml:space="preserve">)</t>
    </r>
  </si>
  <si>
    <t xml:space="preserve">356-1027-4314-93</t>
  </si>
  <si>
    <t xml:space="preserve">010-4021-4009</t>
  </si>
  <si>
    <t xml:space="preserve">이수환</t>
  </si>
  <si>
    <t xml:space="preserve">960921-1351118</t>
  </si>
  <si>
    <r>
      <rPr>
        <sz val="10"/>
        <rFont val="DejaVu Sans"/>
        <family val="2"/>
      </rPr>
      <t xml:space="preserve">충북 청주시 상당구 용정로 </t>
    </r>
    <r>
      <rPr>
        <sz val="10"/>
        <rFont val="돋움"/>
        <family val="3"/>
        <charset val="129"/>
      </rPr>
      <t xml:space="preserve">25,107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1902</t>
    </r>
    <r>
      <rPr>
        <sz val="10"/>
        <rFont val="DejaVu Sans"/>
        <family val="2"/>
      </rPr>
      <t xml:space="preserve">호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용정동 </t>
    </r>
    <r>
      <rPr>
        <sz val="10"/>
        <rFont val="돋움"/>
        <family val="3"/>
        <charset val="129"/>
      </rPr>
      <t xml:space="preserve">,</t>
    </r>
    <r>
      <rPr>
        <sz val="10"/>
        <rFont val="DejaVu Sans"/>
        <family val="2"/>
      </rPr>
      <t xml:space="preserve">청주용정 한라비발디</t>
    </r>
    <r>
      <rPr>
        <sz val="10"/>
        <rFont val="돋움"/>
        <family val="3"/>
        <charset val="129"/>
      </rPr>
      <t xml:space="preserve">)</t>
    </r>
  </si>
  <si>
    <t xml:space="preserve">9003-2377-6890-0</t>
  </si>
  <si>
    <t xml:space="preserve">010-6431-7735</t>
  </si>
  <si>
    <t xml:space="preserve">우두환</t>
  </si>
  <si>
    <t xml:space="preserve">700521-1380113</t>
  </si>
  <si>
    <r>
      <rPr>
        <sz val="10"/>
        <rFont val="DejaVu Sans"/>
        <family val="2"/>
      </rPr>
      <t xml:space="preserve">충북 청주시 상당구 문의면 등동</t>
    </r>
    <r>
      <rPr>
        <sz val="10"/>
        <rFont val="돋움"/>
        <family val="3"/>
        <charset val="129"/>
      </rPr>
      <t xml:space="preserve">1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47-15</t>
    </r>
  </si>
  <si>
    <t xml:space="preserve">401149-56-092984</t>
  </si>
  <si>
    <t xml:space="preserve">010-5626-7201</t>
  </si>
  <si>
    <t xml:space="preserve">8102206-2332812</t>
  </si>
  <si>
    <r>
      <rPr>
        <sz val="10"/>
        <rFont val="DejaVu Sans"/>
        <family val="2"/>
      </rPr>
      <t xml:space="preserve">충북 청주시 흥덕구 수곡로 </t>
    </r>
    <r>
      <rPr>
        <sz val="10"/>
        <rFont val="돋움"/>
        <family val="3"/>
        <charset val="129"/>
      </rPr>
      <t xml:space="preserve">74, 101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714</t>
    </r>
    <r>
      <rPr>
        <sz val="10"/>
        <rFont val="DejaVu Sans"/>
        <family val="2"/>
      </rPr>
      <t xml:space="preserve">호</t>
    </r>
  </si>
  <si>
    <t xml:space="preserve">132-033-152363</t>
  </si>
  <si>
    <r>
      <rPr>
        <sz val="10"/>
        <rFont val="DejaVu Sans"/>
        <family val="2"/>
      </rPr>
      <t xml:space="preserve">충북 청주시 흥덕구 수곡동 </t>
    </r>
    <r>
      <rPr>
        <sz val="10"/>
        <rFont val="돋움"/>
        <family val="3"/>
        <charset val="129"/>
      </rPr>
      <t xml:space="preserve">777 </t>
    </r>
    <r>
      <rPr>
        <sz val="10"/>
        <rFont val="DejaVu Sans"/>
        <family val="2"/>
      </rPr>
      <t xml:space="preserve">한마음</t>
    </r>
    <r>
      <rPr>
        <sz val="10"/>
        <rFont val="돋움"/>
        <family val="3"/>
        <charset val="129"/>
      </rPr>
      <t xml:space="preserve">1</t>
    </r>
    <r>
      <rPr>
        <sz val="10"/>
        <rFont val="DejaVu Sans"/>
        <family val="2"/>
      </rPr>
      <t xml:space="preserve">차</t>
    </r>
    <r>
      <rPr>
        <sz val="10"/>
        <rFont val="돋움"/>
        <family val="3"/>
        <charset val="129"/>
      </rPr>
      <t xml:space="preserve">@ 101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714</t>
    </r>
    <r>
      <rPr>
        <sz val="10"/>
        <rFont val="DejaVu Sans"/>
        <family val="2"/>
      </rPr>
      <t xml:space="preserve">호</t>
    </r>
  </si>
  <si>
    <t xml:space="preserve">611223-2347932</t>
  </si>
  <si>
    <r>
      <rPr>
        <sz val="10"/>
        <rFont val="DejaVu Sans"/>
        <family val="2"/>
      </rPr>
      <t xml:space="preserve">충북 청주시 상당구 남일면 효촌송정</t>
    </r>
    <r>
      <rPr>
        <sz val="10"/>
        <rFont val="돋움"/>
        <family val="3"/>
        <charset val="129"/>
      </rPr>
      <t xml:space="preserve">1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44, </t>
    </r>
    <r>
      <rPr>
        <sz val="10"/>
        <rFont val="DejaVu Sans"/>
        <family val="2"/>
      </rPr>
      <t xml:space="preserve">라동 </t>
    </r>
    <r>
      <rPr>
        <sz val="10"/>
        <rFont val="돋움"/>
        <family val="3"/>
        <charset val="129"/>
      </rPr>
      <t xml:space="preserve">202</t>
    </r>
    <r>
      <rPr>
        <sz val="10"/>
        <rFont val="DejaVu Sans"/>
        <family val="2"/>
      </rPr>
      <t xml:space="preserve">호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한림남일빌라</t>
    </r>
    <r>
      <rPr>
        <sz val="10"/>
        <rFont val="돋움"/>
        <family val="3"/>
        <charset val="129"/>
      </rPr>
      <t xml:space="preserve">)</t>
    </r>
  </si>
  <si>
    <t xml:space="preserve">352-1890-9969-73</t>
  </si>
  <si>
    <t xml:space="preserve">631106-2388320</t>
  </si>
  <si>
    <r>
      <rPr>
        <sz val="10"/>
        <rFont val="DejaVu Sans"/>
        <family val="2"/>
      </rPr>
      <t xml:space="preserve">충북 청주시 흥덕구 </t>
    </r>
    <r>
      <rPr>
        <sz val="10"/>
        <rFont val="돋움"/>
        <family val="3"/>
        <charset val="129"/>
      </rPr>
      <t xml:space="preserve">1</t>
    </r>
    <r>
      <rPr>
        <sz val="10"/>
        <rFont val="DejaVu Sans"/>
        <family val="2"/>
      </rPr>
      <t xml:space="preserve">순환로</t>
    </r>
    <r>
      <rPr>
        <sz val="10"/>
        <rFont val="돋움"/>
        <family val="3"/>
        <charset val="129"/>
      </rPr>
      <t xml:space="preserve">513</t>
    </r>
    <r>
      <rPr>
        <sz val="10"/>
        <rFont val="DejaVu Sans"/>
        <family val="2"/>
      </rPr>
      <t xml:space="preserve">번길 </t>
    </r>
    <r>
      <rPr>
        <sz val="10"/>
        <rFont val="돋움"/>
        <family val="3"/>
        <charset val="129"/>
      </rPr>
      <t xml:space="preserve">33, 103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106</t>
    </r>
    <r>
      <rPr>
        <sz val="10"/>
        <rFont val="DejaVu Sans"/>
        <family val="2"/>
      </rPr>
      <t xml:space="preserve">호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신봉동</t>
    </r>
    <r>
      <rPr>
        <sz val="10"/>
        <rFont val="돋움"/>
        <family val="3"/>
        <charset val="129"/>
      </rPr>
      <t xml:space="preserve">, </t>
    </r>
    <r>
      <rPr>
        <sz val="10"/>
        <rFont val="DejaVu Sans"/>
        <family val="2"/>
      </rPr>
      <t xml:space="preserve">삼정백조</t>
    </r>
    <r>
      <rPr>
        <sz val="10"/>
        <rFont val="돋움"/>
        <family val="3"/>
        <charset val="129"/>
      </rPr>
      <t xml:space="preserve">@)</t>
    </r>
  </si>
  <si>
    <t xml:space="preserve">110-120-158736</t>
  </si>
  <si>
    <t xml:space="preserve">28476</t>
  </si>
  <si>
    <t xml:space="preserve">580905-1647943</t>
  </si>
  <si>
    <r>
      <rPr>
        <sz val="10"/>
        <rFont val="DejaVu Sans"/>
        <family val="2"/>
      </rPr>
      <t xml:space="preserve">충북 옥천군 군서면 하동</t>
    </r>
    <r>
      <rPr>
        <sz val="10"/>
        <rFont val="돋움"/>
        <family val="3"/>
        <charset val="129"/>
      </rPr>
      <t xml:space="preserve">3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65</t>
    </r>
  </si>
  <si>
    <t xml:space="preserve">317-12-395271</t>
  </si>
  <si>
    <t xml:space="preserve">010-4931-8698</t>
  </si>
  <si>
    <t xml:space="preserve">650110-1384724</t>
  </si>
  <si>
    <t xml:space="preserve">351-0712-9127-83</t>
  </si>
  <si>
    <t xml:space="preserve">600721-2455614</t>
  </si>
  <si>
    <t xml:space="preserve">405010-52-279308</t>
  </si>
  <si>
    <t xml:space="preserve">010-9407-6599</t>
  </si>
  <si>
    <t xml:space="preserve">김대환</t>
  </si>
  <si>
    <t xml:space="preserve">520718-1536611</t>
  </si>
  <si>
    <r>
      <rPr>
        <sz val="10"/>
        <rFont val="DejaVu Sans"/>
        <family val="2"/>
      </rPr>
      <t xml:space="preserve">대전광역시 중구 태평동 </t>
    </r>
    <r>
      <rPr>
        <sz val="10"/>
        <rFont val="돋움"/>
        <family val="3"/>
        <charset val="129"/>
      </rPr>
      <t xml:space="preserve">332, 201</t>
    </r>
    <r>
      <rPr>
        <sz val="10"/>
        <rFont val="DejaVu Sans"/>
        <family val="2"/>
      </rPr>
      <t xml:space="preserve">호 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태평빌라</t>
    </r>
    <r>
      <rPr>
        <sz val="10"/>
        <rFont val="돋움"/>
        <family val="3"/>
        <charset val="129"/>
      </rPr>
      <t xml:space="preserve">)</t>
    </r>
  </si>
  <si>
    <t xml:space="preserve">453024-52-236078</t>
  </si>
  <si>
    <t xml:space="preserve">010-6404-7742</t>
  </si>
  <si>
    <t xml:space="preserve">나영일</t>
  </si>
  <si>
    <t xml:space="preserve">560926-1056018</t>
  </si>
  <si>
    <r>
      <rPr>
        <sz val="10"/>
        <rFont val="DejaVu Sans"/>
        <family val="2"/>
      </rPr>
      <t xml:space="preserve">대전광역시 동구 동산초교로</t>
    </r>
    <r>
      <rPr>
        <sz val="10"/>
        <rFont val="돋움"/>
        <family val="3"/>
        <charset val="129"/>
      </rPr>
      <t xml:space="preserve">22</t>
    </r>
    <r>
      <rPr>
        <sz val="10"/>
        <rFont val="DejaVu Sans"/>
        <family val="2"/>
      </rPr>
      <t xml:space="preserve">번길 </t>
    </r>
    <r>
      <rPr>
        <sz val="10"/>
        <rFont val="돋움"/>
        <family val="3"/>
        <charset val="129"/>
      </rPr>
      <t xml:space="preserve">15, 12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102</t>
    </r>
    <r>
      <rPr>
        <sz val="10"/>
        <rFont val="DejaVu Sans"/>
        <family val="2"/>
      </rPr>
      <t xml:space="preserve">호 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청룡아파트</t>
    </r>
    <r>
      <rPr>
        <sz val="10"/>
        <rFont val="돋움"/>
        <family val="3"/>
        <charset val="129"/>
      </rPr>
      <t xml:space="preserve">)</t>
    </r>
  </si>
  <si>
    <t xml:space="preserve">나영일 </t>
  </si>
  <si>
    <t xml:space="preserve">9002-1618-1409-0</t>
  </si>
  <si>
    <t xml:space="preserve">010-2497-0927</t>
  </si>
  <si>
    <r>
      <rPr>
        <sz val="10"/>
        <rFont val="DejaVu Sans"/>
        <family val="2"/>
      </rPr>
      <t xml:space="preserve">대전광역시 동구 홍도동 </t>
    </r>
    <r>
      <rPr>
        <sz val="10"/>
        <rFont val="돋움"/>
        <family val="3"/>
        <charset val="129"/>
      </rPr>
      <t xml:space="preserve">57-1 </t>
    </r>
    <r>
      <rPr>
        <sz val="10"/>
        <rFont val="DejaVu Sans"/>
        <family val="2"/>
      </rPr>
      <t xml:space="preserve">청룡아파트 </t>
    </r>
    <r>
      <rPr>
        <sz val="10"/>
        <rFont val="돋움"/>
        <family val="3"/>
        <charset val="129"/>
      </rPr>
      <t xml:space="preserve">12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102</t>
    </r>
    <r>
      <rPr>
        <sz val="10"/>
        <rFont val="DejaVu Sans"/>
        <family val="2"/>
      </rPr>
      <t xml:space="preserve">호 </t>
    </r>
  </si>
  <si>
    <t xml:space="preserve">장춘택</t>
  </si>
  <si>
    <t xml:space="preserve">530712-1381025</t>
  </si>
  <si>
    <r>
      <rPr>
        <sz val="10"/>
        <rFont val="DejaVu Sans"/>
        <family val="2"/>
      </rPr>
      <t xml:space="preserve">대전광역시 중구 보문로</t>
    </r>
    <r>
      <rPr>
        <sz val="10"/>
        <rFont val="돋움"/>
        <family val="3"/>
        <charset val="129"/>
      </rPr>
      <t xml:space="preserve">30</t>
    </r>
    <r>
      <rPr>
        <sz val="10"/>
        <rFont val="DejaVu Sans"/>
        <family val="2"/>
      </rPr>
      <t xml:space="preserve">번길 </t>
    </r>
    <r>
      <rPr>
        <sz val="10"/>
        <rFont val="돋움"/>
        <family val="3"/>
        <charset val="129"/>
      </rPr>
      <t xml:space="preserve">92-6</t>
    </r>
  </si>
  <si>
    <t xml:space="preserve">625-910380-97207</t>
  </si>
  <si>
    <t xml:space="preserve">010-5451-8931</t>
  </si>
  <si>
    <r>
      <rPr>
        <sz val="10"/>
        <rFont val="DejaVu Sans"/>
        <family val="2"/>
      </rPr>
      <t xml:space="preserve">대전광역시 중구 문창동 </t>
    </r>
    <r>
      <rPr>
        <sz val="10"/>
        <rFont val="돋움"/>
        <family val="3"/>
        <charset val="129"/>
      </rPr>
      <t xml:space="preserve">110-34</t>
    </r>
  </si>
  <si>
    <t xml:space="preserve">이인복</t>
  </si>
  <si>
    <t xml:space="preserve">740627-1229819</t>
  </si>
  <si>
    <t xml:space="preserve">충북 청주시 상당구 월평로210번길 13</t>
  </si>
  <si>
    <t xml:space="preserve">301481-02-222377</t>
  </si>
  <si>
    <t xml:space="preserve">010-2432-3677</t>
  </si>
  <si>
    <t xml:space="preserve">김춘배</t>
  </si>
  <si>
    <t xml:space="preserve">610723-1468712</t>
  </si>
  <si>
    <r>
      <rPr>
        <sz val="10"/>
        <rFont val="DejaVu Sans"/>
        <family val="2"/>
      </rPr>
      <t xml:space="preserve">대전광역시 대덕구 대화</t>
    </r>
    <r>
      <rPr>
        <sz val="10"/>
        <rFont val="돋움"/>
        <family val="3"/>
        <charset val="129"/>
      </rPr>
      <t xml:space="preserve">4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32</t>
    </r>
  </si>
  <si>
    <t xml:space="preserve">351-0982-5121-63</t>
  </si>
  <si>
    <t xml:space="preserve">010-3407-8592</t>
  </si>
  <si>
    <t xml:space="preserve">지우개발</t>
  </si>
  <si>
    <t xml:space="preserve">함기안</t>
  </si>
  <si>
    <t xml:space="preserve">600115-1384635</t>
  </si>
  <si>
    <r>
      <rPr>
        <sz val="10"/>
        <rFont val="DejaVu Sans"/>
        <family val="2"/>
      </rPr>
      <t xml:space="preserve">대전광역시 동구 대동 </t>
    </r>
    <r>
      <rPr>
        <sz val="10"/>
        <rFont val="돋움"/>
        <family val="3"/>
        <charset val="129"/>
      </rPr>
      <t xml:space="preserve">77-14, 13/3</t>
    </r>
  </si>
  <si>
    <t xml:space="preserve">351-1875-9754-73</t>
  </si>
  <si>
    <t xml:space="preserve">010-5432-6630</t>
  </si>
  <si>
    <t xml:space="preserve">신양호</t>
  </si>
  <si>
    <t xml:space="preserve">651221-1634810</t>
  </si>
  <si>
    <r>
      <rPr>
        <sz val="10"/>
        <rFont val="DejaVu Sans"/>
        <family val="2"/>
      </rPr>
      <t xml:space="preserve">대전광역시 대덕구 대진로</t>
    </r>
    <r>
      <rPr>
        <sz val="10"/>
        <rFont val="돋움"/>
        <family val="3"/>
        <charset val="129"/>
      </rPr>
      <t xml:space="preserve">1385</t>
    </r>
  </si>
  <si>
    <t xml:space="preserve">302-1012-9400-11</t>
  </si>
  <si>
    <t xml:space="preserve">010-5853-1221</t>
  </si>
  <si>
    <t xml:space="preserve">이용하</t>
  </si>
  <si>
    <t xml:space="preserve">510410-1329421</t>
  </si>
  <si>
    <r>
      <rPr>
        <sz val="10"/>
        <rFont val="DejaVu Sans"/>
        <family val="2"/>
      </rPr>
      <t xml:space="preserve">충북 영동군 용산면 용산로</t>
    </r>
    <r>
      <rPr>
        <sz val="10"/>
        <rFont val="돋움"/>
        <family val="3"/>
        <charset val="129"/>
      </rPr>
      <t xml:space="preserve">6</t>
    </r>
    <r>
      <rPr>
        <sz val="10"/>
        <rFont val="DejaVu Sans"/>
        <family val="2"/>
      </rPr>
      <t xml:space="preserve">길</t>
    </r>
    <r>
      <rPr>
        <sz val="10"/>
        <rFont val="돋움"/>
        <family val="3"/>
        <charset val="129"/>
      </rPr>
      <t xml:space="preserve">, 306</t>
    </r>
    <r>
      <rPr>
        <sz val="10"/>
        <rFont val="DejaVu Sans"/>
        <family val="2"/>
      </rPr>
      <t xml:space="preserve">호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진산아파트</t>
    </r>
    <r>
      <rPr>
        <sz val="10"/>
        <rFont val="돋움"/>
        <family val="3"/>
        <charset val="129"/>
      </rPr>
      <t xml:space="preserve">)</t>
    </r>
  </si>
  <si>
    <t xml:space="preserve">356-1499-3898-13</t>
  </si>
  <si>
    <t xml:space="preserve">한진구</t>
  </si>
  <si>
    <t xml:space="preserve">550202-1324314</t>
  </si>
  <si>
    <r>
      <rPr>
        <sz val="10"/>
        <rFont val="DejaVu Sans"/>
        <family val="2"/>
      </rPr>
      <t xml:space="preserve">경북 상주시 모서면 백화로 </t>
    </r>
    <r>
      <rPr>
        <sz val="10"/>
        <rFont val="돋움"/>
        <family val="3"/>
        <charset val="129"/>
      </rPr>
      <t xml:space="preserve">1146</t>
    </r>
  </si>
  <si>
    <t xml:space="preserve">351-0920-7111-13</t>
  </si>
  <si>
    <t xml:space="preserve">010-2305-0675</t>
  </si>
  <si>
    <t xml:space="preserve">박용준</t>
  </si>
  <si>
    <t xml:space="preserve">651203-1384811</t>
  </si>
  <si>
    <r>
      <rPr>
        <sz val="10"/>
        <rFont val="DejaVu Sans"/>
        <family val="2"/>
      </rPr>
      <t xml:space="preserve">충북 음성군 금왕읍 무극리 </t>
    </r>
    <r>
      <rPr>
        <sz val="10"/>
        <rFont val="돋움"/>
        <family val="3"/>
        <charset val="129"/>
      </rPr>
      <t xml:space="preserve">77-70</t>
    </r>
  </si>
  <si>
    <t xml:space="preserve">장대섭</t>
  </si>
  <si>
    <t xml:space="preserve">300517-02-049771</t>
  </si>
  <si>
    <t xml:space="preserve">김영호</t>
  </si>
  <si>
    <t xml:space="preserve">571217-1386215</t>
  </si>
  <si>
    <r>
      <rPr>
        <sz val="10"/>
        <rFont val="DejaVu Sans"/>
        <family val="2"/>
      </rPr>
      <t xml:space="preserve">충북 영동군 영동읍 동정로</t>
    </r>
    <r>
      <rPr>
        <sz val="10"/>
        <rFont val="돋움"/>
        <family val="3"/>
        <charset val="129"/>
      </rPr>
      <t xml:space="preserve">1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35</t>
    </r>
  </si>
  <si>
    <t xml:space="preserve">301515-02-013501</t>
  </si>
  <si>
    <t xml:space="preserve">안상모</t>
  </si>
  <si>
    <t xml:space="preserve">600708-1029530</t>
  </si>
  <si>
    <r>
      <rPr>
        <sz val="10"/>
        <rFont val="DejaVu Sans"/>
        <family val="2"/>
      </rPr>
      <t xml:space="preserve">충북 옥천군 청산면 교평</t>
    </r>
    <r>
      <rPr>
        <sz val="10"/>
        <rFont val="돋움"/>
        <family val="3"/>
        <charset val="129"/>
      </rPr>
      <t xml:space="preserve">2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14</t>
    </r>
  </si>
  <si>
    <t xml:space="preserve">356-1499-4515-43</t>
  </si>
  <si>
    <t xml:space="preserve">010-6657-4313</t>
  </si>
  <si>
    <t xml:space="preserve">권영신</t>
  </si>
  <si>
    <t xml:space="preserve">560109-1387013</t>
  </si>
  <si>
    <r>
      <rPr>
        <sz val="10"/>
        <rFont val="DejaVu Sans"/>
        <family val="2"/>
      </rPr>
      <t xml:space="preserve">충북 영동군 영동읍 계산리 </t>
    </r>
    <r>
      <rPr>
        <sz val="10"/>
        <rFont val="돋움"/>
        <family val="3"/>
        <charset val="129"/>
      </rPr>
      <t xml:space="preserve">508-2</t>
    </r>
  </si>
  <si>
    <t xml:space="preserve">407014-52-037130</t>
  </si>
  <si>
    <t xml:space="preserve">곽문영</t>
  </si>
  <si>
    <t xml:space="preserve">530510-1069114</t>
  </si>
  <si>
    <r>
      <rPr>
        <sz val="10"/>
        <rFont val="DejaVu Sans"/>
        <family val="2"/>
      </rPr>
      <t xml:space="preserve">충북 영동군 양강면 남전</t>
    </r>
    <r>
      <rPr>
        <sz val="10"/>
        <rFont val="돋움"/>
        <family val="3"/>
        <charset val="129"/>
      </rPr>
      <t xml:space="preserve">3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99</t>
    </r>
  </si>
  <si>
    <t xml:space="preserve">010-4355-5173</t>
  </si>
  <si>
    <t xml:space="preserve">김연부</t>
  </si>
  <si>
    <t xml:space="preserve">700302-1380011</t>
  </si>
  <si>
    <r>
      <rPr>
        <sz val="10"/>
        <rFont val="DejaVu Sans"/>
        <family val="2"/>
      </rPr>
      <t xml:space="preserve">충북 옥천군 옥천읍 성암응천길 </t>
    </r>
    <r>
      <rPr>
        <sz val="10"/>
        <rFont val="돋움"/>
        <family val="3"/>
        <charset val="129"/>
      </rPr>
      <t xml:space="preserve">41-10, 1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410</t>
    </r>
    <r>
      <rPr>
        <sz val="10"/>
        <rFont val="DejaVu Sans"/>
        <family val="2"/>
      </rPr>
      <t xml:space="preserve">호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근로자복지</t>
    </r>
    <r>
      <rPr>
        <sz val="10"/>
        <rFont val="돋움"/>
        <family val="3"/>
        <charset val="129"/>
      </rPr>
      <t xml:space="preserve">@)</t>
    </r>
  </si>
  <si>
    <t xml:space="preserve">010-9354-5882</t>
  </si>
  <si>
    <t xml:space="preserve">29050</t>
  </si>
  <si>
    <t xml:space="preserve">장웅진</t>
  </si>
  <si>
    <t xml:space="preserve">541215-1386718</t>
  </si>
  <si>
    <r>
      <rPr>
        <sz val="10"/>
        <rFont val="DejaVu Sans"/>
        <family val="2"/>
      </rPr>
      <t xml:space="preserve">대전광역시 중구 모암로</t>
    </r>
    <r>
      <rPr>
        <sz val="10"/>
        <rFont val="돋움"/>
        <family val="3"/>
        <charset val="129"/>
      </rPr>
      <t xml:space="preserve">42</t>
    </r>
    <r>
      <rPr>
        <sz val="10"/>
        <rFont val="DejaVu Sans"/>
        <family val="2"/>
      </rPr>
      <t xml:space="preserve">번길 </t>
    </r>
    <r>
      <rPr>
        <sz val="10"/>
        <rFont val="돋움"/>
        <family val="3"/>
        <charset val="129"/>
      </rPr>
      <t xml:space="preserve">11,103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103</t>
    </r>
    <r>
      <rPr>
        <sz val="10"/>
        <rFont val="DejaVu Sans"/>
        <family val="2"/>
      </rPr>
      <t xml:space="preserve">호</t>
    </r>
  </si>
  <si>
    <t xml:space="preserve">35070</t>
  </si>
  <si>
    <r>
      <rPr>
        <sz val="10"/>
        <rFont val="DejaVu Sans"/>
        <family val="2"/>
      </rPr>
      <t xml:space="preserve">대전광역시 중구 호동 </t>
    </r>
    <r>
      <rPr>
        <sz val="10"/>
        <rFont val="돋움"/>
        <family val="3"/>
        <charset val="129"/>
      </rPr>
      <t xml:space="preserve">106-7, </t>
    </r>
    <r>
      <rPr>
        <sz val="10"/>
        <rFont val="DejaVu Sans"/>
        <family val="2"/>
      </rPr>
      <t xml:space="preserve">삼덕하이츠 </t>
    </r>
    <r>
      <rPr>
        <sz val="10"/>
        <rFont val="돋움"/>
        <family val="3"/>
        <charset val="129"/>
      </rPr>
      <t xml:space="preserve">103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103</t>
    </r>
    <r>
      <rPr>
        <sz val="10"/>
        <rFont val="DejaVu Sans"/>
        <family val="2"/>
      </rPr>
      <t xml:space="preserve">호</t>
    </r>
  </si>
  <si>
    <t xml:space="preserve">박현태</t>
  </si>
  <si>
    <t xml:space="preserve">581015-1109020</t>
  </si>
  <si>
    <r>
      <rPr>
        <sz val="10"/>
        <rFont val="DejaVu Sans"/>
        <family val="2"/>
      </rPr>
      <t xml:space="preserve">전라북도 장수군 장수읍 장수북동길 </t>
    </r>
    <r>
      <rPr>
        <sz val="10"/>
        <rFont val="돋움"/>
        <family val="3"/>
        <charset val="129"/>
      </rPr>
      <t xml:space="preserve">16-9</t>
    </r>
  </si>
  <si>
    <t xml:space="preserve">55632</t>
  </si>
  <si>
    <t xml:space="preserve">유영길</t>
  </si>
  <si>
    <t xml:space="preserve">720307-1384520</t>
  </si>
  <si>
    <r>
      <rPr>
        <sz val="10"/>
        <rFont val="DejaVu Sans"/>
        <family val="2"/>
      </rPr>
      <t xml:space="preserve">충북 옥천군 청성면 화성</t>
    </r>
    <r>
      <rPr>
        <sz val="10"/>
        <rFont val="돋움"/>
        <family val="3"/>
        <charset val="129"/>
      </rPr>
      <t xml:space="preserve">2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39-22</t>
    </r>
  </si>
  <si>
    <t xml:space="preserve">29017</t>
  </si>
  <si>
    <r>
      <rPr>
        <sz val="10"/>
        <color rgb="FF000000"/>
        <rFont val="DejaVu Sans"/>
        <family val="2"/>
      </rPr>
      <t xml:space="preserve">충북 옥천군 청성면 화성리 </t>
    </r>
    <r>
      <rPr>
        <sz val="10"/>
        <color rgb="FF000000"/>
        <rFont val="돋움"/>
        <family val="3"/>
        <charset val="129"/>
      </rPr>
      <t xml:space="preserve">647-3</t>
    </r>
  </si>
  <si>
    <t xml:space="preserve">강순주</t>
  </si>
  <si>
    <t xml:space="preserve">670814-1783610</t>
  </si>
  <si>
    <r>
      <rPr>
        <sz val="10"/>
        <rFont val="DejaVu Sans"/>
        <family val="2"/>
      </rPr>
      <t xml:space="preserve">경기도 안양시 만안구 경수대로</t>
    </r>
    <r>
      <rPr>
        <sz val="10"/>
        <rFont val="돋움"/>
        <family val="3"/>
        <charset val="129"/>
      </rPr>
      <t xml:space="preserve">1213</t>
    </r>
    <r>
      <rPr>
        <sz val="10"/>
        <rFont val="DejaVu Sans"/>
        <family val="2"/>
      </rPr>
      <t xml:space="preserve">번길 </t>
    </r>
    <r>
      <rPr>
        <sz val="10"/>
        <rFont val="돋움"/>
        <family val="3"/>
        <charset val="129"/>
      </rPr>
      <t xml:space="preserve">22, 202</t>
    </r>
    <r>
      <rPr>
        <sz val="10"/>
        <rFont val="DejaVu Sans"/>
        <family val="2"/>
      </rPr>
      <t xml:space="preserve">호 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석수동</t>
    </r>
    <r>
      <rPr>
        <sz val="10"/>
        <rFont val="돋움"/>
        <family val="3"/>
        <charset val="129"/>
      </rPr>
      <t xml:space="preserve">)</t>
    </r>
  </si>
  <si>
    <t xml:space="preserve">13961</t>
  </si>
  <si>
    <t xml:space="preserve">권혁재</t>
  </si>
  <si>
    <t xml:space="preserve">671027-1798126</t>
  </si>
  <si>
    <r>
      <rPr>
        <sz val="10"/>
        <rFont val="DejaVu Sans"/>
        <family val="2"/>
      </rPr>
      <t xml:space="preserve">웅북 영동군 영동읍 눈어치로 </t>
    </r>
    <r>
      <rPr>
        <sz val="10"/>
        <rFont val="돋움"/>
        <family val="3"/>
        <charset val="129"/>
      </rPr>
      <t xml:space="preserve">46, B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406</t>
    </r>
    <r>
      <rPr>
        <sz val="10"/>
        <rFont val="DejaVu Sans"/>
        <family val="2"/>
      </rPr>
      <t xml:space="preserve">호</t>
    </r>
  </si>
  <si>
    <t xml:space="preserve">29135</t>
  </si>
  <si>
    <t xml:space="preserve">이성희</t>
  </si>
  <si>
    <t xml:space="preserve">570508-1024611</t>
  </si>
  <si>
    <r>
      <rPr>
        <sz val="10"/>
        <rFont val="DejaVu Sans"/>
        <family val="2"/>
      </rPr>
      <t xml:space="preserve">충북 영동군 영동읍 대학로 </t>
    </r>
    <r>
      <rPr>
        <sz val="10"/>
        <rFont val="돋움"/>
        <family val="3"/>
        <charset val="129"/>
      </rPr>
      <t xml:space="preserve">92,3</t>
    </r>
    <r>
      <rPr>
        <sz val="10"/>
        <rFont val="DejaVu Sans"/>
        <family val="2"/>
      </rPr>
      <t xml:space="preserve">층 </t>
    </r>
    <r>
      <rPr>
        <sz val="10"/>
        <rFont val="돋움"/>
        <family val="3"/>
        <charset val="129"/>
      </rPr>
      <t xml:space="preserve">311</t>
    </r>
    <r>
      <rPr>
        <sz val="10"/>
        <rFont val="DejaVu Sans"/>
        <family val="2"/>
      </rPr>
      <t xml:space="preserve">호</t>
    </r>
  </si>
  <si>
    <t xml:space="preserve">132-144-277182</t>
  </si>
  <si>
    <t xml:space="preserve">29134</t>
  </si>
  <si>
    <t xml:space="preserve">곽중석</t>
  </si>
  <si>
    <t xml:space="preserve">601202-1386711</t>
  </si>
  <si>
    <r>
      <rPr>
        <sz val="10"/>
        <rFont val="DejaVu Sans"/>
        <family val="2"/>
      </rPr>
      <t xml:space="preserve">충북 영동군 양강면 지촌리 </t>
    </r>
    <r>
      <rPr>
        <sz val="10"/>
        <rFont val="돋움"/>
        <family val="3"/>
        <charset val="129"/>
      </rPr>
      <t xml:space="preserve">338</t>
    </r>
  </si>
  <si>
    <t xml:space="preserve">9002-2076-0929-1</t>
  </si>
  <si>
    <t xml:space="preserve">610510-2684239</t>
  </si>
  <si>
    <r>
      <rPr>
        <sz val="10"/>
        <rFont val="DejaVu Sans"/>
        <family val="2"/>
      </rPr>
      <t xml:space="preserve">전북 무주군 무주읍 단천로</t>
    </r>
    <r>
      <rPr>
        <sz val="10"/>
        <rFont val="돋움"/>
        <family val="3"/>
        <charset val="129"/>
      </rPr>
      <t xml:space="preserve">6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13</t>
    </r>
  </si>
  <si>
    <t xml:space="preserve">110-0116-35806</t>
  </si>
  <si>
    <t xml:space="preserve">55522</t>
  </si>
  <si>
    <t xml:space="preserve">651227-1384614</t>
  </si>
  <si>
    <r>
      <rPr>
        <sz val="10"/>
        <rFont val="DejaVu Sans"/>
        <family val="2"/>
      </rPr>
      <t xml:space="preserve">충북 옥천군 청산면 예곡</t>
    </r>
    <r>
      <rPr>
        <sz val="10"/>
        <rFont val="돋움"/>
        <family val="3"/>
        <charset val="129"/>
      </rPr>
      <t xml:space="preserve">2</t>
    </r>
    <r>
      <rPr>
        <sz val="10"/>
        <rFont val="DejaVu Sans"/>
        <family val="2"/>
      </rPr>
      <t xml:space="preserve">길</t>
    </r>
    <r>
      <rPr>
        <sz val="10"/>
        <rFont val="돋움"/>
        <family val="3"/>
        <charset val="129"/>
      </rPr>
      <t xml:space="preserve">8-10</t>
    </r>
  </si>
  <si>
    <t xml:space="preserve">405054-52-107347</t>
  </si>
  <si>
    <t xml:space="preserve">이일복</t>
  </si>
  <si>
    <t xml:space="preserve">이용</t>
  </si>
  <si>
    <t xml:space="preserve">010820-3386115</t>
  </si>
  <si>
    <r>
      <rPr>
        <sz val="10"/>
        <rFont val="DejaVu Sans"/>
        <family val="2"/>
      </rPr>
      <t xml:space="preserve">충북 영동군 영동읍 영산로</t>
    </r>
    <r>
      <rPr>
        <sz val="10"/>
        <rFont val="돋움"/>
        <family val="3"/>
        <charset val="129"/>
      </rPr>
      <t xml:space="preserve">6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16-11, 102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401</t>
    </r>
    <r>
      <rPr>
        <sz val="10"/>
        <rFont val="DejaVu Sans"/>
        <family val="2"/>
      </rPr>
      <t xml:space="preserve">호</t>
    </r>
    <r>
      <rPr>
        <sz val="10"/>
        <rFont val="돋움"/>
        <family val="3"/>
        <charset val="129"/>
      </rPr>
      <t xml:space="preserve">(j</t>
    </r>
    <r>
      <rPr>
        <sz val="10"/>
        <rFont val="DejaVu Sans"/>
        <family val="2"/>
      </rPr>
      <t xml:space="preserve">클래식</t>
    </r>
    <r>
      <rPr>
        <sz val="10"/>
        <rFont val="돋움"/>
        <family val="3"/>
        <charset val="129"/>
      </rPr>
      <t xml:space="preserve">)</t>
    </r>
  </si>
  <si>
    <t xml:space="preserve">이성</t>
  </si>
  <si>
    <t xml:space="preserve">010-4056-7141</t>
  </si>
  <si>
    <t xml:space="preserve">김학형</t>
  </si>
  <si>
    <t xml:space="preserve">680808-1386718</t>
  </si>
  <si>
    <r>
      <rPr>
        <sz val="10"/>
        <rFont val="DejaVu Sans"/>
        <family val="2"/>
      </rPr>
      <t xml:space="preserve">충북 영동군 영동읍 영동시장</t>
    </r>
    <r>
      <rPr>
        <sz val="10"/>
        <rFont val="돋움"/>
        <family val="3"/>
        <charset val="129"/>
      </rPr>
      <t xml:space="preserve">1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32 A</t>
    </r>
    <r>
      <rPr>
        <sz val="10"/>
        <rFont val="DejaVu Sans"/>
        <family val="2"/>
      </rPr>
      <t xml:space="preserve">동 </t>
    </r>
    <r>
      <rPr>
        <sz val="10"/>
        <rFont val="돋움"/>
        <family val="3"/>
        <charset val="129"/>
      </rPr>
      <t xml:space="preserve">202</t>
    </r>
    <r>
      <rPr>
        <sz val="10"/>
        <rFont val="DejaVu Sans"/>
        <family val="2"/>
      </rPr>
      <t xml:space="preserve">호</t>
    </r>
  </si>
  <si>
    <t xml:space="preserve">010-9979-9238</t>
  </si>
  <si>
    <t xml:space="preserve">배권</t>
  </si>
  <si>
    <t xml:space="preserve">661120-1386210</t>
  </si>
  <si>
    <r>
      <rPr>
        <sz val="10"/>
        <rFont val="DejaVu Sans"/>
        <family val="2"/>
      </rPr>
      <t xml:space="preserve">충북 영동군 영동읍 상부용로 </t>
    </r>
    <r>
      <rPr>
        <sz val="10"/>
        <rFont val="돋움"/>
        <family val="3"/>
        <charset val="129"/>
      </rPr>
      <t xml:space="preserve">20 (</t>
    </r>
    <r>
      <rPr>
        <sz val="10"/>
        <rFont val="DejaVu Sans"/>
        <family val="2"/>
      </rPr>
      <t xml:space="preserve">지평더웰Ⅱ아파트</t>
    </r>
    <r>
      <rPr>
        <sz val="10"/>
        <rFont val="돋움"/>
        <family val="3"/>
        <charset val="129"/>
      </rPr>
      <t xml:space="preserve">) </t>
    </r>
  </si>
  <si>
    <t xml:space="preserve">010-2804-4792</t>
  </si>
  <si>
    <t xml:space="preserve">이상찬</t>
  </si>
  <si>
    <t xml:space="preserve">700201-1386132</t>
  </si>
  <si>
    <r>
      <rPr>
        <sz val="10"/>
        <rFont val="DejaVu Sans"/>
        <family val="2"/>
      </rPr>
      <t xml:space="preserve">충북 영동군 영동읍 영동시장</t>
    </r>
    <r>
      <rPr>
        <sz val="10"/>
        <rFont val="돋움"/>
        <family val="3"/>
        <charset val="129"/>
      </rPr>
      <t xml:space="preserve">1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18-3 </t>
    </r>
  </si>
  <si>
    <t xml:space="preserve">010-3117-7949</t>
  </si>
  <si>
    <t xml:space="preserve">35014</t>
  </si>
  <si>
    <t xml:space="preserve">이효주</t>
  </si>
  <si>
    <t xml:space="preserve">510217-1466413</t>
  </si>
  <si>
    <r>
      <rPr>
        <sz val="10"/>
        <rFont val="DejaVu Sans"/>
        <family val="2"/>
      </rPr>
      <t xml:space="preserve">충북 영동군 영동읍 계산로</t>
    </r>
    <r>
      <rPr>
        <sz val="10"/>
        <rFont val="돋움"/>
        <family val="3"/>
        <charset val="129"/>
      </rPr>
      <t xml:space="preserve">1</t>
    </r>
    <r>
      <rPr>
        <sz val="10"/>
        <rFont val="DejaVu Sans"/>
        <family val="2"/>
      </rPr>
      <t xml:space="preserve">길 </t>
    </r>
    <r>
      <rPr>
        <sz val="10"/>
        <rFont val="돋움"/>
        <family val="3"/>
        <charset val="129"/>
      </rPr>
      <t xml:space="preserve">11 </t>
    </r>
  </si>
  <si>
    <t xml:space="preserve">35011</t>
  </si>
  <si>
    <t xml:space="preserve">최병길</t>
  </si>
  <si>
    <t xml:space="preserve">511119-1460910</t>
  </si>
  <si>
    <r>
      <rPr>
        <sz val="10"/>
        <rFont val="DejaVu Sans"/>
        <family val="2"/>
      </rPr>
      <t xml:space="preserve">대전광역시 중구 산성동 </t>
    </r>
    <r>
      <rPr>
        <sz val="10"/>
        <rFont val="돋움"/>
        <family val="3"/>
        <charset val="129"/>
      </rPr>
      <t xml:space="preserve">509-15</t>
    </r>
  </si>
  <si>
    <t xml:space="preserve">453029-52-022509</t>
  </si>
  <si>
    <t xml:space="preserve">29144</t>
  </si>
  <si>
    <t xml:space="preserve">이준우</t>
  </si>
  <si>
    <t xml:space="preserve">520216-1408321</t>
  </si>
  <si>
    <r>
      <rPr>
        <sz val="10"/>
        <color rgb="FF000000"/>
        <rFont val="DejaVu Sans"/>
        <family val="2"/>
      </rPr>
      <t xml:space="preserve">대전광역시 중구 보문산로 </t>
    </r>
    <r>
      <rPr>
        <sz val="10"/>
        <color rgb="FF000000"/>
        <rFont val="돋움"/>
        <family val="3"/>
        <charset val="129"/>
      </rPr>
      <t xml:space="preserve">157, </t>
    </r>
    <r>
      <rPr>
        <sz val="10"/>
        <color rgb="FF000000"/>
        <rFont val="DejaVu Sans"/>
        <family val="2"/>
      </rPr>
      <t xml:space="preserve">마동</t>
    </r>
    <r>
      <rPr>
        <sz val="10"/>
        <color rgb="FF000000"/>
        <rFont val="돋움"/>
        <family val="3"/>
        <charset val="129"/>
      </rPr>
      <t xml:space="preserve">303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돋움"/>
        <family val="3"/>
        <charset val="129"/>
      </rPr>
      <t xml:space="preserve">(</t>
    </r>
    <r>
      <rPr>
        <sz val="10"/>
        <color rgb="FF000000"/>
        <rFont val="DejaVu Sans"/>
        <family val="2"/>
      </rPr>
      <t xml:space="preserve">문화동</t>
    </r>
    <r>
      <rPr>
        <sz val="10"/>
        <color rgb="FF000000"/>
        <rFont val="돋움"/>
        <family val="3"/>
        <charset val="129"/>
      </rPr>
      <t xml:space="preserve">,</t>
    </r>
    <r>
      <rPr>
        <sz val="10"/>
        <color rgb="FF000000"/>
        <rFont val="DejaVu Sans"/>
        <family val="2"/>
      </rPr>
      <t xml:space="preserve">동양맨션</t>
    </r>
    <r>
      <rPr>
        <sz val="10"/>
        <color rgb="FF000000"/>
        <rFont val="돋움"/>
        <family val="3"/>
        <charset val="129"/>
      </rPr>
      <t xml:space="preserve">)</t>
    </r>
  </si>
  <si>
    <t xml:space="preserve">453029-51-013658</t>
  </si>
  <si>
    <t xml:space="preserve">이성돌</t>
  </si>
  <si>
    <t xml:space="preserve">500414-1408219</t>
  </si>
  <si>
    <r>
      <rPr>
        <sz val="10"/>
        <color rgb="FF000000"/>
        <rFont val="DejaVu Sans"/>
        <family val="2"/>
      </rPr>
      <t xml:space="preserve">대전광역시 중구 대둔산로 </t>
    </r>
    <r>
      <rPr>
        <sz val="10"/>
        <color rgb="FF000000"/>
        <rFont val="돋움"/>
        <family val="3"/>
        <charset val="129"/>
      </rPr>
      <t xml:space="preserve">414</t>
    </r>
    <r>
      <rPr>
        <sz val="10"/>
        <color rgb="FF000000"/>
        <rFont val="DejaVu Sans"/>
        <family val="2"/>
      </rPr>
      <t xml:space="preserve">번길 </t>
    </r>
    <r>
      <rPr>
        <sz val="10"/>
        <color rgb="FF000000"/>
        <rFont val="돋움"/>
        <family val="3"/>
        <charset val="129"/>
      </rPr>
      <t xml:space="preserve">75(</t>
    </r>
    <r>
      <rPr>
        <sz val="10"/>
        <color rgb="FF000000"/>
        <rFont val="DejaVu Sans"/>
        <family val="2"/>
      </rPr>
      <t xml:space="preserve">산성동</t>
    </r>
    <r>
      <rPr>
        <sz val="10"/>
        <color rgb="FF000000"/>
        <rFont val="돋움"/>
        <family val="3"/>
        <charset val="129"/>
      </rPr>
      <t xml:space="preserve">)</t>
    </r>
  </si>
  <si>
    <t xml:space="preserve">453029-52-260357</t>
  </si>
  <si>
    <t xml:space="preserve">010-5490-9056</t>
  </si>
  <si>
    <t xml:space="preserve">34557</t>
  </si>
  <si>
    <t xml:space="preserve">정태성</t>
  </si>
  <si>
    <t xml:space="preserve">660501-1386134</t>
  </si>
  <si>
    <r>
      <rPr>
        <sz val="10"/>
        <color rgb="FF000000"/>
        <rFont val="DejaVu Sans"/>
        <family val="2"/>
      </rPr>
      <t xml:space="preserve">충북 영동군 영동읍 계산로 </t>
    </r>
    <r>
      <rPr>
        <sz val="10"/>
        <color rgb="FF000000"/>
        <rFont val="돋움"/>
        <family val="3"/>
        <charset val="129"/>
      </rPr>
      <t xml:space="preserve">34-1</t>
    </r>
  </si>
  <si>
    <t xml:space="preserve">352-1006-9268-83</t>
  </si>
  <si>
    <t xml:space="preserve">010-6580-1303</t>
  </si>
  <si>
    <t xml:space="preserve">배석득</t>
  </si>
  <si>
    <t xml:space="preserve">501225-1386713</t>
  </si>
  <si>
    <r>
      <rPr>
        <sz val="10"/>
        <color rgb="FF000000"/>
        <rFont val="DejaVu Sans"/>
        <family val="2"/>
      </rPr>
      <t xml:space="preserve">충북 영동군 영동읍 부용</t>
    </r>
    <r>
      <rPr>
        <sz val="10"/>
        <color rgb="FF000000"/>
        <rFont val="돋움"/>
        <family val="3"/>
        <charset val="129"/>
      </rPr>
      <t xml:space="preserve">7</t>
    </r>
    <r>
      <rPr>
        <sz val="10"/>
        <color rgb="FF000000"/>
        <rFont val="DejaVu Sans"/>
        <family val="2"/>
      </rPr>
      <t xml:space="preserve">안길 </t>
    </r>
    <r>
      <rPr>
        <sz val="10"/>
        <color rgb="FF000000"/>
        <rFont val="돋움"/>
        <family val="3"/>
        <charset val="129"/>
      </rPr>
      <t xml:space="preserve">2-13</t>
    </r>
  </si>
  <si>
    <t xml:space="preserve">356-1479-5477-73</t>
  </si>
  <si>
    <t xml:space="preserve">34670</t>
  </si>
  <si>
    <t xml:space="preserve">최석진</t>
  </si>
  <si>
    <t xml:space="preserve">580324-1652410</t>
  </si>
  <si>
    <r>
      <rPr>
        <sz val="10"/>
        <color rgb="FF000000"/>
        <rFont val="DejaVu Sans"/>
        <family val="2"/>
      </rPr>
      <t xml:space="preserve">대전광역시 동구 동서대로 </t>
    </r>
    <r>
      <rPr>
        <sz val="10"/>
        <color rgb="FF000000"/>
        <rFont val="돋움"/>
        <family val="3"/>
        <charset val="129"/>
      </rPr>
      <t xml:space="preserve">1579, 101</t>
    </r>
    <r>
      <rPr>
        <sz val="10"/>
        <color rgb="FF000000"/>
        <rFont val="DejaVu Sans"/>
        <family val="2"/>
      </rPr>
      <t xml:space="preserve">동 </t>
    </r>
    <r>
      <rPr>
        <sz val="10"/>
        <color rgb="FF000000"/>
        <rFont val="돋움"/>
        <family val="3"/>
        <charset val="129"/>
      </rPr>
      <t xml:space="preserve">1501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돋움"/>
        <family val="3"/>
        <charset val="129"/>
      </rPr>
      <t xml:space="preserve">(</t>
    </r>
    <r>
      <rPr>
        <sz val="10"/>
        <color rgb="FF000000"/>
        <rFont val="DejaVu Sans"/>
        <family val="2"/>
      </rPr>
      <t xml:space="preserve">홍도동</t>
    </r>
    <r>
      <rPr>
        <sz val="10"/>
        <color rgb="FF000000"/>
        <rFont val="돋움"/>
        <family val="3"/>
        <charset val="129"/>
      </rPr>
      <t xml:space="preserve">,</t>
    </r>
    <r>
      <rPr>
        <sz val="10"/>
        <color rgb="FF000000"/>
        <rFont val="DejaVu Sans"/>
        <family val="2"/>
      </rPr>
      <t xml:space="preserve">홍도</t>
    </r>
    <r>
      <rPr>
        <sz val="10"/>
        <color rgb="FF000000"/>
        <rFont val="돋움"/>
        <family val="3"/>
        <charset val="129"/>
      </rPr>
      <t xml:space="preserve">@)</t>
    </r>
  </si>
  <si>
    <t xml:space="preserve">646-910748-77207</t>
  </si>
  <si>
    <t xml:space="preserve">010-4413-4583</t>
  </si>
  <si>
    <r>
      <rPr>
        <sz val="10"/>
        <color rgb="FF000000"/>
        <rFont val="DejaVu Sans"/>
        <family val="2"/>
      </rPr>
      <t xml:space="preserve">대전광역시 동구 용운로 </t>
    </r>
    <r>
      <rPr>
        <sz val="10"/>
        <color rgb="FF000000"/>
        <rFont val="돋움"/>
        <family val="3"/>
        <charset val="129"/>
      </rPr>
      <t xml:space="preserve">80, 309</t>
    </r>
    <r>
      <rPr>
        <sz val="10"/>
        <color rgb="FF000000"/>
        <rFont val="DejaVu Sans"/>
        <family val="2"/>
      </rPr>
      <t xml:space="preserve">동 </t>
    </r>
    <r>
      <rPr>
        <sz val="10"/>
        <color rgb="FF000000"/>
        <rFont val="돋움"/>
        <family val="3"/>
        <charset val="129"/>
      </rPr>
      <t xml:space="preserve">1201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돋움"/>
        <family val="3"/>
        <charset val="129"/>
      </rPr>
      <t xml:space="preserve">(</t>
    </r>
    <r>
      <rPr>
        <sz val="10"/>
        <color rgb="FF000000"/>
        <rFont val="DejaVu Sans"/>
        <family val="2"/>
      </rPr>
      <t xml:space="preserve">용운동</t>
    </r>
    <r>
      <rPr>
        <sz val="10"/>
        <color rgb="FF000000"/>
        <rFont val="돋움"/>
        <family val="3"/>
        <charset val="129"/>
      </rPr>
      <t xml:space="preserve">,</t>
    </r>
    <r>
      <rPr>
        <sz val="10"/>
        <color rgb="FF000000"/>
        <rFont val="DejaVu Sans"/>
        <family val="2"/>
      </rPr>
      <t xml:space="preserve">용방마을</t>
    </r>
    <r>
      <rPr>
        <sz val="10"/>
        <color rgb="FF000000"/>
        <rFont val="돋움"/>
        <family val="3"/>
        <charset val="129"/>
      </rPr>
      <t xml:space="preserve">@)</t>
    </r>
  </si>
  <si>
    <t xml:space="preserve">조을송</t>
  </si>
  <si>
    <t xml:space="preserve">590510-1400217</t>
  </si>
  <si>
    <t xml:space="preserve">권신홍</t>
  </si>
  <si>
    <t xml:space="preserve">510315-1651218</t>
  </si>
  <si>
    <r>
      <rPr>
        <sz val="10"/>
        <color rgb="FF000000"/>
        <rFont val="DejaVu Sans"/>
        <family val="2"/>
      </rPr>
      <t xml:space="preserve">대전광역시 동구 가양동 </t>
    </r>
    <r>
      <rPr>
        <sz val="10"/>
        <color rgb="FF000000"/>
        <rFont val="돋움"/>
        <family val="3"/>
        <charset val="129"/>
      </rPr>
      <t xml:space="preserve">149-30</t>
    </r>
  </si>
  <si>
    <t xml:space="preserve">권신흥</t>
  </si>
  <si>
    <t xml:space="preserve">845901-22-004565</t>
  </si>
  <si>
    <t xml:space="preserve">조을순</t>
  </si>
  <si>
    <t xml:space="preserve">560302-2400210</t>
  </si>
  <si>
    <r>
      <rPr>
        <sz val="10"/>
        <color rgb="FF000000"/>
        <rFont val="DejaVu Sans"/>
        <family val="2"/>
      </rPr>
      <t xml:space="preserve">대전광역시 동구 판암동 </t>
    </r>
    <r>
      <rPr>
        <sz val="10"/>
        <color rgb="FF000000"/>
        <rFont val="돋움"/>
        <family val="3"/>
        <charset val="129"/>
      </rPr>
      <t xml:space="preserve">558-6 </t>
    </r>
    <r>
      <rPr>
        <sz val="10"/>
        <color rgb="FF000000"/>
        <rFont val="DejaVu Sans"/>
        <family val="2"/>
      </rPr>
      <t xml:space="preserve">국민빌라 </t>
    </r>
    <r>
      <rPr>
        <sz val="10"/>
        <color rgb="FF000000"/>
        <rFont val="돋움"/>
        <family val="3"/>
        <charset val="129"/>
      </rPr>
      <t xml:space="preserve">301</t>
    </r>
    <r>
      <rPr>
        <sz val="10"/>
        <color rgb="FF000000"/>
        <rFont val="DejaVu Sans"/>
        <family val="2"/>
      </rPr>
      <t xml:space="preserve">호</t>
    </r>
  </si>
  <si>
    <t xml:space="preserve">352-0676-2630-53</t>
  </si>
  <si>
    <t xml:space="preserve">010-3976-2700</t>
  </si>
  <si>
    <t xml:space="preserve">28773</t>
  </si>
  <si>
    <t xml:space="preserve">한희열</t>
  </si>
  <si>
    <t xml:space="preserve">590921-1709522</t>
  </si>
  <si>
    <r>
      <rPr>
        <sz val="10"/>
        <color rgb="FF000000"/>
        <rFont val="DejaVu Sans"/>
        <family val="2"/>
      </rPr>
      <t xml:space="preserve">충북 영동군 영동읍 상부용로 </t>
    </r>
    <r>
      <rPr>
        <sz val="10"/>
        <color rgb="FF000000"/>
        <rFont val="돋움"/>
        <family val="3"/>
        <charset val="129"/>
      </rPr>
      <t xml:space="preserve">7-50, 101</t>
    </r>
    <r>
      <rPr>
        <sz val="10"/>
        <color rgb="FF000000"/>
        <rFont val="DejaVu Sans"/>
        <family val="2"/>
      </rPr>
      <t xml:space="preserve">동</t>
    </r>
    <r>
      <rPr>
        <sz val="10"/>
        <color rgb="FF000000"/>
        <rFont val="돋움"/>
        <family val="3"/>
        <charset val="129"/>
      </rPr>
      <t xml:space="preserve">1501</t>
    </r>
    <r>
      <rPr>
        <sz val="10"/>
        <color rgb="FF000000"/>
        <rFont val="DejaVu Sans"/>
        <family val="2"/>
      </rPr>
      <t xml:space="preserve">호 </t>
    </r>
    <r>
      <rPr>
        <sz val="10"/>
        <color rgb="FF000000"/>
        <rFont val="돋움"/>
        <family val="3"/>
        <charset val="129"/>
      </rPr>
      <t xml:space="preserve">(</t>
    </r>
    <r>
      <rPr>
        <sz val="10"/>
        <color rgb="FF000000"/>
        <rFont val="DejaVu Sans"/>
        <family val="2"/>
      </rPr>
      <t xml:space="preserve">지평더웰</t>
    </r>
    <r>
      <rPr>
        <sz val="10"/>
        <color rgb="FF000000"/>
        <rFont val="돋움"/>
        <family val="3"/>
        <charset val="129"/>
      </rPr>
      <t xml:space="preserve">@)</t>
    </r>
  </si>
  <si>
    <t xml:space="preserve">356-1123-9590-03</t>
  </si>
  <si>
    <t xml:space="preserve">29116</t>
  </si>
  <si>
    <t xml:space="preserve">470117-1018911</t>
  </si>
  <si>
    <r>
      <rPr>
        <sz val="10"/>
        <color rgb="FF000000"/>
        <rFont val="DejaVu Sans"/>
        <family val="2"/>
      </rPr>
      <t xml:space="preserve">충북 영동군 영동읍 영산로</t>
    </r>
    <r>
      <rPr>
        <sz val="10"/>
        <color rgb="FF000000"/>
        <rFont val="돋움"/>
        <family val="3"/>
        <charset val="129"/>
      </rPr>
      <t xml:space="preserve">7</t>
    </r>
    <r>
      <rPr>
        <sz val="10"/>
        <color rgb="FF000000"/>
        <rFont val="DejaVu Sans"/>
        <family val="2"/>
      </rPr>
      <t xml:space="preserve">길 </t>
    </r>
    <r>
      <rPr>
        <sz val="10"/>
        <color rgb="FF000000"/>
        <rFont val="돋움"/>
        <family val="3"/>
        <charset val="129"/>
      </rPr>
      <t xml:space="preserve">2, </t>
    </r>
    <r>
      <rPr>
        <sz val="10"/>
        <color rgb="FF000000"/>
        <rFont val="DejaVu Sans"/>
        <family val="2"/>
      </rPr>
      <t xml:space="preserve">가동 </t>
    </r>
    <r>
      <rPr>
        <sz val="10"/>
        <color rgb="FF000000"/>
        <rFont val="돋움"/>
        <family val="3"/>
        <charset val="129"/>
      </rPr>
      <t xml:space="preserve">106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돋움"/>
        <family val="3"/>
        <charset val="129"/>
      </rPr>
      <t xml:space="preserve">(</t>
    </r>
    <r>
      <rPr>
        <sz val="10"/>
        <color rgb="FF000000"/>
        <rFont val="DejaVu Sans"/>
        <family val="2"/>
      </rPr>
      <t xml:space="preserve">양지연립</t>
    </r>
    <r>
      <rPr>
        <sz val="10"/>
        <color rgb="FF000000"/>
        <rFont val="돋움"/>
        <family val="3"/>
        <charset val="129"/>
      </rPr>
      <t xml:space="preserve">)</t>
    </r>
  </si>
  <si>
    <t xml:space="preserve">302-0822-9170-11</t>
  </si>
  <si>
    <t xml:space="preserve">권영안</t>
  </si>
  <si>
    <t xml:space="preserve">570815-1380728</t>
  </si>
  <si>
    <r>
      <rPr>
        <sz val="10"/>
        <color rgb="FF000000"/>
        <rFont val="DejaVu Sans"/>
        <family val="2"/>
      </rPr>
      <t xml:space="preserve">충북 청주시 상당구 중흥로 </t>
    </r>
    <r>
      <rPr>
        <sz val="10"/>
        <color rgb="FF000000"/>
        <rFont val="돋움"/>
        <family val="3"/>
        <charset val="129"/>
      </rPr>
      <t xml:space="preserve">71 109/1402</t>
    </r>
  </si>
  <si>
    <t xml:space="preserve">401147-52-151337</t>
  </si>
  <si>
    <r>
      <rPr>
        <sz val="10"/>
        <color rgb="FF000000"/>
        <rFont val="DejaVu Sans"/>
        <family val="2"/>
      </rPr>
      <t xml:space="preserve">사용불가</t>
    </r>
    <r>
      <rPr>
        <sz val="10"/>
        <color rgb="FF000000"/>
        <rFont val="돋움"/>
        <family val="3"/>
        <charset val="129"/>
      </rPr>
      <t xml:space="preserve">(</t>
    </r>
    <r>
      <rPr>
        <sz val="10"/>
        <color rgb="FF000000"/>
        <rFont val="DejaVu Sans"/>
        <family val="2"/>
      </rPr>
      <t xml:space="preserve">압류</t>
    </r>
    <r>
      <rPr>
        <sz val="10"/>
        <color rgb="FF000000"/>
        <rFont val="돋움"/>
        <family val="3"/>
        <charset val="129"/>
      </rPr>
      <t xml:space="preserve">)</t>
    </r>
  </si>
  <si>
    <t xml:space="preserve">최영희</t>
  </si>
  <si>
    <t xml:space="preserve">641012-2478918</t>
  </si>
  <si>
    <r>
      <rPr>
        <sz val="10"/>
        <color rgb="FF000000"/>
        <rFont val="DejaVu Sans"/>
        <family val="2"/>
      </rPr>
      <t xml:space="preserve">충북 청주시 흥덕구 수곡동 </t>
    </r>
    <r>
      <rPr>
        <sz val="10"/>
        <color rgb="FF000000"/>
        <rFont val="돋움"/>
        <family val="3"/>
        <charset val="129"/>
      </rPr>
      <t xml:space="preserve">328 </t>
    </r>
    <r>
      <rPr>
        <sz val="10"/>
        <color rgb="FF000000"/>
        <rFont val="DejaVu Sans"/>
        <family val="2"/>
      </rPr>
      <t xml:space="preserve">산남주공</t>
    </r>
    <r>
      <rPr>
        <sz val="10"/>
        <color rgb="FF000000"/>
        <rFont val="돋움"/>
        <family val="3"/>
        <charset val="129"/>
      </rPr>
      <t xml:space="preserve">@ 103</t>
    </r>
    <r>
      <rPr>
        <sz val="10"/>
        <color rgb="FF000000"/>
        <rFont val="DejaVu Sans"/>
        <family val="2"/>
      </rPr>
      <t xml:space="preserve">동 </t>
    </r>
    <r>
      <rPr>
        <sz val="10"/>
        <color rgb="FF000000"/>
        <rFont val="돋움"/>
        <family val="3"/>
        <charset val="129"/>
      </rPr>
      <t xml:space="preserve">501</t>
    </r>
    <r>
      <rPr>
        <sz val="10"/>
        <color rgb="FF000000"/>
        <rFont val="DejaVu Sans"/>
        <family val="2"/>
      </rPr>
      <t xml:space="preserve">호</t>
    </r>
  </si>
  <si>
    <t xml:space="preserve">709802-01-046029</t>
  </si>
  <si>
    <t xml:space="preserve">010-7415-9300</t>
  </si>
  <si>
    <t xml:space="preserve">21088</t>
  </si>
  <si>
    <t xml:space="preserve">김재억</t>
  </si>
  <si>
    <t xml:space="preserve">600605-1386718</t>
  </si>
  <si>
    <r>
      <rPr>
        <sz val="10"/>
        <color rgb="FF000000"/>
        <rFont val="DejaVu Sans"/>
        <family val="2"/>
      </rPr>
      <t xml:space="preserve">충북 영동군 양강면 괴목리 </t>
    </r>
    <r>
      <rPr>
        <sz val="10"/>
        <color rgb="FF000000"/>
        <rFont val="돋움"/>
        <family val="3"/>
        <charset val="129"/>
      </rPr>
      <t xml:space="preserve">411</t>
    </r>
  </si>
  <si>
    <t xml:space="preserve">356-1337-2458-73</t>
  </si>
  <si>
    <t xml:space="preserve">박원회</t>
  </si>
  <si>
    <t xml:space="preserve">600124-1386123</t>
  </si>
  <si>
    <r>
      <rPr>
        <sz val="10"/>
        <color rgb="FF000000"/>
        <rFont val="DejaVu Sans"/>
        <family val="2"/>
      </rPr>
      <t xml:space="preserve">인천시 계양구 계산로</t>
    </r>
    <r>
      <rPr>
        <sz val="10"/>
        <color rgb="FF000000"/>
        <rFont val="돋움"/>
        <family val="3"/>
        <charset val="129"/>
      </rPr>
      <t xml:space="preserve">112</t>
    </r>
    <r>
      <rPr>
        <sz val="10"/>
        <color rgb="FF000000"/>
        <rFont val="DejaVu Sans"/>
        <family val="2"/>
      </rPr>
      <t xml:space="preserve">번길 </t>
    </r>
    <r>
      <rPr>
        <sz val="10"/>
        <color rgb="FF000000"/>
        <rFont val="돋움"/>
        <family val="3"/>
        <charset val="129"/>
      </rPr>
      <t xml:space="preserve">26</t>
    </r>
  </si>
  <si>
    <t xml:space="preserve">312-0171-3781-31</t>
  </si>
  <si>
    <t xml:space="preserve">57958</t>
  </si>
  <si>
    <t xml:space="preserve">651220-1228344</t>
  </si>
  <si>
    <r>
      <rPr>
        <sz val="10"/>
        <color rgb="FF000000"/>
        <rFont val="DejaVu Sans"/>
        <family val="2"/>
      </rPr>
      <t xml:space="preserve">충북 영동군 황간면 신흥</t>
    </r>
    <r>
      <rPr>
        <sz val="10"/>
        <color rgb="FF000000"/>
        <rFont val="돋움"/>
        <family val="3"/>
        <charset val="129"/>
      </rPr>
      <t xml:space="preserve">1</t>
    </r>
    <r>
      <rPr>
        <sz val="10"/>
        <color rgb="FF000000"/>
        <rFont val="DejaVu Sans"/>
        <family val="2"/>
      </rPr>
      <t xml:space="preserve">길 </t>
    </r>
    <r>
      <rPr>
        <sz val="10"/>
        <color rgb="FF000000"/>
        <rFont val="돋움"/>
        <family val="3"/>
        <charset val="129"/>
      </rPr>
      <t xml:space="preserve">8</t>
    </r>
  </si>
  <si>
    <t xml:space="preserve">356-1329-6202-53</t>
  </si>
  <si>
    <t xml:space="preserve">010-3900-0965</t>
  </si>
  <si>
    <t xml:space="preserve">28683</t>
  </si>
  <si>
    <t xml:space="preserve">손경윤</t>
  </si>
  <si>
    <t xml:space="preserve">780528-1386217</t>
  </si>
  <si>
    <r>
      <rPr>
        <sz val="10"/>
        <color rgb="FF000000"/>
        <rFont val="DejaVu Sans"/>
        <family val="2"/>
      </rPr>
      <t xml:space="preserve">전라남도 순천시 우석로 </t>
    </r>
    <r>
      <rPr>
        <sz val="10"/>
        <color rgb="FF000000"/>
        <rFont val="돋움"/>
        <family val="3"/>
        <charset val="129"/>
      </rPr>
      <t xml:space="preserve">105, 2</t>
    </r>
    <r>
      <rPr>
        <sz val="10"/>
        <color rgb="FF000000"/>
        <rFont val="DejaVu Sans"/>
        <family val="2"/>
      </rPr>
      <t xml:space="preserve">층</t>
    </r>
    <r>
      <rPr>
        <sz val="10"/>
        <color rgb="FF000000"/>
        <rFont val="돋움"/>
        <family val="3"/>
        <charset val="129"/>
      </rPr>
      <t xml:space="preserve">(</t>
    </r>
    <r>
      <rPr>
        <sz val="10"/>
        <color rgb="FF000000"/>
        <rFont val="DejaVu Sans"/>
        <family val="2"/>
      </rPr>
      <t xml:space="preserve">남정동</t>
    </r>
    <r>
      <rPr>
        <sz val="10"/>
        <color rgb="FF000000"/>
        <rFont val="돋움"/>
        <family val="3"/>
        <charset val="129"/>
      </rPr>
      <t xml:space="preserve">)</t>
    </r>
  </si>
  <si>
    <t xml:space="preserve">010-8803-3163</t>
  </si>
  <si>
    <t xml:space="preserve">김정우</t>
  </si>
  <si>
    <t xml:space="preserve">960116-1386119</t>
  </si>
  <si>
    <r>
      <rPr>
        <sz val="10"/>
        <color rgb="FF000000"/>
        <rFont val="DejaVu Sans"/>
        <family val="2"/>
      </rPr>
      <t xml:space="preserve">충북 영동군 영동읍 회동로 </t>
    </r>
    <r>
      <rPr>
        <sz val="10"/>
        <color rgb="FF000000"/>
        <rFont val="돋움"/>
        <family val="3"/>
        <charset val="129"/>
      </rPr>
      <t xml:space="preserve">162</t>
    </r>
  </si>
  <si>
    <t xml:space="preserve">407013-52-111897</t>
  </si>
  <si>
    <t xml:space="preserve">34509</t>
  </si>
  <si>
    <t xml:space="preserve">성명식</t>
  </si>
  <si>
    <t xml:space="preserve">590801-1386129</t>
  </si>
  <si>
    <r>
      <rPr>
        <sz val="10"/>
        <color rgb="FF000000"/>
        <rFont val="DejaVu Sans"/>
        <family val="2"/>
      </rPr>
      <t xml:space="preserve">경기도 고양시 덕양구 화신로</t>
    </r>
    <r>
      <rPr>
        <sz val="10"/>
        <color rgb="FF000000"/>
        <rFont val="돋움"/>
        <family val="3"/>
        <charset val="129"/>
      </rPr>
      <t xml:space="preserve">298</t>
    </r>
  </si>
  <si>
    <t xml:space="preserve">049-02-203321</t>
  </si>
  <si>
    <t xml:space="preserve">29104</t>
  </si>
  <si>
    <r>
      <rPr>
        <sz val="10"/>
        <rFont val="DejaVu Sans"/>
        <family val="2"/>
      </rPr>
      <t xml:space="preserve">사용불가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상용직</t>
    </r>
    <r>
      <rPr>
        <sz val="10"/>
        <rFont val="돋움"/>
        <family val="3"/>
        <charset val="129"/>
      </rPr>
      <t xml:space="preserve">)</t>
    </r>
  </si>
  <si>
    <t xml:space="preserve">박봉환</t>
  </si>
  <si>
    <t xml:space="preserve">600713-1182814</t>
  </si>
  <si>
    <r>
      <rPr>
        <sz val="10"/>
        <rFont val="DejaVu Sans"/>
        <family val="2"/>
      </rPr>
      <t xml:space="preserve">경북 김천시 증산면황황</t>
    </r>
    <r>
      <rPr>
        <sz val="10"/>
        <rFont val="돋움"/>
        <family val="3"/>
        <charset val="129"/>
      </rPr>
      <t xml:space="preserve">2</t>
    </r>
    <r>
      <rPr>
        <sz val="10"/>
        <rFont val="DejaVu Sans"/>
        <family val="2"/>
      </rPr>
      <t xml:space="preserve">길</t>
    </r>
    <r>
      <rPr>
        <sz val="10"/>
        <rFont val="돋움"/>
        <family val="3"/>
        <charset val="129"/>
      </rPr>
      <t xml:space="preserve">31-6</t>
    </r>
  </si>
  <si>
    <t xml:space="preserve">312785-02-005538</t>
  </si>
  <si>
    <t xml:space="preserve">29148</t>
  </si>
  <si>
    <t xml:space="preserve">김기면</t>
  </si>
  <si>
    <t xml:space="preserve">601010-1386125</t>
  </si>
  <si>
    <r>
      <rPr>
        <sz val="10"/>
        <rFont val="DejaVu Sans"/>
        <family val="2"/>
      </rPr>
      <t xml:space="preserve">청주시 서원구 구룡산로 </t>
    </r>
    <r>
      <rPr>
        <sz val="10"/>
        <rFont val="돋움"/>
        <family val="3"/>
        <charset val="129"/>
      </rPr>
      <t xml:space="preserve">275-13,408</t>
    </r>
    <r>
      <rPr>
        <sz val="10"/>
        <rFont val="DejaVu Sans"/>
        <family val="2"/>
      </rPr>
      <t xml:space="preserve">동</t>
    </r>
    <r>
      <rPr>
        <sz val="10"/>
        <rFont val="돋움"/>
        <family val="3"/>
        <charset val="129"/>
      </rPr>
      <t xml:space="preserve">306</t>
    </r>
    <r>
      <rPr>
        <sz val="10"/>
        <rFont val="DejaVu Sans"/>
        <family val="2"/>
      </rPr>
      <t xml:space="preserve">호</t>
    </r>
  </si>
  <si>
    <t xml:space="preserve">356-0677-4691-13</t>
  </si>
  <si>
    <t xml:space="preserve">010-51094148</t>
  </si>
  <si>
    <t xml:space="preserve">김충식</t>
  </si>
  <si>
    <t xml:space="preserve">520618-1384416</t>
  </si>
  <si>
    <r>
      <rPr>
        <sz val="10"/>
        <color rgb="FF000000"/>
        <rFont val="DejaVu Sans"/>
        <family val="2"/>
      </rPr>
      <t xml:space="preserve">충북 청원군 북이면 석성리</t>
    </r>
    <r>
      <rPr>
        <sz val="10"/>
        <color rgb="FF000000"/>
        <rFont val="돋움"/>
        <family val="3"/>
        <charset val="129"/>
      </rPr>
      <t xml:space="preserve">448-2</t>
    </r>
  </si>
  <si>
    <t xml:space="preserve">302-0971-3212-91</t>
  </si>
  <si>
    <t xml:space="preserve">010-5547-6459</t>
  </si>
  <si>
    <t xml:space="preserve">620908-1386710</t>
  </si>
  <si>
    <r>
      <rPr>
        <sz val="10"/>
        <color rgb="FF000000"/>
        <rFont val="DejaVu Sans"/>
        <family val="2"/>
      </rPr>
      <t xml:space="preserve">충북 영동군 영동읍 동정로 </t>
    </r>
    <r>
      <rPr>
        <sz val="10"/>
        <color rgb="FF000000"/>
        <rFont val="돋움"/>
        <family val="3"/>
        <charset val="129"/>
      </rPr>
      <t xml:space="preserve">39-27, </t>
    </r>
    <r>
      <rPr>
        <sz val="10"/>
        <color rgb="FF000000"/>
        <rFont val="DejaVu Sans"/>
        <family val="2"/>
      </rPr>
      <t xml:space="preserve">현대아파트 </t>
    </r>
    <r>
      <rPr>
        <sz val="10"/>
        <color rgb="FF000000"/>
        <rFont val="돋움"/>
        <family val="3"/>
        <charset val="129"/>
      </rPr>
      <t xml:space="preserve">101</t>
    </r>
    <r>
      <rPr>
        <sz val="10"/>
        <color rgb="FF000000"/>
        <rFont val="DejaVu Sans"/>
        <family val="2"/>
      </rPr>
      <t xml:space="preserve">동 </t>
    </r>
    <r>
      <rPr>
        <sz val="10"/>
        <color rgb="FF000000"/>
        <rFont val="돋움"/>
        <family val="3"/>
        <charset val="129"/>
      </rPr>
      <t xml:space="preserve">1501</t>
    </r>
    <r>
      <rPr>
        <sz val="10"/>
        <color rgb="FF000000"/>
        <rFont val="DejaVu Sans"/>
        <family val="2"/>
      </rPr>
      <t xml:space="preserve">호</t>
    </r>
  </si>
  <si>
    <t xml:space="preserve">356-1353-2371-93</t>
  </si>
  <si>
    <t xml:space="preserve">010-8450-8819</t>
  </si>
  <si>
    <t xml:space="preserve">김경순</t>
  </si>
  <si>
    <t xml:space="preserve">621004-2069619</t>
  </si>
  <si>
    <r>
      <rPr>
        <sz val="10"/>
        <rFont val="DejaVu Sans"/>
        <family val="2"/>
      </rPr>
      <t xml:space="preserve">충북 영동군 용산면 상용길 </t>
    </r>
    <r>
      <rPr>
        <sz val="10"/>
        <rFont val="돋움"/>
        <family val="3"/>
        <charset val="129"/>
      </rPr>
      <t xml:space="preserve">20-24</t>
    </r>
  </si>
  <si>
    <t xml:space="preserve">740416-1468915</t>
  </si>
  <si>
    <r>
      <rPr>
        <sz val="10"/>
        <rFont val="DejaVu Sans"/>
        <family val="2"/>
      </rPr>
      <t xml:space="preserve">청주시 상당구 영운천로 </t>
    </r>
    <r>
      <rPr>
        <sz val="10"/>
        <rFont val="돋움"/>
        <family val="3"/>
        <charset val="129"/>
      </rPr>
      <t xml:space="preserve">159, 202</t>
    </r>
    <r>
      <rPr>
        <sz val="10"/>
        <rFont val="DejaVu Sans"/>
        <family val="2"/>
      </rPr>
      <t xml:space="preserve">호 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용정동</t>
    </r>
    <r>
      <rPr>
        <sz val="10"/>
        <rFont val="돋움"/>
        <family val="3"/>
        <charset val="129"/>
      </rPr>
      <t xml:space="preserve">)</t>
    </r>
  </si>
  <si>
    <t xml:space="preserve">서만석</t>
  </si>
  <si>
    <t xml:space="preserve">293-020381-03-026</t>
  </si>
  <si>
    <t xml:space="preserve">박문교</t>
  </si>
  <si>
    <t xml:space="preserve">700724-1380511</t>
  </si>
  <si>
    <r>
      <rPr>
        <sz val="10"/>
        <rFont val="DejaVu Sans"/>
        <family val="2"/>
      </rPr>
      <t xml:space="preserve">청주시 흥덕구 월명로 </t>
    </r>
    <r>
      <rPr>
        <sz val="10"/>
        <rFont val="돋움"/>
        <family val="3"/>
        <charset val="129"/>
      </rPr>
      <t xml:space="preserve">125, </t>
    </r>
    <r>
      <rPr>
        <sz val="10"/>
        <rFont val="DejaVu Sans"/>
        <family val="2"/>
      </rPr>
      <t xml:space="preserve">가동 </t>
    </r>
    <r>
      <rPr>
        <sz val="10"/>
        <rFont val="돋움"/>
        <family val="3"/>
        <charset val="129"/>
      </rPr>
      <t xml:space="preserve">206</t>
    </r>
    <r>
      <rPr>
        <sz val="10"/>
        <rFont val="DejaVu Sans"/>
        <family val="2"/>
      </rPr>
      <t xml:space="preserve">호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봉명동</t>
    </r>
    <r>
      <rPr>
        <sz val="10"/>
        <rFont val="돋움"/>
        <family val="3"/>
        <charset val="129"/>
      </rPr>
      <t xml:space="preserve">,</t>
    </r>
    <r>
      <rPr>
        <sz val="10"/>
        <rFont val="DejaVu Sans"/>
        <family val="2"/>
      </rPr>
      <t xml:space="preserve">신흥</t>
    </r>
    <r>
      <rPr>
        <sz val="10"/>
        <rFont val="돋움"/>
        <family val="3"/>
        <charset val="129"/>
      </rPr>
      <t xml:space="preserve">@)</t>
    </r>
  </si>
  <si>
    <t xml:space="preserve">안준범</t>
  </si>
  <si>
    <t xml:space="preserve">681028-1820716</t>
  </si>
  <si>
    <r>
      <rPr>
        <sz val="10"/>
        <rFont val="DejaVu Sans"/>
        <family val="2"/>
      </rPr>
      <t xml:space="preserve">경상남도 창원시 동읍 용잠리 </t>
    </r>
    <r>
      <rPr>
        <sz val="10"/>
        <rFont val="돋움"/>
        <family val="3"/>
        <charset val="129"/>
      </rPr>
      <t xml:space="preserve">419 </t>
    </r>
    <r>
      <rPr>
        <sz val="10"/>
        <rFont val="DejaVu Sans"/>
        <family val="2"/>
      </rPr>
      <t xml:space="preserve">신안</t>
    </r>
    <r>
      <rPr>
        <sz val="10"/>
        <rFont val="돋움"/>
        <family val="3"/>
        <charset val="129"/>
      </rPr>
      <t xml:space="preserve">@ 1-1505</t>
    </r>
  </si>
  <si>
    <t xml:space="preserve">엄태섭</t>
  </si>
  <si>
    <t xml:space="preserve">651117-1388314</t>
  </si>
  <si>
    <r>
      <rPr>
        <sz val="10"/>
        <rFont val="DejaVu Sans"/>
        <family val="2"/>
      </rPr>
      <t xml:space="preserve">충북 진천군 덕산면 인산리 </t>
    </r>
    <r>
      <rPr>
        <sz val="10"/>
        <rFont val="돋움"/>
        <family val="3"/>
        <charset val="129"/>
      </rPr>
      <t xml:space="preserve">182-21</t>
    </r>
  </si>
  <si>
    <t xml:space="preserve">황우하</t>
  </si>
  <si>
    <t xml:space="preserve">870101-1384313</t>
  </si>
  <si>
    <r>
      <rPr>
        <sz val="10"/>
        <rFont val="DejaVu Sans"/>
        <family val="2"/>
      </rPr>
      <t xml:space="preserve">충청북도 옥천군 안남면 도농리 </t>
    </r>
    <r>
      <rPr>
        <sz val="10"/>
        <rFont val="돋움"/>
        <family val="3"/>
        <charset val="129"/>
      </rPr>
      <t xml:space="preserve">538</t>
    </r>
  </si>
  <si>
    <t xml:space="preserve">김흥식</t>
  </si>
  <si>
    <t xml:space="preserve">690227-1382111</t>
  </si>
  <si>
    <r>
      <rPr>
        <sz val="10"/>
        <rFont val="DejaVu Sans"/>
        <family val="2"/>
      </rPr>
      <t xml:space="preserve">청주시 서원구 모충로 </t>
    </r>
    <r>
      <rPr>
        <sz val="10"/>
        <rFont val="돋움"/>
        <family val="3"/>
        <charset val="129"/>
      </rPr>
      <t xml:space="preserve">61, 205-501 (</t>
    </r>
    <r>
      <rPr>
        <sz val="10"/>
        <rFont val="DejaVu Sans"/>
        <family val="2"/>
      </rPr>
      <t xml:space="preserve">모충동 주공</t>
    </r>
    <r>
      <rPr>
        <sz val="10"/>
        <rFont val="돋움"/>
        <family val="3"/>
        <charset val="129"/>
      </rPr>
      <t xml:space="preserve">2</t>
    </r>
    <r>
      <rPr>
        <sz val="10"/>
        <rFont val="DejaVu Sans"/>
        <family val="2"/>
      </rPr>
      <t xml:space="preserve">단지</t>
    </r>
    <r>
      <rPr>
        <sz val="10"/>
        <rFont val="돋움"/>
        <family val="3"/>
        <charset val="129"/>
      </rPr>
      <t xml:space="preserve">)</t>
    </r>
  </si>
  <si>
    <t xml:space="preserve">김춘상</t>
  </si>
  <si>
    <t xml:space="preserve">671115-1380612</t>
  </si>
  <si>
    <r>
      <rPr>
        <sz val="10"/>
        <rFont val="DejaVu Sans"/>
        <family val="2"/>
      </rPr>
      <t xml:space="preserve">청주시 상당구 영운동 </t>
    </r>
    <r>
      <rPr>
        <sz val="10"/>
        <rFont val="돋움"/>
        <family val="3"/>
        <charset val="129"/>
      </rPr>
      <t xml:space="preserve">168-24 19/4</t>
    </r>
  </si>
  <si>
    <t xml:space="preserve">김주웅</t>
  </si>
  <si>
    <t xml:space="preserve">600405-1397114</t>
  </si>
  <si>
    <r>
      <rPr>
        <sz val="10"/>
        <rFont val="DejaVu Sans"/>
        <family val="2"/>
      </rPr>
      <t xml:space="preserve">청주시 서원구 </t>
    </r>
    <r>
      <rPr>
        <sz val="10"/>
        <rFont val="돋움"/>
        <family val="3"/>
        <charset val="129"/>
      </rPr>
      <t xml:space="preserve">1</t>
    </r>
    <r>
      <rPr>
        <sz val="10"/>
        <rFont val="DejaVu Sans"/>
        <family val="2"/>
      </rPr>
      <t xml:space="preserve">순환로 </t>
    </r>
    <r>
      <rPr>
        <sz val="10"/>
        <rFont val="돋움"/>
        <family val="3"/>
        <charset val="129"/>
      </rPr>
      <t xml:space="preserve">1137</t>
    </r>
    <r>
      <rPr>
        <sz val="10"/>
        <rFont val="DejaVu Sans"/>
        <family val="2"/>
      </rPr>
      <t xml:space="preserve">번길 </t>
    </r>
    <r>
      <rPr>
        <sz val="10"/>
        <rFont val="돋움"/>
        <family val="3"/>
        <charset val="129"/>
      </rPr>
      <t xml:space="preserve">130,325-1306 (</t>
    </r>
    <r>
      <rPr>
        <sz val="10"/>
        <rFont val="DejaVu Sans"/>
        <family val="2"/>
      </rPr>
      <t xml:space="preserve">분평동 분평주공</t>
    </r>
    <r>
      <rPr>
        <sz val="10"/>
        <rFont val="돋움"/>
        <family val="3"/>
        <charset val="129"/>
      </rPr>
      <t xml:space="preserve">@)</t>
    </r>
  </si>
  <si>
    <t xml:space="preserve">마상조</t>
  </si>
  <si>
    <t xml:space="preserve">590619-1380817</t>
  </si>
  <si>
    <r>
      <rPr>
        <sz val="10"/>
        <rFont val="DejaVu Sans"/>
        <family val="2"/>
      </rPr>
      <t xml:space="preserve">청주시 흥덕구 봉명로 </t>
    </r>
    <r>
      <rPr>
        <sz val="10"/>
        <rFont val="돋움"/>
        <family val="3"/>
        <charset val="129"/>
      </rPr>
      <t xml:space="preserve">209</t>
    </r>
    <r>
      <rPr>
        <sz val="10"/>
        <rFont val="DejaVu Sans"/>
        <family val="2"/>
      </rPr>
      <t xml:space="preserve">번길 </t>
    </r>
    <r>
      <rPr>
        <sz val="10"/>
        <rFont val="돋움"/>
        <family val="3"/>
        <charset val="129"/>
      </rPr>
      <t xml:space="preserve">17, 105</t>
    </r>
    <r>
      <rPr>
        <sz val="10"/>
        <rFont val="DejaVu Sans"/>
        <family val="2"/>
      </rPr>
      <t xml:space="preserve">호 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봉명동</t>
    </r>
    <r>
      <rPr>
        <sz val="10"/>
        <rFont val="돋움"/>
        <family val="3"/>
        <charset val="129"/>
      </rPr>
      <t xml:space="preserve">,</t>
    </r>
    <r>
      <rPr>
        <sz val="10"/>
        <rFont val="DejaVu Sans"/>
        <family val="2"/>
      </rPr>
      <t xml:space="preserve">그린빌라</t>
    </r>
    <r>
      <rPr>
        <sz val="10"/>
        <rFont val="돋움"/>
        <family val="3"/>
        <charset val="129"/>
      </rPr>
      <t xml:space="preserve">2</t>
    </r>
    <r>
      <rPr>
        <sz val="10"/>
        <rFont val="DejaVu Sans"/>
        <family val="2"/>
      </rPr>
      <t xml:space="preserve">차</t>
    </r>
    <r>
      <rPr>
        <sz val="10"/>
        <rFont val="돋움"/>
        <family val="3"/>
        <charset val="129"/>
      </rPr>
      <t xml:space="preserve">)</t>
    </r>
  </si>
  <si>
    <t xml:space="preserve">임익기</t>
  </si>
  <si>
    <t xml:space="preserve">650114-1037815</t>
  </si>
  <si>
    <r>
      <rPr>
        <sz val="10"/>
        <rFont val="DejaVu Sans"/>
        <family val="2"/>
      </rPr>
      <t xml:space="preserve">청주시 상당구 가덕면 국전길 </t>
    </r>
    <r>
      <rPr>
        <sz val="10"/>
        <rFont val="돋움"/>
        <family val="3"/>
        <charset val="129"/>
      </rPr>
      <t xml:space="preserve">110-43</t>
    </r>
  </si>
  <si>
    <t xml:space="preserve">안기남</t>
  </si>
  <si>
    <t xml:space="preserve">630117-1644712</t>
  </si>
  <si>
    <r>
      <rPr>
        <sz val="10"/>
        <rFont val="DejaVu Sans"/>
        <family val="2"/>
      </rPr>
      <t xml:space="preserve">청주시 상당구 남사로 </t>
    </r>
    <r>
      <rPr>
        <sz val="10"/>
        <rFont val="돋움"/>
        <family val="3"/>
        <charset val="129"/>
      </rPr>
      <t xml:space="preserve">80</t>
    </r>
    <r>
      <rPr>
        <sz val="10"/>
        <rFont val="DejaVu Sans"/>
        <family val="2"/>
      </rPr>
      <t xml:space="preserve">번길 </t>
    </r>
    <r>
      <rPr>
        <sz val="10"/>
        <rFont val="돋움"/>
        <family val="3"/>
        <charset val="129"/>
      </rPr>
      <t xml:space="preserve">9, 4</t>
    </r>
    <r>
      <rPr>
        <sz val="10"/>
        <rFont val="DejaVu Sans"/>
        <family val="2"/>
      </rPr>
      <t xml:space="preserve">층 </t>
    </r>
    <r>
      <rPr>
        <sz val="10"/>
        <rFont val="돋움"/>
        <family val="3"/>
        <charset val="129"/>
      </rPr>
      <t xml:space="preserve">402</t>
    </r>
    <r>
      <rPr>
        <sz val="10"/>
        <rFont val="DejaVu Sans"/>
        <family val="2"/>
      </rPr>
      <t xml:space="preserve">호 </t>
    </r>
    <r>
      <rPr>
        <sz val="10"/>
        <rFont val="돋움"/>
        <family val="3"/>
        <charset val="129"/>
      </rPr>
      <t xml:space="preserve">(</t>
    </r>
    <r>
      <rPr>
        <sz val="10"/>
        <rFont val="DejaVu Sans"/>
        <family val="2"/>
      </rPr>
      <t xml:space="preserve">남주동</t>
    </r>
    <r>
      <rPr>
        <sz val="10"/>
        <rFont val="돋움"/>
        <family val="3"/>
        <charset val="129"/>
      </rPr>
      <t xml:space="preserve">)</t>
    </r>
  </si>
  <si>
    <t xml:space="preserve">현장관련업체</t>
  </si>
  <si>
    <t xml:space="preserve">내용</t>
  </si>
  <si>
    <t xml:space="preserve">사업자등록번호</t>
  </si>
  <si>
    <t xml:space="preserve">이메일</t>
  </si>
  <si>
    <t xml:space="preserve">담당자</t>
  </si>
  <si>
    <r>
      <rPr>
        <sz val="9"/>
        <rFont val="DejaVu Sans"/>
        <family val="2"/>
      </rPr>
      <t xml:space="preserve">나래중기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이대영</t>
    </r>
    <r>
      <rPr>
        <sz val="9"/>
        <rFont val="맑은 고딕"/>
        <family val="3"/>
        <charset val="129"/>
      </rPr>
      <t xml:space="preserve">)</t>
    </r>
  </si>
  <si>
    <t xml:space="preserve">B/H(02)</t>
  </si>
  <si>
    <t xml:space="preserve">302-02-87284</t>
  </si>
  <si>
    <r>
      <rPr>
        <sz val="9"/>
        <rFont val="DejaVu Sans"/>
        <family val="2"/>
      </rPr>
      <t xml:space="preserve">농협 </t>
    </r>
    <r>
      <rPr>
        <sz val="9"/>
        <rFont val="맑은 고딕"/>
        <family val="3"/>
        <charset val="129"/>
      </rPr>
      <t xml:space="preserve">407115-52-043403</t>
    </r>
  </si>
  <si>
    <t xml:space="preserve">010-9417-9606</t>
  </si>
  <si>
    <t xml:space="preserve">이대영</t>
  </si>
  <si>
    <r>
      <rPr>
        <sz val="9"/>
        <rFont val="DejaVu Sans"/>
        <family val="2"/>
      </rPr>
      <t xml:space="preserve">글로벌운수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권갑철</t>
    </r>
    <r>
      <rPr>
        <sz val="9"/>
        <rFont val="맑은 고딕"/>
        <family val="3"/>
        <charset val="129"/>
      </rPr>
      <t xml:space="preserve">)</t>
    </r>
  </si>
  <si>
    <t xml:space="preserve">147-31-00735</t>
  </si>
  <si>
    <r>
      <rPr>
        <sz val="9"/>
        <rFont val="DejaVu Sans"/>
        <family val="2"/>
      </rPr>
      <t xml:space="preserve">농협 </t>
    </r>
    <r>
      <rPr>
        <sz val="9"/>
        <rFont val="맑은 고딕"/>
        <family val="3"/>
        <charset val="129"/>
      </rPr>
      <t xml:space="preserve">407067-52-068036</t>
    </r>
  </si>
  <si>
    <t xml:space="preserve">010-5315-2909</t>
  </si>
  <si>
    <t xml:space="preserve">권갑철</t>
  </si>
  <si>
    <r>
      <rPr>
        <sz val="9"/>
        <rFont val="DejaVu Sans"/>
        <family val="2"/>
      </rPr>
      <t xml:space="preserve">나래중기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최철희</t>
    </r>
    <r>
      <rPr>
        <sz val="9"/>
        <rFont val="맑은 고딕"/>
        <family val="3"/>
        <charset val="129"/>
      </rPr>
      <t xml:space="preserve">)</t>
    </r>
  </si>
  <si>
    <t xml:space="preserve">314-01-40422</t>
  </si>
  <si>
    <r>
      <rPr>
        <sz val="9"/>
        <rFont val="DejaVu Sans"/>
        <family val="2"/>
      </rPr>
      <t xml:space="preserve">농협 </t>
    </r>
    <r>
      <rPr>
        <sz val="9"/>
        <rFont val="맑은 고딕"/>
        <family val="3"/>
        <charset val="129"/>
      </rPr>
      <t xml:space="preserve">407090-52-045322</t>
    </r>
  </si>
  <si>
    <t xml:space="preserve">010-3772-5772</t>
  </si>
  <si>
    <t xml:space="preserve">최철희</t>
  </si>
  <si>
    <r>
      <rPr>
        <sz val="9"/>
        <rFont val="DejaVu Sans"/>
        <family val="2"/>
      </rPr>
      <t xml:space="preserve">반포중기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이종만</t>
    </r>
    <r>
      <rPr>
        <sz val="9"/>
        <rFont val="맑은 고딕"/>
        <family val="3"/>
        <charset val="129"/>
      </rPr>
      <t xml:space="preserve">)</t>
    </r>
  </si>
  <si>
    <t xml:space="preserve">B/H(6W)</t>
  </si>
  <si>
    <t xml:space="preserve">498-50-00124</t>
  </si>
  <si>
    <r>
      <rPr>
        <sz val="9"/>
        <rFont val="DejaVu Sans"/>
        <family val="2"/>
      </rPr>
      <t xml:space="preserve">국민 </t>
    </r>
    <r>
      <rPr>
        <sz val="9"/>
        <rFont val="맑은 고딕"/>
        <family val="3"/>
        <charset val="129"/>
      </rPr>
      <t xml:space="preserve">208602-04-125804</t>
    </r>
  </si>
  <si>
    <t xml:space="preserve">010-9425-4099</t>
  </si>
  <si>
    <t xml:space="preserve">이종만</t>
  </si>
  <si>
    <r>
      <rPr>
        <sz val="9"/>
        <rFont val="DejaVu Sans"/>
        <family val="2"/>
      </rPr>
      <t xml:space="preserve">성원창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미래종합건기</t>
    </r>
    <r>
      <rPr>
        <sz val="9"/>
        <rFont val="맑은 고딕"/>
        <family val="3"/>
        <charset val="129"/>
      </rPr>
      <t xml:space="preserve">)</t>
    </r>
  </si>
  <si>
    <t xml:space="preserve">D/T(15T)</t>
  </si>
  <si>
    <t xml:space="preserve">306-26-83971</t>
  </si>
  <si>
    <r>
      <rPr>
        <sz val="9"/>
        <rFont val="DejaVu Sans"/>
        <family val="2"/>
      </rPr>
      <t xml:space="preserve">농협 </t>
    </r>
    <r>
      <rPr>
        <sz val="9"/>
        <rFont val="맑은 고딕"/>
        <family val="3"/>
        <charset val="129"/>
      </rPr>
      <t xml:space="preserve">407045-52-048418</t>
    </r>
  </si>
  <si>
    <t xml:space="preserve">010-5466-0410</t>
  </si>
  <si>
    <t xml:space="preserve">성원창</t>
  </si>
  <si>
    <r>
      <rPr>
        <sz val="9"/>
        <rFont val="DejaVu Sans"/>
        <family val="2"/>
      </rPr>
      <t xml:space="preserve">상주대형화물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이흥주</t>
    </r>
    <r>
      <rPr>
        <sz val="9"/>
        <rFont val="맑은 고딕"/>
        <family val="3"/>
        <charset val="129"/>
      </rPr>
      <t xml:space="preserve">)</t>
    </r>
  </si>
  <si>
    <t xml:space="preserve">303-01-81350</t>
  </si>
  <si>
    <r>
      <rPr>
        <sz val="9"/>
        <rFont val="DejaVu Sans"/>
        <family val="2"/>
      </rPr>
      <t xml:space="preserve">농협 </t>
    </r>
    <r>
      <rPr>
        <sz val="9"/>
        <rFont val="맑은 고딕"/>
        <family val="3"/>
        <charset val="129"/>
      </rPr>
      <t xml:space="preserve">407013-52-074633</t>
    </r>
  </si>
  <si>
    <t xml:space="preserve">이흥주</t>
  </si>
  <si>
    <r>
      <rPr>
        <sz val="9"/>
        <rFont val="DejaVu Sans"/>
        <family val="2"/>
      </rPr>
      <t xml:space="preserve">반포중기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고영빈</t>
    </r>
    <r>
      <rPr>
        <sz val="9"/>
        <rFont val="맑은 고딕"/>
        <family val="3"/>
        <charset val="129"/>
      </rPr>
      <t xml:space="preserve">)</t>
    </r>
  </si>
  <si>
    <t xml:space="preserve">806-50-00039</t>
  </si>
  <si>
    <r>
      <rPr>
        <sz val="9"/>
        <rFont val="DejaVu Sans"/>
        <family val="2"/>
      </rPr>
      <t xml:space="preserve">농협 </t>
    </r>
    <r>
      <rPr>
        <sz val="9"/>
        <rFont val="맑은 고딕"/>
        <family val="3"/>
        <charset val="129"/>
      </rPr>
      <t xml:space="preserve">351-1064-0405-33</t>
    </r>
  </si>
  <si>
    <t xml:space="preserve">010-4595-1024</t>
  </si>
  <si>
    <t xml:space="preserve">고영빈</t>
  </si>
  <si>
    <r>
      <rPr>
        <sz val="9"/>
        <rFont val="DejaVu Sans"/>
        <family val="2"/>
      </rPr>
      <t xml:space="preserve">중앙컨테이너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손병철</t>
    </r>
    <r>
      <rPr>
        <sz val="9"/>
        <rFont val="맑은 고딕"/>
        <family val="3"/>
        <charset val="129"/>
      </rPr>
      <t xml:space="preserve">)</t>
    </r>
  </si>
  <si>
    <t xml:space="preserve">콘테이너</t>
  </si>
  <si>
    <t xml:space="preserve">314-39-00248</t>
  </si>
  <si>
    <r>
      <rPr>
        <sz val="9"/>
        <rFont val="DejaVu Sans"/>
        <family val="2"/>
      </rPr>
      <t xml:space="preserve">농협 </t>
    </r>
    <r>
      <rPr>
        <sz val="9"/>
        <rFont val="맑은 고딕"/>
        <family val="3"/>
        <charset val="129"/>
      </rPr>
      <t xml:space="preserve">352-1480-6370-93</t>
    </r>
  </si>
  <si>
    <t xml:space="preserve">010-4589-8477</t>
  </si>
  <si>
    <t xml:space="preserve">손병철</t>
  </si>
  <si>
    <r>
      <rPr>
        <sz val="9"/>
        <rFont val="DejaVu Sans"/>
        <family val="2"/>
      </rPr>
      <t xml:space="preserve">신선종합건재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정구철</t>
    </r>
    <r>
      <rPr>
        <sz val="9"/>
        <rFont val="맑은 고딕"/>
        <family val="3"/>
        <charset val="129"/>
      </rPr>
      <t xml:space="preserve">)</t>
    </r>
  </si>
  <si>
    <t xml:space="preserve">잡자재</t>
  </si>
  <si>
    <t xml:space="preserve">302-01-60667</t>
  </si>
  <si>
    <r>
      <rPr>
        <sz val="9"/>
        <rFont val="DejaVu Sans"/>
        <family val="2"/>
      </rPr>
      <t xml:space="preserve">농협 </t>
    </r>
    <r>
      <rPr>
        <sz val="9"/>
        <rFont val="맑은 고딕"/>
        <family val="3"/>
        <charset val="129"/>
      </rPr>
      <t xml:space="preserve">351-0178-7923-33</t>
    </r>
  </si>
  <si>
    <t xml:space="preserve">043-742-2109</t>
  </si>
  <si>
    <t xml:space="preserve">정구철</t>
  </si>
  <si>
    <t xml:space="preserve">세조산업개발</t>
  </si>
  <si>
    <t xml:space="preserve">골재</t>
  </si>
  <si>
    <t xml:space="preserve">302-81-18313</t>
  </si>
  <si>
    <r>
      <rPr>
        <sz val="9"/>
        <rFont val="DejaVu Sans"/>
        <family val="2"/>
      </rPr>
      <t xml:space="preserve">중소 </t>
    </r>
    <r>
      <rPr>
        <sz val="9"/>
        <rFont val="맑은 고딕"/>
        <family val="3"/>
        <charset val="129"/>
      </rPr>
      <t xml:space="preserve">570-020177-04-014</t>
    </r>
  </si>
  <si>
    <t xml:space="preserve">043-745-9980</t>
  </si>
  <si>
    <t xml:space="preserve">조순숙</t>
  </si>
  <si>
    <t xml:space="preserve">부지임대료</t>
  </si>
  <si>
    <r>
      <rPr>
        <sz val="9"/>
        <rFont val="DejaVu Sans"/>
        <family val="2"/>
      </rPr>
      <t xml:space="preserve">농협 </t>
    </r>
    <r>
      <rPr>
        <sz val="9"/>
        <rFont val="맑은 고딕"/>
        <family val="3"/>
        <charset val="129"/>
      </rPr>
      <t xml:space="preserve">407089-52-121568</t>
    </r>
  </si>
  <si>
    <t xml:space="preserve">010-6403-5555</t>
  </si>
  <si>
    <r>
      <rPr>
        <sz val="9"/>
        <rFont val="DejaVu Sans"/>
        <family val="2"/>
      </rPr>
      <t xml:space="preserve">성명전기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김진욱</t>
    </r>
    <r>
      <rPr>
        <sz val="9"/>
        <rFont val="맑은 고딕"/>
        <family val="3"/>
        <charset val="129"/>
      </rPr>
      <t xml:space="preserve">)</t>
    </r>
  </si>
  <si>
    <t xml:space="preserve">임시전기</t>
  </si>
  <si>
    <t xml:space="preserve">302-81-18176</t>
  </si>
  <si>
    <r>
      <rPr>
        <sz val="9"/>
        <rFont val="DejaVu Sans"/>
        <family val="2"/>
      </rPr>
      <t xml:space="preserve">농협 </t>
    </r>
    <r>
      <rPr>
        <sz val="9"/>
        <rFont val="맑은 고딕"/>
        <family val="3"/>
        <charset val="129"/>
      </rPr>
      <t xml:space="preserve">319-01-253831</t>
    </r>
  </si>
  <si>
    <t xml:space="preserve">043-744-1138</t>
  </si>
  <si>
    <t xml:space="preserve">김진욱</t>
  </si>
  <si>
    <t xml:space="preserve">신도페인트</t>
  </si>
  <si>
    <r>
      <rPr>
        <sz val="9"/>
        <rFont val="DejaVu Sans"/>
        <family val="2"/>
      </rPr>
      <t xml:space="preserve">현수막</t>
    </r>
    <r>
      <rPr>
        <sz val="9"/>
        <rFont val="맑은 고딕"/>
        <family val="3"/>
        <charset val="129"/>
      </rPr>
      <t xml:space="preserve">,</t>
    </r>
    <r>
      <rPr>
        <sz val="9"/>
        <rFont val="DejaVu Sans"/>
        <family val="2"/>
      </rPr>
      <t xml:space="preserve">간판</t>
    </r>
    <r>
      <rPr>
        <sz val="9"/>
        <rFont val="맑은 고딕"/>
        <family val="3"/>
        <charset val="129"/>
      </rPr>
      <t xml:space="preserve">,</t>
    </r>
    <r>
      <rPr>
        <sz val="9"/>
        <rFont val="DejaVu Sans"/>
        <family val="2"/>
      </rPr>
      <t xml:space="preserve">현황판</t>
    </r>
  </si>
  <si>
    <t xml:space="preserve">302-01-31181</t>
  </si>
  <si>
    <r>
      <rPr>
        <sz val="9"/>
        <rFont val="DejaVu Sans"/>
        <family val="2"/>
      </rPr>
      <t xml:space="preserve">농협 </t>
    </r>
    <r>
      <rPr>
        <sz val="9"/>
        <rFont val="맑은 고딕"/>
        <family val="3"/>
        <charset val="129"/>
      </rPr>
      <t xml:space="preserve">319-02-210801</t>
    </r>
  </si>
  <si>
    <t xml:space="preserve">010-4272-9501</t>
  </si>
  <si>
    <t xml:space="preserve">노희수</t>
  </si>
  <si>
    <t xml:space="preserve">이원길</t>
  </si>
  <si>
    <t xml:space="preserve">B/H(1.0LC)</t>
  </si>
  <si>
    <t xml:space="preserve">314-02-73143</t>
  </si>
  <si>
    <r>
      <rPr>
        <sz val="10"/>
        <color rgb="FF000000"/>
        <rFont val="DejaVu Sans"/>
        <family val="2"/>
      </rPr>
      <t xml:space="preserve">농협</t>
    </r>
    <r>
      <rPr>
        <sz val="10"/>
        <color rgb="FF000000"/>
        <rFont val="맑은 고딕"/>
        <family val="3"/>
        <charset val="129"/>
      </rPr>
      <t xml:space="preserve">453140-52-005016</t>
    </r>
  </si>
  <si>
    <t xml:space="preserve">010-5405-7629</t>
  </si>
  <si>
    <t xml:space="preserve">김현분</t>
  </si>
  <si>
    <t xml:space="preserve">302-01-32991</t>
  </si>
  <si>
    <r>
      <rPr>
        <sz val="10"/>
        <color rgb="FF000000"/>
        <rFont val="DejaVu Sans"/>
        <family val="2"/>
      </rPr>
      <t xml:space="preserve">농협</t>
    </r>
    <r>
      <rPr>
        <sz val="10"/>
        <color rgb="FF000000"/>
        <rFont val="맑은 고딕"/>
        <family val="3"/>
        <charset val="129"/>
      </rPr>
      <t xml:space="preserve">407014-52-022016</t>
    </r>
  </si>
  <si>
    <r>
      <rPr>
        <sz val="10"/>
        <color rgb="FF000000"/>
        <rFont val="DejaVu Sans"/>
        <family val="2"/>
      </rPr>
      <t xml:space="preserve">이재화</t>
    </r>
    <r>
      <rPr>
        <sz val="10"/>
        <color rgb="FF000000"/>
        <rFont val="맑은 고딕"/>
        <family val="3"/>
        <charset val="129"/>
      </rPr>
      <t xml:space="preserve">(</t>
    </r>
    <r>
      <rPr>
        <sz val="10"/>
        <color rgb="FF000000"/>
        <rFont val="DejaVu Sans"/>
        <family val="2"/>
      </rPr>
      <t xml:space="preserve">글로벌운수</t>
    </r>
    <r>
      <rPr>
        <sz val="10"/>
        <color rgb="FF000000"/>
        <rFont val="맑은 고딕"/>
        <family val="3"/>
        <charset val="129"/>
      </rPr>
      <t xml:space="preserve">)</t>
    </r>
  </si>
  <si>
    <t xml:space="preserve">D/T(25T)</t>
  </si>
  <si>
    <t xml:space="preserve">301-17-77619</t>
  </si>
  <si>
    <r>
      <rPr>
        <sz val="10"/>
        <color rgb="FF000000"/>
        <rFont val="DejaVu Sans"/>
        <family val="2"/>
      </rPr>
      <t xml:space="preserve">농협</t>
    </r>
    <r>
      <rPr>
        <sz val="10"/>
        <color rgb="FF000000"/>
        <rFont val="맑은 고딕"/>
        <family val="3"/>
        <charset val="129"/>
      </rPr>
      <t xml:space="preserve">351-0720-7709-83</t>
    </r>
  </si>
  <si>
    <t xml:space="preserve">010-9613-0952</t>
  </si>
  <si>
    <t xml:space="preserve">용산중기</t>
  </si>
  <si>
    <r>
      <rPr>
        <sz val="10"/>
        <color rgb="FF000000"/>
        <rFont val="DejaVu Sans"/>
        <family val="2"/>
      </rPr>
      <t xml:space="preserve">윤용수</t>
    </r>
    <r>
      <rPr>
        <sz val="10"/>
        <color rgb="FF000000"/>
        <rFont val="맑은 고딕"/>
        <family val="3"/>
        <charset val="129"/>
      </rPr>
      <t xml:space="preserve">(016)</t>
    </r>
  </si>
  <si>
    <t xml:space="preserve">B/H(016)</t>
  </si>
  <si>
    <t xml:space="preserve">813-50-00148</t>
  </si>
  <si>
    <r>
      <rPr>
        <sz val="10"/>
        <color rgb="FF000000"/>
        <rFont val="DejaVu Sans"/>
        <family val="2"/>
      </rPr>
      <t xml:space="preserve">농협</t>
    </r>
    <r>
      <rPr>
        <sz val="10"/>
        <color rgb="FF000000"/>
        <rFont val="맑은 고딕"/>
        <family val="3"/>
        <charset val="129"/>
      </rPr>
      <t xml:space="preserve">302-9163-5179-41</t>
    </r>
  </si>
  <si>
    <t xml:space="preserve">010-9163-5179</t>
  </si>
  <si>
    <t xml:space="preserve">성우중기</t>
  </si>
  <si>
    <t xml:space="preserve">신흥주유소</t>
  </si>
  <si>
    <t xml:space="preserve">주유소</t>
  </si>
  <si>
    <t xml:space="preserve">518-08-00244</t>
  </si>
  <si>
    <r>
      <rPr>
        <sz val="10"/>
        <color rgb="FF000000"/>
        <rFont val="DejaVu Sans"/>
        <family val="2"/>
      </rPr>
      <t xml:space="preserve">농협</t>
    </r>
    <r>
      <rPr>
        <sz val="10"/>
        <color rgb="FF000000"/>
        <rFont val="맑은 고딕"/>
        <family val="3"/>
        <charset val="129"/>
      </rPr>
      <t xml:space="preserve">351-0893-0177-73</t>
    </r>
  </si>
  <si>
    <t xml:space="preserve">043-742-5418</t>
  </si>
  <si>
    <t xml:space="preserve">국민스틸㈜옥천</t>
  </si>
  <si>
    <r>
      <rPr>
        <sz val="9"/>
        <rFont val="DejaVu Sans"/>
        <family val="2"/>
      </rPr>
      <t xml:space="preserve">철근</t>
    </r>
    <r>
      <rPr>
        <sz val="9"/>
        <rFont val="맑은 고딕"/>
        <family val="3"/>
        <charset val="129"/>
      </rPr>
      <t xml:space="preserve">,</t>
    </r>
    <r>
      <rPr>
        <sz val="9"/>
        <rFont val="DejaVu Sans"/>
        <family val="2"/>
      </rPr>
      <t xml:space="preserve">도소매</t>
    </r>
    <r>
      <rPr>
        <sz val="9"/>
        <rFont val="맑은 고딕"/>
        <family val="3"/>
        <charset val="129"/>
      </rPr>
      <t xml:space="preserve">,</t>
    </r>
    <r>
      <rPr>
        <sz val="9"/>
        <rFont val="DejaVu Sans"/>
        <family val="2"/>
      </rPr>
      <t xml:space="preserve">운수업</t>
    </r>
  </si>
  <si>
    <t xml:space="preserve">677-85-00700</t>
  </si>
  <si>
    <r>
      <rPr>
        <sz val="9"/>
        <rFont val="DejaVu Sans"/>
        <family val="2"/>
      </rPr>
      <t xml:space="preserve">우리</t>
    </r>
    <r>
      <rPr>
        <sz val="9"/>
        <rFont val="맑은 고딕"/>
        <family val="3"/>
        <charset val="129"/>
      </rPr>
      <t xml:space="preserve">1005-103-234745</t>
    </r>
  </si>
  <si>
    <t xml:space="preserve">043-731-0315</t>
  </si>
  <si>
    <t xml:space="preserve">국민스틸</t>
  </si>
  <si>
    <t xml:space="preserve">나래중기㈜영동지점최규철</t>
  </si>
  <si>
    <t xml:space="preserve">302-04-99580</t>
  </si>
  <si>
    <r>
      <rPr>
        <sz val="9"/>
        <rFont val="DejaVu Sans"/>
        <family val="2"/>
      </rPr>
      <t xml:space="preserve">신한</t>
    </r>
    <r>
      <rPr>
        <sz val="9"/>
        <rFont val="맑은 고딕"/>
        <family val="3"/>
        <charset val="129"/>
      </rPr>
      <t xml:space="preserve">110-212-398190</t>
    </r>
  </si>
  <si>
    <t xml:space="preserve">010-8779-8063</t>
  </si>
  <si>
    <t xml:space="preserve">장성중기</t>
  </si>
  <si>
    <t xml:space="preserve">영일펌프카</t>
  </si>
  <si>
    <t xml:space="preserve">콘크리트펌프카</t>
  </si>
  <si>
    <t xml:space="preserve">344-15-00108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</si>
  <si>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352-0956-3815-53</t>
    </r>
  </si>
  <si>
    <t xml:space="preserve">043-744-8584</t>
  </si>
  <si>
    <t xml:space="preserve">옥천카고크레인</t>
  </si>
  <si>
    <t xml:space="preserve">카고</t>
  </si>
  <si>
    <t xml:space="preserve">314-05-77155</t>
  </si>
  <si>
    <r>
      <rPr>
        <sz val="9"/>
        <rFont val="DejaVu Sans"/>
        <family val="2"/>
      </rPr>
      <t xml:space="preserve">국민</t>
    </r>
    <r>
      <rPr>
        <sz val="9"/>
        <rFont val="맑은 고딕"/>
        <family val="3"/>
        <charset val="129"/>
      </rPr>
      <t xml:space="preserve">405301-04-236560</t>
    </r>
  </si>
  <si>
    <t xml:space="preserve">010-7626-2653</t>
  </si>
  <si>
    <t xml:space="preserve">옥천카고</t>
  </si>
  <si>
    <t xml:space="preserve">청림상사</t>
  </si>
  <si>
    <t xml:space="preserve">일반철물</t>
  </si>
  <si>
    <t xml:space="preserve">301-11-74468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</si>
  <si>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352-1627-1955-23</t>
    </r>
  </si>
  <si>
    <t xml:space="preserve">010-9126-0402</t>
  </si>
  <si>
    <t xml:space="preserve">철물</t>
  </si>
  <si>
    <t xml:space="preserve">주식회사레이렌탈</t>
  </si>
  <si>
    <t xml:space="preserve">시스템동바리</t>
  </si>
  <si>
    <t xml:space="preserve">264-81-45099</t>
  </si>
  <si>
    <t xml:space="preserve">IBK568-034268-01-015</t>
  </si>
  <si>
    <t xml:space="preserve">010-9252-7186</t>
  </si>
  <si>
    <t xml:space="preserve">동바리시스템</t>
  </si>
  <si>
    <t xml:space="preserve">손석진</t>
  </si>
  <si>
    <t xml:space="preserve">D/T15TON</t>
  </si>
  <si>
    <t xml:space="preserve">302-03-82840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</si>
  <si>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356-0258-3874-03</t>
    </r>
  </si>
  <si>
    <t xml:space="preserve">010-6431-4900</t>
  </si>
  <si>
    <t xml:space="preserve">국제중기</t>
  </si>
  <si>
    <r>
      <rPr>
        <sz val="9"/>
        <rFont val="DejaVu Sans"/>
        <family val="2"/>
      </rPr>
      <t xml:space="preserve">전상수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통일중기</t>
    </r>
    <r>
      <rPr>
        <sz val="9"/>
        <rFont val="맑은 고딕"/>
        <family val="3"/>
        <charset val="129"/>
      </rPr>
      <t xml:space="preserve">)</t>
    </r>
  </si>
  <si>
    <t xml:space="preserve">302-03-46112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</si>
  <si>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407023-52-058275</t>
    </r>
  </si>
  <si>
    <r>
      <rPr>
        <sz val="9"/>
        <rFont val="DejaVu Sans"/>
        <family val="2"/>
      </rPr>
      <t xml:space="preserve">조지영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글로벌운수중기</t>
    </r>
    <r>
      <rPr>
        <sz val="9"/>
        <rFont val="맑은 고딕"/>
        <family val="3"/>
        <charset val="129"/>
      </rPr>
      <t xml:space="preserve">)</t>
    </r>
  </si>
  <si>
    <t xml:space="preserve">196-42-00510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</si>
  <si>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351-1102-9210-93</t>
    </r>
  </si>
  <si>
    <r>
      <rPr>
        <sz val="9"/>
        <rFont val="DejaVu Sans"/>
        <family val="2"/>
      </rPr>
      <t xml:space="preserve">육용길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반포중기</t>
    </r>
    <r>
      <rPr>
        <sz val="9"/>
        <rFont val="맑은 고딕"/>
        <family val="3"/>
        <charset val="129"/>
      </rPr>
      <t xml:space="preserve">)</t>
    </r>
  </si>
  <si>
    <t xml:space="preserve">B/H02LC</t>
  </si>
  <si>
    <t xml:space="preserve">302-03-93712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</si>
  <si>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407104-52-022222</t>
    </r>
  </si>
  <si>
    <r>
      <rPr>
        <sz val="9"/>
        <rFont val="DejaVu Sans"/>
        <family val="2"/>
      </rPr>
      <t xml:space="preserve">박은숙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성우건설계</t>
    </r>
    <r>
      <rPr>
        <sz val="9"/>
        <rFont val="맑은 고딕"/>
        <family val="3"/>
        <charset val="129"/>
      </rPr>
      <t xml:space="preserve">)</t>
    </r>
  </si>
  <si>
    <t xml:space="preserve">B/H016LC</t>
  </si>
  <si>
    <t xml:space="preserve">457-55-00467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</si>
  <si>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302-1393-2153-81</t>
    </r>
  </si>
  <si>
    <t xml:space="preserve">미니성우중기</t>
  </si>
  <si>
    <r>
      <rPr>
        <sz val="9"/>
        <rFont val="DejaVu Sans"/>
        <family val="2"/>
      </rPr>
      <t xml:space="preserve">전서연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반포중기</t>
    </r>
  </si>
  <si>
    <t xml:space="preserve">302-03-95670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</si>
  <si>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319-02-321386</t>
    </r>
  </si>
  <si>
    <r>
      <rPr>
        <sz val="9"/>
        <rFont val="DejaVu Sans"/>
        <family val="2"/>
      </rPr>
      <t xml:space="preserve">전형구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통일중기</t>
    </r>
    <r>
      <rPr>
        <sz val="9"/>
        <rFont val="맑은 고딕"/>
        <family val="3"/>
        <charset val="129"/>
      </rPr>
      <t xml:space="preserve">)</t>
    </r>
  </si>
  <si>
    <t xml:space="preserve">B/H06W</t>
  </si>
  <si>
    <t xml:space="preserve">302-05-97309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</si>
  <si>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407013-52-083691</t>
    </r>
  </si>
  <si>
    <r>
      <rPr>
        <sz val="9"/>
        <rFont val="DejaVu Sans"/>
        <family val="2"/>
      </rPr>
      <t xml:space="preserve">김대종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전국건설기계</t>
    </r>
    <r>
      <rPr>
        <sz val="9"/>
        <rFont val="맑은 고딕"/>
        <family val="3"/>
        <charset val="129"/>
      </rPr>
      <t xml:space="preserve">)</t>
    </r>
  </si>
  <si>
    <t xml:space="preserve">B/H1.0LC</t>
  </si>
  <si>
    <t xml:space="preserve">462-77-00189</t>
  </si>
  <si>
    <r>
      <rPr>
        <sz val="9"/>
        <rFont val="맑은 고딕"/>
        <family val="3"/>
        <charset val="129"/>
      </rPr>
      <t xml:space="preserve">MG</t>
    </r>
    <r>
      <rPr>
        <sz val="9"/>
        <rFont val="DejaVu Sans"/>
        <family val="2"/>
      </rPr>
      <t xml:space="preserve">새마을</t>
    </r>
    <r>
      <rPr>
        <sz val="9"/>
        <rFont val="맑은 고딕"/>
        <family val="3"/>
        <charset val="129"/>
      </rPr>
      <t xml:space="preserve">9002-1512-1688-5</t>
    </r>
  </si>
  <si>
    <t xml:space="preserve">010-4997-5454</t>
  </si>
  <si>
    <r>
      <rPr>
        <sz val="9"/>
        <rFont val="DejaVu Sans"/>
        <family val="2"/>
      </rPr>
      <t xml:space="preserve">서창백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아이비에취알</t>
    </r>
    <r>
      <rPr>
        <sz val="9"/>
        <rFont val="맑은 고딕"/>
        <family val="3"/>
        <charset val="129"/>
      </rPr>
      <t xml:space="preserve">)</t>
    </r>
  </si>
  <si>
    <r>
      <rPr>
        <sz val="9"/>
        <rFont val="맑은 고딕"/>
        <family val="3"/>
        <charset val="129"/>
      </rPr>
      <t xml:space="preserve">5T</t>
    </r>
    <r>
      <rPr>
        <sz val="9"/>
        <rFont val="DejaVu Sans"/>
        <family val="2"/>
      </rPr>
      <t xml:space="preserve">살수</t>
    </r>
  </si>
  <si>
    <t xml:space="preserve">785-15-01201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</si>
  <si>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319-02-221675</t>
    </r>
  </si>
  <si>
    <r>
      <rPr>
        <sz val="9"/>
        <rFont val="DejaVu Sans"/>
        <family val="2"/>
      </rPr>
      <t xml:space="preserve">김점술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통일중기</t>
    </r>
  </si>
  <si>
    <t xml:space="preserve">15TON</t>
  </si>
  <si>
    <t xml:space="preserve">302-05-97328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</si>
  <si>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407014-52-008665</t>
    </r>
  </si>
  <si>
    <r>
      <rPr>
        <sz val="9"/>
        <rFont val="DejaVu Sans"/>
        <family val="2"/>
      </rPr>
      <t xml:space="preserve">김영배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상주대형화물</t>
    </r>
  </si>
  <si>
    <t xml:space="preserve">511-08-31197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</si>
  <si>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302-0203-2747-31</t>
    </r>
  </si>
  <si>
    <r>
      <rPr>
        <sz val="9"/>
        <rFont val="DejaVu Sans"/>
        <family val="2"/>
      </rPr>
      <t xml:space="preserve">강남이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반포중기</t>
    </r>
    <r>
      <rPr>
        <sz val="9"/>
        <rFont val="맑은 고딕"/>
        <family val="3"/>
        <charset val="129"/>
      </rPr>
      <t xml:space="preserve">)</t>
    </r>
  </si>
  <si>
    <t xml:space="preserve">302-02-26007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</si>
  <si>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351-1081-0527-63</t>
    </r>
  </si>
  <si>
    <t xml:space="preserve">010-5402-9074</t>
  </si>
  <si>
    <r>
      <rPr>
        <sz val="9"/>
        <rFont val="DejaVu Sans"/>
        <family val="2"/>
      </rPr>
      <t xml:space="preserve">이효원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건설환경품질</t>
    </r>
  </si>
  <si>
    <t xml:space="preserve">시험</t>
  </si>
  <si>
    <t xml:space="preserve">719-81-01214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</si>
  <si>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355-0060-6386-73</t>
    </r>
  </si>
  <si>
    <t xml:space="preserve">041-534-0122</t>
  </si>
  <si>
    <r>
      <rPr>
        <sz val="9"/>
        <rFont val="DejaVu Sans"/>
        <family val="2"/>
      </rPr>
      <t xml:space="preserve">김세진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라인철강</t>
    </r>
    <r>
      <rPr>
        <sz val="9"/>
        <rFont val="맑은 고딕"/>
        <family val="3"/>
        <charset val="129"/>
      </rPr>
      <t xml:space="preserve">)</t>
    </r>
  </si>
  <si>
    <t xml:space="preserve">726-87-01626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</si>
  <si>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301-6858-7846-11</t>
    </r>
  </si>
  <si>
    <t xml:space="preserve">043-267-7846</t>
  </si>
  <si>
    <r>
      <rPr>
        <sz val="9"/>
        <rFont val="DejaVu Sans"/>
        <family val="2"/>
      </rPr>
      <t xml:space="preserve">정정숙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대한카고</t>
    </r>
    <r>
      <rPr>
        <sz val="9"/>
        <rFont val="맑은 고딕"/>
        <family val="3"/>
        <charset val="129"/>
      </rPr>
      <t xml:space="preserve">)</t>
    </r>
  </si>
  <si>
    <t xml:space="preserve">카고크레인</t>
  </si>
  <si>
    <t xml:space="preserve">302-04-43747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</si>
  <si>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317-12-201722</t>
    </r>
  </si>
  <si>
    <t xml:space="preserve">010-4697-8080</t>
  </si>
  <si>
    <t xml:space="preserve">박명서</t>
  </si>
  <si>
    <t xml:space="preserve">15ton</t>
  </si>
  <si>
    <t xml:space="preserve">305-54-66157</t>
  </si>
  <si>
    <t xml:space="preserve">kb472-21-0247-405</t>
  </si>
  <si>
    <t xml:space="preserve">010-5456-6234</t>
  </si>
  <si>
    <t xml:space="preserve">금산덤프</t>
  </si>
  <si>
    <r>
      <rPr>
        <sz val="9"/>
        <rFont val="DejaVu Sans"/>
        <family val="2"/>
      </rPr>
      <t xml:space="preserve">김보준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반디종합중기</t>
    </r>
    <r>
      <rPr>
        <sz val="9"/>
        <rFont val="맑은 고딕"/>
        <family val="3"/>
        <charset val="129"/>
      </rPr>
      <t xml:space="preserve">)</t>
    </r>
  </si>
  <si>
    <t xml:space="preserve">418-08-469-88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</si>
  <si>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302-4036-8971-21</t>
    </r>
  </si>
  <si>
    <t xml:space="preserve">010-4036-8977</t>
  </si>
  <si>
    <r>
      <rPr>
        <sz val="9"/>
        <rFont val="DejaVu Sans"/>
        <family val="2"/>
      </rPr>
      <t xml:space="preserve">무주</t>
    </r>
    <r>
      <rPr>
        <sz val="9"/>
        <rFont val="맑은 고딕"/>
        <family val="3"/>
        <charset val="129"/>
      </rPr>
      <t xml:space="preserve">B/H06W</t>
    </r>
  </si>
  <si>
    <r>
      <rPr>
        <sz val="9"/>
        <rFont val="DejaVu Sans"/>
        <family val="2"/>
      </rPr>
      <t xml:space="preserve">김성구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미래종합건기</t>
    </r>
    <r>
      <rPr>
        <sz val="9"/>
        <rFont val="맑은 고딕"/>
        <family val="3"/>
        <charset val="129"/>
      </rPr>
      <t xml:space="preserve">)</t>
    </r>
  </si>
  <si>
    <t xml:space="preserve">513-04-67276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</si>
  <si>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407115-52-037511</t>
    </r>
  </si>
  <si>
    <t xml:space="preserve">043-744-9445</t>
  </si>
  <si>
    <t xml:space="preserve">창명중기</t>
  </si>
  <si>
    <r>
      <rPr>
        <sz val="9"/>
        <rFont val="DejaVu Sans"/>
        <family val="2"/>
      </rPr>
      <t xml:space="preserve">김순영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통일중기</t>
    </r>
    <r>
      <rPr>
        <sz val="9"/>
        <rFont val="맑은 고딕"/>
        <family val="3"/>
        <charset val="129"/>
      </rPr>
      <t xml:space="preserve">)</t>
    </r>
  </si>
  <si>
    <t xml:space="preserve">302-05-97032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</si>
  <si>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407014-52-038834</t>
    </r>
  </si>
  <si>
    <t xml:space="preserve">043-744-0474</t>
  </si>
  <si>
    <t xml:space="preserve">신용중기</t>
  </si>
  <si>
    <r>
      <rPr>
        <sz val="9"/>
        <rFont val="DejaVu Sans"/>
        <family val="2"/>
      </rPr>
      <t xml:space="preserve">조규홍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미래종합건기</t>
    </r>
    <r>
      <rPr>
        <sz val="9"/>
        <rFont val="맑은 고딕"/>
        <family val="3"/>
        <charset val="129"/>
      </rPr>
      <t xml:space="preserve">)</t>
    </r>
  </si>
  <si>
    <t xml:space="preserve">229-13-65166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</si>
  <si>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352-0440-2944-73</t>
    </r>
  </si>
  <si>
    <r>
      <rPr>
        <sz val="9"/>
        <rFont val="DejaVu Sans"/>
        <family val="2"/>
      </rPr>
      <t xml:space="preserve">박명서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중부중기</t>
    </r>
    <r>
      <rPr>
        <sz val="9"/>
        <rFont val="맑은 고딕"/>
        <family val="3"/>
        <charset val="129"/>
      </rPr>
      <t xml:space="preserve">)</t>
    </r>
  </si>
  <si>
    <r>
      <rPr>
        <sz val="9"/>
        <rFont val="DejaVu Sans"/>
        <family val="2"/>
      </rPr>
      <t xml:space="preserve">국민</t>
    </r>
    <r>
      <rPr>
        <sz val="9"/>
        <rFont val="맑은 고딕"/>
        <family val="3"/>
        <charset val="129"/>
      </rPr>
      <t xml:space="preserve">472-21-0247-405</t>
    </r>
  </si>
  <si>
    <r>
      <rPr>
        <sz val="9"/>
        <rFont val="DejaVu Sans"/>
        <family val="2"/>
      </rPr>
      <t xml:space="preserve">윤재남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글로벌운수</t>
    </r>
    <r>
      <rPr>
        <sz val="9"/>
        <rFont val="맑은 고딕"/>
        <family val="3"/>
        <charset val="129"/>
      </rPr>
      <t xml:space="preserve">)</t>
    </r>
  </si>
  <si>
    <t xml:space="preserve">416-34-00137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</si>
  <si>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319-02-263716</t>
    </r>
  </si>
  <si>
    <t xml:space="preserve">043-744-8805</t>
  </si>
  <si>
    <t xml:space="preserve">금강중기</t>
  </si>
  <si>
    <r>
      <rPr>
        <sz val="9"/>
        <rFont val="DejaVu Sans"/>
        <family val="2"/>
      </rPr>
      <t xml:space="preserve">황갑주</t>
    </r>
    <r>
      <rPr>
        <sz val="9"/>
        <rFont val="맑은 고딕"/>
        <family val="3"/>
        <charset val="129"/>
      </rPr>
      <t xml:space="preserve">(114</t>
    </r>
    <r>
      <rPr>
        <sz val="9"/>
        <rFont val="DejaVu Sans"/>
        <family val="2"/>
      </rPr>
      <t xml:space="preserve">카고크레인</t>
    </r>
    <r>
      <rPr>
        <sz val="9"/>
        <rFont val="맑은 고딕"/>
        <family val="3"/>
        <charset val="129"/>
      </rPr>
      <t xml:space="preserve">)</t>
    </r>
  </si>
  <si>
    <t xml:space="preserve">295-49-00266</t>
  </si>
  <si>
    <r>
      <rPr>
        <sz val="9"/>
        <rFont val="DejaVu Sans"/>
        <family val="2"/>
      </rPr>
      <t xml:space="preserve">국민</t>
    </r>
    <r>
      <rPr>
        <sz val="9"/>
        <rFont val="맑은 고딕"/>
        <family val="3"/>
        <charset val="129"/>
      </rPr>
      <t xml:space="preserve">405301-04-289016</t>
    </r>
  </si>
  <si>
    <t xml:space="preserve">010-7507-1231</t>
  </si>
  <si>
    <t xml:space="preserve">한국씨엔에스주식회사</t>
  </si>
  <si>
    <t xml:space="preserve">재해예방지도</t>
  </si>
  <si>
    <t xml:space="preserve">314-81-91016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</si>
  <si>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477-01-023051</t>
    </r>
  </si>
  <si>
    <r>
      <rPr>
        <sz val="9"/>
        <rFont val="DejaVu Sans"/>
        <family val="2"/>
      </rPr>
      <t xml:space="preserve">김상기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오토마을</t>
    </r>
    <r>
      <rPr>
        <sz val="9"/>
        <rFont val="맑은 고딕"/>
        <family val="3"/>
        <charset val="129"/>
      </rPr>
      <t xml:space="preserve">)</t>
    </r>
  </si>
  <si>
    <t xml:space="preserve">305-58-79586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</si>
  <si>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352-0237-2065-43</t>
    </r>
  </si>
  <si>
    <r>
      <rPr>
        <sz val="9"/>
        <rFont val="DejaVu Sans"/>
        <family val="2"/>
      </rPr>
      <t xml:space="preserve">김영예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통일중기</t>
    </r>
    <r>
      <rPr>
        <sz val="9"/>
        <rFont val="맑은 고딕"/>
        <family val="3"/>
        <charset val="129"/>
      </rPr>
      <t xml:space="preserve">)</t>
    </r>
  </si>
  <si>
    <t xml:space="preserve">302-03-84080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</si>
  <si>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407067-52-049076</t>
    </r>
  </si>
  <si>
    <r>
      <rPr>
        <sz val="9"/>
        <rFont val="DejaVu Sans"/>
        <family val="2"/>
      </rPr>
      <t xml:space="preserve">고선규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글로벌운수중기</t>
    </r>
    <r>
      <rPr>
        <sz val="9"/>
        <rFont val="맑은 고딕"/>
        <family val="3"/>
        <charset val="129"/>
      </rPr>
      <t xml:space="preserve">)</t>
    </r>
  </si>
  <si>
    <t xml:space="preserve">179-77-00370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</si>
  <si>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351-1177-7532-03</t>
    </r>
  </si>
  <si>
    <r>
      <rPr>
        <sz val="9"/>
        <rFont val="DejaVu Sans"/>
        <family val="2"/>
      </rPr>
      <t xml:space="preserve">이영민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미래종합건기</t>
    </r>
    <r>
      <rPr>
        <sz val="9"/>
        <rFont val="맑은 고딕"/>
        <family val="3"/>
        <charset val="129"/>
      </rPr>
      <t xml:space="preserve">)</t>
    </r>
  </si>
  <si>
    <t xml:space="preserve">302-02-62167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</si>
  <si>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173173-52-051356</t>
    </r>
  </si>
  <si>
    <t xml:space="preserve">김영주글로벌운수중기</t>
  </si>
  <si>
    <t xml:space="preserve">523-56-00441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</si>
  <si>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302-7199-6561-21</t>
    </r>
  </si>
  <si>
    <t xml:space="preserve">황인선통일중기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</si>
  <si>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352-1765-7813-63</t>
    </r>
  </si>
  <si>
    <t xml:space="preserve">이정식미래종합건기</t>
  </si>
  <si>
    <t xml:space="preserve">682-12-01712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</si>
  <si>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351-1179-4784-63</t>
    </r>
  </si>
  <si>
    <t xml:space="preserve">임구호미래종합건기</t>
  </si>
  <si>
    <t xml:space="preserve">438-52-00617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</si>
  <si>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351-1181-7542-73</t>
    </r>
  </si>
  <si>
    <t xml:space="preserve">이강태글로벌운수중기</t>
  </si>
  <si>
    <t xml:space="preserve">460-12-01617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</si>
  <si>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351-1167-2267-73</t>
    </r>
  </si>
  <si>
    <t xml:space="preserve">김민호글로벌운수중기</t>
  </si>
  <si>
    <t xml:space="preserve">584-18-01399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</si>
  <si>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352-1024-3893-63</t>
    </r>
  </si>
  <si>
    <t xml:space="preserve">신명수오토로지스</t>
  </si>
  <si>
    <r>
      <rPr>
        <sz val="9"/>
        <rFont val="맑은 고딕"/>
        <family val="3"/>
        <charset val="129"/>
      </rPr>
      <t xml:space="preserve">5ton</t>
    </r>
    <r>
      <rPr>
        <sz val="9"/>
        <rFont val="DejaVu Sans"/>
        <family val="2"/>
      </rPr>
      <t xml:space="preserve">살수차</t>
    </r>
  </si>
  <si>
    <t xml:space="preserve">862-44-00149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</si>
  <si>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352-0609-3695-43</t>
    </r>
  </si>
  <si>
    <t xml:space="preserve">영재물산㈜</t>
  </si>
  <si>
    <t xml:space="preserve">산업안전용품</t>
  </si>
  <si>
    <t xml:space="preserve">301-81-77226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</si>
  <si>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310-01-042108</t>
    </r>
  </si>
  <si>
    <t xml:space="preserve">043-286-2775</t>
  </si>
  <si>
    <r>
      <rPr>
        <sz val="9"/>
        <rFont val="DejaVu Sans"/>
        <family val="2"/>
      </rPr>
      <t xml:space="preserve">박진하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우성중기</t>
    </r>
    <r>
      <rPr>
        <sz val="9"/>
        <rFont val="맑은 고딕"/>
        <family val="3"/>
        <charset val="129"/>
      </rPr>
      <t xml:space="preserve">)</t>
    </r>
  </si>
  <si>
    <t xml:space="preserve">305-21-88075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</si>
  <si>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352-0049-0596-63</t>
    </r>
  </si>
  <si>
    <r>
      <rPr>
        <sz val="9"/>
        <rFont val="DejaVu Sans"/>
        <family val="2"/>
      </rPr>
      <t xml:space="preserve">조남주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미래종합건기</t>
    </r>
    <r>
      <rPr>
        <sz val="9"/>
        <rFont val="맑은 고딕"/>
        <family val="3"/>
        <charset val="129"/>
      </rPr>
      <t xml:space="preserve">)</t>
    </r>
  </si>
  <si>
    <t xml:space="preserve">111-22-76059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</si>
  <si>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407045-52-021715</t>
    </r>
  </si>
  <si>
    <r>
      <rPr>
        <sz val="9"/>
        <rFont val="DejaVu Sans"/>
        <family val="2"/>
      </rPr>
      <t xml:space="preserve">김종원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나래중기</t>
    </r>
    <r>
      <rPr>
        <sz val="9"/>
        <rFont val="맑은 고딕"/>
        <family val="3"/>
        <charset val="129"/>
      </rPr>
      <t xml:space="preserve">)</t>
    </r>
  </si>
  <si>
    <t xml:space="preserve">302-02-41838</t>
  </si>
  <si>
    <r>
      <rPr>
        <sz val="9"/>
        <rFont val="DejaVu Sans"/>
        <family val="2"/>
      </rPr>
      <t xml:space="preserve">산림조합</t>
    </r>
    <r>
      <rPr>
        <sz val="9"/>
        <rFont val="맑은 고딕"/>
        <family val="3"/>
        <charset val="129"/>
      </rPr>
      <t xml:space="preserve">303-11-0012088</t>
    </r>
  </si>
  <si>
    <t xml:space="preserve">010-5430-9946</t>
  </si>
  <si>
    <r>
      <rPr>
        <sz val="9"/>
        <rFont val="DejaVu Sans"/>
        <family val="2"/>
      </rPr>
      <t xml:space="preserve">송정섭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글로벌살수</t>
    </r>
    <r>
      <rPr>
        <sz val="9"/>
        <rFont val="맑은 고딕"/>
        <family val="3"/>
        <charset val="129"/>
      </rPr>
      <t xml:space="preserve">)</t>
    </r>
  </si>
  <si>
    <r>
      <rPr>
        <sz val="9"/>
        <rFont val="DejaVu Sans"/>
        <family val="2"/>
      </rPr>
      <t xml:space="preserve">살수차</t>
    </r>
    <r>
      <rPr>
        <sz val="9"/>
        <rFont val="맑은 고딕"/>
        <family val="3"/>
        <charset val="129"/>
      </rPr>
      <t xml:space="preserve">8616</t>
    </r>
  </si>
  <si>
    <t xml:space="preserve">124-33-29465</t>
  </si>
  <si>
    <r>
      <rPr>
        <sz val="9"/>
        <rFont val="DejaVu Sans"/>
        <family val="2"/>
      </rPr>
      <t xml:space="preserve">국민</t>
    </r>
    <r>
      <rPr>
        <sz val="9"/>
        <rFont val="맑은 고딕"/>
        <family val="3"/>
        <charset val="129"/>
      </rPr>
      <t xml:space="preserve">272-21-0130-578</t>
    </r>
  </si>
  <si>
    <r>
      <rPr>
        <sz val="9"/>
        <rFont val="DejaVu Sans"/>
        <family val="2"/>
      </rPr>
      <t xml:space="preserve">김흥배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미래종합건기</t>
    </r>
    <r>
      <rPr>
        <sz val="9"/>
        <rFont val="맑은 고딕"/>
        <family val="3"/>
        <charset val="129"/>
      </rPr>
      <t xml:space="preserve">)</t>
    </r>
  </si>
  <si>
    <t xml:space="preserve">725-18-01360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</si>
  <si>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352-1629-6535-83</t>
    </r>
  </si>
  <si>
    <r>
      <rPr>
        <sz val="9"/>
        <rFont val="DejaVu Sans"/>
        <family val="2"/>
      </rPr>
      <t xml:space="preserve">임태영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나래중기</t>
    </r>
    <r>
      <rPr>
        <sz val="9"/>
        <rFont val="맑은 고딕"/>
        <family val="3"/>
        <charset val="129"/>
      </rPr>
      <t xml:space="preserve">)</t>
    </r>
  </si>
  <si>
    <t xml:space="preserve">258-16-01273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</si>
  <si>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352-1847-2111-63</t>
    </r>
  </si>
  <si>
    <t xml:space="preserve">043-744-5023</t>
  </si>
  <si>
    <t xml:space="preserve">철우공사</t>
  </si>
  <si>
    <r>
      <rPr>
        <sz val="9"/>
        <rFont val="DejaVu Sans"/>
        <family val="2"/>
      </rPr>
      <t xml:space="preserve">건설업</t>
    </r>
    <r>
      <rPr>
        <sz val="9"/>
        <rFont val="맑은 고딕"/>
        <family val="3"/>
        <charset val="129"/>
      </rPr>
      <t xml:space="preserve">,</t>
    </r>
    <r>
      <rPr>
        <sz val="9"/>
        <rFont val="DejaVu Sans"/>
        <family val="2"/>
      </rPr>
      <t xml:space="preserve">공구임대</t>
    </r>
  </si>
  <si>
    <t xml:space="preserve">302-03-83801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</si>
  <si>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319-12-303404</t>
    </r>
  </si>
  <si>
    <t xml:space="preserve">건설안전기술주식회사</t>
  </si>
  <si>
    <t xml:space="preserve">재해예방기술지도</t>
  </si>
  <si>
    <t xml:space="preserve">899-86-02265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</si>
  <si>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351-1196-3434-13</t>
    </r>
  </si>
  <si>
    <t xml:space="preserve">㈜풍남가설산업</t>
  </si>
  <si>
    <r>
      <rPr>
        <sz val="9"/>
        <rFont val="DejaVu Sans"/>
        <family val="2"/>
      </rPr>
      <t xml:space="preserve">건축자재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씨스템비계</t>
    </r>
    <r>
      <rPr>
        <sz val="9"/>
        <rFont val="맑은 고딕"/>
        <family val="3"/>
        <charset val="129"/>
      </rPr>
      <t xml:space="preserve">)</t>
    </r>
  </si>
  <si>
    <t xml:space="preserve">402-81-27562</t>
  </si>
  <si>
    <r>
      <rPr>
        <sz val="9"/>
        <rFont val="DejaVu Sans"/>
        <family val="2"/>
      </rPr>
      <t xml:space="preserve">기업</t>
    </r>
    <r>
      <rPr>
        <sz val="9"/>
        <rFont val="맑은 고딕"/>
        <family val="3"/>
        <charset val="129"/>
      </rPr>
      <t xml:space="preserve">181-046765-01-011</t>
    </r>
  </si>
  <si>
    <r>
      <rPr>
        <sz val="9"/>
        <rFont val="DejaVu Sans"/>
        <family val="2"/>
      </rPr>
      <t xml:space="preserve">윤용순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청솔건기</t>
    </r>
    <r>
      <rPr>
        <sz val="9"/>
        <rFont val="맑은 고딕"/>
        <family val="3"/>
        <charset val="129"/>
      </rPr>
      <t xml:space="preserve">)</t>
    </r>
  </si>
  <si>
    <t xml:space="preserve">305-05-47884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</si>
  <si>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425-02-499452</t>
    </r>
  </si>
  <si>
    <t xml:space="preserve">010-3671-3527</t>
  </si>
  <si>
    <r>
      <rPr>
        <sz val="9"/>
        <rFont val="DejaVu Sans"/>
        <family val="2"/>
      </rPr>
      <t xml:space="preserve">이윤성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대전종합중기</t>
    </r>
    <r>
      <rPr>
        <sz val="9"/>
        <rFont val="맑은 고딕"/>
        <family val="3"/>
        <charset val="129"/>
      </rPr>
      <t xml:space="preserve">)</t>
    </r>
  </si>
  <si>
    <t xml:space="preserve">305-33-44503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</si>
  <si>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407050-52-010923</t>
    </r>
  </si>
  <si>
    <r>
      <rPr>
        <sz val="9"/>
        <rFont val="DejaVu Sans"/>
        <family val="2"/>
      </rPr>
      <t xml:space="preserve">장준득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통일중기</t>
    </r>
    <r>
      <rPr>
        <sz val="9"/>
        <rFont val="맑은 고딕"/>
        <family val="3"/>
        <charset val="129"/>
      </rPr>
      <t xml:space="preserve">)</t>
    </r>
  </si>
  <si>
    <t xml:space="preserve">205-18-17509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</si>
  <si>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356-1476-3696-93</t>
    </r>
  </si>
  <si>
    <r>
      <rPr>
        <sz val="9"/>
        <rFont val="DejaVu Sans"/>
        <family val="2"/>
      </rPr>
      <t xml:space="preserve">배흥규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대한중기</t>
    </r>
    <r>
      <rPr>
        <sz val="9"/>
        <rFont val="맑은 고딕"/>
        <family val="3"/>
        <charset val="129"/>
      </rPr>
      <t xml:space="preserve">)</t>
    </r>
  </si>
  <si>
    <t xml:space="preserve">506-14-66337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</si>
  <si>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1084-12-075752</t>
    </r>
  </si>
  <si>
    <r>
      <rPr>
        <sz val="9"/>
        <rFont val="DejaVu Sans"/>
        <family val="2"/>
      </rPr>
      <t xml:space="preserve">하재욱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미래종합건기</t>
    </r>
    <r>
      <rPr>
        <sz val="9"/>
        <rFont val="맑은 고딕"/>
        <family val="3"/>
        <charset val="129"/>
      </rPr>
      <t xml:space="preserve">)</t>
    </r>
  </si>
  <si>
    <t xml:space="preserve">305-13-34007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</si>
  <si>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356-0783-9005-63</t>
    </r>
  </si>
  <si>
    <t xml:space="preserve">조광희</t>
  </si>
  <si>
    <t xml:space="preserve">D/T2.5TON</t>
  </si>
  <si>
    <t xml:space="preserve">107-21-52876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</si>
  <si>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407012-56-114335</t>
    </r>
  </si>
  <si>
    <r>
      <rPr>
        <sz val="9"/>
        <rFont val="DejaVu Sans"/>
        <family val="2"/>
      </rPr>
      <t xml:space="preserve">전영수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로지스퀘어</t>
    </r>
    <r>
      <rPr>
        <sz val="9"/>
        <rFont val="맑은 고딕"/>
        <family val="3"/>
        <charset val="129"/>
      </rPr>
      <t xml:space="preserve">)</t>
    </r>
  </si>
  <si>
    <t xml:space="preserve">추레라</t>
  </si>
  <si>
    <t xml:space="preserve">476-03-01071</t>
  </si>
  <si>
    <r>
      <rPr>
        <sz val="9"/>
        <rFont val="DejaVu Sans"/>
        <family val="2"/>
      </rPr>
      <t xml:space="preserve">새마을</t>
    </r>
    <r>
      <rPr>
        <sz val="9"/>
        <rFont val="맑은 고딕"/>
        <family val="3"/>
        <charset val="129"/>
      </rPr>
      <t xml:space="preserve">9002-1959-34970</t>
    </r>
  </si>
  <si>
    <t xml:space="preserve">010-2040-3542</t>
  </si>
  <si>
    <r>
      <rPr>
        <sz val="9"/>
        <rFont val="DejaVu Sans"/>
        <family val="2"/>
      </rPr>
      <t xml:space="preserve">윤광건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반디종합중기</t>
    </r>
    <r>
      <rPr>
        <sz val="9"/>
        <rFont val="맑은 고딕"/>
        <family val="3"/>
        <charset val="129"/>
      </rPr>
      <t xml:space="preserve">)</t>
    </r>
  </si>
  <si>
    <t xml:space="preserve">314-01-36739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</si>
  <si>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505033-51-012171</t>
    </r>
  </si>
  <si>
    <t xml:space="preserve">이에스기술연구소</t>
  </si>
  <si>
    <r>
      <rPr>
        <sz val="9"/>
        <rFont val="DejaVu Sans"/>
        <family val="2"/>
      </rPr>
      <t xml:space="preserve">원가계산</t>
    </r>
    <r>
      <rPr>
        <sz val="9"/>
        <rFont val="맑은 고딕"/>
        <family val="3"/>
        <charset val="129"/>
      </rPr>
      <t xml:space="preserve">(E/S)</t>
    </r>
  </si>
  <si>
    <t xml:space="preserve">482-17-01311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</si>
  <si>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302-1378-3202-71</t>
    </r>
  </si>
  <si>
    <r>
      <rPr>
        <sz val="9"/>
        <rFont val="DejaVu Sans"/>
        <family val="2"/>
      </rPr>
      <t xml:space="preserve">이상봉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통일중기</t>
    </r>
    <r>
      <rPr>
        <sz val="9"/>
        <rFont val="맑은 고딕"/>
        <family val="3"/>
        <charset val="129"/>
      </rPr>
      <t xml:space="preserve">)</t>
    </r>
  </si>
  <si>
    <t xml:space="preserve">859-39-00794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</si>
  <si>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351-1206-4279-13</t>
    </r>
  </si>
  <si>
    <r>
      <rPr>
        <sz val="9"/>
        <rFont val="DejaVu Sans"/>
        <family val="2"/>
      </rPr>
      <t xml:space="preserve">이흥주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미래종합건기</t>
    </r>
    <r>
      <rPr>
        <sz val="9"/>
        <rFont val="맑은 고딕"/>
        <family val="3"/>
        <charset val="129"/>
      </rPr>
      <t xml:space="preserve">)</t>
    </r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</si>
  <si>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407013-52-074633</t>
    </r>
  </si>
  <si>
    <r>
      <rPr>
        <sz val="9"/>
        <rFont val="DejaVu Sans"/>
        <family val="2"/>
      </rPr>
      <t xml:space="preserve">임구호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미래종합건기</t>
    </r>
    <r>
      <rPr>
        <sz val="9"/>
        <rFont val="맑은 고딕"/>
        <family val="3"/>
        <charset val="129"/>
      </rPr>
      <t xml:space="preserve">)</t>
    </r>
  </si>
  <si>
    <r>
      <rPr>
        <sz val="9"/>
        <rFont val="DejaVu Sans"/>
        <family val="2"/>
      </rPr>
      <t xml:space="preserve">이종현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통일중기</t>
    </r>
    <r>
      <rPr>
        <sz val="9"/>
        <rFont val="맑은 고딕"/>
        <family val="3"/>
        <charset val="129"/>
      </rPr>
      <t xml:space="preserve">)</t>
    </r>
  </si>
  <si>
    <t xml:space="preserve">B/H0.6W</t>
  </si>
  <si>
    <t xml:space="preserve">302-01-67530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</si>
  <si>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407056-52-058409</t>
    </r>
  </si>
  <si>
    <r>
      <rPr>
        <sz val="9"/>
        <rFont val="DejaVu Sans"/>
        <family val="2"/>
      </rPr>
      <t xml:space="preserve">곽병호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글로벌운수중기</t>
    </r>
    <r>
      <rPr>
        <sz val="9"/>
        <rFont val="맑은 고딕"/>
        <family val="3"/>
        <charset val="129"/>
      </rPr>
      <t xml:space="preserve">)</t>
    </r>
  </si>
  <si>
    <t xml:space="preserve">569-30-00656</t>
  </si>
  <si>
    <r>
      <rPr>
        <sz val="9"/>
        <rFont val="DejaVu Sans"/>
        <family val="2"/>
      </rPr>
      <t xml:space="preserve">새마을</t>
    </r>
    <r>
      <rPr>
        <sz val="9"/>
        <rFont val="맑은 고딕"/>
        <family val="3"/>
        <charset val="129"/>
      </rPr>
      <t xml:space="preserve">9002-1888-0511-4</t>
    </r>
  </si>
  <si>
    <r>
      <rPr>
        <sz val="9"/>
        <rFont val="DejaVu Sans"/>
        <family val="2"/>
      </rPr>
      <t xml:space="preserve">길웅찬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글로벌운수중기</t>
    </r>
    <r>
      <rPr>
        <sz val="9"/>
        <rFont val="맑은 고딕"/>
        <family val="3"/>
        <charset val="129"/>
      </rPr>
      <t xml:space="preserve">)</t>
    </r>
  </si>
  <si>
    <t xml:space="preserve">365-08-02099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</si>
  <si>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319-12-288875</t>
    </r>
  </si>
  <si>
    <r>
      <rPr>
        <sz val="9"/>
        <rFont val="DejaVu Sans"/>
        <family val="2"/>
      </rPr>
      <t xml:space="preserve">한영희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글로벌운수중기</t>
    </r>
    <r>
      <rPr>
        <sz val="9"/>
        <rFont val="맑은 고딕"/>
        <family val="3"/>
        <charset val="129"/>
      </rPr>
      <t xml:space="preserve">)</t>
    </r>
  </si>
  <si>
    <t xml:space="preserve">626-14-00231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</si>
  <si>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352-0911-5337-53</t>
    </r>
  </si>
  <si>
    <t xml:space="preserve">황간지게차</t>
  </si>
  <si>
    <t xml:space="preserve">7TON</t>
  </si>
  <si>
    <t xml:space="preserve">305-54-91772</t>
  </si>
  <si>
    <r>
      <rPr>
        <sz val="9"/>
        <rFont val="DejaVu Sans"/>
        <family val="2"/>
      </rPr>
      <t xml:space="preserve">우체국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정기전</t>
    </r>
    <r>
      <rPr>
        <sz val="9"/>
        <rFont val="맑은 고딕"/>
        <family val="3"/>
        <charset val="129"/>
      </rPr>
      <t xml:space="preserve">)300152-02-064612</t>
    </r>
  </si>
  <si>
    <r>
      <rPr>
        <sz val="9"/>
        <rFont val="DejaVu Sans"/>
        <family val="2"/>
      </rPr>
      <t xml:space="preserve">김정훈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용산중기</t>
    </r>
    <r>
      <rPr>
        <sz val="9"/>
        <rFont val="맑은 고딕"/>
        <family val="3"/>
        <charset val="129"/>
      </rPr>
      <t xml:space="preserve">)</t>
    </r>
  </si>
  <si>
    <t xml:space="preserve">306-26-79045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</si>
  <si>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407014-56-031139</t>
    </r>
  </si>
  <si>
    <r>
      <rPr>
        <sz val="9"/>
        <rFont val="DejaVu Sans"/>
        <family val="2"/>
      </rPr>
      <t xml:space="preserve">정일용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정일중기</t>
    </r>
    <r>
      <rPr>
        <sz val="9"/>
        <rFont val="맑은 고딕"/>
        <family val="3"/>
        <charset val="129"/>
      </rPr>
      <t xml:space="preserve">)</t>
    </r>
  </si>
  <si>
    <t xml:space="preserve">302-02-84711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</si>
  <si>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407012-51-041531</t>
    </r>
  </si>
  <si>
    <r>
      <rPr>
        <sz val="9"/>
        <rFont val="DejaVu Sans"/>
        <family val="2"/>
      </rPr>
      <t xml:space="preserve">고고카고크레인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곽일근</t>
    </r>
    <r>
      <rPr>
        <sz val="9"/>
        <rFont val="맑은 고딕"/>
        <family val="3"/>
        <charset val="129"/>
      </rPr>
      <t xml:space="preserve">)</t>
    </r>
  </si>
  <si>
    <r>
      <rPr>
        <sz val="9"/>
        <rFont val="맑은 고딕"/>
        <family val="3"/>
        <charset val="129"/>
      </rPr>
      <t xml:space="preserve">5</t>
    </r>
    <r>
      <rPr>
        <sz val="9"/>
        <rFont val="DejaVu Sans"/>
        <family val="2"/>
      </rPr>
      <t xml:space="preserve">톤카크레인</t>
    </r>
  </si>
  <si>
    <t xml:space="preserve">136-81-27762</t>
  </si>
  <si>
    <r>
      <rPr>
        <sz val="9"/>
        <rFont val="DejaVu Sans"/>
        <family val="2"/>
      </rPr>
      <t xml:space="preserve">국민은행</t>
    </r>
    <r>
      <rPr>
        <sz val="9"/>
        <rFont val="맑은 고딕"/>
        <family val="3"/>
        <charset val="129"/>
      </rPr>
      <t xml:space="preserve">405301-04-313520</t>
    </r>
  </si>
  <si>
    <t xml:space="preserve">010-2456-8115</t>
  </si>
  <si>
    <t xml:space="preserve">동원건재골재</t>
  </si>
  <si>
    <t xml:space="preserve">자재철물</t>
  </si>
  <si>
    <t xml:space="preserve">302-04-78547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</si>
  <si>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301-0252-7079-91</t>
    </r>
  </si>
  <si>
    <t xml:space="preserve">㈜홍명피앤씨</t>
  </si>
  <si>
    <r>
      <rPr>
        <sz val="9"/>
        <rFont val="DejaVu Sans"/>
        <family val="2"/>
      </rPr>
      <t xml:space="preserve">파이프</t>
    </r>
    <r>
      <rPr>
        <sz val="9"/>
        <rFont val="맑은 고딕"/>
        <family val="3"/>
        <charset val="129"/>
      </rPr>
      <t xml:space="preserve">,</t>
    </r>
    <r>
      <rPr>
        <sz val="9"/>
        <rFont val="DejaVu Sans"/>
        <family val="2"/>
      </rPr>
      <t xml:space="preserve">건자재</t>
    </r>
  </si>
  <si>
    <t xml:space="preserve">314-86-61399</t>
  </si>
  <si>
    <r>
      <rPr>
        <sz val="9"/>
        <rFont val="DejaVu Sans"/>
        <family val="2"/>
      </rPr>
      <t xml:space="preserve">하나</t>
    </r>
    <r>
      <rPr>
        <sz val="9"/>
        <rFont val="맑은 고딕"/>
        <family val="3"/>
        <charset val="129"/>
      </rPr>
      <t xml:space="preserve">637-910006-19004</t>
    </r>
  </si>
  <si>
    <t xml:space="preserve">010-4247-4687</t>
  </si>
  <si>
    <r>
      <rPr>
        <sz val="9"/>
        <rFont val="DejaVu Sans"/>
        <family val="2"/>
      </rPr>
      <t xml:space="preserve">박종구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용산중기</t>
    </r>
    <r>
      <rPr>
        <sz val="9"/>
        <rFont val="맑은 고딕"/>
        <family val="3"/>
        <charset val="129"/>
      </rPr>
      <t xml:space="preserve">)</t>
    </r>
  </si>
  <si>
    <t xml:space="preserve">832-14-00082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</si>
  <si>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302-1032-7283-71</t>
    </r>
  </si>
  <si>
    <r>
      <rPr>
        <sz val="9"/>
        <rFont val="DejaVu Sans"/>
        <family val="2"/>
      </rPr>
      <t xml:space="preserve">삼공단카크레인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유해철</t>
    </r>
    <r>
      <rPr>
        <sz val="9"/>
        <rFont val="맑은 고딕"/>
        <family val="3"/>
        <charset val="129"/>
      </rPr>
      <t xml:space="preserve">)</t>
    </r>
  </si>
  <si>
    <t xml:space="preserve">305-13-94290</t>
  </si>
  <si>
    <r>
      <rPr>
        <sz val="9"/>
        <rFont val="DejaVu Sans"/>
        <family val="2"/>
      </rPr>
      <t xml:space="preserve">국민</t>
    </r>
    <r>
      <rPr>
        <sz val="9"/>
        <rFont val="맑은 고딕"/>
        <family val="3"/>
        <charset val="129"/>
      </rPr>
      <t xml:space="preserve">732825-94-101240</t>
    </r>
  </si>
  <si>
    <t xml:space="preserve">010-3497-6200</t>
  </si>
  <si>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주</t>
    </r>
    <r>
      <rPr>
        <sz val="9"/>
        <rFont val="맑은 고딕"/>
        <family val="3"/>
        <charset val="129"/>
      </rPr>
      <t xml:space="preserve">)</t>
    </r>
    <r>
      <rPr>
        <sz val="9"/>
        <rFont val="DejaVu Sans"/>
        <family val="2"/>
      </rPr>
      <t xml:space="preserve">스마일안전</t>
    </r>
  </si>
  <si>
    <t xml:space="preserve">301-81-38636</t>
  </si>
  <si>
    <r>
      <rPr>
        <sz val="9"/>
        <rFont val="DejaVu Sans"/>
        <family val="2"/>
      </rPr>
      <t xml:space="preserve">신한은행</t>
    </r>
    <r>
      <rPr>
        <sz val="9"/>
        <rFont val="맑은 고딕"/>
        <family val="3"/>
        <charset val="129"/>
      </rPr>
      <t xml:space="preserve">140-006-372212</t>
    </r>
  </si>
  <si>
    <t xml:space="preserve">043-216-4704</t>
  </si>
  <si>
    <r>
      <rPr>
        <sz val="8"/>
        <rFont val="DejaVu Sans"/>
        <family val="2"/>
      </rPr>
      <t xml:space="preserve">청주건설기계</t>
    </r>
    <r>
      <rPr>
        <sz val="8"/>
        <rFont val="맑은 고딕"/>
        <family val="3"/>
        <charset val="129"/>
      </rPr>
      <t xml:space="preserve">(</t>
    </r>
    <r>
      <rPr>
        <sz val="8"/>
        <rFont val="DejaVu Sans"/>
        <family val="2"/>
      </rPr>
      <t xml:space="preserve">오근장지게차</t>
    </r>
    <r>
      <rPr>
        <sz val="8"/>
        <rFont val="맑은 고딕"/>
        <family val="3"/>
        <charset val="129"/>
      </rPr>
      <t xml:space="preserve">,</t>
    </r>
    <r>
      <rPr>
        <sz val="8"/>
        <rFont val="DejaVu Sans"/>
        <family val="2"/>
      </rPr>
      <t xml:space="preserve">공항지게차</t>
    </r>
    <r>
      <rPr>
        <sz val="8"/>
        <rFont val="맑은 고딕"/>
        <family val="3"/>
        <charset val="129"/>
      </rPr>
      <t xml:space="preserve">)</t>
    </r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</si>
  <si>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010-8574-3343-09</t>
    </r>
  </si>
  <si>
    <t xml:space="preserve">성우건설기계</t>
  </si>
  <si>
    <t xml:space="preserve">미니굴삭기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</si>
  <si>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351-1278-0278-13</t>
    </r>
  </si>
  <si>
    <t xml:space="preserve">010-8852-4695</t>
  </si>
  <si>
    <t xml:space="preserve"> pes4695@naver.com </t>
  </si>
  <si>
    <r>
      <rPr>
        <sz val="9"/>
        <rFont val="DejaVu Sans"/>
        <family val="2"/>
      </rPr>
      <t xml:space="preserve">스파클샘물충북영업소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정수동</t>
    </r>
    <r>
      <rPr>
        <sz val="9"/>
        <rFont val="맑은 고딕"/>
        <family val="3"/>
        <charset val="129"/>
      </rPr>
      <t xml:space="preserve">)</t>
    </r>
  </si>
  <si>
    <t xml:space="preserve">생수</t>
  </si>
  <si>
    <t xml:space="preserve">301-31-54515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</si>
  <si>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301-0129-9149-01</t>
    </r>
  </si>
  <si>
    <t xml:space="preserve">010-8926-8629</t>
  </si>
  <si>
    <t xml:space="preserve">삼일씨앤씨㈜</t>
  </si>
  <si>
    <t xml:space="preserve">휀스자재</t>
  </si>
  <si>
    <t xml:space="preserve">212-87-00526</t>
  </si>
  <si>
    <r>
      <rPr>
        <sz val="9"/>
        <rFont val="DejaVu Sans"/>
        <family val="2"/>
      </rPr>
      <t xml:space="preserve">기업</t>
    </r>
    <r>
      <rPr>
        <sz val="9"/>
        <rFont val="맑은 고딕"/>
        <family val="3"/>
        <charset val="129"/>
      </rPr>
      <t xml:space="preserve">223-112309-04-010</t>
    </r>
  </si>
  <si>
    <t xml:space="preserve">010-2448-9773</t>
  </si>
  <si>
    <r>
      <rPr>
        <sz val="9"/>
        <rFont val="DejaVu Sans"/>
        <family val="2"/>
      </rPr>
      <t xml:space="preserve">용산중기</t>
    </r>
    <r>
      <rPr>
        <sz val="9"/>
        <rFont val="맑은 고딕"/>
        <family val="3"/>
        <charset val="129"/>
      </rPr>
      <t xml:space="preserve">(</t>
    </r>
    <r>
      <rPr>
        <sz val="9"/>
        <rFont val="DejaVu Sans"/>
        <family val="2"/>
      </rPr>
      <t xml:space="preserve">정경숙</t>
    </r>
    <r>
      <rPr>
        <sz val="9"/>
        <rFont val="맑은 고딕"/>
        <family val="3"/>
        <charset val="129"/>
      </rPr>
      <t xml:space="preserve">)</t>
    </r>
  </si>
  <si>
    <t xml:space="preserve">465-23-01675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</si>
  <si>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407013-52-122011</t>
    </r>
  </si>
  <si>
    <t xml:space="preserve">진성레미컨주식회사</t>
  </si>
  <si>
    <t xml:space="preserve">레미콘</t>
  </si>
  <si>
    <t xml:space="preserve">303-81-56493</t>
  </si>
  <si>
    <r>
      <rPr>
        <sz val="9"/>
        <rFont val="DejaVu Sans"/>
        <family val="2"/>
      </rPr>
      <t xml:space="preserve">농협</t>
    </r>
    <r>
      <rPr>
        <sz val="9"/>
        <rFont val="맑은 고딕"/>
        <family val="3"/>
        <charset val="129"/>
      </rPr>
      <t xml:space="preserve">301-0106-6711-51</t>
    </r>
  </si>
  <si>
    <r>
      <rPr>
        <sz val="11"/>
        <rFont val="DejaVu Sans"/>
        <family val="2"/>
      </rPr>
      <t xml:space="preserve">공사명 </t>
    </r>
    <r>
      <rPr>
        <sz val="11"/>
        <rFont val="맑은 고딕"/>
        <family val="3"/>
        <charset val="129"/>
      </rPr>
      <t xml:space="preserve">: </t>
    </r>
    <r>
      <rPr>
        <sz val="11"/>
        <rFont val="DejaVu Sans"/>
        <family val="2"/>
      </rPr>
      <t xml:space="preserve">소계소하천정비사업</t>
    </r>
  </si>
  <si>
    <t xml:space="preserve">장비명</t>
  </si>
  <si>
    <t xml:space="preserve">비 고</t>
  </si>
  <si>
    <t xml:space="preserve">주민번호</t>
  </si>
  <si>
    <r>
      <rPr>
        <sz val="11"/>
        <rFont val="DejaVu Sans"/>
        <family val="2"/>
      </rPr>
      <t xml:space="preserve">글로벌운수</t>
    </r>
    <r>
      <rPr>
        <sz val="11"/>
        <rFont val="맑은 고딕"/>
        <family val="3"/>
        <charset val="129"/>
      </rPr>
      <t xml:space="preserve">(</t>
    </r>
    <r>
      <rPr>
        <sz val="11"/>
        <rFont val="DejaVu Sans"/>
        <family val="2"/>
      </rPr>
      <t xml:space="preserve">권갑철</t>
    </r>
    <r>
      <rPr>
        <sz val="11"/>
        <rFont val="맑은 고딕"/>
        <family val="3"/>
        <charset val="129"/>
      </rPr>
      <t xml:space="preserve">)</t>
    </r>
  </si>
  <si>
    <t xml:space="preserve">710923-1386920 </t>
  </si>
  <si>
    <r>
      <rPr>
        <sz val="11"/>
        <rFont val="DejaVu Sans"/>
        <family val="2"/>
      </rPr>
      <t xml:space="preserve">김종원</t>
    </r>
    <r>
      <rPr>
        <sz val="11"/>
        <rFont val="맑은 고딕"/>
        <family val="3"/>
        <charset val="129"/>
      </rPr>
      <t xml:space="preserve">(</t>
    </r>
    <r>
      <rPr>
        <sz val="11"/>
        <rFont val="DejaVu Sans"/>
        <family val="2"/>
      </rPr>
      <t xml:space="preserve">나래중기</t>
    </r>
    <r>
      <rPr>
        <sz val="11"/>
        <rFont val="맑은 고딕"/>
        <family val="3"/>
        <charset val="129"/>
      </rPr>
      <t xml:space="preserve">)</t>
    </r>
  </si>
  <si>
    <t xml:space="preserve">710605-1386318</t>
  </si>
  <si>
    <r>
      <rPr>
        <sz val="11"/>
        <rFont val="DejaVu Sans"/>
        <family val="2"/>
      </rPr>
      <t xml:space="preserve">윤용순</t>
    </r>
    <r>
      <rPr>
        <sz val="11"/>
        <rFont val="맑은 고딕"/>
        <family val="3"/>
        <charset val="129"/>
      </rPr>
      <t xml:space="preserve">(</t>
    </r>
    <r>
      <rPr>
        <sz val="11"/>
        <rFont val="DejaVu Sans"/>
        <family val="2"/>
      </rPr>
      <t xml:space="preserve">청솔건기</t>
    </r>
    <r>
      <rPr>
        <sz val="11"/>
        <rFont val="맑은 고딕"/>
        <family val="3"/>
        <charset val="129"/>
      </rPr>
      <t xml:space="preserve">)</t>
    </r>
  </si>
  <si>
    <t xml:space="preserve">640730-2458712</t>
  </si>
  <si>
    <r>
      <rPr>
        <sz val="11"/>
        <rFont val="DejaVu Sans"/>
        <family val="2"/>
      </rPr>
      <t xml:space="preserve">성원창</t>
    </r>
    <r>
      <rPr>
        <sz val="11"/>
        <rFont val="맑은 고딕"/>
        <family val="3"/>
        <charset val="129"/>
      </rPr>
      <t xml:space="preserve">(</t>
    </r>
    <r>
      <rPr>
        <sz val="11"/>
        <rFont val="DejaVu Sans"/>
        <family val="2"/>
      </rPr>
      <t xml:space="preserve">미래종합건기</t>
    </r>
    <r>
      <rPr>
        <sz val="11"/>
        <rFont val="맑은 고딕"/>
        <family val="3"/>
        <charset val="129"/>
      </rPr>
      <t xml:space="preserve">)</t>
    </r>
  </si>
  <si>
    <t xml:space="preserve">611120-1386122</t>
  </si>
  <si>
    <r>
      <rPr>
        <sz val="11"/>
        <rFont val="DejaVu Sans"/>
        <family val="2"/>
      </rPr>
      <t xml:space="preserve">김흥배</t>
    </r>
    <r>
      <rPr>
        <sz val="11"/>
        <rFont val="맑은 고딕"/>
        <family val="3"/>
        <charset val="129"/>
      </rPr>
      <t xml:space="preserve">(</t>
    </r>
    <r>
      <rPr>
        <sz val="11"/>
        <rFont val="DejaVu Sans"/>
        <family val="2"/>
      </rPr>
      <t xml:space="preserve">미래종합건기</t>
    </r>
    <r>
      <rPr>
        <sz val="11"/>
        <rFont val="맑은 고딕"/>
        <family val="3"/>
        <charset val="129"/>
      </rPr>
      <t xml:space="preserve">)</t>
    </r>
  </si>
  <si>
    <t xml:space="preserve">770710-1386126</t>
  </si>
  <si>
    <r>
      <rPr>
        <sz val="11"/>
        <rFont val="DejaVu Sans"/>
        <family val="2"/>
      </rPr>
      <t xml:space="preserve">이윤성</t>
    </r>
    <r>
      <rPr>
        <sz val="11"/>
        <rFont val="맑은 고딕"/>
        <family val="3"/>
        <charset val="129"/>
      </rPr>
      <t xml:space="preserve">(</t>
    </r>
    <r>
      <rPr>
        <sz val="11"/>
        <rFont val="DejaVu Sans"/>
        <family val="2"/>
      </rPr>
      <t xml:space="preserve">대전종합중기</t>
    </r>
    <r>
      <rPr>
        <sz val="11"/>
        <rFont val="맑은 고딕"/>
        <family val="3"/>
        <charset val="129"/>
      </rPr>
      <t xml:space="preserve">)</t>
    </r>
  </si>
  <si>
    <t xml:space="preserve">640610-1386810</t>
  </si>
  <si>
    <r>
      <rPr>
        <sz val="11"/>
        <rFont val="DejaVu Sans"/>
        <family val="2"/>
      </rPr>
      <t xml:space="preserve">장준득</t>
    </r>
    <r>
      <rPr>
        <sz val="11"/>
        <rFont val="맑은 고딕"/>
        <family val="3"/>
        <charset val="129"/>
      </rPr>
      <t xml:space="preserve">(</t>
    </r>
    <r>
      <rPr>
        <sz val="11"/>
        <rFont val="DejaVu Sans"/>
        <family val="2"/>
      </rPr>
      <t xml:space="preserve">통일중기</t>
    </r>
    <r>
      <rPr>
        <sz val="11"/>
        <rFont val="맑은 고딕"/>
        <family val="3"/>
        <charset val="129"/>
      </rPr>
      <t xml:space="preserve">)</t>
    </r>
  </si>
  <si>
    <t xml:space="preserve">501204-1386112</t>
  </si>
  <si>
    <r>
      <rPr>
        <sz val="11"/>
        <rFont val="DejaVu Sans"/>
        <family val="2"/>
      </rPr>
      <t xml:space="preserve">배흥규</t>
    </r>
    <r>
      <rPr>
        <sz val="11"/>
        <rFont val="맑은 고딕"/>
        <family val="3"/>
        <charset val="129"/>
      </rPr>
      <t xml:space="preserve">(</t>
    </r>
    <r>
      <rPr>
        <sz val="11"/>
        <rFont val="DejaVu Sans"/>
        <family val="2"/>
      </rPr>
      <t xml:space="preserve">대한중기</t>
    </r>
    <r>
      <rPr>
        <sz val="11"/>
        <rFont val="맑은 고딕"/>
        <family val="3"/>
        <charset val="129"/>
      </rPr>
      <t xml:space="preserve">)</t>
    </r>
  </si>
  <si>
    <t xml:space="preserve">540508-1779117</t>
  </si>
  <si>
    <r>
      <rPr>
        <sz val="11"/>
        <rFont val="DejaVu Sans"/>
        <family val="2"/>
      </rPr>
      <t xml:space="preserve">윤광건</t>
    </r>
    <r>
      <rPr>
        <sz val="11"/>
        <rFont val="맑은 고딕"/>
        <family val="3"/>
        <charset val="129"/>
      </rPr>
      <t xml:space="preserve">(</t>
    </r>
    <r>
      <rPr>
        <sz val="11"/>
        <rFont val="DejaVu Sans"/>
        <family val="2"/>
      </rPr>
      <t xml:space="preserve">반디종합중기</t>
    </r>
    <r>
      <rPr>
        <sz val="11"/>
        <rFont val="맑은 고딕"/>
        <family val="3"/>
        <charset val="129"/>
      </rPr>
      <t xml:space="preserve">)</t>
    </r>
  </si>
  <si>
    <t xml:space="preserve">621206-1524518</t>
  </si>
  <si>
    <r>
      <rPr>
        <sz val="11"/>
        <rFont val="DejaVu Sans"/>
        <family val="2"/>
      </rPr>
      <t xml:space="preserve">조규홍</t>
    </r>
    <r>
      <rPr>
        <sz val="11"/>
        <rFont val="맑은 고딕"/>
        <family val="3"/>
        <charset val="129"/>
      </rPr>
      <t xml:space="preserve">(</t>
    </r>
    <r>
      <rPr>
        <sz val="11"/>
        <rFont val="DejaVu Sans"/>
        <family val="2"/>
      </rPr>
      <t xml:space="preserve">미래종합건기</t>
    </r>
    <r>
      <rPr>
        <sz val="11"/>
        <rFont val="맑은 고딕"/>
        <family val="3"/>
        <charset val="129"/>
      </rPr>
      <t xml:space="preserve">)</t>
    </r>
  </si>
  <si>
    <t xml:space="preserve">550120-1386320</t>
  </si>
  <si>
    <r>
      <rPr>
        <sz val="11"/>
        <rFont val="DejaVu Sans"/>
        <family val="2"/>
      </rPr>
      <t xml:space="preserve">하재욱</t>
    </r>
    <r>
      <rPr>
        <sz val="11"/>
        <rFont val="맑은 고딕"/>
        <family val="3"/>
        <charset val="129"/>
      </rPr>
      <t xml:space="preserve">(</t>
    </r>
    <r>
      <rPr>
        <sz val="11"/>
        <rFont val="DejaVu Sans"/>
        <family val="2"/>
      </rPr>
      <t xml:space="preserve">미래종합건기</t>
    </r>
    <r>
      <rPr>
        <sz val="11"/>
        <rFont val="맑은 고딕"/>
        <family val="3"/>
        <charset val="129"/>
      </rPr>
      <t xml:space="preserve">)</t>
    </r>
  </si>
  <si>
    <t xml:space="preserve">450305-2058521</t>
  </si>
  <si>
    <r>
      <rPr>
        <sz val="11"/>
        <rFont val="DejaVu Sans"/>
        <family val="2"/>
      </rPr>
      <t xml:space="preserve">전상수</t>
    </r>
    <r>
      <rPr>
        <sz val="11"/>
        <rFont val="맑은 고딕"/>
        <family val="3"/>
        <charset val="129"/>
      </rPr>
      <t xml:space="preserve">(</t>
    </r>
    <r>
      <rPr>
        <sz val="11"/>
        <rFont val="DejaVu Sans"/>
        <family val="2"/>
      </rPr>
      <t xml:space="preserve">통일중기</t>
    </r>
    <r>
      <rPr>
        <sz val="11"/>
        <rFont val="맑은 고딕"/>
        <family val="3"/>
        <charset val="129"/>
      </rPr>
      <t xml:space="preserve">)</t>
    </r>
  </si>
  <si>
    <t xml:space="preserve">620624-1386718</t>
  </si>
  <si>
    <t xml:space="preserve">761222-1386114</t>
  </si>
  <si>
    <t xml:space="preserve">701102-1386121</t>
  </si>
  <si>
    <r>
      <rPr>
        <sz val="11"/>
        <rFont val="맑은 고딕"/>
        <family val="3"/>
        <charset val="129"/>
      </rPr>
      <t xml:space="preserve">5T</t>
    </r>
    <r>
      <rPr>
        <sz val="11"/>
        <rFont val="DejaVu Sans"/>
        <family val="2"/>
      </rPr>
      <t xml:space="preserve">살수</t>
    </r>
  </si>
  <si>
    <r>
      <rPr>
        <sz val="11"/>
        <rFont val="DejaVu Sans"/>
        <family val="2"/>
      </rPr>
      <t xml:space="preserve">서창백</t>
    </r>
    <r>
      <rPr>
        <sz val="11"/>
        <rFont val="맑은 고딕"/>
        <family val="3"/>
        <charset val="129"/>
      </rPr>
      <t xml:space="preserve">(</t>
    </r>
    <r>
      <rPr>
        <sz val="11"/>
        <rFont val="DejaVu Sans"/>
        <family val="2"/>
      </rPr>
      <t xml:space="preserve">아이비에취알</t>
    </r>
    <r>
      <rPr>
        <sz val="11"/>
        <rFont val="맑은 고딕"/>
        <family val="3"/>
        <charset val="129"/>
      </rPr>
      <t xml:space="preserve">)</t>
    </r>
  </si>
  <si>
    <t xml:space="preserve">770801-1386115</t>
  </si>
  <si>
    <r>
      <rPr>
        <sz val="11"/>
        <rFont val="DejaVu Sans"/>
        <family val="2"/>
      </rPr>
      <t xml:space="preserve">전영수</t>
    </r>
    <r>
      <rPr>
        <sz val="11"/>
        <rFont val="맑은 고딕"/>
        <family val="3"/>
        <charset val="129"/>
      </rPr>
      <t xml:space="preserve">(</t>
    </r>
    <r>
      <rPr>
        <sz val="11"/>
        <rFont val="DejaVu Sans"/>
        <family val="2"/>
      </rPr>
      <t xml:space="preserve">로지스퀘어</t>
    </r>
    <r>
      <rPr>
        <sz val="11"/>
        <rFont val="맑은 고딕"/>
        <family val="3"/>
        <charset val="129"/>
      </rPr>
      <t xml:space="preserve">)</t>
    </r>
  </si>
  <si>
    <r>
      <rPr>
        <sz val="11"/>
        <rFont val="DejaVu Sans"/>
        <family val="2"/>
      </rPr>
      <t xml:space="preserve">이상봉</t>
    </r>
    <r>
      <rPr>
        <sz val="11"/>
        <rFont val="맑은 고딕"/>
        <family val="3"/>
        <charset val="129"/>
      </rPr>
      <t xml:space="preserve">(</t>
    </r>
    <r>
      <rPr>
        <sz val="11"/>
        <rFont val="DejaVu Sans"/>
        <family val="2"/>
      </rPr>
      <t xml:space="preserve">통일중기</t>
    </r>
    <r>
      <rPr>
        <sz val="11"/>
        <rFont val="맑은 고딕"/>
        <family val="3"/>
        <charset val="129"/>
      </rPr>
      <t xml:space="preserve">)</t>
    </r>
  </si>
  <si>
    <t xml:space="preserve">760102-1387111</t>
  </si>
  <si>
    <r>
      <rPr>
        <sz val="11"/>
        <rFont val="DejaVu Sans"/>
        <family val="2"/>
      </rPr>
      <t xml:space="preserve">이종현</t>
    </r>
    <r>
      <rPr>
        <sz val="11"/>
        <rFont val="맑은 고딕"/>
        <family val="3"/>
        <charset val="129"/>
      </rPr>
      <t xml:space="preserve">(</t>
    </r>
    <r>
      <rPr>
        <sz val="11"/>
        <rFont val="DejaVu Sans"/>
        <family val="2"/>
      </rPr>
      <t xml:space="preserve">통일중기</t>
    </r>
    <r>
      <rPr>
        <sz val="11"/>
        <rFont val="맑은 고딕"/>
        <family val="3"/>
        <charset val="129"/>
      </rPr>
      <t xml:space="preserve">)</t>
    </r>
  </si>
  <si>
    <t xml:space="preserve">570313-1386914</t>
  </si>
  <si>
    <r>
      <rPr>
        <sz val="21"/>
        <rFont val="돋움"/>
        <family val="3"/>
        <charset val="129"/>
      </rPr>
      <t xml:space="preserve">2025</t>
    </r>
    <r>
      <rPr>
        <sz val="21"/>
        <rFont val="DejaVu Sans"/>
        <family val="2"/>
      </rPr>
      <t xml:space="preserve">년 노무비 현황</t>
    </r>
  </si>
  <si>
    <t xml:space="preserve">번호</t>
  </si>
  <si>
    <t xml:space="preserve">발주처</t>
  </si>
  <si>
    <t xml:space="preserve">계약금액</t>
  </si>
  <si>
    <t xml:space="preserve">착공일</t>
  </si>
  <si>
    <t xml:space="preserve">준공일 </t>
  </si>
  <si>
    <r>
      <rPr>
        <sz val="11"/>
        <rFont val="돋움"/>
        <family val="3"/>
        <charset val="129"/>
      </rPr>
      <t xml:space="preserve">1</t>
    </r>
    <r>
      <rPr>
        <sz val="11"/>
        <rFont val="DejaVu Sans"/>
        <family val="2"/>
      </rPr>
      <t xml:space="preserve">월</t>
    </r>
  </si>
  <si>
    <r>
      <rPr>
        <sz val="11"/>
        <rFont val="돋움"/>
        <family val="3"/>
        <charset val="129"/>
      </rPr>
      <t xml:space="preserve">2</t>
    </r>
    <r>
      <rPr>
        <sz val="11"/>
        <rFont val="DejaVu Sans"/>
        <family val="2"/>
      </rPr>
      <t xml:space="preserve">월</t>
    </r>
  </si>
  <si>
    <r>
      <rPr>
        <sz val="11"/>
        <rFont val="돋움"/>
        <family val="3"/>
        <charset val="129"/>
      </rPr>
      <t xml:space="preserve">3</t>
    </r>
    <r>
      <rPr>
        <sz val="11"/>
        <rFont val="DejaVu Sans"/>
        <family val="2"/>
      </rPr>
      <t xml:space="preserve">월</t>
    </r>
  </si>
  <si>
    <r>
      <rPr>
        <sz val="11"/>
        <rFont val="돋움"/>
        <family val="3"/>
        <charset val="129"/>
      </rPr>
      <t xml:space="preserve">4</t>
    </r>
    <r>
      <rPr>
        <sz val="11"/>
        <rFont val="DejaVu Sans"/>
        <family val="2"/>
      </rPr>
      <t xml:space="preserve">월</t>
    </r>
  </si>
  <si>
    <r>
      <rPr>
        <sz val="11"/>
        <rFont val="돋움"/>
        <family val="3"/>
        <charset val="129"/>
      </rPr>
      <t xml:space="preserve">5</t>
    </r>
    <r>
      <rPr>
        <sz val="11"/>
        <rFont val="DejaVu Sans"/>
        <family val="2"/>
      </rPr>
      <t xml:space="preserve">월</t>
    </r>
  </si>
  <si>
    <r>
      <rPr>
        <sz val="11"/>
        <rFont val="돋움"/>
        <family val="3"/>
        <charset val="129"/>
      </rPr>
      <t xml:space="preserve">6</t>
    </r>
    <r>
      <rPr>
        <sz val="11"/>
        <rFont val="DejaVu Sans"/>
        <family val="2"/>
      </rPr>
      <t xml:space="preserve">월</t>
    </r>
  </si>
  <si>
    <r>
      <rPr>
        <sz val="11"/>
        <rFont val="돋움"/>
        <family val="3"/>
        <charset val="129"/>
      </rPr>
      <t xml:space="preserve">7</t>
    </r>
    <r>
      <rPr>
        <sz val="11"/>
        <rFont val="DejaVu Sans"/>
        <family val="2"/>
      </rPr>
      <t xml:space="preserve">월</t>
    </r>
  </si>
  <si>
    <r>
      <rPr>
        <sz val="11"/>
        <rFont val="돋움"/>
        <family val="3"/>
        <charset val="129"/>
      </rPr>
      <t xml:space="preserve">8</t>
    </r>
    <r>
      <rPr>
        <sz val="11"/>
        <rFont val="DejaVu Sans"/>
        <family val="2"/>
      </rPr>
      <t xml:space="preserve">월</t>
    </r>
  </si>
  <si>
    <r>
      <rPr>
        <sz val="11"/>
        <rFont val="돋움"/>
        <family val="3"/>
        <charset val="129"/>
      </rPr>
      <t xml:space="preserve">9</t>
    </r>
    <r>
      <rPr>
        <sz val="11"/>
        <rFont val="DejaVu Sans"/>
        <family val="2"/>
      </rPr>
      <t xml:space="preserve">월</t>
    </r>
  </si>
  <si>
    <r>
      <rPr>
        <sz val="11"/>
        <rFont val="돋움"/>
        <family val="3"/>
        <charset val="129"/>
      </rPr>
      <t xml:space="preserve">10</t>
    </r>
    <r>
      <rPr>
        <sz val="11"/>
        <rFont val="DejaVu Sans"/>
        <family val="2"/>
      </rPr>
      <t xml:space="preserve">월</t>
    </r>
  </si>
  <si>
    <r>
      <rPr>
        <sz val="11"/>
        <rFont val="돋움"/>
        <family val="3"/>
        <charset val="129"/>
      </rPr>
      <t xml:space="preserve">11</t>
    </r>
    <r>
      <rPr>
        <sz val="11"/>
        <rFont val="DejaVu Sans"/>
        <family val="2"/>
      </rPr>
      <t xml:space="preserve">월</t>
    </r>
  </si>
  <si>
    <r>
      <rPr>
        <sz val="11"/>
        <rFont val="돋움"/>
        <family val="3"/>
        <charset val="129"/>
      </rPr>
      <t xml:space="preserve">12</t>
    </r>
    <r>
      <rPr>
        <sz val="11"/>
        <rFont val="DejaVu Sans"/>
        <family val="2"/>
      </rPr>
      <t xml:space="preserve">월</t>
    </r>
  </si>
  <si>
    <t xml:space="preserve">본사</t>
  </si>
  <si>
    <t xml:space="preserve">○</t>
  </si>
  <si>
    <t xml:space="preserve">복대초 교실 리모델링공사</t>
  </si>
  <si>
    <t xml:space="preserve">준공</t>
  </si>
  <si>
    <t xml:space="preserve">영동군 소죽저수지 정비공사</t>
  </si>
  <si>
    <t xml:space="preserve">영동부용 고령자복지주택 사회복지시설 리모델링 공사</t>
  </si>
  <si>
    <t xml:space="preserve">용암보건진료소 비가림 설치 및 시설 보수 공사</t>
  </si>
  <si>
    <t xml:space="preserve">노무비 신고 안함</t>
  </si>
  <si>
    <t xml:space="preserve">삼현소하천 재해복구사업</t>
  </si>
  <si>
    <r>
      <rPr>
        <sz val="11"/>
        <rFont val="돋움"/>
        <family val="3"/>
        <charset val="129"/>
      </rPr>
      <t xml:space="preserve">1/4 4</t>
    </r>
    <r>
      <rPr>
        <sz val="11"/>
        <rFont val="DejaVu Sans"/>
        <family val="2"/>
      </rPr>
      <t xml:space="preserve">차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매곡</t>
    </r>
    <r>
      <rPr>
        <sz val="11"/>
        <rFont val="돋움"/>
        <family val="3"/>
        <charset val="129"/>
      </rPr>
      <t xml:space="preserve">)</t>
    </r>
    <r>
      <rPr>
        <sz val="11"/>
        <rFont val="DejaVu Sans"/>
        <family val="2"/>
      </rPr>
      <t xml:space="preserve">비군사화과 사무실 이전공사</t>
    </r>
  </si>
  <si>
    <r>
      <rPr>
        <sz val="11"/>
        <rFont val="돋움"/>
        <family val="3"/>
        <charset val="129"/>
      </rPr>
      <t xml:space="preserve">2025</t>
    </r>
    <r>
      <rPr>
        <sz val="11"/>
        <rFont val="DejaVu Sans"/>
        <family val="2"/>
      </rPr>
      <t xml:space="preserve">년 충북 영동군 슬레이트 처리 지원사업</t>
    </r>
    <r>
      <rPr>
        <sz val="11"/>
        <rFont val="돋움"/>
        <family val="3"/>
        <charset val="129"/>
      </rPr>
      <t xml:space="preserve">(5</t>
    </r>
    <r>
      <rPr>
        <sz val="11"/>
        <rFont val="DejaVu Sans"/>
        <family val="2"/>
      </rPr>
      <t xml:space="preserve">권역</t>
    </r>
    <r>
      <rPr>
        <sz val="11"/>
        <rFont val="돋움"/>
        <family val="3"/>
        <charset val="129"/>
      </rPr>
      <t xml:space="preserve">)</t>
    </r>
  </si>
  <si>
    <r>
      <rPr>
        <sz val="11"/>
        <rFont val="돋움"/>
        <family val="3"/>
        <charset val="129"/>
      </rPr>
      <t xml:space="preserve">2025</t>
    </r>
    <r>
      <rPr>
        <sz val="11"/>
        <rFont val="DejaVu Sans"/>
        <family val="2"/>
      </rPr>
      <t xml:space="preserve">년 충북 영동군 슬레이트 처리 지원사업</t>
    </r>
    <r>
      <rPr>
        <sz val="11"/>
        <rFont val="돋움"/>
        <family val="3"/>
        <charset val="129"/>
      </rPr>
      <t xml:space="preserve">(1</t>
    </r>
    <r>
      <rPr>
        <sz val="11"/>
        <rFont val="DejaVu Sans"/>
        <family val="2"/>
      </rPr>
      <t xml:space="preserve">권역</t>
    </r>
    <r>
      <rPr>
        <sz val="11"/>
        <rFont val="돋움"/>
        <family val="3"/>
        <charset val="129"/>
      </rPr>
      <t xml:space="preserve">)</t>
    </r>
  </si>
  <si>
    <r>
      <rPr>
        <sz val="11"/>
        <rFont val="DejaVu Sans"/>
        <family val="2"/>
      </rPr>
      <t xml:space="preserve">당곡리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너딜골</t>
    </r>
    <r>
      <rPr>
        <sz val="11"/>
        <rFont val="돋움"/>
        <family val="3"/>
        <charset val="129"/>
      </rPr>
      <t xml:space="preserve">) </t>
    </r>
    <r>
      <rPr>
        <sz val="11"/>
        <rFont val="DejaVu Sans"/>
        <family val="2"/>
      </rPr>
      <t xml:space="preserve">세천정비공사</t>
    </r>
  </si>
  <si>
    <t xml:space="preserve">영동전통시장 다목적광장 조성사업 지정폐기물처리</t>
  </si>
  <si>
    <r>
      <rPr>
        <sz val="11"/>
        <rFont val="DejaVu Sans"/>
        <family val="2"/>
      </rPr>
      <t xml:space="preserve">충북권 보훈요양원 건립부지 건물 지정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석면</t>
    </r>
    <r>
      <rPr>
        <sz val="11"/>
        <rFont val="돋움"/>
        <family val="3"/>
        <charset val="129"/>
      </rPr>
      <t xml:space="preserve">)</t>
    </r>
    <r>
      <rPr>
        <sz val="11"/>
        <rFont val="DejaVu Sans"/>
        <family val="2"/>
      </rPr>
      <t xml:space="preserve">폐기물 철거공사</t>
    </r>
  </si>
  <si>
    <r>
      <rPr>
        <sz val="11"/>
        <rFont val="DejaVu Sans"/>
        <family val="2"/>
      </rPr>
      <t xml:space="preserve">전체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매곡</t>
    </r>
    <r>
      <rPr>
        <sz val="11"/>
        <rFont val="돋움"/>
        <family val="3"/>
        <charset val="129"/>
      </rPr>
      <t xml:space="preserve">)</t>
    </r>
    <r>
      <rPr>
        <sz val="11"/>
        <rFont val="DejaVu Sans"/>
        <family val="2"/>
      </rPr>
      <t xml:space="preserve">비군사 생활관 환경 개선공사</t>
    </r>
  </si>
  <si>
    <t xml:space="preserve">영동중앙시장 외벽 도색공사</t>
  </si>
  <si>
    <t xml:space="preserve">레인보우 힐링관광지 관문주변 사면정비공사</t>
  </si>
  <si>
    <t xml:space="preserve">영동초 발명실 석면철거공사</t>
  </si>
  <si>
    <r>
      <rPr>
        <sz val="11"/>
        <rFont val="DejaVu Sans"/>
        <family val="2"/>
      </rPr>
      <t xml:space="preserve">영동전통시장 제</t>
    </r>
    <r>
      <rPr>
        <sz val="11"/>
        <rFont val="돋움"/>
        <family val="3"/>
        <charset val="129"/>
      </rPr>
      <t xml:space="preserve">2</t>
    </r>
    <r>
      <rPr>
        <sz val="11"/>
        <rFont val="DejaVu Sans"/>
        <family val="2"/>
      </rPr>
      <t xml:space="preserve">주차장 확장조성사업 지정폐기물 철거공사</t>
    </r>
  </si>
  <si>
    <t xml:space="preserve">장애인회관 개보수 공사</t>
  </si>
  <si>
    <t xml:space="preserve">영동유 학교 색깔 꾸미기 도장공사</t>
  </si>
  <si>
    <t xml:space="preserve">영동 부영 고령자복지주택 사회복지시설 리모델링공사</t>
  </si>
  <si>
    <t xml:space="preserve">영동군 장애인연합회관 자동문 설치공사</t>
  </si>
  <si>
    <t xml:space="preserve">괴산명덕초 사대 철거 및 청천초 차고 샌드위치패널 교체공사</t>
  </si>
  <si>
    <t xml:space="preserve">영동전통시장 다목적광장 도색공사</t>
  </si>
  <si>
    <r>
      <rPr>
        <sz val="11"/>
        <rFont val="DejaVu Sans"/>
        <family val="2"/>
      </rPr>
      <t xml:space="preserve">금성면 농촌공간정비사업 위림리 건축물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석면</t>
    </r>
    <r>
      <rPr>
        <sz val="11"/>
        <rFont val="돋움"/>
        <family val="3"/>
        <charset val="129"/>
      </rPr>
      <t xml:space="preserve">) </t>
    </r>
    <r>
      <rPr>
        <sz val="11"/>
        <rFont val="DejaVu Sans"/>
        <family val="2"/>
      </rPr>
      <t xml:space="preserve">철거공사</t>
    </r>
  </si>
  <si>
    <t xml:space="preserve">자원순환센터 수해복구공사</t>
  </si>
  <si>
    <r>
      <rPr>
        <sz val="11"/>
        <rFont val="돋움"/>
        <family val="3"/>
        <charset val="129"/>
      </rPr>
      <t xml:space="preserve">2025</t>
    </r>
    <r>
      <rPr>
        <sz val="11"/>
        <rFont val="DejaVu Sans"/>
        <family val="2"/>
      </rPr>
      <t xml:space="preserve">년 하반기 </t>
    </r>
    <r>
      <rPr>
        <sz val="11"/>
        <rFont val="돋움"/>
        <family val="3"/>
        <charset val="129"/>
      </rPr>
      <t xml:space="preserve">3</t>
    </r>
    <r>
      <rPr>
        <sz val="11"/>
        <rFont val="DejaVu Sans"/>
        <family val="2"/>
      </rPr>
      <t xml:space="preserve">종 교량 정기안전점검용역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영동읍</t>
    </r>
    <r>
      <rPr>
        <sz val="11"/>
        <rFont val="돋움"/>
        <family val="3"/>
        <charset val="129"/>
      </rPr>
      <t xml:space="preserve">) </t>
    </r>
  </si>
  <si>
    <t xml:space="preserve">공공임대용 훼손농지 슬레이트 철거운반처리 용역</t>
  </si>
  <si>
    <r>
      <rPr>
        <sz val="11"/>
        <rFont val="DejaVu Sans"/>
        <family val="2"/>
      </rPr>
      <t xml:space="preserve">초강 </t>
    </r>
    <r>
      <rPr>
        <sz val="11"/>
        <rFont val="돋움"/>
        <family val="3"/>
        <charset val="129"/>
      </rPr>
      <t xml:space="preserve">2</t>
    </r>
    <r>
      <rPr>
        <sz val="11"/>
        <rFont val="DejaVu Sans"/>
        <family val="2"/>
      </rPr>
      <t xml:space="preserve">종 시설물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블록식 보강토옹벽</t>
    </r>
    <r>
      <rPr>
        <sz val="11"/>
        <rFont val="돋움"/>
        <family val="3"/>
        <charset val="129"/>
      </rPr>
      <t xml:space="preserve">) </t>
    </r>
    <r>
      <rPr>
        <sz val="11"/>
        <rFont val="DejaVu Sans"/>
        <family val="2"/>
      </rPr>
      <t xml:space="preserve">하반기 정기안전점검용역</t>
    </r>
  </si>
  <si>
    <r>
      <rPr>
        <sz val="11"/>
        <rFont val="DejaVu Sans"/>
        <family val="2"/>
      </rPr>
      <t xml:space="preserve">학산중고 본관외 </t>
    </r>
    <r>
      <rPr>
        <sz val="11"/>
        <rFont val="돋움"/>
        <family val="3"/>
        <charset val="129"/>
      </rPr>
      <t xml:space="preserve">3</t>
    </r>
    <r>
      <rPr>
        <sz val="11"/>
        <rFont val="DejaVu Sans"/>
        <family val="2"/>
      </rPr>
      <t xml:space="preserve">동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별관</t>
    </r>
    <r>
      <rPr>
        <sz val="11"/>
        <rFont val="돋움"/>
        <family val="3"/>
        <charset val="129"/>
      </rPr>
      <t xml:space="preserve">,</t>
    </r>
    <r>
      <rPr>
        <sz val="11"/>
        <rFont val="DejaVu Sans"/>
        <family val="2"/>
      </rPr>
      <t xml:space="preserve">생활관</t>
    </r>
    <r>
      <rPr>
        <sz val="11"/>
        <rFont val="돋움"/>
        <family val="3"/>
        <charset val="129"/>
      </rPr>
      <t xml:space="preserve">,</t>
    </r>
    <r>
      <rPr>
        <sz val="11"/>
        <rFont val="DejaVu Sans"/>
        <family val="2"/>
      </rPr>
      <t xml:space="preserve">연결복도</t>
    </r>
    <r>
      <rPr>
        <sz val="11"/>
        <rFont val="돋움"/>
        <family val="3"/>
        <charset val="129"/>
      </rPr>
      <t xml:space="preserve">)</t>
    </r>
    <r>
      <rPr>
        <sz val="11"/>
        <rFont val="DejaVu Sans"/>
        <family val="2"/>
      </rPr>
      <t xml:space="preserve">옥상방수공사</t>
    </r>
  </si>
  <si>
    <r>
      <rPr>
        <sz val="11"/>
        <rFont val="돋움"/>
        <family val="3"/>
        <charset val="129"/>
      </rPr>
      <t xml:space="preserve">2025</t>
    </r>
    <r>
      <rPr>
        <sz val="11"/>
        <rFont val="DejaVu Sans"/>
        <family val="2"/>
      </rPr>
      <t xml:space="preserve">년 도리비저수지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하반기</t>
    </r>
    <r>
      <rPr>
        <sz val="11"/>
        <rFont val="돋움"/>
        <family val="3"/>
        <charset val="129"/>
      </rPr>
      <t xml:space="preserve">) </t>
    </r>
    <r>
      <rPr>
        <sz val="11"/>
        <rFont val="DejaVu Sans"/>
        <family val="2"/>
      </rPr>
      <t xml:space="preserve">정기안전점검용역</t>
    </r>
  </si>
  <si>
    <r>
      <rPr>
        <sz val="11"/>
        <rFont val="DejaVu Sans"/>
        <family val="2"/>
      </rPr>
      <t xml:space="preserve">치매요양시설 및 노인전문병원 주차장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옹벽</t>
    </r>
    <r>
      <rPr>
        <sz val="11"/>
        <rFont val="돋움"/>
        <family val="3"/>
        <charset val="129"/>
      </rPr>
      <t xml:space="preserve">) </t>
    </r>
    <r>
      <rPr>
        <sz val="11"/>
        <rFont val="DejaVu Sans"/>
        <family val="2"/>
      </rPr>
      <t xml:space="preserve">정기안전점검용역</t>
    </r>
  </si>
  <si>
    <t xml:space="preserve">난계국악박물관 옥상 지붕 설치공사 </t>
  </si>
  <si>
    <r>
      <rPr>
        <sz val="11"/>
        <rFont val="DejaVu Sans"/>
        <family val="2"/>
      </rPr>
      <t xml:space="preserve">한국교원대 생활관 복지관 노후시설 개선공사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철거</t>
    </r>
    <r>
      <rPr>
        <sz val="11"/>
        <rFont val="돋움"/>
        <family val="3"/>
        <charset val="129"/>
      </rPr>
      <t xml:space="preserve">)</t>
    </r>
  </si>
  <si>
    <t xml:space="preserve">수자원공사</t>
  </si>
  <si>
    <t xml:space="preserve">음성부대</t>
  </si>
  <si>
    <t xml:space="preserve">㈜아이엔건설환경</t>
  </si>
  <si>
    <r>
      <rPr>
        <sz val="11"/>
        <rFont val="DejaVu Sans"/>
        <family val="2"/>
      </rPr>
      <t xml:space="preserve">한국농어촌공사 </t>
    </r>
    <r>
      <rPr>
        <sz val="11"/>
        <rFont val="돋움"/>
        <family val="3"/>
        <charset val="129"/>
      </rPr>
      <t xml:space="preserve">
</t>
    </r>
    <r>
      <rPr>
        <sz val="11"/>
        <rFont val="DejaVu Sans"/>
        <family val="2"/>
      </rPr>
      <t xml:space="preserve">경북지역본부 </t>
    </r>
    <r>
      <rPr>
        <sz val="11"/>
        <rFont val="돋움"/>
        <family val="3"/>
        <charset val="129"/>
      </rPr>
      <t xml:space="preserve">
</t>
    </r>
    <r>
      <rPr>
        <sz val="11"/>
        <rFont val="DejaVu Sans"/>
        <family val="2"/>
      </rPr>
      <t xml:space="preserve">상주지사</t>
    </r>
  </si>
  <si>
    <r>
      <rPr>
        <sz val="11"/>
        <rFont val="DejaVu Sans"/>
        <family val="2"/>
      </rPr>
      <t xml:space="preserve">청리면 덕산지구 농촌공간정비사업 지정폐기물 해체철거 용역</t>
    </r>
    <r>
      <rPr>
        <sz val="11"/>
        <rFont val="돋움"/>
        <family val="3"/>
        <charset val="129"/>
      </rPr>
      <t xml:space="preserve">-</t>
    </r>
    <r>
      <rPr>
        <sz val="11"/>
        <rFont val="DejaVu Sans"/>
        <family val="2"/>
      </rPr>
      <t xml:space="preserve">금차분</t>
    </r>
  </si>
  <si>
    <r>
      <rPr>
        <sz val="11"/>
        <rFont val="DejaVu Sans"/>
        <family val="2"/>
      </rPr>
      <t xml:space="preserve">청리면 덕산지구 농촌공간정비사업 지정폐기물 해체철거 용역</t>
    </r>
    <r>
      <rPr>
        <sz val="11"/>
        <rFont val="돋움"/>
        <family val="3"/>
        <charset val="129"/>
      </rPr>
      <t xml:space="preserve">-</t>
    </r>
    <r>
      <rPr>
        <sz val="11"/>
        <rFont val="DejaVu Sans"/>
        <family val="2"/>
      </rPr>
      <t xml:space="preserve">전체분</t>
    </r>
  </si>
  <si>
    <r>
      <rPr>
        <sz val="11"/>
        <rFont val="DejaVu Sans"/>
        <family val="2"/>
      </rPr>
      <t xml:space="preserve">설계리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소로</t>
    </r>
    <r>
      <rPr>
        <sz val="11"/>
        <rFont val="돋움"/>
        <family val="3"/>
        <charset val="129"/>
      </rPr>
      <t xml:space="preserve">2-86)</t>
    </r>
    <r>
      <rPr>
        <sz val="11"/>
        <rFont val="DejaVu Sans"/>
        <family val="2"/>
      </rPr>
      <t xml:space="preserve">군계획도로개설공사 석면폐기물 처리</t>
    </r>
  </si>
  <si>
    <r>
      <rPr>
        <sz val="11"/>
        <rFont val="돋움"/>
        <family val="3"/>
        <charset val="129"/>
      </rPr>
      <t xml:space="preserve">25</t>
    </r>
    <r>
      <rPr>
        <sz val="11"/>
        <rFont val="DejaVu Sans"/>
        <family val="2"/>
      </rPr>
      <t xml:space="preserve">년 상반기 영동군 수리시설정비사업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심천지구</t>
    </r>
    <r>
      <rPr>
        <sz val="11"/>
        <rFont val="돋움"/>
        <family val="3"/>
        <charset val="129"/>
      </rPr>
      <t xml:space="preserve">)</t>
    </r>
  </si>
  <si>
    <r>
      <rPr>
        <sz val="11"/>
        <rFont val="돋움"/>
        <family val="3"/>
        <charset val="129"/>
      </rPr>
      <t xml:space="preserve">7</t>
    </r>
    <r>
      <rPr>
        <sz val="11"/>
        <rFont val="DejaVu Sans"/>
        <family val="2"/>
      </rPr>
      <t xml:space="preserve">차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매곡</t>
    </r>
    <r>
      <rPr>
        <sz val="11"/>
        <rFont val="돋움"/>
        <family val="3"/>
        <charset val="129"/>
      </rPr>
      <t xml:space="preserve">)</t>
    </r>
    <r>
      <rPr>
        <sz val="11"/>
        <rFont val="DejaVu Sans"/>
        <family val="2"/>
      </rPr>
      <t xml:space="preserve">상수도급수관 연장공사</t>
    </r>
    <r>
      <rPr>
        <sz val="11"/>
        <rFont val="돋움"/>
        <family val="3"/>
        <charset val="129"/>
      </rPr>
      <t xml:space="preserve">-</t>
    </r>
    <r>
      <rPr>
        <sz val="11"/>
        <rFont val="DejaVu Sans"/>
        <family val="2"/>
      </rPr>
      <t xml:space="preserve">토목</t>
    </r>
  </si>
  <si>
    <t xml:space="preserve">용산면사무소</t>
  </si>
  <si>
    <t xml:space="preserve">시금리 농로포장 및 배수로 정비공사</t>
  </si>
  <si>
    <t xml:space="preserve">작점리 마을진입로 확포장공사</t>
  </si>
  <si>
    <t xml:space="preserve">후리 배수로정비공사</t>
  </si>
  <si>
    <r>
      <rPr>
        <sz val="11"/>
        <rFont val="DejaVu Sans"/>
        <family val="2"/>
      </rPr>
      <t xml:space="preserve">어린이보호구역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학산초등학교</t>
    </r>
    <r>
      <rPr>
        <sz val="11"/>
        <rFont val="돋움"/>
        <family val="3"/>
        <charset val="129"/>
      </rPr>
      <t xml:space="preserve">) </t>
    </r>
    <r>
      <rPr>
        <sz val="11"/>
        <rFont val="DejaVu Sans"/>
        <family val="2"/>
      </rPr>
      <t xml:space="preserve">개선사업</t>
    </r>
  </si>
  <si>
    <r>
      <rPr>
        <sz val="11"/>
        <rFont val="DejaVu Sans"/>
        <family val="2"/>
      </rPr>
      <t xml:space="preserve">영산동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소로 </t>
    </r>
    <r>
      <rPr>
        <sz val="11"/>
        <rFont val="돋움"/>
        <family val="3"/>
        <charset val="129"/>
      </rPr>
      <t xml:space="preserve">3-134) </t>
    </r>
    <r>
      <rPr>
        <sz val="11"/>
        <rFont val="DejaVu Sans"/>
        <family val="2"/>
      </rPr>
      <t xml:space="preserve">군계획도로 지장가옥 철거공사 석면해체제거공사</t>
    </r>
  </si>
  <si>
    <t xml:space="preserve">교원대철거</t>
  </si>
  <si>
    <t xml:space="preserve">양강면사무소</t>
  </si>
  <si>
    <r>
      <rPr>
        <sz val="11"/>
        <rFont val="DejaVu Sans"/>
        <family val="2"/>
      </rPr>
      <t xml:space="preserve">산막</t>
    </r>
    <r>
      <rPr>
        <sz val="11"/>
        <rFont val="돋움"/>
        <family val="3"/>
        <charset val="129"/>
      </rPr>
      <t xml:space="preserve">2</t>
    </r>
    <r>
      <rPr>
        <sz val="11"/>
        <rFont val="DejaVu Sans"/>
        <family val="2"/>
      </rPr>
      <t xml:space="preserve">리 블록설치공사</t>
    </r>
  </si>
  <si>
    <t xml:space="preserve">다우건설㈜</t>
  </si>
  <si>
    <t xml:space="preserve">마포리 배수로 정비공사</t>
  </si>
  <si>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가칭</t>
    </r>
    <r>
      <rPr>
        <sz val="11"/>
        <rFont val="돋움"/>
        <family val="3"/>
        <charset val="129"/>
      </rPr>
      <t xml:space="preserve">)</t>
    </r>
    <r>
      <rPr>
        <sz val="11"/>
        <rFont val="DejaVu Sans"/>
        <family val="2"/>
      </rPr>
      <t xml:space="preserve">미래융합체험교육원 석면철거공사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단년도  차수계약</t>
    </r>
    <r>
      <rPr>
        <sz val="11"/>
        <rFont val="돋움"/>
        <family val="3"/>
        <charset val="129"/>
      </rPr>
      <t xml:space="preserve">-1</t>
    </r>
    <r>
      <rPr>
        <sz val="11"/>
        <rFont val="DejaVu Sans"/>
        <family val="2"/>
      </rPr>
      <t xml:space="preserve">차계약</t>
    </r>
    <r>
      <rPr>
        <sz val="11"/>
        <rFont val="돋움"/>
        <family val="3"/>
        <charset val="129"/>
      </rPr>
      <t xml:space="preserve">)</t>
    </r>
  </si>
  <si>
    <r>
      <rPr>
        <sz val="11"/>
        <rFont val="DejaVu Sans"/>
        <family val="2"/>
      </rPr>
      <t xml:space="preserve">남성리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소로</t>
    </r>
    <r>
      <rPr>
        <sz val="11"/>
        <rFont val="돋움"/>
        <family val="3"/>
        <charset val="129"/>
      </rPr>
      <t xml:space="preserve">2-326) </t>
    </r>
    <r>
      <rPr>
        <sz val="11"/>
        <rFont val="DejaVu Sans"/>
        <family val="2"/>
      </rPr>
      <t xml:space="preserve">군계획도로개설 지상가옥 철거공사</t>
    </r>
  </si>
  <si>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가칭</t>
    </r>
    <r>
      <rPr>
        <sz val="11"/>
        <rFont val="돋움"/>
        <family val="3"/>
        <charset val="129"/>
      </rPr>
      <t xml:space="preserve">)</t>
    </r>
    <r>
      <rPr>
        <sz val="11"/>
        <rFont val="DejaVu Sans"/>
        <family val="2"/>
      </rPr>
      <t xml:space="preserve">미래융합체험교육원 석면철거공사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단년도 차수계약</t>
    </r>
    <r>
      <rPr>
        <sz val="11"/>
        <rFont val="돋움"/>
        <family val="3"/>
        <charset val="129"/>
      </rPr>
      <t xml:space="preserve">-2</t>
    </r>
    <r>
      <rPr>
        <sz val="11"/>
        <rFont val="DejaVu Sans"/>
        <family val="2"/>
      </rPr>
      <t xml:space="preserve">차계약</t>
    </r>
    <r>
      <rPr>
        <sz val="11"/>
        <rFont val="돋움"/>
        <family val="3"/>
        <charset val="129"/>
      </rPr>
      <t xml:space="preserve">)</t>
    </r>
  </si>
  <si>
    <t xml:space="preserve">심천면 고당리 하수관로 개량공사</t>
  </si>
  <si>
    <r>
      <rPr>
        <sz val="11"/>
        <rFont val="DejaVu Sans"/>
        <family val="2"/>
      </rPr>
      <t xml:space="preserve">하시소하천 정비사업 지정폐기물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석면</t>
    </r>
    <r>
      <rPr>
        <sz val="11"/>
        <rFont val="돋움"/>
        <family val="3"/>
        <charset val="129"/>
      </rPr>
      <t xml:space="preserve">) </t>
    </r>
    <r>
      <rPr>
        <sz val="11"/>
        <rFont val="DejaVu Sans"/>
        <family val="2"/>
      </rPr>
      <t xml:space="preserve">처리공사</t>
    </r>
  </si>
  <si>
    <t xml:space="preserve">양산면 봉곡리 맑은물 공급사업</t>
  </si>
  <si>
    <r>
      <rPr>
        <sz val="11"/>
        <rFont val="DejaVu Sans"/>
        <family val="2"/>
      </rPr>
      <t xml:space="preserve">시금리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광탄</t>
    </r>
    <r>
      <rPr>
        <sz val="11"/>
        <rFont val="돋움"/>
        <family val="3"/>
        <charset val="129"/>
      </rPr>
      <t xml:space="preserve">) </t>
    </r>
    <r>
      <rPr>
        <sz val="11"/>
        <rFont val="DejaVu Sans"/>
        <family val="2"/>
      </rPr>
      <t xml:space="preserve">배수로정비공사</t>
    </r>
  </si>
  <si>
    <r>
      <rPr>
        <sz val="11"/>
        <rFont val="돋움"/>
        <family val="3"/>
        <charset val="129"/>
      </rPr>
      <t xml:space="preserve">22-</t>
    </r>
    <r>
      <rPr>
        <sz val="11"/>
        <rFont val="DejaVu Sans"/>
        <family val="2"/>
      </rPr>
      <t xml:space="preserve">공</t>
    </r>
    <r>
      <rPr>
        <sz val="11"/>
        <rFont val="돋움"/>
        <family val="3"/>
        <charset val="129"/>
      </rPr>
      <t xml:space="preserve">-</t>
    </r>
    <r>
      <rPr>
        <sz val="11"/>
        <rFont val="DejaVu Sans"/>
        <family val="2"/>
      </rPr>
      <t xml:space="preserve">경계시설 개선 시설공사</t>
    </r>
    <r>
      <rPr>
        <sz val="11"/>
        <rFont val="돋움"/>
        <family val="3"/>
        <charset val="129"/>
      </rPr>
      <t xml:space="preserve">(4157)</t>
    </r>
    <r>
      <rPr>
        <sz val="11"/>
        <rFont val="DejaVu Sans"/>
        <family val="2"/>
      </rPr>
      <t xml:space="preserve">중 금속구조물 공사</t>
    </r>
  </si>
  <si>
    <r>
      <rPr>
        <sz val="11"/>
        <rFont val="DejaVu Sans"/>
        <family val="2"/>
      </rPr>
      <t xml:space="preserve">창업농 사관학교 예정지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대성폐교</t>
    </r>
    <r>
      <rPr>
        <sz val="11"/>
        <rFont val="돋움"/>
        <family val="3"/>
        <charset val="129"/>
      </rPr>
      <t xml:space="preserve">) </t>
    </r>
    <r>
      <rPr>
        <sz val="11"/>
        <rFont val="DejaVu Sans"/>
        <family val="2"/>
      </rPr>
      <t xml:space="preserve">석면해체제거 공사</t>
    </r>
  </si>
  <si>
    <r>
      <rPr>
        <sz val="11"/>
        <rFont val="DejaVu Sans"/>
        <family val="2"/>
      </rPr>
      <t xml:space="preserve">한국교원대부설월고초등학교 체육관 보수공사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건축</t>
    </r>
    <r>
      <rPr>
        <sz val="11"/>
        <rFont val="돋움"/>
        <family val="3"/>
        <charset val="129"/>
      </rPr>
      <t xml:space="preserve">) </t>
    </r>
    <r>
      <rPr>
        <sz val="11"/>
        <rFont val="DejaVu Sans"/>
        <family val="2"/>
      </rPr>
      <t xml:space="preserve">제한입찰공고</t>
    </r>
  </si>
  <si>
    <t xml:space="preserve">군남초 석면해체공사</t>
  </si>
  <si>
    <r>
      <rPr>
        <sz val="11"/>
        <rFont val="DejaVu Sans"/>
        <family val="2"/>
      </rPr>
      <t xml:space="preserve">금구 공영주차타워앞 도시계획 도로 개설공사 지정폐기물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석면</t>
    </r>
    <r>
      <rPr>
        <sz val="11"/>
        <rFont val="돋움"/>
        <family val="3"/>
        <charset val="129"/>
      </rPr>
      <t xml:space="preserve">)</t>
    </r>
    <r>
      <rPr>
        <sz val="11"/>
        <rFont val="DejaVu Sans"/>
        <family val="2"/>
      </rPr>
      <t xml:space="preserve">처리용역</t>
    </r>
  </si>
  <si>
    <t xml:space="preserve">이원중 다목적교실 보수공사</t>
  </si>
  <si>
    <t xml:space="preserve">옥천읍 시가지 차선도색공사</t>
  </si>
  <si>
    <r>
      <rPr>
        <sz val="11"/>
        <rFont val="DejaVu Sans"/>
        <family val="2"/>
      </rPr>
      <t xml:space="preserve">주거 소규모</t>
    </r>
    <r>
      <rPr>
        <sz val="11"/>
        <rFont val="돋움"/>
        <family val="3"/>
        <charset val="129"/>
      </rPr>
      <t xml:space="preserve">-10</t>
    </r>
    <r>
      <rPr>
        <sz val="11"/>
        <rFont val="DejaVu Sans"/>
        <family val="2"/>
      </rPr>
      <t xml:space="preserve">차 간부숙소 내부 페인트 도색</t>
    </r>
  </si>
  <si>
    <r>
      <rPr>
        <sz val="11"/>
        <rFont val="돋움"/>
        <family val="3"/>
        <charset val="129"/>
      </rPr>
      <t xml:space="preserve">24-3</t>
    </r>
    <r>
      <rPr>
        <sz val="11"/>
        <rFont val="DejaVu Sans"/>
        <family val="2"/>
      </rPr>
      <t xml:space="preserve">차 위임보수 </t>
    </r>
    <r>
      <rPr>
        <sz val="11"/>
        <rFont val="돋움"/>
        <family val="3"/>
        <charset val="129"/>
      </rPr>
      <t xml:space="preserve">111</t>
    </r>
    <r>
      <rPr>
        <sz val="11"/>
        <rFont val="DejaVu Sans"/>
        <family val="2"/>
      </rPr>
      <t xml:space="preserve">여단 </t>
    </r>
    <r>
      <rPr>
        <sz val="11"/>
        <rFont val="돋움"/>
        <family val="3"/>
        <charset val="129"/>
      </rPr>
      <t xml:space="preserve">3</t>
    </r>
    <r>
      <rPr>
        <sz val="11"/>
        <rFont val="DejaVu Sans"/>
        <family val="2"/>
      </rPr>
      <t xml:space="preserve">대대 지휘통제실 보수</t>
    </r>
  </si>
  <si>
    <r>
      <rPr>
        <sz val="11"/>
        <rFont val="DejaVu Sans"/>
        <family val="2"/>
      </rPr>
      <t xml:space="preserve">군서 상지리 인도교 철거공사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재해복구</t>
    </r>
    <r>
      <rPr>
        <sz val="11"/>
        <rFont val="돋움"/>
        <family val="3"/>
        <charset val="129"/>
      </rPr>
      <t xml:space="preserve">)</t>
    </r>
  </si>
  <si>
    <t xml:space="preserve">옥천읍 행정복지센터 외벽 및 옥상 방수공사</t>
  </si>
  <si>
    <r>
      <rPr>
        <sz val="11"/>
        <rFont val="DejaVu Sans"/>
        <family val="2"/>
      </rPr>
      <t xml:space="preserve">안남초 외 </t>
    </r>
    <r>
      <rPr>
        <sz val="11"/>
        <rFont val="돋움"/>
        <family val="3"/>
        <charset val="129"/>
      </rPr>
      <t xml:space="preserve">1</t>
    </r>
    <r>
      <rPr>
        <sz val="11"/>
        <rFont val="DejaVu Sans"/>
        <family val="2"/>
      </rPr>
      <t xml:space="preserve">교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청산중</t>
    </r>
    <r>
      <rPr>
        <sz val="11"/>
        <rFont val="돋움"/>
        <family val="3"/>
        <charset val="129"/>
      </rPr>
      <t xml:space="preserve">)</t>
    </r>
    <r>
      <rPr>
        <sz val="11"/>
        <rFont val="DejaVu Sans"/>
        <family val="2"/>
      </rPr>
      <t xml:space="preserve">방수 및 기타공사</t>
    </r>
  </si>
  <si>
    <t xml:space="preserve">충청북도 도계조형물 변경설치공사</t>
  </si>
  <si>
    <r>
      <rPr>
        <sz val="11"/>
        <rFont val="DejaVu Sans"/>
        <family val="2"/>
      </rPr>
      <t xml:space="preserve">공공건축물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묘금보건진료소</t>
    </r>
    <r>
      <rPr>
        <sz val="11"/>
        <rFont val="돋움"/>
        <family val="3"/>
        <charset val="129"/>
      </rPr>
      <t xml:space="preserve">) </t>
    </r>
    <r>
      <rPr>
        <sz val="11"/>
        <rFont val="DejaVu Sans"/>
        <family val="2"/>
      </rPr>
      <t xml:space="preserve">그린리모델링사업 공사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건축</t>
    </r>
    <r>
      <rPr>
        <sz val="11"/>
        <rFont val="돋움"/>
        <family val="3"/>
        <charset val="129"/>
      </rPr>
      <t xml:space="preserve">-</t>
    </r>
    <r>
      <rPr>
        <sz val="11"/>
        <rFont val="DejaVu Sans"/>
        <family val="2"/>
      </rPr>
      <t xml:space="preserve">기계</t>
    </r>
    <r>
      <rPr>
        <sz val="11"/>
        <rFont val="돋움"/>
        <family val="3"/>
        <charset val="129"/>
      </rPr>
      <t xml:space="preserve">)</t>
    </r>
  </si>
  <si>
    <r>
      <rPr>
        <sz val="11"/>
        <rFont val="DejaVu Sans"/>
        <family val="2"/>
      </rPr>
      <t xml:space="preserve">충주고 외 </t>
    </r>
    <r>
      <rPr>
        <sz val="11"/>
        <rFont val="돋움"/>
        <family val="3"/>
        <charset val="129"/>
      </rPr>
      <t xml:space="preserve">1</t>
    </r>
    <r>
      <rPr>
        <sz val="11"/>
        <rFont val="DejaVu Sans"/>
        <family val="2"/>
      </rPr>
      <t xml:space="preserve">교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용산초</t>
    </r>
    <r>
      <rPr>
        <sz val="11"/>
        <rFont val="돋움"/>
        <family val="3"/>
        <charset val="129"/>
      </rPr>
      <t xml:space="preserve">) </t>
    </r>
    <r>
      <rPr>
        <sz val="11"/>
        <rFont val="DejaVu Sans"/>
        <family val="2"/>
      </rPr>
      <t xml:space="preserve">옥상방수 및 기타공사</t>
    </r>
  </si>
  <si>
    <r>
      <rPr>
        <sz val="11"/>
        <rFont val="DejaVu Sans"/>
        <family val="2"/>
      </rPr>
      <t xml:space="preserve">영동산과고 다목적교실외 </t>
    </r>
    <r>
      <rPr>
        <sz val="11"/>
        <rFont val="돋움"/>
        <family val="3"/>
        <charset val="129"/>
      </rPr>
      <t xml:space="preserve">2</t>
    </r>
    <r>
      <rPr>
        <sz val="11"/>
        <rFont val="DejaVu Sans"/>
        <family val="2"/>
      </rPr>
      <t xml:space="preserve">동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급식소</t>
    </r>
    <r>
      <rPr>
        <sz val="11"/>
        <rFont val="돋움"/>
        <family val="3"/>
        <charset val="129"/>
      </rPr>
      <t xml:space="preserve">,</t>
    </r>
    <r>
      <rPr>
        <sz val="11"/>
        <rFont val="DejaVu Sans"/>
        <family val="2"/>
      </rPr>
      <t xml:space="preserve">농민합숙소</t>
    </r>
    <r>
      <rPr>
        <sz val="11"/>
        <rFont val="돋움"/>
        <family val="3"/>
        <charset val="129"/>
      </rPr>
      <t xml:space="preserve">)</t>
    </r>
    <r>
      <rPr>
        <sz val="11"/>
        <rFont val="DejaVu Sans"/>
        <family val="2"/>
      </rPr>
      <t xml:space="preserve">외벽보수공사</t>
    </r>
  </si>
  <si>
    <r>
      <rPr>
        <sz val="11"/>
        <rFont val="돋움"/>
        <family val="3"/>
        <charset val="129"/>
      </rPr>
      <t xml:space="preserve">24-</t>
    </r>
    <r>
      <rPr>
        <sz val="11"/>
        <rFont val="DejaVu Sans"/>
        <family val="2"/>
      </rPr>
      <t xml:space="preserve">충</t>
    </r>
    <r>
      <rPr>
        <sz val="11"/>
        <rFont val="돋움"/>
        <family val="3"/>
        <charset val="129"/>
      </rPr>
      <t xml:space="preserve">-</t>
    </r>
    <r>
      <rPr>
        <sz val="11"/>
        <rFont val="DejaVu Sans"/>
        <family val="2"/>
      </rPr>
      <t xml:space="preserve">육</t>
    </r>
    <r>
      <rPr>
        <sz val="11"/>
        <rFont val="돋움"/>
        <family val="3"/>
        <charset val="129"/>
      </rPr>
      <t xml:space="preserve">-18B </t>
    </r>
    <r>
      <rPr>
        <sz val="11"/>
        <rFont val="DejaVu Sans"/>
        <family val="2"/>
      </rPr>
      <t xml:space="preserve">유휴시설절거</t>
    </r>
    <r>
      <rPr>
        <sz val="11"/>
        <rFont val="돋움"/>
        <family val="3"/>
        <charset val="129"/>
      </rPr>
      <t xml:space="preserve">-</t>
    </r>
    <r>
      <rPr>
        <sz val="11"/>
        <rFont val="DejaVu Sans"/>
        <family val="2"/>
      </rPr>
      <t xml:space="preserve">시설공사</t>
    </r>
  </si>
  <si>
    <r>
      <rPr>
        <sz val="11"/>
        <rFont val="DejaVu Sans"/>
        <family val="2"/>
      </rPr>
      <t xml:space="preserve">무병묘 바이러스 검정 온실 신축공사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건축</t>
    </r>
    <r>
      <rPr>
        <sz val="11"/>
        <rFont val="돋움"/>
        <family val="3"/>
        <charset val="129"/>
      </rPr>
      <t xml:space="preserve">)</t>
    </r>
  </si>
  <si>
    <t xml:space="preserve">청주수거사업소 사무동 및 공장동 철거 공사</t>
  </si>
  <si>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가칭</t>
    </r>
    <r>
      <rPr>
        <sz val="11"/>
        <rFont val="돋움"/>
        <family val="3"/>
        <charset val="129"/>
      </rPr>
      <t xml:space="preserve">)</t>
    </r>
    <r>
      <rPr>
        <sz val="11"/>
        <rFont val="DejaVu Sans"/>
        <family val="2"/>
      </rPr>
      <t xml:space="preserve">충북 늘봄형 미래거점센터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제천</t>
    </r>
    <r>
      <rPr>
        <sz val="11"/>
        <rFont val="돋움"/>
        <family val="3"/>
        <charset val="129"/>
      </rPr>
      <t xml:space="preserve">) </t>
    </r>
    <r>
      <rPr>
        <sz val="11"/>
        <rFont val="DejaVu Sans"/>
        <family val="2"/>
      </rPr>
      <t xml:space="preserve">구축공사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계속비공사</t>
    </r>
    <r>
      <rPr>
        <sz val="11"/>
        <rFont val="돋움"/>
        <family val="3"/>
        <charset val="129"/>
      </rPr>
      <t xml:space="preserve">)</t>
    </r>
  </si>
  <si>
    <t xml:space="preserve">인우건설㈜</t>
  </si>
  <si>
    <r>
      <rPr>
        <sz val="11"/>
        <rFont val="DejaVu Sans"/>
        <family val="2"/>
      </rPr>
      <t xml:space="preserve">청산버스공영정류장 확장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철거</t>
    </r>
    <r>
      <rPr>
        <sz val="11"/>
        <rFont val="돋움"/>
        <family val="3"/>
        <charset val="129"/>
      </rPr>
      <t xml:space="preserve">)</t>
    </r>
    <r>
      <rPr>
        <sz val="11"/>
        <rFont val="DejaVu Sans"/>
        <family val="2"/>
      </rPr>
      <t xml:space="preserve">공사</t>
    </r>
  </si>
  <si>
    <r>
      <rPr>
        <sz val="11"/>
        <rFont val="DejaVu Sans"/>
        <family val="2"/>
      </rPr>
      <t xml:space="preserve">국립한국교통대학교 화학생명관 석면제거공사</t>
    </r>
    <r>
      <rPr>
        <sz val="11"/>
        <rFont val="돋움"/>
        <family val="3"/>
        <charset val="129"/>
      </rPr>
      <t xml:space="preserve">(2</t>
    </r>
    <r>
      <rPr>
        <sz val="11"/>
        <rFont val="DejaVu Sans"/>
        <family val="2"/>
      </rPr>
      <t xml:space="preserve">차</t>
    </r>
    <r>
      <rPr>
        <sz val="11"/>
        <rFont val="돋움"/>
        <family val="3"/>
        <charset val="129"/>
      </rPr>
      <t xml:space="preserve">)</t>
    </r>
  </si>
  <si>
    <r>
      <rPr>
        <sz val="21"/>
        <rFont val="돋움"/>
        <family val="3"/>
        <charset val="129"/>
      </rPr>
      <t xml:space="preserve">2025</t>
    </r>
    <r>
      <rPr>
        <sz val="21"/>
        <rFont val="DejaVu Sans"/>
        <family val="2"/>
      </rPr>
      <t xml:space="preserve">년 노무비 작성월 </t>
    </r>
    <r>
      <rPr>
        <sz val="21"/>
        <rFont val="돋움"/>
        <family val="3"/>
        <charset val="129"/>
      </rPr>
      <t xml:space="preserve">(</t>
    </r>
    <r>
      <rPr>
        <sz val="21"/>
        <rFont val="DejaVu Sans"/>
        <family val="2"/>
      </rPr>
      <t xml:space="preserve">타업체</t>
    </r>
    <r>
      <rPr>
        <sz val="21"/>
        <rFont val="돋움"/>
        <family val="3"/>
        <charset val="129"/>
      </rPr>
      <t xml:space="preserve">)</t>
    </r>
  </si>
  <si>
    <t xml:space="preserve">지엘선㈜</t>
  </si>
  <si>
    <r>
      <rPr>
        <sz val="11"/>
        <rFont val="돋움"/>
        <family val="3"/>
        <charset val="129"/>
      </rPr>
      <t xml:space="preserve">25-2</t>
    </r>
    <r>
      <rPr>
        <sz val="11"/>
        <rFont val="DejaVu Sans"/>
        <family val="2"/>
      </rPr>
      <t xml:space="preserve">차 주거대보수</t>
    </r>
    <r>
      <rPr>
        <sz val="11"/>
        <rFont val="돋움"/>
        <family val="3"/>
        <charset val="129"/>
      </rPr>
      <t xml:space="preserve">~~~~</t>
    </r>
  </si>
  <si>
    <t xml:space="preserve">계림㈜</t>
  </si>
  <si>
    <r>
      <rPr>
        <sz val="11"/>
        <rFont val="돋움"/>
        <family val="3"/>
        <charset val="129"/>
      </rPr>
      <t xml:space="preserve">25-4</t>
    </r>
    <r>
      <rPr>
        <sz val="11"/>
        <rFont val="DejaVu Sans"/>
        <family val="2"/>
      </rPr>
      <t xml:space="preserve">차 춘추</t>
    </r>
    <r>
      <rPr>
        <sz val="11"/>
        <rFont val="돋움"/>
        <family val="3"/>
        <charset val="129"/>
      </rPr>
      <t xml:space="preserve">~~~</t>
    </r>
  </si>
  <si>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DejaVu Sans"/>
        <family val="2"/>
      </rPr>
      <t xml:space="preserve">나산건설</t>
    </r>
  </si>
  <si>
    <r>
      <rPr>
        <sz val="11"/>
        <rFont val="돋움"/>
        <family val="3"/>
        <charset val="129"/>
      </rPr>
      <t xml:space="preserve">2025</t>
    </r>
    <r>
      <rPr>
        <sz val="11"/>
        <rFont val="DejaVu Sans"/>
        <family val="2"/>
      </rPr>
      <t xml:space="preserve">년 충북 영동군 슬레이트 처리 지원사업</t>
    </r>
    <r>
      <rPr>
        <sz val="11"/>
        <rFont val="돋움"/>
        <family val="3"/>
        <charset val="129"/>
      </rPr>
      <t xml:space="preserve">(3</t>
    </r>
    <r>
      <rPr>
        <sz val="11"/>
        <rFont val="DejaVu Sans"/>
        <family val="2"/>
      </rPr>
      <t xml:space="preserve">권역</t>
    </r>
    <r>
      <rPr>
        <sz val="11"/>
        <rFont val="돋움"/>
        <family val="3"/>
        <charset val="129"/>
      </rPr>
      <t xml:space="preserve">)</t>
    </r>
  </si>
  <si>
    <t xml:space="preserve">창신건설㈜</t>
  </si>
  <si>
    <r>
      <rPr>
        <sz val="11"/>
        <rFont val="돋움"/>
        <family val="3"/>
        <charset val="129"/>
      </rPr>
      <t xml:space="preserve">2/4 5</t>
    </r>
    <r>
      <rPr>
        <sz val="11"/>
        <rFont val="DejaVu Sans"/>
        <family val="2"/>
      </rPr>
      <t xml:space="preserve">차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영동</t>
    </r>
    <r>
      <rPr>
        <sz val="11"/>
        <rFont val="돋움"/>
        <family val="3"/>
        <charset val="129"/>
      </rPr>
      <t xml:space="preserve">)1</t>
    </r>
    <r>
      <rPr>
        <sz val="11"/>
        <rFont val="DejaVu Sans"/>
        <family val="2"/>
      </rPr>
      <t xml:space="preserve">경비중대 샤워실 방수공사</t>
    </r>
  </si>
  <si>
    <r>
      <rPr>
        <sz val="11"/>
        <rFont val="돋움"/>
        <family val="3"/>
        <charset val="129"/>
      </rPr>
      <t xml:space="preserve">3/4 8</t>
    </r>
    <r>
      <rPr>
        <sz val="11"/>
        <rFont val="DejaVu Sans"/>
        <family val="2"/>
      </rPr>
      <t xml:space="preserve">차</t>
    </r>
    <r>
      <rPr>
        <sz val="11"/>
        <rFont val="돋움"/>
        <family val="3"/>
        <charset val="129"/>
      </rPr>
      <t xml:space="preserve">-</t>
    </r>
    <r>
      <rPr>
        <sz val="11"/>
        <rFont val="DejaVu Sans"/>
        <family val="2"/>
      </rPr>
      <t xml:space="preserve">주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영동</t>
    </r>
    <r>
      <rPr>
        <sz val="11"/>
        <rFont val="돋움"/>
        <family val="3"/>
        <charset val="129"/>
      </rPr>
      <t xml:space="preserve">)</t>
    </r>
    <r>
      <rPr>
        <sz val="11"/>
        <rFont val="DejaVu Sans"/>
        <family val="2"/>
      </rPr>
      <t xml:space="preserve">양강마을 외부 보수공사</t>
    </r>
  </si>
  <si>
    <r>
      <rPr>
        <sz val="11"/>
        <rFont val="DejaVu Sans"/>
        <family val="2"/>
      </rPr>
      <t xml:space="preserve">재난예방</t>
    </r>
    <r>
      <rPr>
        <sz val="11"/>
        <rFont val="돋움"/>
        <family val="3"/>
        <charset val="129"/>
      </rPr>
      <t xml:space="preserve">-2</t>
    </r>
    <r>
      <rPr>
        <sz val="11"/>
        <rFont val="DejaVu Sans"/>
        <family val="2"/>
      </rPr>
      <t xml:space="preserve">차 </t>
    </r>
    <r>
      <rPr>
        <sz val="11"/>
        <rFont val="돋움"/>
        <family val="3"/>
        <charset val="129"/>
      </rPr>
      <t xml:space="preserve">00</t>
    </r>
    <r>
      <rPr>
        <sz val="11"/>
        <rFont val="DejaVu Sans"/>
        <family val="2"/>
      </rPr>
      <t xml:space="preserve">부대 예비군훈련대 법사면 공사</t>
    </r>
  </si>
  <si>
    <t xml:space="preserve">㈜민호</t>
  </si>
  <si>
    <t xml:space="preserve">㈜중앙기업사</t>
  </si>
  <si>
    <r>
      <rPr>
        <sz val="11"/>
        <rFont val="DejaVu Sans"/>
        <family val="2"/>
      </rPr>
      <t xml:space="preserve">영동읍 회동리 </t>
    </r>
    <r>
      <rPr>
        <sz val="11"/>
        <rFont val="돋움"/>
        <family val="3"/>
        <charset val="129"/>
      </rPr>
      <t xml:space="preserve">(</t>
    </r>
    <r>
      <rPr>
        <sz val="11"/>
        <rFont val="DejaVu Sans"/>
        <family val="2"/>
      </rPr>
      <t xml:space="preserve">새동네</t>
    </r>
    <r>
      <rPr>
        <sz val="11"/>
        <rFont val="돋움"/>
        <family val="3"/>
        <charset val="129"/>
      </rPr>
      <t xml:space="preserve">) </t>
    </r>
    <r>
      <rPr>
        <sz val="11"/>
        <rFont val="DejaVu Sans"/>
        <family val="2"/>
      </rPr>
      <t xml:space="preserve">공공하수도 설치사업</t>
    </r>
  </si>
  <si>
    <t xml:space="preserve">대신건설산업㈜</t>
  </si>
  <si>
    <t xml:space="preserve">정수중 소규모옥외체육관 증축공사</t>
  </si>
  <si>
    <t xml:space="preserve">결
재</t>
  </si>
  <si>
    <t xml:space="preserve">담 당</t>
  </si>
  <si>
    <t xml:space="preserve">과장</t>
  </si>
  <si>
    <t xml:space="preserve">부장</t>
  </si>
  <si>
    <t xml:space="preserve">이사</t>
  </si>
  <si>
    <t xml:space="preserve">대표이사</t>
  </si>
  <si>
    <t xml:space="preserve">지
출
여
부</t>
  </si>
  <si>
    <t xml:space="preserve">/</t>
  </si>
</sst>
</file>

<file path=xl/styles.xml><?xml version="1.0" encoding="utf-8"?>
<styleSheet xmlns="http://schemas.openxmlformats.org/spreadsheetml/2006/main">
  <numFmts count="65">
    <numFmt numFmtId="164" formatCode="General"/>
    <numFmt numFmtId="165" formatCode="#,##0"/>
    <numFmt numFmtId="166" formatCode="0%"/>
    <numFmt numFmtId="167" formatCode="_-* #,##0.00_-;\-* #,##0.00_-;_-* \-??_-;_-@_-"/>
    <numFmt numFmtId="168" formatCode="_-* #,##0_-;\-* #,##0_-;_-* \-_-;_-@_-"/>
    <numFmt numFmtId="169" formatCode="_ \₩* #,##0_ ;_ \₩* \-#,##0_ ;_ \₩* \-_ ;_ @_ "/>
    <numFmt numFmtId="170" formatCode="_ \₩* #,##0.00_ ;_ \₩* \-#,##0.00_ ;_ \₩* \-??_ ;_ @_ "/>
    <numFmt numFmtId="171" formatCode="_ * #,##0.00_ ;_ * \-#,##0.00_ ;_ * \-??_ ;_ @_ "/>
    <numFmt numFmtId="172" formatCode="#,##0.00"/>
    <numFmt numFmtId="173" formatCode="[$-409]#,##0_);[RED]\(#,##0\)"/>
    <numFmt numFmtId="174" formatCode="yyyy&quot;年₩₩₩₩ &quot;mm&quot;月₩₩₩₩ &quot;dd\日"/>
    <numFmt numFmtId="175" formatCode="\(General\)"/>
    <numFmt numFmtId="176" formatCode="\$#,##0_);[RED]&quot;($&quot;#,##0\)"/>
    <numFmt numFmtId="177" formatCode="\₩#,##0.00;&quot;₩-&quot;#,##0.00"/>
    <numFmt numFmtId="178" formatCode="_(\$* #,##0.00_);_(\$* \(#,##0.00\);_(\$* \-??_);_(@_)"/>
    <numFmt numFmtId="179" formatCode="0.00000"/>
    <numFmt numFmtId="180" formatCode="_-* #,##0\ _D_M_-;\-* #,##0\ _D_M_-;_-* &quot;- &quot;_D_M_-;_-@_-"/>
    <numFmt numFmtId="181" formatCode="_-* #,##0.00\ _D_M_-;\-* #,##0.00\ _D_M_-;_-* \-??\ _D_M_-;_-@_-"/>
    <numFmt numFmtId="182" formatCode="#,##0.000000000;[RED]\-#,##0.000000000"/>
    <numFmt numFmtId="183" formatCode="##\/##\/##"/>
    <numFmt numFmtId="184" formatCode="#,##0&quot; Km&quot;"/>
    <numFmt numFmtId="185" formatCode="General_)"/>
    <numFmt numFmtId="186" formatCode="_ * #,##0_ ;_ * \-#,##0_ ;_ * \-_ ;_ @_ "/>
    <numFmt numFmtId="187" formatCode="[$-409]#,##0_);\(#,##0\)"/>
    <numFmt numFmtId="188" formatCode="0_ "/>
    <numFmt numFmtId="189" formatCode="#,##0&quot;Km&quot;"/>
    <numFmt numFmtId="190" formatCode="0.00%"/>
    <numFmt numFmtId="191" formatCode="0.0_)"/>
    <numFmt numFmtId="192" formatCode="_-* #,##0&quot; DM&quot;_-;\-* #,##0&quot; DM&quot;_-;_-* &quot;- DM&quot;_-;_-@_-"/>
    <numFmt numFmtId="193" formatCode="_-* #,##0.00&quot; DM&quot;_-;\-* #,##0.00&quot; DM&quot;_-;_-* \-??&quot; DM&quot;_-;_-@_-"/>
    <numFmt numFmtId="194" formatCode="[$-409]#,##0.00_);[RED]\(#,##0.00\)"/>
    <numFmt numFmtId="195" formatCode="0.0%;[RED]\-0.0%"/>
    <numFmt numFmtId="196" formatCode="0.00%;[RED]\-0.00%"/>
    <numFmt numFmtId="197" formatCode="[RED]#,##0"/>
    <numFmt numFmtId="198" formatCode="#,##0;[RED]\-#,##0"/>
    <numFmt numFmtId="199" formatCode="_-* #,##0_-;&quot;₩!-&quot;* #,##0_-;_-* \-_-;_-@_-"/>
    <numFmt numFmtId="200" formatCode="#,##0_ "/>
    <numFmt numFmtId="201" formatCode="0_);[RED]\(0\)"/>
    <numFmt numFmtId="202" formatCode="#,##0.00_ "/>
    <numFmt numFmtId="203" formatCode="#,##0.#####\ ;[RED]\-#,##0.#####\ "/>
    <numFmt numFmtId="204" formatCode="#,##0\ ;[RED]\-#,##0\ "/>
    <numFmt numFmtId="205" formatCode="#,##0\ ;[RED]\△#,##0\ "/>
    <numFmt numFmtId="206" formatCode="* #,##0\ ;[RED]* \△#,##0\ ;* @"/>
    <numFmt numFmtId="207" formatCode="#,##0.####;[RED]\△#,##0.####"/>
    <numFmt numFmtId="208" formatCode="#,##0.00##;[RED]\△#,##0.00##"/>
    <numFmt numFmtId="209" formatCode="#,##0.000_);[RED]\(#,##0.000\)"/>
    <numFmt numFmtId="210" formatCode="\₩#,##0;[RED]&quot;₩-&quot;#,##0"/>
    <numFmt numFmtId="211" formatCode="_-* #,##0_-;\-* #,##0_-;_-* \-??_-;_-@_-"/>
    <numFmt numFmtId="212" formatCode="000000\-0000000"/>
    <numFmt numFmtId="213" formatCode="0.0_);[RED]\(0.0\)"/>
    <numFmt numFmtId="214" formatCode="yyyy&quot;년 &quot;mm&quot;월 &quot;"/>
    <numFmt numFmtId="215" formatCode="0.0%"/>
    <numFmt numFmtId="216" formatCode="0.000%"/>
    <numFmt numFmtId="217" formatCode="yyyy&quot;년 &quot;mm&quot;월 &quot;dd&quot;일 &quot;AAAA"/>
    <numFmt numFmtId="218" formatCode="\ dd\일"/>
    <numFmt numFmtId="219" formatCode="\$#,##0.00;;;"/>
    <numFmt numFmtId="220" formatCode="_-* #,##0.0_-;\-* #,##0.0_-;_-* \-_-;_-@_-"/>
    <numFmt numFmtId="221" formatCode="0.0"/>
    <numFmt numFmtId="222" formatCode="0.0_ "/>
    <numFmt numFmtId="223" formatCode="0##\-####\-####"/>
    <numFmt numFmtId="224" formatCode="@"/>
    <numFmt numFmtId="225" formatCode="&quot;&quot;"/>
    <numFmt numFmtId="226" formatCode="_-\₩* #,##0_-;&quot;-₩&quot;* #,##0_-;_-\₩* \-_-;_-@_-"/>
    <numFmt numFmtId="227" formatCode="[$-409]m/d/yyyy"/>
    <numFmt numFmtId="228" formatCode="mm\/dd"/>
  </numFmts>
  <fonts count="120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돋움체"/>
      <family val="3"/>
      <charset val="129"/>
    </font>
    <font>
      <sz val="12"/>
      <name val="바탕체"/>
      <family val="1"/>
      <charset val="129"/>
    </font>
    <font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0"/>
      <name val="MS Sans Serif"/>
      <family val="2"/>
    </font>
    <font>
      <sz val="9"/>
      <name val="Arial"/>
      <family val="2"/>
    </font>
    <font>
      <b val="true"/>
      <sz val="10"/>
      <name val="Arial"/>
      <family val="2"/>
    </font>
    <font>
      <sz val="1"/>
      <color rgb="FF000000"/>
      <name val="Courier New"/>
      <family val="3"/>
    </font>
    <font>
      <sz val="12"/>
      <name val="System"/>
      <family val="2"/>
      <charset val="129"/>
    </font>
    <font>
      <sz val="8"/>
      <name val="¹UAAA¼"/>
      <family val="3"/>
      <charset val="129"/>
    </font>
    <font>
      <sz val="11"/>
      <name val="굴림"/>
      <family val="3"/>
      <charset val="129"/>
    </font>
    <font>
      <i val="true"/>
      <sz val="1"/>
      <color rgb="FF000000"/>
      <name val="Courier New"/>
      <family val="3"/>
    </font>
    <font>
      <u val="single"/>
      <sz val="8.5"/>
      <color rgb="FF800080"/>
      <name val="바탕체"/>
      <family val="1"/>
      <charset val="129"/>
    </font>
    <font>
      <sz val="8"/>
      <name val="Arial"/>
      <family val="2"/>
    </font>
    <font>
      <b val="true"/>
      <i val="true"/>
      <sz val="11"/>
      <name val="Times New Roman"/>
      <family val="1"/>
    </font>
    <font>
      <b val="true"/>
      <i val="true"/>
      <sz val="10"/>
      <name val="Times New Roman"/>
      <family val="1"/>
    </font>
    <font>
      <b val="true"/>
      <sz val="12"/>
      <name val="Arial"/>
      <family val="2"/>
    </font>
    <font>
      <b val="true"/>
      <sz val="18"/>
      <name val="Arial"/>
      <family val="2"/>
    </font>
    <font>
      <u val="single"/>
      <sz val="8.5"/>
      <color rgb="FF0000FF"/>
      <name val="바탕체"/>
      <family val="1"/>
      <charset val="129"/>
    </font>
    <font>
      <b val="true"/>
      <i val="true"/>
      <sz val="12"/>
      <name val="Times New Roman"/>
      <family val="1"/>
    </font>
    <font>
      <b val="true"/>
      <sz val="11"/>
      <name val="Arial"/>
      <family val="2"/>
    </font>
    <font>
      <sz val="7"/>
      <name val="Small Fonts"/>
      <family val="2"/>
    </font>
    <font>
      <b val="true"/>
      <i val="true"/>
      <sz val="9"/>
      <name val="Times New Roman"/>
      <family val="1"/>
    </font>
    <font>
      <b val="true"/>
      <u val="single"/>
      <sz val="13"/>
      <name val="굴림체"/>
      <family val="3"/>
      <charset val="129"/>
    </font>
    <font>
      <sz val="12"/>
      <name val="굴림체"/>
      <family val="3"/>
      <charset val="129"/>
    </font>
    <font>
      <sz val="8"/>
      <name val="바탕체"/>
      <family val="1"/>
      <charset val="129"/>
    </font>
    <font>
      <sz val="12"/>
      <name val="¹ÙÅÁÃ¼"/>
      <family val="3"/>
      <charset val="129"/>
    </font>
    <font>
      <sz val="11"/>
      <name val="굴림체"/>
      <family val="3"/>
      <charset val="129"/>
    </font>
    <font>
      <b val="true"/>
      <sz val="1"/>
      <color rgb="FF000000"/>
      <name val="Courier New"/>
      <family val="3"/>
    </font>
    <font>
      <sz val="12"/>
      <name val="명조"/>
      <family val="3"/>
      <charset val="129"/>
    </font>
    <font>
      <sz val="12"/>
      <name val="궁서체"/>
      <family val="1"/>
      <charset val="129"/>
    </font>
    <font>
      <sz val="8"/>
      <name val="돋움"/>
      <family val="3"/>
      <charset val="129"/>
    </font>
    <font>
      <u val="single"/>
      <sz val="10"/>
      <color rgb="FFFF00FF"/>
      <name val="MS Sans Serif"/>
      <family val="2"/>
    </font>
    <font>
      <sz val="8"/>
      <color rgb="FF000000"/>
      <name val="돋움체"/>
      <family val="3"/>
      <charset val="129"/>
    </font>
    <font>
      <sz val="11"/>
      <color rgb="FF000000"/>
      <name val="돋움"/>
      <family val="3"/>
      <charset val="129"/>
    </font>
    <font>
      <sz val="12"/>
      <name val="뼻뮝"/>
      <family val="3"/>
      <charset val="129"/>
    </font>
    <font>
      <b val="true"/>
      <sz val="12"/>
      <color rgb="FF800000"/>
      <name val="굴림체"/>
      <family val="3"/>
      <charset val="129"/>
    </font>
    <font>
      <sz val="12"/>
      <color rgb="FF000000"/>
      <name val="돋움체"/>
      <family val="3"/>
      <charset val="129"/>
    </font>
    <font>
      <sz val="11"/>
      <name val="맑은 고딕"/>
      <family val="3"/>
      <charset val="129"/>
    </font>
    <font>
      <sz val="10"/>
      <name val="명조"/>
      <family val="3"/>
      <charset val="129"/>
    </font>
    <font>
      <sz val="10"/>
      <color rgb="FF0000FF"/>
      <name val="굴림체"/>
      <family val="3"/>
      <charset val="129"/>
    </font>
    <font>
      <sz val="11"/>
      <name val="바탕체"/>
      <family val="1"/>
      <charset val="129"/>
    </font>
    <font>
      <sz val="11"/>
      <color rgb="FF000000"/>
      <name val="맑은 고딕"/>
      <family val="3"/>
      <charset val="129"/>
    </font>
    <font>
      <u val="single"/>
      <sz val="11"/>
      <color rgb="FF0000FF"/>
      <name val="돋움"/>
      <family val="3"/>
      <charset val="129"/>
    </font>
    <font>
      <sz val="12"/>
      <color rgb="FF000080"/>
      <name val="돋움체"/>
      <family val="3"/>
      <charset val="129"/>
    </font>
    <font>
      <sz val="7.5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 val="true"/>
      <sz val="12"/>
      <name val="DejaVu Sans"/>
      <family val="2"/>
    </font>
    <font>
      <b val="true"/>
      <sz val="12"/>
      <color rgb="FF000000"/>
      <name val="DejaVu Sans"/>
      <family val="2"/>
    </font>
    <font>
      <b val="true"/>
      <sz val="12"/>
      <name val="맑은 고딕"/>
      <family val="3"/>
      <charset val="129"/>
    </font>
    <font>
      <b val="true"/>
      <sz val="12"/>
      <color rgb="FFFFFFFF"/>
      <name val="맑은 고딕"/>
      <family val="3"/>
      <charset val="129"/>
    </font>
    <font>
      <b val="true"/>
      <sz val="12"/>
      <color rgb="FF000000"/>
      <name val="맑은 고딕"/>
      <family val="3"/>
      <charset val="129"/>
    </font>
    <font>
      <b val="true"/>
      <sz val="12"/>
      <color rgb="FF99CCFF"/>
      <name val="DejaVu Sans"/>
      <family val="2"/>
    </font>
    <font>
      <sz val="13"/>
      <name val="맑은 고딕"/>
      <family val="3"/>
      <charset val="129"/>
    </font>
    <font>
      <sz val="13"/>
      <name val="DejaVu Sans"/>
      <family val="2"/>
    </font>
    <font>
      <sz val="10"/>
      <name val="DejaVu Sans"/>
      <family val="2"/>
    </font>
    <font>
      <sz val="10"/>
      <color rgb="FF000000"/>
      <name val="DejaVu Sans"/>
      <family val="2"/>
    </font>
    <font>
      <sz val="10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0"/>
      <color rgb="FFFF0000"/>
      <name val="DejaVu Sans"/>
      <family val="2"/>
    </font>
    <font>
      <sz val="10"/>
      <color rgb="FFFF0000"/>
      <name val="맑은 고딕"/>
      <family val="3"/>
      <charset val="129"/>
    </font>
    <font>
      <sz val="13"/>
      <color rgb="FF99CCFF"/>
      <name val="DejaVu Sans"/>
      <family val="2"/>
    </font>
    <font>
      <sz val="10"/>
      <name val="맑은 고딕"/>
      <family val="3"/>
      <charset val="129"/>
    </font>
    <font>
      <sz val="13"/>
      <color rgb="FF99CCFF"/>
      <name val="맑은 고딕"/>
      <family val="3"/>
      <charset val="129"/>
    </font>
    <font>
      <sz val="11"/>
      <name val="DejaVu Sans"/>
      <family val="2"/>
    </font>
    <font>
      <b val="true"/>
      <sz val="11"/>
      <name val="DejaVu Sans"/>
      <family val="2"/>
    </font>
    <font>
      <b val="true"/>
      <sz val="9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 val="true"/>
      <sz val="10"/>
      <name val="맑은 고딕"/>
      <family val="3"/>
      <charset val="129"/>
    </font>
    <font>
      <b val="true"/>
      <sz val="10"/>
      <color rgb="FFFF0000"/>
      <name val="맑은 고딕"/>
      <family val="3"/>
      <charset val="129"/>
    </font>
    <font>
      <b val="true"/>
      <sz val="10"/>
      <color rgb="FF0000FF"/>
      <name val="맑은 고딕"/>
      <family val="3"/>
      <charset val="129"/>
    </font>
    <font>
      <b val="true"/>
      <sz val="10"/>
      <color rgb="FF000000"/>
      <name val="맑은 고딕"/>
      <family val="3"/>
      <charset val="129"/>
    </font>
    <font>
      <sz val="8"/>
      <name val="맑은 고딕"/>
      <family val="3"/>
      <charset val="129"/>
    </font>
    <font>
      <b val="true"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1"/>
      <color rgb="FFFFFFFF"/>
      <name val="맑은 고딕"/>
      <family val="3"/>
      <charset val="129"/>
    </font>
    <font>
      <b val="true"/>
      <sz val="9"/>
      <name val="맑은 고딕"/>
      <family val="3"/>
      <charset val="129"/>
    </font>
    <font>
      <b val="true"/>
      <sz val="9"/>
      <color rgb="FF000000"/>
      <name val="DejaVu Sans"/>
      <family val="2"/>
    </font>
    <font>
      <b val="true"/>
      <sz val="9"/>
      <color rgb="FF000000"/>
      <name val="Tahoma"/>
      <family val="2"/>
    </font>
    <font>
      <sz val="9"/>
      <color rgb="FF000000"/>
      <name val="Tahoma"/>
      <family val="2"/>
    </font>
    <font>
      <b val="true"/>
      <sz val="10"/>
      <name val="DejaVu Sans"/>
      <family val="2"/>
    </font>
    <font>
      <b val="true"/>
      <sz val="10"/>
      <color rgb="FF000000"/>
      <name val="DejaVu Sans"/>
      <family val="2"/>
    </font>
    <font>
      <b val="true"/>
      <sz val="10"/>
      <color rgb="FF99CCFF"/>
      <name val="DejaVu Sans"/>
      <family val="2"/>
    </font>
    <font>
      <sz val="10"/>
      <color rgb="FF339966"/>
      <name val="DejaVu Sans"/>
      <family val="2"/>
    </font>
    <font>
      <b val="true"/>
      <sz val="9"/>
      <color rgb="FF339966"/>
      <name val="DejaVu Sans"/>
      <family val="2"/>
    </font>
    <font>
      <sz val="10"/>
      <color rgb="FFFF6600"/>
      <name val="DejaVu Sans"/>
      <family val="2"/>
    </font>
    <font>
      <sz val="10"/>
      <color rgb="FFFF6600"/>
      <name val="맑은 고딕"/>
      <family val="3"/>
      <charset val="129"/>
    </font>
    <font>
      <sz val="10"/>
      <color rgb="FF33CCCC"/>
      <name val="DejaVu Sans"/>
      <family val="2"/>
    </font>
    <font>
      <sz val="24"/>
      <name val="DejaVu Sans"/>
      <family val="2"/>
    </font>
    <font>
      <sz val="24"/>
      <name val="바탕체"/>
      <family val="1"/>
      <charset val="129"/>
    </font>
    <font>
      <sz val="14"/>
      <name val="바탕체"/>
      <family val="1"/>
      <charset val="129"/>
    </font>
    <font>
      <sz val="10"/>
      <name val="바탕체"/>
      <family val="1"/>
      <charset val="129"/>
    </font>
    <font>
      <sz val="10"/>
      <color rgb="FF000000"/>
      <name val="바탕체"/>
      <family val="1"/>
      <charset val="129"/>
    </font>
    <font>
      <sz val="11"/>
      <color rgb="FF000000"/>
      <name val="DejaVu Sans"/>
      <family val="2"/>
    </font>
    <font>
      <b val="true"/>
      <sz val="11"/>
      <name val="맑은 고딕"/>
      <family val="3"/>
      <charset val="129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9"/>
      <color rgb="FF000000"/>
      <name val="맑은 고딕"/>
      <family val="3"/>
      <charset val="129"/>
    </font>
    <font>
      <b val="true"/>
      <sz val="10"/>
      <color rgb="FF0000FF"/>
      <name val="돋움"/>
      <family val="3"/>
      <charset val="129"/>
    </font>
    <font>
      <b val="true"/>
      <sz val="10"/>
      <color rgb="FFFF0000"/>
      <name val="돋움"/>
      <family val="3"/>
      <charset val="129"/>
    </font>
    <font>
      <u val="single"/>
      <sz val="9"/>
      <color rgb="FF0000FF"/>
      <name val="맑은 고딕"/>
      <family val="3"/>
      <charset val="129"/>
    </font>
    <font>
      <b val="true"/>
      <sz val="10"/>
      <color rgb="FF0000FF"/>
      <name val="DejaVu Sans"/>
      <family val="2"/>
    </font>
    <font>
      <sz val="10"/>
      <color rgb="FF0000FF"/>
      <name val="DejaVu Sans"/>
      <family val="2"/>
    </font>
    <font>
      <b val="true"/>
      <sz val="15"/>
      <color rgb="FF000000"/>
      <name val="DejaVu Sans"/>
      <family val="2"/>
    </font>
    <font>
      <sz val="15"/>
      <color rgb="FF000000"/>
      <name val="DejaVu Sans"/>
      <family val="2"/>
    </font>
    <font>
      <b val="true"/>
      <sz val="13"/>
      <color rgb="FF000000"/>
      <name val="DejaVu Sans"/>
      <family val="2"/>
    </font>
    <font>
      <sz val="9"/>
      <color rgb="FF000000"/>
      <name val="DejaVu Sans"/>
      <family val="2"/>
    </font>
    <font>
      <sz val="13"/>
      <color rgb="FF000000"/>
      <name val="DejaVu Sans"/>
      <family val="2"/>
    </font>
    <font>
      <sz val="9"/>
      <name val="DejaVu Sans"/>
      <family val="2"/>
    </font>
    <font>
      <sz val="8"/>
      <name val="DejaVu Sans"/>
      <family val="2"/>
    </font>
    <font>
      <sz val="21"/>
      <name val="돋움"/>
      <family val="3"/>
      <charset val="129"/>
    </font>
    <font>
      <sz val="21"/>
      <name val="DejaVu Sans"/>
      <family val="2"/>
    </font>
    <font>
      <sz val="11"/>
      <color rgb="FFFF0000"/>
      <name val="DejaVu Sans"/>
      <family val="2"/>
    </font>
    <font>
      <sz val="11"/>
      <color rgb="FFFF0000"/>
      <name val="돋움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99CC00"/>
        <bgColor rgb="FFFFCC00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FFFF99"/>
        <bgColor rgb="FFFFFFCC"/>
      </patternFill>
    </fill>
    <fill>
      <patternFill patternType="solid">
        <fgColor rgb="FFCC99FF"/>
        <bgColor rgb="FF9999FF"/>
      </patternFill>
    </fill>
    <fill>
      <patternFill patternType="solid">
        <fgColor rgb="FFCCCCFF"/>
        <bgColor rgb="FFC0C0C0"/>
      </patternFill>
    </fill>
    <fill>
      <patternFill patternType="solid">
        <fgColor rgb="FF800080"/>
        <bgColor rgb="FF800080"/>
      </patternFill>
    </fill>
  </fills>
  <borders count="6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 style="double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 style="double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medium"/>
      <top style="medium"/>
      <bottom style="medium"/>
      <diagonal/>
    </border>
    <border diagonalUp="true" diagonalDown="false">
      <left style="thin"/>
      <right style="thin"/>
      <top style="thin"/>
      <bottom style="thin"/>
      <diagonal style="hair"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medium"/>
      <top style="hair"/>
      <bottom style="hair"/>
      <diagonal/>
    </border>
    <border diagonalUp="false" diagonalDown="false">
      <left/>
      <right style="medium"/>
      <top/>
      <bottom style="hair"/>
      <diagonal/>
    </border>
    <border diagonalUp="false" diagonalDown="false">
      <left/>
      <right style="medium"/>
      <top style="hair"/>
      <bottom style="hair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hair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true" diagonalDown="false">
      <left style="thin"/>
      <right style="thin"/>
      <top style="thin"/>
      <bottom style="thin"/>
      <diagonal style="thin"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</borders>
  <cellStyleXfs count="4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168" fontId="0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8" fillId="0" borderId="0" applyFont="true" applyBorder="false" applyAlignment="false" applyProtection="false"/>
    <xf numFmtId="165" fontId="4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false" applyAlignment="false" applyProtection="false"/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false" applyProtection="false"/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false" applyProtection="false"/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false" applyProtection="false"/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false" applyProtection="false"/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70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70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71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false" applyProtection="true"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0" fillId="0" borderId="0" applyFont="true" applyBorder="false" applyAlignment="false" applyProtection="false"/>
    <xf numFmtId="17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false" applyProtection="false"/>
    <xf numFmtId="171" fontId="0" fillId="0" borderId="0" applyFont="true" applyBorder="false" applyAlignment="false" applyProtection="false"/>
    <xf numFmtId="175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6" fontId="0" fillId="0" borderId="0" applyFont="true" applyBorder="false" applyAlignment="false" applyProtection="false"/>
    <xf numFmtId="177" fontId="0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0" fillId="0" borderId="0" applyFont="true" applyBorder="false" applyAlignment="false" applyProtection="false"/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80" fontId="0" fillId="0" borderId="0" applyFont="true" applyBorder="false" applyAlignment="false" applyProtection="false"/>
    <xf numFmtId="181" fontId="0" fillId="0" borderId="0" applyFont="true" applyBorder="false" applyAlignment="false" applyProtection="false"/>
    <xf numFmtId="18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false" applyAlignment="false" applyProtection="false"/>
    <xf numFmtId="164" fontId="18" fillId="2" borderId="0" applyFont="true" applyBorder="false" applyAlignment="false" applyProtection="false"/>
    <xf numFmtId="164" fontId="19" fillId="0" borderId="0" applyFont="true" applyBorder="true" applyAlignment="false" applyProtection="true"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3" applyFont="true" applyBorder="true" applyAlignment="false" applyProtection="false"/>
    <xf numFmtId="164" fontId="21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applyFont="true" applyBorder="false" applyAlignment="false" applyProtection="false"/>
    <xf numFmtId="164" fontId="21" fillId="0" borderId="0" applyFont="true" applyBorder="false" applyAlignment="false" applyProtection="false"/>
    <xf numFmtId="184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84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3" fillId="0" borderId="0" applyFont="true" applyBorder="false" applyAlignment="false" applyProtection="false"/>
    <xf numFmtId="164" fontId="18" fillId="3" borderId="0" applyFont="true" applyBorder="false" applyAlignment="false" applyProtection="false"/>
    <xf numFmtId="185" fontId="2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86" fontId="0" fillId="0" borderId="0" applyFont="true" applyBorder="false" applyAlignment="false" applyProtection="false"/>
    <xf numFmtId="171" fontId="0" fillId="0" borderId="0" applyFont="true" applyBorder="false" applyAlignment="false" applyProtection="false"/>
    <xf numFmtId="164" fontId="25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87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center" vertical="center" textRotation="0" wrapText="false" indent="0" shrinkToFit="false"/>
    </xf>
    <xf numFmtId="18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0" fontId="0" fillId="0" borderId="0" applyFont="true" applyBorder="false" applyAlignment="false" applyProtection="false"/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7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0" applyFont="true" applyBorder="false" applyAlignment="true" applyProtection="false">
      <alignment horizontal="center" vertical="center" textRotation="0" wrapText="false" indent="0" shrinkToFit="false"/>
    </xf>
    <xf numFmtId="164" fontId="29" fillId="0" borderId="0" applyFont="true" applyBorder="false" applyAlignment="true" applyProtection="false">
      <alignment horizontal="center" vertical="center" textRotation="0" wrapText="false" indent="0" shrinkToFit="false"/>
    </xf>
    <xf numFmtId="184" fontId="0" fillId="0" borderId="6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92" fontId="0" fillId="0" borderId="0" applyFont="true" applyBorder="false" applyAlignment="false" applyProtection="false"/>
    <xf numFmtId="193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3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3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9" fillId="0" borderId="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0" borderId="0" applyFont="true" applyBorder="false" applyAlignment="true" applyProtection="false">
      <alignment horizontal="center" vertical="center" textRotation="0" wrapText="false" indent="0" shrinkToFit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7" fillId="0" borderId="0" applyFont="true" applyBorder="false" applyAlignment="false" applyProtection="false"/>
    <xf numFmtId="194" fontId="0" fillId="0" borderId="0" applyFont="true" applyBorder="false" applyAlignment="false" applyProtection="false"/>
    <xf numFmtId="173" fontId="0" fillId="0" borderId="0" applyFont="true" applyBorder="false" applyAlignment="false" applyProtection="false"/>
    <xf numFmtId="194" fontId="0" fillId="0" borderId="0" applyFont="true" applyBorder="false" applyAlignment="false" applyProtection="false"/>
    <xf numFmtId="173" fontId="0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distributed" vertical="center" textRotation="0" wrapText="false" indent="0" shrinkToFit="false"/>
    </xf>
    <xf numFmtId="166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false" applyProtection="false"/>
    <xf numFmtId="166" fontId="3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32" fillId="0" borderId="0" applyFont="true" applyBorder="false" applyAlignment="true" applyProtection="false">
      <alignment horizontal="right" vertical="bottom" textRotation="0" wrapText="false" indent="0" shrinkToFit="false"/>
    </xf>
    <xf numFmtId="190" fontId="32" fillId="0" borderId="0" applyFont="true" applyBorder="false" applyAlignment="true" applyProtection="false">
      <alignment horizontal="right" vertical="bottom" textRotation="0" wrapText="false" indent="0" shrinkToFit="false"/>
    </xf>
    <xf numFmtId="195" fontId="0" fillId="0" borderId="0" applyFont="true" applyBorder="false" applyAlignment="false" applyProtection="false"/>
    <xf numFmtId="196" fontId="0" fillId="0" borderId="0" applyFont="true" applyBorder="false" applyAlignment="false" applyProtection="false"/>
    <xf numFmtId="164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center" vertical="center" textRotation="0" wrapText="false" indent="0" shrinkToFit="false"/>
    </xf>
    <xf numFmtId="198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8" fontId="4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0" applyFont="true" applyBorder="false" applyAlignment="false" applyProtection="false"/>
    <xf numFmtId="168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99" fontId="0" fillId="0" borderId="0" applyFont="true" applyBorder="false" applyAlignment="false" applyProtection="false"/>
    <xf numFmtId="200" fontId="0" fillId="0" borderId="0" applyFont="true" applyBorder="false" applyAlignment="false" applyProtection="false"/>
    <xf numFmtId="168" fontId="3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3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0" applyFont="true" applyBorder="false" applyAlignment="false" applyProtection="false"/>
    <xf numFmtId="168" fontId="3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8" fontId="4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false" applyProtection="false"/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6" fillId="0" borderId="0" applyFont="true" applyBorder="false" applyAlignment="false" applyProtection="true">
      <protection locked="true" hidden="false"/>
    </xf>
    <xf numFmtId="172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false" applyProtection="false"/>
    <xf numFmtId="202" fontId="32" fillId="0" borderId="0" applyFont="true" applyBorder="false" applyAlignment="true" applyProtection="false">
      <alignment horizontal="right" vertical="bottom" textRotation="0" wrapText="false" indent="0" shrinkToFit="false"/>
    </xf>
    <xf numFmtId="173" fontId="0" fillId="0" borderId="0" applyFont="true" applyBorder="false" applyAlignment="false" applyProtection="false"/>
    <xf numFmtId="203" fontId="0" fillId="0" borderId="0" applyFont="true" applyBorder="false" applyAlignment="false" applyProtection="false"/>
    <xf numFmtId="204" fontId="0" fillId="0" borderId="0" applyFont="true" applyBorder="false" applyAlignment="false" applyProtection="false"/>
    <xf numFmtId="205" fontId="0" fillId="0" borderId="0" applyFont="true" applyBorder="false" applyAlignment="false" applyProtection="false"/>
    <xf numFmtId="206" fontId="0" fillId="0" borderId="0" applyFont="true" applyBorder="false" applyAlignment="false" applyProtection="false"/>
    <xf numFmtId="207" fontId="0" fillId="0" borderId="0" applyFont="true" applyBorder="false" applyAlignment="false" applyProtection="false"/>
    <xf numFmtId="208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209" fontId="3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8" fillId="0" borderId="0" applyFont="true" applyBorder="false" applyAlignment="false" applyProtection="false"/>
    <xf numFmtId="210" fontId="49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2" fontId="3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11" fontId="3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7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391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7" fillId="0" borderId="0" xfId="391" applyFont="true" applyBorder="false" applyAlignment="true" applyProtection="true">
      <alignment horizontal="general" vertical="bottom" textRotation="0" wrapText="false" indent="0" shrinkToFit="true"/>
      <protection locked="false" hidden="false"/>
    </xf>
    <xf numFmtId="212" fontId="47" fillId="0" borderId="0" xfId="391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47" fillId="0" borderId="0" xfId="391" applyFont="true" applyBorder="false" applyAlignment="true" applyProtection="true">
      <alignment horizontal="left" vertical="bottom" textRotation="0" wrapText="true" indent="0" shrinkToFit="false"/>
      <protection locked="false" hidden="false"/>
    </xf>
    <xf numFmtId="213" fontId="50" fillId="0" borderId="0" xfId="391" applyFont="true" applyBorder="false" applyAlignment="false" applyProtection="true">
      <alignment horizontal="general" vertical="center" textRotation="0" wrapText="false" indent="0" shrinkToFit="false"/>
      <protection locked="false" hidden="false"/>
    </xf>
    <xf numFmtId="213" fontId="50" fillId="0" borderId="0" xfId="391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213" fontId="50" fillId="4" borderId="0" xfId="391" applyFont="true" applyBorder="false" applyAlignment="false" applyProtection="true">
      <alignment horizontal="general" vertical="center" textRotation="0" wrapText="false" indent="0" shrinkToFit="false"/>
      <protection locked="false" hidden="false"/>
    </xf>
    <xf numFmtId="164" fontId="50" fillId="0" borderId="0" xfId="391" applyFont="true" applyBorder="false" applyAlignment="false" applyProtection="true">
      <alignment horizontal="general" vertical="center" textRotation="0" wrapText="false" indent="0" shrinkToFit="false"/>
      <protection locked="false" hidden="false"/>
    </xf>
    <xf numFmtId="164" fontId="47" fillId="0" borderId="0" xfId="391" applyFont="true" applyBorder="false" applyAlignment="false" applyProtection="true">
      <alignment horizontal="general" vertical="center" textRotation="0" wrapText="false" indent="0" shrinkToFit="false"/>
      <protection locked="false" hidden="false"/>
    </xf>
    <xf numFmtId="164" fontId="51" fillId="0" borderId="0" xfId="391" applyFont="true" applyBorder="false" applyAlignment="false" applyProtection="true">
      <alignment horizontal="general" vertical="center" textRotation="0" wrapText="false" indent="0" shrinkToFit="false"/>
      <protection locked="false" hidden="false"/>
    </xf>
    <xf numFmtId="164" fontId="43" fillId="0" borderId="0" xfId="391" applyFont="true" applyBorder="false" applyAlignment="false" applyProtection="true">
      <alignment horizontal="general" vertical="center" textRotation="0" wrapText="false" indent="0" shrinkToFit="false"/>
      <protection locked="false" hidden="false"/>
    </xf>
    <xf numFmtId="164" fontId="43" fillId="0" borderId="0" xfId="388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2" fillId="5" borderId="12" xfId="39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6" borderId="13" xfId="39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7" borderId="14" xfId="4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14" xfId="4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1" xfId="4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14" xfId="39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0" borderId="13" xfId="4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4" borderId="13" xfId="4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15" xfId="40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0" borderId="0" xfId="391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56" fillId="0" borderId="0" xfId="40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0" xfId="40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2" fillId="5" borderId="16" xfId="39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2" fillId="6" borderId="17" xfId="39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3" fillId="7" borderId="18" xfId="40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4" fillId="0" borderId="18" xfId="40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4" fillId="0" borderId="17" xfId="40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4" fillId="0" borderId="18" xfId="39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5" fillId="0" borderId="17" xfId="40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4" fillId="4" borderId="17" xfId="40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6" fillId="0" borderId="19" xfId="40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4" borderId="0" xfId="40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6" fillId="4" borderId="0" xfId="4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4" borderId="0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4" fontId="58" fillId="0" borderId="20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21" xfId="405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0" fillId="0" borderId="21" xfId="40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0" borderId="13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13" xfId="40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0" borderId="13" xfId="40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0" borderId="13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22" xfId="40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0" borderId="15" xfId="40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4" fillId="0" borderId="0" xfId="405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1" fillId="6" borderId="0" xfId="38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3" fillId="0" borderId="0" xfId="40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6" fillId="4" borderId="0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0" borderId="0" xfId="40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15" fontId="67" fillId="0" borderId="17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6" fontId="67" fillId="0" borderId="17" xfId="40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0" borderId="17" xfId="40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6" fontId="62" fillId="0" borderId="17" xfId="40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62" fillId="0" borderId="17" xfId="40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2" fillId="0" borderId="17" xfId="33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90" fontId="62" fillId="0" borderId="17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0" borderId="23" xfId="40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8" fillId="4" borderId="0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20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0" fillId="0" borderId="21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21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7" fontId="43" fillId="0" borderId="13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8" fontId="43" fillId="0" borderId="21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13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47" fillId="0" borderId="24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1" fillId="0" borderId="15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4" borderId="0" xfId="40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7" fillId="4" borderId="0" xfId="41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2" fillId="4" borderId="0" xfId="4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4" borderId="0" xfId="40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0" xfId="40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0" xfId="40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17" fontId="43" fillId="0" borderId="17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17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25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0" borderId="23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0" borderId="12" xfId="40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0" borderId="13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0" borderId="13" xfId="40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0" borderId="13" xfId="40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1" fillId="4" borderId="13" xfId="415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61" fillId="0" borderId="24" xfId="40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1" fillId="4" borderId="26" xfId="415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7" fillId="0" borderId="0" xfId="40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7" fillId="0" borderId="0" xfId="40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3" fillId="0" borderId="1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1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0" borderId="27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0" borderId="1" xfId="40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1" fillId="4" borderId="1" xfId="415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61" fillId="0" borderId="28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8" borderId="0" xfId="392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62" fillId="0" borderId="0" xfId="392" applyFont="true" applyBorder="false" applyAlignment="false" applyProtection="true">
      <alignment horizontal="general" vertical="center" textRotation="0" wrapText="false" indent="0" shrinkToFit="false"/>
      <protection locked="false" hidden="false"/>
    </xf>
    <xf numFmtId="164" fontId="67" fillId="9" borderId="29" xfId="38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9" borderId="30" xfId="38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9" borderId="31" xfId="38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32" xfId="39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7" fillId="0" borderId="0" xfId="392" applyFont="true" applyBorder="false" applyAlignment="false" applyProtection="true">
      <alignment horizontal="general" vertical="center" textRotation="0" wrapText="false" indent="0" shrinkToFit="false"/>
      <protection locked="false" hidden="false"/>
    </xf>
    <xf numFmtId="164" fontId="67" fillId="0" borderId="0" xfId="388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1" fillId="0" borderId="1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4" borderId="1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0" borderId="0" xfId="388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7" fillId="9" borderId="33" xfId="38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9" borderId="8" xfId="38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9" borderId="34" xfId="38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62" fillId="0" borderId="35" xfId="415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219" fontId="67" fillId="0" borderId="1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0" fillId="0" borderId="1" xfId="41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9" fontId="67" fillId="0" borderId="1" xfId="315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67" fillId="0" borderId="1" xfId="398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8" fontId="73" fillId="0" borderId="1" xfId="313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8" fontId="73" fillId="0" borderId="1" xfId="397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73" fillId="0" borderId="1" xfId="31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73" fillId="5" borderId="1" xfId="397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73" fillId="5" borderId="1" xfId="313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8" fontId="73" fillId="5" borderId="1" xfId="31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73" fillId="0" borderId="27" xfId="40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220" fontId="67" fillId="0" borderId="1" xfId="388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67" fillId="0" borderId="1" xfId="354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68" fontId="67" fillId="0" borderId="1" xfId="325" applyFont="true" applyBorder="true" applyAlignment="false" applyProtection="true">
      <alignment horizontal="general" vertical="center" textRotation="0" wrapText="false" indent="0" shrinkToFit="false"/>
      <protection locked="true" hidden="true"/>
    </xf>
    <xf numFmtId="168" fontId="67" fillId="0" borderId="1" xfId="325" applyFont="true" applyBorder="true" applyAlignment="false" applyProtection="true">
      <alignment horizontal="general" vertical="center" textRotation="0" wrapText="false" indent="0" shrinkToFit="false"/>
      <protection locked="true" hidden="true"/>
    </xf>
    <xf numFmtId="168" fontId="67" fillId="0" borderId="1" xfId="334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73" fillId="0" borderId="1" xfId="334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7" fillId="0" borderId="1" xfId="391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67" fillId="0" borderId="28" xfId="391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221" fontId="77" fillId="0" borderId="36" xfId="415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7" fillId="0" borderId="0" xfId="388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7" fillId="0" borderId="0" xfId="391" applyFont="true" applyBorder="false" applyAlignment="false" applyProtection="true">
      <alignment horizontal="general" vertical="center" textRotation="0" wrapText="false" indent="0" shrinkToFit="false"/>
      <protection locked="false" hidden="false"/>
    </xf>
    <xf numFmtId="164" fontId="43" fillId="0" borderId="0" xfId="39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73" fillId="5" borderId="0" xfId="391" applyFont="true" applyBorder="false" applyAlignment="false" applyProtection="true">
      <alignment horizontal="general" vertical="center" textRotation="0" wrapText="false" indent="0" shrinkToFit="false"/>
      <protection locked="false" hidden="false"/>
    </xf>
    <xf numFmtId="168" fontId="73" fillId="5" borderId="1" xfId="391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68" fontId="73" fillId="0" borderId="1" xfId="391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68" fontId="78" fillId="0" borderId="1" xfId="313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8" fontId="78" fillId="0" borderId="1" xfId="397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78" fillId="0" borderId="1" xfId="31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67" fillId="0" borderId="1" xfId="334" applyFont="true" applyBorder="true" applyAlignment="false" applyProtection="true">
      <alignment horizontal="general" vertical="center" textRotation="0" wrapText="false" indent="0" shrinkToFit="false"/>
      <protection locked="true" hidden="true"/>
    </xf>
    <xf numFmtId="164" fontId="60" fillId="0" borderId="1" xfId="397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9" fillId="0" borderId="1" xfId="398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221" fontId="77" fillId="0" borderId="37" xfId="415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219" fontId="80" fillId="0" borderId="1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0" fillId="0" borderId="1" xfId="41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20" fontId="67" fillId="0" borderId="1" xfId="388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67" fillId="0" borderId="1" xfId="334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73" fillId="0" borderId="1" xfId="334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7" fillId="0" borderId="1" xfId="391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67" fillId="0" borderId="28" xfId="391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221" fontId="77" fillId="0" borderId="38" xfId="415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221" fontId="77" fillId="0" borderId="39" xfId="415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3" fillId="0" borderId="0" xfId="391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8" fontId="73" fillId="10" borderId="1" xfId="397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73" fillId="10" borderId="1" xfId="313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8" fontId="73" fillId="10" borderId="1" xfId="31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221" fontId="77" fillId="0" borderId="40" xfId="415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67" fillId="0" borderId="1" xfId="326" applyFont="true" applyBorder="true" applyAlignment="false" applyProtection="true">
      <alignment horizontal="general" vertical="center" textRotation="0" wrapText="false" indent="0" shrinkToFit="false"/>
      <protection locked="true" hidden="true"/>
    </xf>
    <xf numFmtId="164" fontId="67" fillId="0" borderId="1" xfId="392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67" fillId="0" borderId="28" xfId="392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219" fontId="67" fillId="0" borderId="1" xfId="312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79" fillId="0" borderId="1" xfId="399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77" fillId="0" borderId="0" xfId="392" applyFont="true" applyBorder="false" applyAlignment="false" applyProtection="true">
      <alignment horizontal="general" vertical="center" textRotation="0" wrapText="false" indent="0" shrinkToFit="false"/>
      <protection locked="false" hidden="false"/>
    </xf>
    <xf numFmtId="164" fontId="43" fillId="0" borderId="0" xfId="39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3" fillId="0" borderId="0" xfId="392" applyFont="true" applyBorder="false" applyAlignment="false" applyProtection="true">
      <alignment horizontal="general" vertical="center" textRotation="0" wrapText="false" indent="0" shrinkToFit="false"/>
      <protection locked="false" hidden="false"/>
    </xf>
    <xf numFmtId="164" fontId="67" fillId="0" borderId="1" xfId="398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62" fillId="0" borderId="1" xfId="391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62" fillId="0" borderId="28" xfId="391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81" fillId="0" borderId="0" xfId="391" applyFont="true" applyBorder="false" applyAlignment="false" applyProtection="true">
      <alignment horizontal="general" vertical="center" textRotation="0" wrapText="false" indent="0" shrinkToFit="false"/>
      <protection locked="false" hidden="false"/>
    </xf>
    <xf numFmtId="220" fontId="62" fillId="0" borderId="1" xfId="388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1" fillId="0" borderId="0" xfId="388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8" fillId="10" borderId="1" xfId="313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8" fontId="78" fillId="10" borderId="1" xfId="397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78" fillId="10" borderId="1" xfId="31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79" fillId="0" borderId="1" xfId="398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220" fontId="62" fillId="0" borderId="1" xfId="388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2" fillId="0" borderId="1" xfId="391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62" fillId="0" borderId="28" xfId="391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67" fillId="0" borderId="1" xfId="326" applyFont="true" applyBorder="true" applyAlignment="false" applyProtection="true">
      <alignment horizontal="general" vertical="center" textRotation="0" wrapText="false" indent="0" shrinkToFit="false"/>
      <protection locked="true" hidden="true"/>
    </xf>
    <xf numFmtId="164" fontId="67" fillId="0" borderId="1" xfId="392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67" fillId="0" borderId="28" xfId="392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73" fillId="0" borderId="0" xfId="391" applyFont="true" applyBorder="false" applyAlignment="false" applyProtection="true">
      <alignment horizontal="general" vertical="center" textRotation="0" wrapText="false" indent="0" shrinkToFit="false"/>
      <protection locked="false" hidden="false"/>
    </xf>
    <xf numFmtId="168" fontId="73" fillId="7" borderId="1" xfId="31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73" fillId="6" borderId="1" xfId="397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73" fillId="6" borderId="1" xfId="313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8" fontId="73" fillId="7" borderId="1" xfId="313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8" fontId="73" fillId="6" borderId="1" xfId="31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73" fillId="6" borderId="0" xfId="391" applyFont="true" applyBorder="false" applyAlignment="false" applyProtection="true">
      <alignment horizontal="general" vertical="center" textRotation="0" wrapText="false" indent="0" shrinkToFit="false"/>
      <protection locked="false" hidden="false"/>
    </xf>
    <xf numFmtId="168" fontId="73" fillId="6" borderId="1" xfId="391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68" fontId="73" fillId="7" borderId="0" xfId="391" applyFont="true" applyBorder="false" applyAlignment="false" applyProtection="true">
      <alignment horizontal="general" vertical="center" textRotation="0" wrapText="false" indent="0" shrinkToFit="false"/>
      <protection locked="false" hidden="false"/>
    </xf>
    <xf numFmtId="168" fontId="73" fillId="7" borderId="1" xfId="391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68" fontId="73" fillId="7" borderId="1" xfId="397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73" fillId="4" borderId="1" xfId="31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73" fillId="4" borderId="1" xfId="313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8" fontId="73" fillId="4" borderId="1" xfId="397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73" fillId="4" borderId="27" xfId="40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73" fillId="4" borderId="0" xfId="391" applyFont="true" applyBorder="false" applyAlignment="false" applyProtection="true">
      <alignment horizontal="general" vertical="center" textRotation="0" wrapText="false" indent="0" shrinkToFit="false"/>
      <protection locked="false" hidden="false"/>
    </xf>
    <xf numFmtId="168" fontId="73" fillId="4" borderId="1" xfId="391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68" fontId="78" fillId="4" borderId="1" xfId="313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8" fontId="78" fillId="4" borderId="1" xfId="397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78" fillId="4" borderId="1" xfId="31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79" fillId="0" borderId="1" xfId="399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8" fontId="67" fillId="0" borderId="1" xfId="354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68" fontId="67" fillId="0" borderId="1" xfId="334" applyFont="true" applyBorder="true" applyAlignment="false" applyProtection="true">
      <alignment horizontal="general" vertical="center" textRotation="0" wrapText="false" indent="0" shrinkToFit="false"/>
      <protection locked="true" hidden="true"/>
    </xf>
    <xf numFmtId="164" fontId="67" fillId="0" borderId="1" xfId="41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4" borderId="1" xfId="41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4" borderId="1" xfId="397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7" fillId="4" borderId="1" xfId="391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67" fillId="0" borderId="1" xfId="40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221" fontId="67" fillId="0" borderId="1" xfId="312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221" fontId="79" fillId="0" borderId="1" xfId="401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222" fontId="73" fillId="0" borderId="27" xfId="40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67" fillId="0" borderId="1" xfId="356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220" fontId="73" fillId="0" borderId="1" xfId="313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4" fontId="79" fillId="0" borderId="1" xfId="401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213" fontId="73" fillId="0" borderId="1" xfId="31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221" fontId="73" fillId="0" borderId="1" xfId="401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222" fontId="73" fillId="0" borderId="27" xfId="40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201" fontId="67" fillId="0" borderId="35" xfId="415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70" fillId="0" borderId="41" xfId="391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213" fontId="82" fillId="0" borderId="13" xfId="391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82" fillId="0" borderId="21" xfId="354" applyFont="true" applyBorder="true" applyAlignment="true" applyProtection="true">
      <alignment horizontal="general" vertical="center" textRotation="0" wrapText="false" indent="0" shrinkToFit="true"/>
      <protection locked="false" hidden="false"/>
    </xf>
    <xf numFmtId="168" fontId="82" fillId="0" borderId="13" xfId="354" applyFont="true" applyBorder="true" applyAlignment="true" applyProtection="true">
      <alignment horizontal="general" vertical="center" textRotation="0" wrapText="false" indent="0" shrinkToFit="true"/>
      <protection locked="false" hidden="false"/>
    </xf>
    <xf numFmtId="164" fontId="79" fillId="0" borderId="13" xfId="391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64" fontId="79" fillId="0" borderId="24" xfId="391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64" fontId="43" fillId="0" borderId="15" xfId="391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213" fontId="82" fillId="0" borderId="17" xfId="391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82" fillId="0" borderId="17" xfId="354" applyFont="true" applyBorder="true" applyAlignment="true" applyProtection="true">
      <alignment horizontal="general" vertical="center" textRotation="0" wrapText="false" indent="0" shrinkToFit="true"/>
      <protection locked="false" hidden="false"/>
    </xf>
    <xf numFmtId="164" fontId="79" fillId="0" borderId="17" xfId="391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64" fontId="79" fillId="0" borderId="25" xfId="391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64" fontId="43" fillId="0" borderId="23" xfId="391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64" fontId="43" fillId="0" borderId="0" xfId="398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0" xfId="398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3" fillId="4" borderId="0" xfId="398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3" fillId="0" borderId="0" xfId="39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6" fillId="5" borderId="12" xfId="39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6" fillId="11" borderId="13" xfId="39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7" fillId="7" borderId="14" xfId="4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6" fillId="12" borderId="14" xfId="4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6" fillId="13" borderId="1" xfId="4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6" fillId="0" borderId="14" xfId="39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6" fillId="14" borderId="13" xfId="4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6" fillId="4" borderId="13" xfId="4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5" xfId="40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0" borderId="0" xfId="391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76" fillId="0" borderId="0" xfId="40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3" fillId="0" borderId="0" xfId="40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6" fillId="5" borderId="16" xfId="39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6" fillId="11" borderId="17" xfId="39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7" fillId="7" borderId="18" xfId="40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6" fillId="12" borderId="18" xfId="40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6" fillId="13" borderId="17" xfId="40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6" fillId="0" borderId="18" xfId="39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6" fillId="14" borderId="17" xfId="40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6" fillId="4" borderId="17" xfId="40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6" fillId="0" borderId="19" xfId="40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4" borderId="0" xfId="40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6" fillId="4" borderId="0" xfId="4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8" fillId="4" borderId="0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3" fillId="4" borderId="1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9" fontId="67" fillId="7" borderId="1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0" fillId="7" borderId="1" xfId="41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7" borderId="1" xfId="397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219" fontId="80" fillId="7" borderId="1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219" fontId="60" fillId="7" borderId="1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219" fontId="67" fillId="7" borderId="1" xfId="312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219" fontId="80" fillId="14" borderId="1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0" fillId="14" borderId="1" xfId="397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219" fontId="67" fillId="14" borderId="1" xfId="315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8" fontId="73" fillId="14" borderId="1" xfId="313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8" fontId="73" fillId="14" borderId="1" xfId="31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73" fillId="14" borderId="1" xfId="391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219" fontId="60" fillId="14" borderId="1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0" fillId="14" borderId="1" xfId="41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3" fillId="14" borderId="1" xfId="397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219" fontId="80" fillId="11" borderId="1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0" fillId="11" borderId="1" xfId="41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3" fillId="11" borderId="1" xfId="31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73" fillId="11" borderId="1" xfId="313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8" fontId="73" fillId="11" borderId="1" xfId="397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73" fillId="11" borderId="1" xfId="391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219" fontId="89" fillId="11" borderId="1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219" fontId="90" fillId="11" borderId="1" xfId="16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219" fontId="67" fillId="11" borderId="1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0" fillId="11" borderId="1" xfId="397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219" fontId="62" fillId="5" borderId="1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0" fillId="5" borderId="1" xfId="397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219" fontId="61" fillId="5" borderId="1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0" fillId="5" borderId="1" xfId="41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62" fillId="10" borderId="35" xfId="415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219" fontId="67" fillId="10" borderId="1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0" fillId="4" borderId="1" xfId="41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9" fontId="64" fillId="5" borderId="1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219" fontId="80" fillId="13" borderId="1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0" fillId="13" borderId="1" xfId="397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73" fillId="13" borderId="1" xfId="397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73" fillId="13" borderId="1" xfId="31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73" fillId="13" borderId="1" xfId="313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219" fontId="91" fillId="13" borderId="1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0" fillId="13" borderId="1" xfId="41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7" fillId="13" borderId="1" xfId="313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8" fontId="67" fillId="13" borderId="1" xfId="397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219" fontId="92" fillId="13" borderId="1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219" fontId="80" fillId="12" borderId="1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0" fillId="12" borderId="1" xfId="41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3" fillId="12" borderId="1" xfId="31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73" fillId="12" borderId="1" xfId="313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219" fontId="93" fillId="12" borderId="1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8" fontId="73" fillId="12" borderId="1" xfId="397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219" fontId="93" fillId="12" borderId="1" xfId="312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0" fillId="12" borderId="1" xfId="397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219" fontId="60" fillId="0" borderId="1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219" fontId="60" fillId="0" borderId="1" xfId="315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221" fontId="67" fillId="4" borderId="1" xfId="312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221" fontId="79" fillId="4" borderId="1" xfId="401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222" fontId="73" fillId="4" borderId="27" xfId="40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220" fontId="73" fillId="4" borderId="1" xfId="313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4" fontId="79" fillId="4" borderId="1" xfId="401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213" fontId="73" fillId="4" borderId="1" xfId="31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221" fontId="73" fillId="4" borderId="1" xfId="401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222" fontId="73" fillId="4" borderId="27" xfId="40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213" fontId="82" fillId="4" borderId="13" xfId="391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4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1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12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1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1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1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7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0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0" fillId="0" borderId="10" xfId="1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97" fillId="0" borderId="44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6" fillId="0" borderId="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6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7" fillId="0" borderId="4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7" fillId="0" borderId="46" xfId="1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30" fillId="0" borderId="44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97" fillId="0" borderId="4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7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8" fillId="0" borderId="48" xfId="16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8" fontId="30" fillId="0" borderId="49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97" fillId="0" borderId="5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0" borderId="5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7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7" fillId="0" borderId="5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7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7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0" fillId="0" borderId="54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6" fillId="12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9" fillId="1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6" fillId="12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6" fillId="12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6" fillId="1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0" xfId="388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2" fillId="7" borderId="12" xfId="39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4" borderId="55" xfId="39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14" xfId="4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0" borderId="13" xfId="39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56" xfId="4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0" borderId="14" xfId="39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13" xfId="4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7" borderId="16" xfId="39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4" fillId="4" borderId="57" xfId="39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4" fillId="0" borderId="18" xfId="40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5" fillId="0" borderId="17" xfId="39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4" fillId="0" borderId="58" xfId="40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5" fillId="0" borderId="18" xfId="39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4" fillId="0" borderId="17" xfId="40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56" fillId="6" borderId="0" xfId="4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4" fontId="58" fillId="0" borderId="20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21" xfId="405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0" fillId="0" borderId="21" xfId="40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0" borderId="13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13" xfId="40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2" fillId="6" borderId="0" xfId="4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0" borderId="0" xfId="40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15" fontId="67" fillId="0" borderId="17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6" fontId="67" fillId="0" borderId="17" xfId="40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0" borderId="0" xfId="405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7" fontId="99" fillId="0" borderId="24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0" borderId="0" xfId="41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27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4" borderId="1" xfId="40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67" fillId="0" borderId="1" xfId="415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73" fillId="10" borderId="27" xfId="40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73" fillId="10" borderId="0" xfId="391" applyFont="true" applyBorder="false" applyAlignment="false" applyProtection="true">
      <alignment horizontal="general" vertical="center" textRotation="0" wrapText="false" indent="0" shrinkToFit="false"/>
      <protection locked="false" hidden="false"/>
    </xf>
    <xf numFmtId="168" fontId="73" fillId="10" borderId="1" xfId="391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212" fontId="67" fillId="0" borderId="1" xfId="415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67" fillId="0" borderId="1" xfId="397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73" fillId="4" borderId="1" xfId="313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8" fontId="78" fillId="4" borderId="1" xfId="313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8" fontId="73" fillId="4" borderId="1" xfId="31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100" fillId="4" borderId="0" xfId="391" applyFont="true" applyBorder="false" applyAlignment="false" applyProtection="true">
      <alignment horizontal="general" vertical="center" textRotation="0" wrapText="false" indent="0" shrinkToFit="false"/>
      <protection locked="false" hidden="false"/>
    </xf>
    <xf numFmtId="168" fontId="100" fillId="4" borderId="1" xfId="391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68" fontId="78" fillId="4" borderId="1" xfId="31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73" fillId="4" borderId="59" xfId="313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212" fontId="67" fillId="4" borderId="1" xfId="415" applyFont="true" applyBorder="true" applyAlignment="true" applyProtection="true">
      <alignment horizontal="center" vertical="center" textRotation="0" wrapText="true" indent="0" shrinkToFit="true"/>
      <protection locked="true" hidden="true"/>
    </xf>
    <xf numFmtId="219" fontId="80" fillId="0" borderId="1" xfId="312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212" fontId="67" fillId="4" borderId="1" xfId="415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8" fontId="100" fillId="0" borderId="0" xfId="391" applyFont="true" applyBorder="false" applyAlignment="false" applyProtection="true">
      <alignment horizontal="general" vertical="center" textRotation="0" wrapText="false" indent="0" shrinkToFit="false"/>
      <protection locked="false" hidden="false"/>
    </xf>
    <xf numFmtId="168" fontId="100" fillId="0" borderId="1" xfId="391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68" fontId="78" fillId="0" borderId="1" xfId="31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73" fillId="0" borderId="1" xfId="313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8" fontId="73" fillId="0" borderId="1" xfId="31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73" fillId="0" borderId="59" xfId="313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4" fontId="67" fillId="0" borderId="1" xfId="391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67" fillId="0" borderId="28" xfId="391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62" fillId="0" borderId="1" xfId="391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62" fillId="0" borderId="28" xfId="391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221" fontId="79" fillId="0" borderId="1" xfId="401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222" fontId="73" fillId="0" borderId="27" xfId="40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220" fontId="73" fillId="0" borderId="1" xfId="313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4" fontId="79" fillId="0" borderId="1" xfId="401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213" fontId="73" fillId="0" borderId="1" xfId="31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221" fontId="73" fillId="0" borderId="1" xfId="401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222" fontId="73" fillId="0" borderId="27" xfId="40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2" fillId="0" borderId="1" xfId="392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62" fillId="0" borderId="28" xfId="392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221" fontId="73" fillId="0" borderId="1" xfId="397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221" fontId="73" fillId="0" borderId="1" xfId="3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222" fontId="73" fillId="0" borderId="1" xfId="40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201" fontId="62" fillId="0" borderId="16" xfId="415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212" fontId="67" fillId="4" borderId="17" xfId="415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219" fontId="67" fillId="0" borderId="17" xfId="312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7" fillId="0" borderId="17" xfId="41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9" fontId="67" fillId="0" borderId="17" xfId="315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220" fontId="67" fillId="0" borderId="17" xfId="388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67" fillId="0" borderId="17" xfId="334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73" fillId="0" borderId="17" xfId="334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221" fontId="73" fillId="0" borderId="17" xfId="397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220" fontId="73" fillId="0" borderId="17" xfId="313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213" fontId="73" fillId="0" borderId="17" xfId="31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222" fontId="73" fillId="0" borderId="17" xfId="40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7" fillId="0" borderId="25" xfId="391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100" fillId="0" borderId="0" xfId="391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213" fontId="82" fillId="0" borderId="0" xfId="391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82" fillId="0" borderId="0" xfId="354" applyFont="true" applyBorder="true" applyAlignment="true" applyProtection="true">
      <alignment horizontal="general" vertical="center" textRotation="0" wrapText="false" indent="0" shrinkToFit="true"/>
      <protection locked="false" hidden="false"/>
    </xf>
    <xf numFmtId="164" fontId="79" fillId="0" borderId="0" xfId="391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64" fontId="43" fillId="0" borderId="0" xfId="391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64" fontId="52" fillId="6" borderId="12" xfId="39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6" borderId="16" xfId="39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9" fillId="0" borderId="17" xfId="398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8" fontId="67" fillId="0" borderId="17" xfId="334" applyFont="true" applyBorder="true" applyAlignment="false" applyProtection="true">
      <alignment horizontal="general" vertical="center" textRotation="0" wrapText="false" indent="0" shrinkToFit="false"/>
      <protection locked="true" hidden="true"/>
    </xf>
    <xf numFmtId="168" fontId="67" fillId="0" borderId="17" xfId="325" applyFont="true" applyBorder="true" applyAlignment="false" applyProtection="true">
      <alignment horizontal="general" vertical="center" textRotation="0" wrapText="false" indent="0" shrinkToFit="false"/>
      <protection locked="true" hidden="true"/>
    </xf>
    <xf numFmtId="168" fontId="47" fillId="7" borderId="0" xfId="391" applyFont="true" applyBorder="false" applyAlignment="false" applyProtection="true">
      <alignment horizontal="general" vertical="center" textRotation="0" wrapText="false" indent="0" shrinkToFit="false"/>
      <protection locked="false" hidden="false"/>
    </xf>
    <xf numFmtId="164" fontId="10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01" fillId="0" borderId="0" xfId="3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223" fontId="101" fillId="0" borderId="0" xfId="3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0" fillId="0" borderId="6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1" fillId="0" borderId="0" xfId="3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23" fontId="10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0" fillId="0" borderId="1" xfId="3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0" fillId="0" borderId="1" xfId="3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23" fontId="6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0" fillId="0" borderId="1" xfId="3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01" fillId="0" borderId="1" xfId="3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24" fontId="10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9" fillId="0" borderId="0" xfId="3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79" fillId="0" borderId="0" xfId="3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01" fillId="0" borderId="1" xfId="3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9" fillId="0" borderId="0" xfId="3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1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212" fontId="102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1" fillId="0" borderId="1" xfId="0" applyFont="true" applyBorder="true" applyAlignment="true" applyProtection="true">
      <alignment horizontal="left" vertical="center" textRotation="0" wrapText="false" indent="0" shrinkToFit="true"/>
      <protection locked="false" hidden="false"/>
    </xf>
    <xf numFmtId="164" fontId="102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02" fillId="0" borderId="1" xfId="3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02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212" fontId="103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3" fillId="0" borderId="0" xfId="0" applyFont="true" applyBorder="true" applyAlignment="true" applyProtection="true">
      <alignment horizontal="left" vertical="center" textRotation="0" wrapText="false" indent="0" shrinkToFit="true"/>
      <protection locked="false" hidden="false"/>
    </xf>
    <xf numFmtId="164" fontId="103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8" fontId="103" fillId="0" borderId="0" xfId="3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03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1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01" fillId="0" borderId="1" xfId="3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0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224" fontId="10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1" fillId="0" borderId="0" xfId="3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9" fillId="0" borderId="0" xfId="3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12" fontId="102" fillId="0" borderId="1" xfId="39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1" fillId="0" borderId="1" xfId="39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25" fontId="102" fillId="0" borderId="1" xfId="39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2" fontId="103" fillId="0" borderId="0" xfId="39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3" fillId="0" borderId="0" xfId="39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25" fontId="103" fillId="0" borderId="0" xfId="39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4" borderId="1" xfId="41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2" fontId="101" fillId="4" borderId="1" xfId="41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1" xfId="414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224" fontId="101" fillId="4" borderId="1" xfId="41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4" borderId="0" xfId="41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12" fontId="79" fillId="4" borderId="0" xfId="41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9" fillId="0" borderId="0" xfId="414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224" fontId="79" fillId="4" borderId="0" xfId="41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1" fillId="0" borderId="1" xfId="3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1" fillId="4" borderId="1" xfId="3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1" fillId="4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24" fontId="10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01" fillId="0" borderId="61" xfId="3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1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23" fontId="101" fillId="0" borderId="1" xfId="3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2" fillId="0" borderId="0" xfId="388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1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9" fillId="4" borderId="0" xfId="3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9" fillId="4" borderId="0" xfId="3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9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7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1" fillId="0" borderId="6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24" fontId="6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24" fontId="6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7" fillId="0" borderId="0" xfId="3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7" fillId="0" borderId="0" xfId="3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24" fontId="101" fillId="4" borderId="1" xfId="3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4" borderId="1" xfId="321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61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2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102" fillId="0" borderId="1" xfId="315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224" fontId="10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24" fontId="7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9" fillId="0" borderId="0" xfId="3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224" fontId="60" fillId="4" borderId="1" xfId="38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224" fontId="101" fillId="4" borderId="1" xfId="38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24" fontId="60" fillId="4" borderId="1" xfId="38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24" fontId="60" fillId="4" borderId="1" xfId="38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224" fontId="101" fillId="4" borderId="0" xfId="384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224" fontId="101" fillId="4" borderId="0" xfId="38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24" fontId="7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24" fontId="79" fillId="0" borderId="0" xfId="3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24" fontId="79" fillId="4" borderId="0" xfId="38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9" fillId="4" borderId="0" xfId="321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103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8" fontId="103" fillId="0" borderId="0" xfId="315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4" fontId="7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24" fontId="79" fillId="4" borderId="0" xfId="38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2" fillId="4" borderId="1" xfId="388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2" fillId="4" borderId="1" xfId="388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8" fontId="102" fillId="4" borderId="1" xfId="3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1" fillId="4" borderId="1" xfId="388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1" fillId="4" borderId="1" xfId="388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6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2" fillId="4" borderId="0" xfId="388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224" fontId="106" fillId="4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2" fillId="0" borderId="62" xfId="388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1" fillId="0" borderId="0" xfId="388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2" fillId="0" borderId="63" xfId="388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1" fillId="6" borderId="64" xfId="38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1" fillId="0" borderId="63" xfId="388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1" fillId="0" borderId="63" xfId="388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8" fontId="102" fillId="0" borderId="63" xfId="3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02" fillId="0" borderId="1" xfId="388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1" fillId="6" borderId="65" xfId="38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1" fillId="6" borderId="1" xfId="388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1" fillId="0" borderId="1" xfId="388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02" fillId="0" borderId="66" xfId="38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1" fillId="7" borderId="65" xfId="38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1" fillId="7" borderId="1" xfId="388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1" fillId="0" borderId="64" xfId="38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1" fillId="0" borderId="64" xfId="388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1" fillId="0" borderId="47" xfId="38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1" fillId="0" borderId="1" xfId="388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2" fillId="4" borderId="62" xfId="388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2" fillId="0" borderId="1" xfId="38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62" xfId="38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0" borderId="1" xfId="38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0" borderId="1" xfId="388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1" fillId="0" borderId="63" xfId="38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63" xfId="38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2" fillId="0" borderId="1" xfId="3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1" fillId="0" borderId="1" xfId="38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1" fillId="0" borderId="1" xfId="38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02" fillId="0" borderId="63" xfId="3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24" fontId="101" fillId="0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63" xfId="41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0" xfId="41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24" fontId="102" fillId="0" borderId="1" xfId="388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1" fillId="0" borderId="1" xfId="388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01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24" fontId="101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1" fillId="11" borderId="1" xfId="3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2" fillId="11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1" fillId="11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1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0" borderId="5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0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1" fillId="0" borderId="53" xfId="3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0" borderId="0" xfId="2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7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8" fillId="0" borderId="0" xfId="417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224" fontId="7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7" fillId="0" borderId="0" xfId="38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0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1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0" borderId="5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8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0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0" xfId="38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1" fillId="0" borderId="6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2" fillId="10" borderId="62" xfId="388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2" fillId="10" borderId="1" xfId="388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1" fillId="10" borderId="1" xfId="388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1" fillId="10" borderId="1" xfId="388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61" fillId="10" borderId="63" xfId="388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2" fillId="10" borderId="63" xfId="388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02" fillId="10" borderId="1" xfId="3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02" fillId="10" borderId="62" xfId="38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10" borderId="1" xfId="38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10" borderId="1" xfId="38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10" borderId="1" xfId="38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1" fillId="10" borderId="63" xfId="38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10" borderId="63" xfId="38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2" fillId="10" borderId="1" xfId="3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1" fillId="10" borderId="63" xfId="388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8" fontId="102" fillId="10" borderId="63" xfId="3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02" fillId="10" borderId="61" xfId="38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10" borderId="1" xfId="388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224" fontId="10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1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23" fontId="101" fillId="10" borderId="1" xfId="3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1" fillId="11" borderId="1" xfId="388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2" fillId="11" borderId="1" xfId="388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1" fillId="11" borderId="1" xfId="388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61" fillId="11" borderId="63" xfId="388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2" fillId="11" borderId="63" xfId="388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02" fillId="11" borderId="1" xfId="3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02" fillId="11" borderId="62" xfId="38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24" fontId="10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223" fontId="101" fillId="11" borderId="1" xfId="3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1" fillId="11" borderId="1" xfId="388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0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1" xfId="41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4" borderId="1" xfId="41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4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1" fillId="0" borderId="1" xfId="41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0" fillId="0" borderId="63" xfId="41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63" xfId="41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6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79" fillId="0" borderId="0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3" fillId="0" borderId="0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14" fillId="0" borderId="0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14" fillId="0" borderId="1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26" fontId="114" fillId="0" borderId="1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9" fillId="0" borderId="1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14" fillId="0" borderId="1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226" fontId="11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26" fontId="114" fillId="0" borderId="1" xfId="3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14" fillId="0" borderId="1" xfId="3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9" fillId="0" borderId="1" xfId="3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1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212" fontId="62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1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2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212" fontId="6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1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1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1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79" fillId="0" borderId="32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3" fillId="0" borderId="1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15" fillId="0" borderId="0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8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2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6" fillId="0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true"/>
      <protection locked="true" hidden="false"/>
    </xf>
    <xf numFmtId="168" fontId="0" fillId="0" borderId="0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227" fontId="0" fillId="0" borderId="0" xfId="0" applyFont="fals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69" fillId="0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228" fontId="0" fillId="0" borderId="1" xfId="0" applyFont="fals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9" fillId="7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8" fontId="0" fillId="0" borderId="1" xfId="315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227" fontId="0" fillId="0" borderId="1" xfId="0" applyFont="false" applyBorder="true" applyAlignment="true" applyProtection="false">
      <alignment horizontal="general" vertical="bottom" textRotation="0" wrapText="false" indent="0" shrinkToFit="true"/>
      <protection locked="true" hidden="false"/>
    </xf>
    <xf numFmtId="228" fontId="70" fillId="15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228" fontId="0" fillId="15" borderId="1" xfId="0" applyFont="false" applyBorder="true" applyAlignment="true" applyProtection="false">
      <alignment horizontal="center" vertical="bottom" textRotation="0" wrapText="false" indent="0" shrinkToFit="true"/>
      <protection locked="true" hidden="false"/>
    </xf>
    <xf numFmtId="211" fontId="0" fillId="0" borderId="1" xfId="0" applyFont="fals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true"/>
      <protection locked="true" hidden="false"/>
    </xf>
    <xf numFmtId="168" fontId="0" fillId="0" borderId="0" xfId="16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227" fontId="0" fillId="0" borderId="0" xfId="0" applyFont="false" applyBorder="false" applyAlignment="true" applyProtection="false">
      <alignment horizontal="general" vertical="bottom" textRotation="0" wrapText="false" indent="0" shrinkToFit="true"/>
      <protection locked="true" hidden="false"/>
    </xf>
    <xf numFmtId="228" fontId="0" fillId="0" borderId="1" xfId="0" applyFont="false" applyBorder="true" applyAlignment="true" applyProtection="false">
      <alignment horizontal="center" vertical="bottom" textRotation="0" wrapText="false" indent="0" shrinkToFit="true"/>
      <protection locked="true" hidden="false"/>
    </xf>
    <xf numFmtId="228" fontId="70" fillId="15" borderId="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0" fillId="7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8" fontId="0" fillId="0" borderId="1" xfId="16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228" fontId="0" fillId="15" borderId="1" xfId="0" applyFont="fals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18" fillId="0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8" fontId="39" fillId="0" borderId="1" xfId="31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9" fillId="0" borderId="1" xfId="31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true"/>
      <protection locked="true" hidden="false"/>
    </xf>
    <xf numFmtId="228" fontId="69" fillId="0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8" fontId="0" fillId="0" borderId="1" xfId="3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228" fontId="0" fillId="0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8" fontId="0" fillId="0" borderId="1" xfId="3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2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3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228" fontId="0" fillId="0" borderId="1" xfId="0" applyFont="false" applyBorder="true" applyAlignment="true" applyProtection="false">
      <alignment horizontal="center" vertical="center" textRotation="0" wrapText="false" indent="0" shrinkToFit="true"/>
      <protection locked="true" hidden="false"/>
    </xf>
    <xf numFmtId="228" fontId="0" fillId="0" borderId="1" xfId="0" applyFont="fals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3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0" fillId="0" borderId="12" xfId="39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0" borderId="13" xfId="39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13" xfId="39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7" fillId="0" borderId="24" xfId="39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7" fillId="0" borderId="1" xfId="39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7" fillId="0" borderId="59" xfId="396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40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#,##0" xfId="21"/>
    <cellStyle name="0.0" xfId="22"/>
    <cellStyle name="0.00" xfId="23"/>
    <cellStyle name="2)" xfId="24"/>
    <cellStyle name="82" xfId="25"/>
    <cellStyle name="??&amp;O?&amp;H?_x0008__x000f__x0007_?_x0007__x0001__x0001_" xfId="26"/>
    <cellStyle name="??&amp;O?&amp;H?_x0008_??_x0007__x0001__x0001_" xfId="27"/>
    <cellStyle name="?W?_laroux" xfId="28"/>
    <cellStyle name="?曹%U?&amp;H?_x0008_?s&#10;_x0007__x0001__x0001_" xfId="29"/>
    <cellStyle name="_'99상반기경영개선활동결과(게시용)" xfId="30"/>
    <cellStyle name="_1,2공구 깨기 집계표" xfId="31"/>
    <cellStyle name="_1408 barracks" xfId="32"/>
    <cellStyle name="_1공구" xfId="33"/>
    <cellStyle name="_1공구 깨기" xfId="34"/>
    <cellStyle name="_1공구_1" xfId="35"/>
    <cellStyle name="_1공구토공" xfId="36"/>
    <cellStyle name="_2-4.상반기실적부문별요약" xfId="37"/>
    <cellStyle name="_2-4.상반기실적부문별요약(표지및목차포함)" xfId="38"/>
    <cellStyle name="_2-4.상반기실적부문별요약(표지및목차포함)_1" xfId="39"/>
    <cellStyle name="_2-4.상반기실적부문별요약_1" xfId="40"/>
    <cellStyle name="_2공구" xfId="41"/>
    <cellStyle name="_2공구 깨기" xfId="42"/>
    <cellStyle name="_2공구_1" xfId="43"/>
    <cellStyle name="_Book2" xfId="44"/>
    <cellStyle name="_laroux" xfId="45"/>
    <cellStyle name="_경영개선활동상반기실적(990708)" xfId="46"/>
    <cellStyle name="_경영개선활동상반기실적(990708)_1" xfId="47"/>
    <cellStyle name="_경영개선활동상반기실적(990708)_2" xfId="48"/>
    <cellStyle name="_경영개선활성화방안(990802)" xfId="49"/>
    <cellStyle name="_경영개선활성화방안(990802)_1" xfId="50"/>
    <cellStyle name="_골지2리농로(양지말)1공구" xfId="51"/>
    <cellStyle name="_구조물공" xfId="52"/>
    <cellStyle name="_구조물공-옹벽" xfId="53"/>
    <cellStyle name="_남산등산로" xfId="54"/>
    <cellStyle name="_도곡1교 교대 수량" xfId="55"/>
    <cellStyle name="_도곡1교 교대 수량_1공구토공" xfId="56"/>
    <cellStyle name="_도곡1교 교대 수량_Book2" xfId="57"/>
    <cellStyle name="_도곡1교 교대 수량_부대공수량" xfId="58"/>
    <cellStyle name="_도곡1교 교대 수량_수량산출서" xfId="59"/>
    <cellStyle name="_도곡1교 교대 수량_수량산출서-" xfId="60"/>
    <cellStyle name="_도곡1교 교대 수량_측구공" xfId="61"/>
    <cellStyle name="_도곡1교 교대(시점) 수량" xfId="62"/>
    <cellStyle name="_도곡1교 교대(시점) 수량_1공구토공" xfId="63"/>
    <cellStyle name="_도곡1교 교대(시점) 수량_Book2" xfId="64"/>
    <cellStyle name="_도곡1교 교대(시점) 수량_부대공수량" xfId="65"/>
    <cellStyle name="_도곡1교 교대(시점) 수량_수량산출서" xfId="66"/>
    <cellStyle name="_도곡1교 교대(시점) 수량_수량산출서-" xfId="67"/>
    <cellStyle name="_도곡1교 교대(시점) 수량_측구공" xfId="68"/>
    <cellStyle name="_도곡1교 하부공 수량" xfId="69"/>
    <cellStyle name="_도곡1교 하부공 수량_1공구토공" xfId="70"/>
    <cellStyle name="_도곡1교 하부공 수량_Book2" xfId="71"/>
    <cellStyle name="_도곡1교 하부공 수량_부대공수량" xfId="72"/>
    <cellStyle name="_도곡1교 하부공 수량_수량산출서" xfId="73"/>
    <cellStyle name="_도곡1교 하부공 수량_수량산출서-" xfId="74"/>
    <cellStyle name="_도곡1교 하부공 수량_측구공" xfId="75"/>
    <cellStyle name="_도곡2교 교대 수량" xfId="76"/>
    <cellStyle name="_도곡2교 교대 수량_1공구토공" xfId="77"/>
    <cellStyle name="_도곡2교 교대 수량_Book2" xfId="78"/>
    <cellStyle name="_도곡2교 교대 수량_부대공수량" xfId="79"/>
    <cellStyle name="_도곡2교 교대 수량_수량산출서" xfId="80"/>
    <cellStyle name="_도곡2교 교대 수량_수량산출서-" xfId="81"/>
    <cellStyle name="_도곡2교 교대 수량_측구공" xfId="82"/>
    <cellStyle name="_도곡2교 교대(종점) 수량" xfId="83"/>
    <cellStyle name="_도곡2교 교대(종점) 수량_1공구토공" xfId="84"/>
    <cellStyle name="_도곡2교 교대(종점) 수량_Book2" xfId="85"/>
    <cellStyle name="_도곡2교 교대(종점) 수량_부대공수량" xfId="86"/>
    <cellStyle name="_도곡2교 교대(종점) 수량_수량산출서" xfId="87"/>
    <cellStyle name="_도곡2교 교대(종점) 수량_수량산출서-" xfId="88"/>
    <cellStyle name="_도곡2교 교대(종점) 수량_측구공" xfId="89"/>
    <cellStyle name="_도곡3교 교대 수량" xfId="90"/>
    <cellStyle name="_도곡3교 교대 수량_1공구토공" xfId="91"/>
    <cellStyle name="_도곡3교 교대 수량_Book2" xfId="92"/>
    <cellStyle name="_도곡3교 교대 수량_부대공수량" xfId="93"/>
    <cellStyle name="_도곡3교 교대 수량_수량산출서" xfId="94"/>
    <cellStyle name="_도곡3교 교대 수량_수량산출서-" xfId="95"/>
    <cellStyle name="_도곡3교 교대 수량_측구공" xfId="96"/>
    <cellStyle name="_도곡4교 하부공 수량" xfId="97"/>
    <cellStyle name="_도곡4교 하부공 수량_1공구토공" xfId="98"/>
    <cellStyle name="_도곡4교 하부공 수량_Book2" xfId="99"/>
    <cellStyle name="_도곡4교 하부공 수량_부대공수량" xfId="100"/>
    <cellStyle name="_도곡4교 하부공 수량_수량산출서" xfId="101"/>
    <cellStyle name="_도곡4교 하부공 수량_수량산출서-" xfId="102"/>
    <cellStyle name="_도곡4교 하부공 수량_측구공" xfId="103"/>
    <cellStyle name="_도곡교 교대 수량" xfId="104"/>
    <cellStyle name="_도곡교 교대 수량_1공구토공" xfId="105"/>
    <cellStyle name="_도곡교 교대 수량_Book2" xfId="106"/>
    <cellStyle name="_도곡교 교대 수량_부대공수량" xfId="107"/>
    <cellStyle name="_도곡교 교대 수량_수량산출서" xfId="108"/>
    <cellStyle name="_도곡교 교대 수량_수량산출서-" xfId="109"/>
    <cellStyle name="_도곡교 교대 수량_측구공" xfId="110"/>
    <cellStyle name="_도리농로" xfId="111"/>
    <cellStyle name="_돌고개농로" xfId="112"/>
    <cellStyle name="_모점3공구" xfId="113"/>
    <cellStyle name="_배,포,부,자" xfId="114"/>
    <cellStyle name="_배,포,부,자(원호암)" xfId="115"/>
    <cellStyle name="_배,포,부,자재(4공구)" xfId="116"/>
    <cellStyle name="_배,포,부,자재집" xfId="117"/>
    <cellStyle name="_배수공" xfId="118"/>
    <cellStyle name="_배수공2" xfId="119"/>
    <cellStyle name="_배수공3" xfId="120"/>
    <cellStyle name="_별첨(계획서및실적서양식)" xfId="121"/>
    <cellStyle name="_별첨(계획서및실적서양식)_1" xfId="122"/>
    <cellStyle name="_부대공" xfId="123"/>
    <cellStyle name="_부대공수량" xfId="124"/>
    <cellStyle name="_비탈면보호공" xfId="125"/>
    <cellStyle name="_사시농로" xfId="126"/>
    <cellStyle name="_사암,문산지구" xfId="127"/>
    <cellStyle name="_석교농로" xfId="128"/>
    <cellStyle name="_수량산출서" xfId="129"/>
    <cellStyle name="_수량산출서-" xfId="130"/>
    <cellStyle name="_신대농로" xfId="131"/>
    <cellStyle name="_앙성수량총괄(관수정)" xfId="132"/>
    <cellStyle name="_앙성수량총괄(관수정) 2" xfId="133"/>
    <cellStyle name="_앙성수량총괄(관수정) 2 2" xfId="134"/>
    <cellStyle name="_앙성수량총괄(관수정) 3" xfId="135"/>
    <cellStyle name="_앙성수량총괄(관수정)_1" xfId="136"/>
    <cellStyle name="_앙성수량총괄(관수정)_2" xfId="137"/>
    <cellStyle name="_앙성수량총괄(관수정)_2 2" xfId="138"/>
    <cellStyle name="_앙성수량총괄(관수정)_2 2 2" xfId="139"/>
    <cellStyle name="_앙성수량총괄(관수정)_2 3" xfId="140"/>
    <cellStyle name="_양식" xfId="141"/>
    <cellStyle name="_양식_1" xfId="142"/>
    <cellStyle name="_양식_2" xfId="143"/>
    <cellStyle name="_유첨3(서식)" xfId="144"/>
    <cellStyle name="_유첨3(서식)_1" xfId="145"/>
    <cellStyle name="_음성전도급사용내역" xfId="146"/>
    <cellStyle name="_자재집계표" xfId="147"/>
    <cellStyle name="_장천3공구" xfId="148"/>
    <cellStyle name="_장천4공구" xfId="149"/>
    <cellStyle name="_장천5공구" xfId="150"/>
    <cellStyle name="_장천6공구" xfId="151"/>
    <cellStyle name="_장천총괄내역수량" xfId="152"/>
    <cellStyle name="_종포농로" xfId="153"/>
    <cellStyle name="_지정과제1분기실적(확정990408)" xfId="154"/>
    <cellStyle name="_지정과제1분기실적(확정990408)_1" xfId="155"/>
    <cellStyle name="_지정과제2차심의list" xfId="156"/>
    <cellStyle name="_지정과제2차심의list_1" xfId="157"/>
    <cellStyle name="_지정과제2차심의list_2" xfId="158"/>
    <cellStyle name="_지정과제2차심의결과" xfId="159"/>
    <cellStyle name="_지정과제2차심의결과(금액조정후최종)" xfId="160"/>
    <cellStyle name="_지정과제2차심의결과(금액조정후최종)_1" xfId="161"/>
    <cellStyle name="_지정과제2차심의결과(금액조정후최종)_1_경영개선실적보고(전주공장)" xfId="162"/>
    <cellStyle name="_지정과제2차심의결과(금액조정후최종)_1_별첨1_2" xfId="163"/>
    <cellStyle name="_지정과제2차심의결과(금액조정후최종)_1_제안과제집계표(공장전체)" xfId="164"/>
    <cellStyle name="_지정과제2차심의결과(금액조정후최종)_경영개선실적보고(전주공장)" xfId="165"/>
    <cellStyle name="_지정과제2차심의결과(금액조정후최종)_별첨1_2" xfId="166"/>
    <cellStyle name="_지정과제2차심의결과(금액조정후최종)_제안과제집계표(공장전체)" xfId="167"/>
    <cellStyle name="_지정과제2차심의결과_1" xfId="168"/>
    <cellStyle name="_집중관리(981231)" xfId="169"/>
    <cellStyle name="_집중관리(981231)_1" xfId="170"/>
    <cellStyle name="_집중관리(지정과제및 양식)" xfId="171"/>
    <cellStyle name="_집중관리(지정과제및 양식)_1" xfId="172"/>
    <cellStyle name="_측구공" xfId="173"/>
    <cellStyle name="_토공" xfId="174"/>
    <cellStyle name="_토공1" xfId="175"/>
    <cellStyle name="_토공_1" xfId="176"/>
    <cellStyle name="_토공깨기" xfId="177"/>
    <cellStyle name="_토목(증평)" xfId="178"/>
    <cellStyle name="AeE¡ⓒ [0]_INQUIRY ￠?￥i¨u¡AAⓒ￢Aⓒª " xfId="179"/>
    <cellStyle name="AeE¡ⓒ_INQUIRY ￠?￥i¨u¡AAⓒ￢Aⓒª " xfId="180"/>
    <cellStyle name="AeE­ [0]_ 2ÆAAþº° " xfId="181"/>
    <cellStyle name="AeE­ [0]_INQUIRY ¿μ¾÷AßAø " xfId="182"/>
    <cellStyle name="AeE­_ 2ÆAAþº° " xfId="183"/>
    <cellStyle name="AeE­_INQUIRY ¿μ¾÷AßAø " xfId="184"/>
    <cellStyle name="ALIGNMENT" xfId="185"/>
    <cellStyle name="A¨­￠￢￠O [0]_INQUIRY ￠?￥i¨u¡AAⓒ￢Aⓒª " xfId="186"/>
    <cellStyle name="A¨­￠￢￠O_INQUIRY ￠?￥i¨u¡AAⓒ￢Aⓒª " xfId="187"/>
    <cellStyle name="AÞ¸¶ [0]_ 2ÆAAþº° " xfId="188"/>
    <cellStyle name="AÞ¸¶ [0]_INQUIRY ¿μ¾÷AßAø " xfId="189"/>
    <cellStyle name="AÞ¸¶_ 2ÆAAþº° " xfId="190"/>
    <cellStyle name="AÞ¸¶_INQUIRY ¿μ¾÷AßAø " xfId="191"/>
    <cellStyle name="body" xfId="192"/>
    <cellStyle name="Calc Currency (0)" xfId="193"/>
    <cellStyle name="category" xfId="194"/>
    <cellStyle name="Comma" xfId="195"/>
    <cellStyle name="Comma [0]" xfId="196"/>
    <cellStyle name="comma zerodec" xfId="197"/>
    <cellStyle name="Comma0" xfId="198"/>
    <cellStyle name="Comma_ SG&amp;A Bridge " xfId="199"/>
    <cellStyle name="Currency" xfId="200"/>
    <cellStyle name="Currency [0]" xfId="201"/>
    <cellStyle name="Currency0" xfId="202"/>
    <cellStyle name="Currency1" xfId="203"/>
    <cellStyle name="Currency_ SG&amp;A Bridge " xfId="204"/>
    <cellStyle name="C¡IA¨ª_¡ic¨u¡A¨￢I¨￢¡Æ AN¡Æe " xfId="205"/>
    <cellStyle name="C￥AØ_  FAB AIA¤  " xfId="206"/>
    <cellStyle name="C￥AØ_PERSONAL" xfId="207"/>
    <cellStyle name="Date" xfId="208"/>
    <cellStyle name="Dezimal [0]_laroux" xfId="209"/>
    <cellStyle name="Dezimal_laroux" xfId="210"/>
    <cellStyle name="Dollar (zero dec)" xfId="211"/>
    <cellStyle name="F2" xfId="212"/>
    <cellStyle name="F3" xfId="213"/>
    <cellStyle name="F4" xfId="214"/>
    <cellStyle name="F5" xfId="215"/>
    <cellStyle name="F6" xfId="216"/>
    <cellStyle name="F7" xfId="217"/>
    <cellStyle name="F8" xfId="218"/>
    <cellStyle name="Fixed" xfId="219"/>
    <cellStyle name="Followed Hyperlink" xfId="220"/>
    <cellStyle name="Grey" xfId="221"/>
    <cellStyle name="head" xfId="222"/>
    <cellStyle name="head 1" xfId="223"/>
    <cellStyle name="head 1-1" xfId="224"/>
    <cellStyle name="HEADER" xfId="225"/>
    <cellStyle name="Header1" xfId="226"/>
    <cellStyle name="Header2" xfId="227"/>
    <cellStyle name="Heading 1 1" xfId="228"/>
    <cellStyle name="Heading 2 1" xfId="229"/>
    <cellStyle name="Heading 1" xfId="230"/>
    <cellStyle name="Heading2" xfId="231"/>
    <cellStyle name="Hyperlink 1" xfId="232"/>
    <cellStyle name="Input [yellow]" xfId="233"/>
    <cellStyle name="Midtitle" xfId="234"/>
    <cellStyle name="Milliers [0]_Arabian Spec" xfId="235"/>
    <cellStyle name="Milliers_Arabian Spec" xfId="236"/>
    <cellStyle name="Model" xfId="237"/>
    <cellStyle name="Mon?aire [0]_Arabian Spec" xfId="238"/>
    <cellStyle name="Mon?aire_Arabian Spec" xfId="239"/>
    <cellStyle name="no dec" xfId="240"/>
    <cellStyle name="nohs" xfId="241"/>
    <cellStyle name="Normal - Style1" xfId="242"/>
    <cellStyle name="Normal - 유형1" xfId="243"/>
    <cellStyle name="Normal_ SG&amp;A Bridge " xfId="244"/>
    <cellStyle name="Percent" xfId="245"/>
    <cellStyle name="Percent [2]" xfId="246"/>
    <cellStyle name="Percent_기성현황" xfId="247"/>
    <cellStyle name="Standard_laroux" xfId="248"/>
    <cellStyle name="subhead" xfId="249"/>
    <cellStyle name="testtitle" xfId="250"/>
    <cellStyle name="title [1]" xfId="251"/>
    <cellStyle name="title [2]" xfId="252"/>
    <cellStyle name="Total" xfId="253"/>
    <cellStyle name="UM" xfId="254"/>
    <cellStyle name="W?rung [0]_laroux" xfId="255"/>
    <cellStyle name="W?rung_laroux" xfId="256"/>
    <cellStyle name="ÄÞ¸¶ [0]_»óºÎ¼ö·®Áý°è " xfId="257"/>
    <cellStyle name="ÄÞ¸¶_»óºÎ¼ö·®Áý°è " xfId="258"/>
    <cellStyle name="ÅëÈ­ [0]_»óºÎ¼ö·®Áý°è " xfId="259"/>
    <cellStyle name="ÅëÈ­_»óºÎ¼ö·®Áý°è " xfId="260"/>
    <cellStyle name="Ç¥ÁØ_»óºÎ¼ö·®Áý°è " xfId="261"/>
    <cellStyle name="Œ…?æ맖?e [0.00]_laroux" xfId="262"/>
    <cellStyle name="Œ…?æ맖?e_laroux" xfId="263"/>
    <cellStyle name="’E‰Y [0.00]_laroux" xfId="264"/>
    <cellStyle name="’E‰Y_laroux" xfId="265"/>
    <cellStyle name="標準_Akia(F）-8" xfId="266"/>
    <cellStyle name="고정소숫점" xfId="267"/>
    <cellStyle name="고정출력1" xfId="268"/>
    <cellStyle name="고정출력2" xfId="269"/>
    <cellStyle name="공사원가계산서(조경)" xfId="270"/>
    <cellStyle name="국종합건설" xfId="271"/>
    <cellStyle name="날짜" xfId="272"/>
    <cellStyle name="내역서" xfId="273"/>
    <cellStyle name="단위" xfId="274"/>
    <cellStyle name="달러" xfId="275"/>
    <cellStyle name="뒤에 오는 하이퍼링크_0001 const-breakdown" xfId="276"/>
    <cellStyle name="똿떓죶Ø괻 [0.00]_PRODUCT DETAIL Q1" xfId="277"/>
    <cellStyle name="똿떓죶Ø괻_PRODUCT DETAIL Q1" xfId="278"/>
    <cellStyle name="똿뗦먛귟 [0.00]_PRODUCT DETAIL Q1" xfId="279"/>
    <cellStyle name="똿뗦먛귟_PRODUCT DETAIL Q1" xfId="280"/>
    <cellStyle name="마ㅊ춤" xfId="281"/>
    <cellStyle name="묮뎋 [0.00]_PRODUCT DETAIL Q1" xfId="282"/>
    <cellStyle name="묮뎋_PRODUCT DETAIL Q1" xfId="283"/>
    <cellStyle name="믅됞 [0.00]_PRODUCT DETAIL Q1" xfId="284"/>
    <cellStyle name="믅됞_PRODUCT DETAIL Q1" xfId="285"/>
    <cellStyle name="배분" xfId="286"/>
    <cellStyle name="백분율 2" xfId="287"/>
    <cellStyle name="백분율 2 2" xfId="288"/>
    <cellStyle name="백분율 2 3" xfId="289"/>
    <cellStyle name="백분율 3" xfId="290"/>
    <cellStyle name="백분율 3 2" xfId="291"/>
    <cellStyle name="백분율 3 2 2" xfId="292"/>
    <cellStyle name="백분율 3 2 2 2" xfId="293"/>
    <cellStyle name="백분율 3 3" xfId="294"/>
    <cellStyle name="백분율 3 4" xfId="295"/>
    <cellStyle name="백분율 3 5" xfId="296"/>
    <cellStyle name="백분율 6" xfId="297"/>
    <cellStyle name="백분율 [0]" xfId="298"/>
    <cellStyle name="백분율 [2]" xfId="299"/>
    <cellStyle name="백분율［△1］" xfId="300"/>
    <cellStyle name="백분율［△2］" xfId="301"/>
    <cellStyle name="뷭?_BOOKSHIP" xfId="302"/>
    <cellStyle name="빨강" xfId="303"/>
    <cellStyle name="선택영역의 가운데로" xfId="304"/>
    <cellStyle name="숫자(R)" xfId="305"/>
    <cellStyle name="쉼표 2" xfId="306"/>
    <cellStyle name="쉼표 2 2" xfId="307"/>
    <cellStyle name="쉼표 3" xfId="308"/>
    <cellStyle name="쉼표 3 2" xfId="309"/>
    <cellStyle name="쉼표 [0] 10 3" xfId="310"/>
    <cellStyle name="쉼표 [0] 10 3 2" xfId="311"/>
    <cellStyle name="쉼표 [0] 11 2" xfId="312"/>
    <cellStyle name="쉼표 [0] 11 3" xfId="313"/>
    <cellStyle name="쉼표 [0] 11 3 2" xfId="314"/>
    <cellStyle name="쉼표 [0] 2" xfId="315"/>
    <cellStyle name="쉼표 [0] 2 10 2" xfId="316"/>
    <cellStyle name="쉼표 [0] 2 10 2 2" xfId="317"/>
    <cellStyle name="쉼표 [0] 2 12" xfId="318"/>
    <cellStyle name="쉼표 [0] 2 12 2" xfId="319"/>
    <cellStyle name="쉼표 [0] 2 2" xfId="320"/>
    <cellStyle name="쉼표 [0] 2 2 10 2" xfId="321"/>
    <cellStyle name="쉼표 [0] 2 2 10 2 2" xfId="322"/>
    <cellStyle name="쉼표 [0] 2 2 2" xfId="323"/>
    <cellStyle name="쉼표 [0] 2 2 2 2" xfId="324"/>
    <cellStyle name="쉼표 [0] 2 2 2 2 2" xfId="325"/>
    <cellStyle name="쉼표 [0] 2 2 2 2 2 2" xfId="326"/>
    <cellStyle name="쉼표 [0] 2 2 3" xfId="327"/>
    <cellStyle name="쉼표 [0] 2 2 3 2" xfId="328"/>
    <cellStyle name="쉼표 [0] 2 2 4" xfId="329"/>
    <cellStyle name="쉼표 [0] 2 3" xfId="330"/>
    <cellStyle name="쉼표 [0] 2 3 2" xfId="331"/>
    <cellStyle name="쉼표 [0] 2 3 2 2" xfId="332"/>
    <cellStyle name="쉼표 [0] 2 3 3" xfId="333"/>
    <cellStyle name="쉼표 [0] 2 3 4" xfId="334"/>
    <cellStyle name="쉼표 [0] 2 3 4 2" xfId="335"/>
    <cellStyle name="쉼표 [0] 2 4" xfId="336"/>
    <cellStyle name="쉼표 [0] 2 4 2" xfId="337"/>
    <cellStyle name="쉼표 [0] 2 5" xfId="338"/>
    <cellStyle name="쉼표 [0] 2 5 2" xfId="339"/>
    <cellStyle name="쉼표 [0] 2 6" xfId="340"/>
    <cellStyle name="쉼표 [0] 2 6 2" xfId="341"/>
    <cellStyle name="쉼표 [0] 2 7" xfId="342"/>
    <cellStyle name="쉼표 [0] 2 7 2" xfId="343"/>
    <cellStyle name="쉼표 [0] 2 8" xfId="344"/>
    <cellStyle name="쉼표 [0] 3" xfId="345"/>
    <cellStyle name="쉼표 [0] 3 2" xfId="346"/>
    <cellStyle name="쉼표 [0] 3 2 2" xfId="347"/>
    <cellStyle name="쉼표 [0] 3 3" xfId="348"/>
    <cellStyle name="쉼표 [0] 4" xfId="349"/>
    <cellStyle name="쉼표 [0] 4 2" xfId="350"/>
    <cellStyle name="쉼표 [0] 5" xfId="351"/>
    <cellStyle name="쉼표 [0] 5 2" xfId="352"/>
    <cellStyle name="쉼표 [0] 6" xfId="353"/>
    <cellStyle name="쉼표 [0] 6 2" xfId="354"/>
    <cellStyle name="쉼표 [0] 6 2 2" xfId="355"/>
    <cellStyle name="쉼표 [0] 6 2 3" xfId="356"/>
    <cellStyle name="스타일 1" xfId="357"/>
    <cellStyle name="스타일 2" xfId="358"/>
    <cellStyle name="스타일 3" xfId="359"/>
    <cellStyle name="스타일 4" xfId="360"/>
    <cellStyle name="스타일 5" xfId="361"/>
    <cellStyle name="안건회계법인" xfId="362"/>
    <cellStyle name="유1" xfId="363"/>
    <cellStyle name="일위대가" xfId="364"/>
    <cellStyle name="자리수" xfId="365"/>
    <cellStyle name="자리수0" xfId="366"/>
    <cellStyle name="지정되지 않음" xfId="367"/>
    <cellStyle name="콤마 [0]_  종  합  " xfId="368"/>
    <cellStyle name="콤마 [2]" xfId="369"/>
    <cellStyle name="콤마 [금액]" xfId="370"/>
    <cellStyle name="콤마 [소수]" xfId="371"/>
    <cellStyle name="콤마 [수량]" xfId="372"/>
    <cellStyle name="콤마[ ]" xfId="373"/>
    <cellStyle name="콤마[*]" xfId="374"/>
    <cellStyle name="콤마[.]" xfId="375"/>
    <cellStyle name="콤마[0]" xfId="376"/>
    <cellStyle name="콤마_  종  합  " xfId="377"/>
    <cellStyle name="퍼센트" xfId="378"/>
    <cellStyle name="표준 10" xfId="379"/>
    <cellStyle name="표준 10 10" xfId="380"/>
    <cellStyle name="표준 2" xfId="381"/>
    <cellStyle name="표준 2 10" xfId="382"/>
    <cellStyle name="표준 2 10 2 2" xfId="383"/>
    <cellStyle name="표준 2 2" xfId="384"/>
    <cellStyle name="표준 2 2 2" xfId="385"/>
    <cellStyle name="표준 2 2 2 2" xfId="386"/>
    <cellStyle name="표준 2 2 2 2 2" xfId="387"/>
    <cellStyle name="표준 2 2 2 3" xfId="388"/>
    <cellStyle name="표준 2 2 54" xfId="389"/>
    <cellStyle name="표준 2 3" xfId="390"/>
    <cellStyle name="표준 2 3 2" xfId="391"/>
    <cellStyle name="표준 2 3 2 2" xfId="392"/>
    <cellStyle name="표준 2 4" xfId="393"/>
    <cellStyle name="표준 2 5" xfId="394"/>
    <cellStyle name="표준 2 6" xfId="395"/>
    <cellStyle name="표준 3" xfId="396"/>
    <cellStyle name="표준 3 2" xfId="397"/>
    <cellStyle name="표준 3 2 2" xfId="398"/>
    <cellStyle name="표준 3 2 2 2" xfId="399"/>
    <cellStyle name="표준 3 2 3" xfId="400"/>
    <cellStyle name="표준 3 2 4" xfId="401"/>
    <cellStyle name="표준 3 3" xfId="402"/>
    <cellStyle name="표준 3 3 2 4" xfId="403"/>
    <cellStyle name="표준 3 3 4" xfId="404"/>
    <cellStyle name="표준 3 3 4 2" xfId="405"/>
    <cellStyle name="표준 4" xfId="406"/>
    <cellStyle name="표준 5" xfId="407"/>
    <cellStyle name="표준 5 2" xfId="408"/>
    <cellStyle name="표준 6" xfId="409"/>
    <cellStyle name="표준 7" xfId="410"/>
    <cellStyle name="표준 7 3 2 3" xfId="411"/>
    <cellStyle name="표준 7 5" xfId="412"/>
    <cellStyle name="표준 7 5 2" xfId="413"/>
    <cellStyle name="표준_노임대장6월(1)" xfId="414"/>
    <cellStyle name="표준_서해안" xfId="415"/>
    <cellStyle name="표준_자금청구(06.5월)" xfId="416"/>
    <cellStyle name="하이퍼링크 2" xfId="417"/>
    <cellStyle name="합   계" xfId="418"/>
    <cellStyle name="합산" xfId="419"/>
    <cellStyle name="화폐기호" xfId="420"/>
    <cellStyle name="화폐기호0" xfId="421"/>
    <cellStyle name="*unknown*" xfId="20" builtinId="8"/>
  </cellStyles>
  <dxfs count="36"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  <dxf>
      <font>
        <name val="돋움"/>
        <charset val="129"/>
        <family val="3"/>
        <color rgb="FF800080"/>
        <sz val="11"/>
      </font>
      <fill>
        <patternFill>
          <bgColor rgb="FFFF99CC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externalLink" Target="externalLinks/externalLink1.xml"/><Relationship Id="rId14" Type="http://schemas.openxmlformats.org/officeDocument/2006/relationships/externalLink" Target="externalLinks/externalLink2.xml"/><Relationship Id="rId15" Type="http://schemas.openxmlformats.org/officeDocument/2006/relationships/externalLink" Target="externalLinks/externalLink3.xml"/><Relationship Id="rId16" Type="http://schemas.openxmlformats.org/officeDocument/2006/relationships/externalLink" Target="externalLinks/externalLink4.xml"/><Relationship Id="rId17" Type="http://schemas.openxmlformats.org/officeDocument/2006/relationships/externalLink" Target="externalLinks/externalLink5.xml"/><Relationship Id="rId18" Type="http://schemas.openxmlformats.org/officeDocument/2006/relationships/externalLink" Target="externalLinks/externalLink6.xml"/><Relationship Id="rId19" Type="http://schemas.openxmlformats.org/officeDocument/2006/relationships/externalLink" Target="externalLinks/externalLink7.xml"/><Relationship Id="rId20" Type="http://schemas.openxmlformats.org/officeDocument/2006/relationships/externalLink" Target="externalLinks/externalLink8.xml"/><Relationship Id="rId21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1.xml"/><Relationship Id="rId24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1.xml"/><Relationship Id="rId34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26.xml"/><Relationship Id="rId39" Type="http://schemas.openxmlformats.org/officeDocument/2006/relationships/externalLink" Target="externalLinks/externalLink27.xml"/><Relationship Id="rId40" Type="http://schemas.openxmlformats.org/officeDocument/2006/relationships/externalLink" Target="externalLinks/externalLink28.xml"/><Relationship Id="rId41" Type="http://schemas.openxmlformats.org/officeDocument/2006/relationships/externalLink" Target="externalLinks/externalLink29.xml"/><Relationship Id="rId42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1.xml"/><Relationship Id="rId44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34.xml"/><Relationship Id="rId47" Type="http://schemas.openxmlformats.org/officeDocument/2006/relationships/externalLink" Target="externalLinks/externalLink35.xml"/><Relationship Id="rId4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419400</xdr:colOff>
      <xdr:row>15</xdr:row>
      <xdr:rowOff>56880</xdr:rowOff>
    </xdr:to>
    <xdr:pic>
      <xdr:nvPicPr>
        <xdr:cNvPr id="1" name="그림 5"/>
        <xdr:cNvPicPr/>
      </xdr:nvPicPr>
      <xdr:blipFill>
        <a:blip r:embed="rId1"/>
        <a:stretch/>
      </xdr:blipFill>
      <xdr:spPr>
        <a:xfrm>
          <a:off x="0" y="0"/>
          <a:ext cx="11576520" cy="2628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39600</xdr:colOff>
      <xdr:row>14</xdr:row>
      <xdr:rowOff>142560</xdr:rowOff>
    </xdr:from>
    <xdr:to>
      <xdr:col>14</xdr:col>
      <xdr:colOff>409320</xdr:colOff>
      <xdr:row>34</xdr:row>
      <xdr:rowOff>133200</xdr:rowOff>
    </xdr:to>
    <xdr:pic>
      <xdr:nvPicPr>
        <xdr:cNvPr id="2" name="그림 6"/>
        <xdr:cNvPicPr/>
      </xdr:nvPicPr>
      <xdr:blipFill>
        <a:blip r:embed="rId2"/>
        <a:stretch/>
      </xdr:blipFill>
      <xdr:spPr>
        <a:xfrm>
          <a:off x="39600" y="2543040"/>
          <a:ext cx="11526840" cy="3419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186480</xdr:colOff>
      <xdr:row>1</xdr:row>
      <xdr:rowOff>104400</xdr:rowOff>
    </xdr:from>
    <xdr:to>
      <xdr:col>7</xdr:col>
      <xdr:colOff>39600</xdr:colOff>
      <xdr:row>2</xdr:row>
      <xdr:rowOff>304560</xdr:rowOff>
    </xdr:to>
    <xdr:sp>
      <xdr:nvSpPr>
        <xdr:cNvPr id="3" name="타원 5"/>
        <xdr:cNvSpPr/>
      </xdr:nvSpPr>
      <xdr:spPr>
        <a:xfrm flipH="1">
          <a:off x="1011960" y="333000"/>
          <a:ext cx="472320" cy="428760"/>
        </a:xfrm>
        <a:prstGeom prst="ellipse">
          <a:avLst/>
        </a:prstGeom>
        <a:noFill/>
        <a:ln w="9360">
          <a:solidFill>
            <a:srgbClr val="FF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68760</xdr:colOff>
      <xdr:row>1</xdr:row>
      <xdr:rowOff>190080</xdr:rowOff>
    </xdr:from>
    <xdr:to>
      <xdr:col>6</xdr:col>
      <xdr:colOff>157320</xdr:colOff>
      <xdr:row>2</xdr:row>
      <xdr:rowOff>229320</xdr:rowOff>
    </xdr:to>
    <xdr:sp>
      <xdr:nvSpPr>
        <xdr:cNvPr id="4" name="WordArt 2"/>
        <xdr:cNvSpPr txBox="1"/>
      </xdr:nvSpPr>
      <xdr:spPr>
        <a:xfrm>
          <a:off x="1100520" y="418680"/>
          <a:ext cx="295200" cy="267840"/>
        </a:xfrm>
        <a:prstGeom prst="rect">
          <a:avLst/>
        </a:prstGeom>
      </xdr:spPr>
      <xdr:txBody>
        <a:bodyPr wrap="none" lIns="90000" tIns="46800" rIns="90000" bIns="46800" anchor="t">
          <a:prstTxWarp prst="textPlain">
            <a:avLst>
              <a:gd name="adj" fmla="val 50000"/>
            </a:avLst>
          </a:prstTxWarp>
          <a:noAutofit/>
        </a:bodyPr>
        <a:p>
          <a:pPr/>
          <a:r>
            <a:rPr lang="zh-CN" sz="1200" b="0" u="none" spc="3" strike="noStrike">
              <a:ln w="9360">
                <a:solidFill>
                  <a:srgbClr val="FF0000"/>
                </a:solidFill>
                <a:miter/>
              </a:ln>
              <a:solidFill>
                <a:srgbClr val="FF0000"/>
              </a:solidFill>
              <a:uFillTx/>
              <a:latin typeface="바탕체"/>
            </a:rPr>
            <a:t>최종식</a:t>
          </a:r>
          <a:endParaRPr lang="en-US" sz="1200" b="0" u="none" spc="3" strike="noStrike">
            <a:ln w="9360">
              <a:solidFill>
                <a:srgbClr val="FF0000"/>
              </a:solidFill>
              <a:miter/>
            </a:ln>
            <a:solidFill>
              <a:srgbClr val="FF0000"/>
            </a:solidFill>
            <a:uFillTx/>
            <a:latin typeface="바탕체"/>
          </a:endParaRPr>
        </a:p>
      </xdr:txBody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A:/&#44204;&#51201;&#49436;&#47448;/&#44592;&#52488;&#49436;&#47448;/&#49457;&#51648;&#44277;&#54788;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B:/B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../../..//&#51204;&#50857;&#52384;/&#54252;&#52380;&#49569;&#50864;&#49688;&#47049;/hb/&#49340;&#49328;1&#51648;&#44396;(&#49892;&#49884;)/&#51452;&#44277;&#49688;&#47049;/&#51068;&#50948;&#45824;&#44032;9803.xls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file://Win2003/&#47700;&#53440;%20&#50629;&#47924;%20&#48177;&#50629;/&#44277;&#49324;&#44288;&#47532;/&#51060;&#52380;&#46020;&#47196;&#44277;&#49324;/&#44204;&#51201;-&#52572;&#51333;/&#45824;&#49888;&#54252;&#51109;&#44204;&#51201;.xls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../../../../../../H:/Users/salang137/AppData/Local/Microsoft/Windows/Temporary%20Internet%20Files/Content.IE5/6Z7BLNPF/&#44608;&#50857;&#44592;/&#50641;&#49472;/GUMI4B2/&#44396;&#48120;4&#45800;2.XLS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../../../../../../H:/Bidding/Tender/MARKET/WALMART/BISAN/My%20Documents/200PN.xls" TargetMode="External"/>
</Relationships>
</file>

<file path=xl/externalLinks/_rels/externalLink7.xml.rels><?xml version="1.0" encoding="UTF-8"?>
<Relationships xmlns="http://schemas.openxmlformats.org/package/2006/relationships"><Relationship Id="rId1" Type="http://schemas.openxmlformats.org/officeDocument/2006/relationships/externalLinkPath" Target="../../../../../..//&#48149;&#44228;&#54872;/c/&#44608;&#52380;&#44592;&#44228;&#54868;&#49324;&#45800;/&#46020;&#44540;&#51204;&#44060;.xls" TargetMode="External"/>
</Relationships>
</file>

<file path=xl/externalLinks/_rels/externalLink8.xml.rels><?xml version="1.0" encoding="UTF-8"?>
<Relationships xmlns="http://schemas.openxmlformats.org/package/2006/relationships"><Relationship Id="rId1" Type="http://schemas.openxmlformats.org/officeDocument/2006/relationships/externalLinkPath" Target="../../../../../../H:/Users/salang137/AppData/Local/Microsoft/Windows/Temporary%20Internet%20Files/Content.IE5/6Z7BLNPF/My%20Documents/Khdata99/&#44288;&#47532;&#52397;/&#49436;&#50872;/&#44053;&#48320;&#48513;&#47196;/My%20Documents/KHDATA/&#44288;&#47532;&#52397;/&#50896;&#45224;-&#50872;&#51652;/&#50896;&#45224;&#50872;&#51652;&#45209;&#52272;&#45236;&#50669;(99.4.13%20&#48512;&#49328;&#52397;).xls" TargetMode="External"/>
</Relationships>
</file>

<file path=xl/externalLinks/_rels/externalLink9.xml.rels><?xml version="1.0" encoding="UTF-8"?>
<Relationships xmlns="http://schemas.openxmlformats.org/package/2006/relationships"><Relationship Id="rId1" Type="http://schemas.openxmlformats.org/officeDocument/2006/relationships/externalLinkPath" Target="../../../../../../H:/Users/salang137/AppData/Local/Microsoft/Windows/Temporary%20Internet%20Files/Content.IE5/6Z7BLNPF/My%20Documents/Khdata99/&#44288;&#47532;&#52397;/&#50896;&#45224;-&#50872;&#51652;/&#50896;&#45224;&#50872;&#51652;&#45209;&#52272;&#45236;&#50669;(99.4.13%20&#48512;&#49328;&#52397;).xls" TargetMode="External"/>
</Relationships>
</file>

<file path=xl/externalLinks/_rels/externalLink10.xml.rels><?xml version="1.0" encoding="UTF-8"?>
<Relationships xmlns="http://schemas.openxmlformats.org/package/2006/relationships"><Relationship Id="rId1" Type="http://schemas.openxmlformats.org/officeDocument/2006/relationships/externalLinkPath" Target="../../../../../..//&#51060;&#50857;&#48712;/D/A/&#54408;&#49480;.XLS" TargetMode="External"/>
</Relationships>
</file>

<file path=xl/externalLinks/_rels/externalLink11.xml.rels><?xml version="1.0" encoding="UTF-8"?>
<Relationships xmlns="http://schemas.openxmlformats.org/package/2006/relationships"><Relationship Id="rId1" Type="http://schemas.openxmlformats.org/officeDocument/2006/relationships/externalLinkPath" Target="../../../../../..//&#54889;&#54788;&#50864;/&#47196;&#52972;%20&#46356;&#49828;&#53356;%20(d)/WINDOWS/&#48148;&#53461;%20&#54868;&#47732;/Book1.xls" TargetMode="External"/>
</Relationships>
</file>

<file path=xl/externalLinks/_rels/externalLink12.xml.rels><?xml version="1.0" encoding="UTF-8"?>
<Relationships xmlns="http://schemas.openxmlformats.org/package/2006/relationships"><Relationship Id="rId1" Type="http://schemas.openxmlformats.org/officeDocument/2006/relationships/externalLinkPath" Target="file://Win2003/&#47700;&#53440;%20&#50629;&#47924;%20&#48177;&#50629;/My%20Documents/03(&#49345;)/&#50689;&#46041;&#49464;&#48652;&#46976;&#49828;(6&#50900;)/&#50689;&#46041;&#49464;&#48652;&#46976;&#49828;(&#45236;).xls" TargetMode="External"/>
</Relationships>
</file>

<file path=xl/externalLinks/_rels/externalLink13.xml.rels><?xml version="1.0" encoding="UTF-8"?>
<Relationships xmlns="http://schemas.openxmlformats.org/package/2006/relationships"><Relationship Id="rId1" Type="http://schemas.openxmlformats.org/officeDocument/2006/relationships/externalLinkPath" Target="../../../../../..//&#51060;&#50857;&#48712;/D/DATA/&#50696;&#49328;&#44160;&#53664;/&#49892;&#54665;&#45824;&#48708;-3.xls" TargetMode="External"/>
</Relationships>
</file>

<file path=xl/externalLinks/_rels/externalLink14.xml.rels><?xml version="1.0" encoding="UTF-8"?>
<Relationships xmlns="http://schemas.openxmlformats.org/package/2006/relationships"><Relationship Id="rId1" Type="http://schemas.openxmlformats.org/officeDocument/2006/relationships/externalLinkPath" Target="../../../../../../A:/&#48169;&#52840;&#48320;&#44221;/2/HAN/&#49116;&#53440;&#51068;.XLS" TargetMode="External"/>
</Relationships>
</file>

<file path=xl/externalLinks/_rels/externalLink15.xml.rels><?xml version="1.0" encoding="UTF-8"?>
<Relationships xmlns="http://schemas.openxmlformats.org/package/2006/relationships"><Relationship Id="rId1" Type="http://schemas.openxmlformats.org/officeDocument/2006/relationships/externalLinkPath" Target="../../../../../../A:/&#51068;&#50948;&#45824;&#44032;9803.xls" TargetMode="External"/>
</Relationships>
</file>

<file path=xl/externalLinks/_rels/externalLink16.xml.rels><?xml version="1.0" encoding="UTF-8"?>
<Relationships xmlns="http://schemas.openxmlformats.org/package/2006/relationships"><Relationship Id="rId1" Type="http://schemas.openxmlformats.org/officeDocument/2006/relationships/externalLinkPath" Target="file://A901_03/c/junra4/&#52509;&#52404;3&#54924;&#49444;&#48320;/99&#50672;&#48512;&#50529;/&#50672;&#48512;&#50529;&#45236;&#50669;.xls" TargetMode="External"/>
</Relationships>
</file>

<file path=xl/externalLinks/_rels/externalLink17.xml.rels><?xml version="1.0" encoding="UTF-8"?>
<Relationships xmlns="http://schemas.openxmlformats.org/package/2006/relationships"><Relationship Id="rId1" Type="http://schemas.openxmlformats.org/officeDocument/2006/relationships/externalLinkPath" Target="../../../../../../H:/Users/salang137/AppData/Local/Microsoft/Windows/Temporary%20Internet%20Files/Content.IE5/6Z7BLNPF/&#45432;&#44032;&#45796;&#54260;&#45908;/&#52397;&#50868;&#44033;&#54788;&#51109;/&#48512;&#50668;&#52488;/04&#45380;(&#48512;&#50668;&#52488;)-&#51648;&#44208;(8&#50900;12&#51068;&#51089;&#50629;).xls" TargetMode="External"/>
</Relationships>
</file>

<file path=xl/externalLinks/_rels/externalLink18.xml.rels><?xml version="1.0" encoding="UTF-8"?>
<Relationships xmlns="http://schemas.openxmlformats.org/package/2006/relationships"><Relationship Id="rId1" Type="http://schemas.openxmlformats.org/officeDocument/2006/relationships/externalLinkPath" Target="../../../../../../H:/JABO/O12060/INFORM/MYENGBU.XLS" TargetMode="External"/>
</Relationships>
</file>

<file path=xl/externalLinks/_rels/externalLink19.xml.rels><?xml version="1.0" encoding="UTF-8"?>
<Relationships xmlns="http://schemas.openxmlformats.org/package/2006/relationships"><Relationship Id="rId1" Type="http://schemas.openxmlformats.org/officeDocument/2006/relationships/externalLinkPath" Target="file://H1775/c/ESTI96/&#44053;&#51652;&#51109;&#55141;/&#54980;&#45796;&#45236;&#50669;.XLS" TargetMode="External"/>
</Relationships>
</file>

<file path=xl/externalLinks/_rels/externalLink20.xml.rels><?xml version="1.0" encoding="UTF-8"?>
<Relationships xmlns="http://schemas.openxmlformats.org/package/2006/relationships"><Relationship Id="rId1" Type="http://schemas.openxmlformats.org/officeDocument/2006/relationships/externalLinkPath" Target="../../../../../../H:/Users/salang137/AppData/Local/Microsoft/Windows/Temporary%20Internet%20Files/Content.IE5/6Z7BLNPF/WINDOWS/TEMP/&#45236;&#50669;&#49436;(&#51649;&#50689;&#48708;).xls" TargetMode="External"/>
</Relationships>
</file>

<file path=xl/externalLinks/_rels/externalLink21.xml.rels><?xml version="1.0" encoding="UTF-8"?>
<Relationships xmlns="http://schemas.openxmlformats.org/package/2006/relationships"><Relationship Id="rId1" Type="http://schemas.openxmlformats.org/officeDocument/2006/relationships/externalLinkPath" Target="file://Your-d1kdhnu6fu/&#47196;&#52972;%20&#46356;&#49828;&#53356;%20(d)/&#48177;&#48393;&#51228;/&#51088;&#44552;&#52397;&#44396;/&#48177;&#48393;&#51228;/&#49892;&#54665;&#50696;&#49328;/&#49892;&#54665;&#50696;&#49328;-&#52572;&#52488;/&#49324;&#50629;2000excell/E&#44397;&#51648;&#46020;/&#47928;&#44305;&#52397;&#52380;/2000year/&#52397;&#52380;&#44396;&#44036;/&#52397;&#52380;&#45909;&#54217;&#44036;/2000&#52397;&#52380;-&#45909;&#54217;&#48156;&#51452;&#54252;&#51109;1.xls" TargetMode="External"/>
</Relationships>
</file>

<file path=xl/externalLinks/_rels/externalLink22.xml.rels><?xml version="1.0" encoding="UTF-8"?>
<Relationships xmlns="http://schemas.openxmlformats.org/package/2006/relationships"><Relationship Id="rId1" Type="http://schemas.openxmlformats.org/officeDocument/2006/relationships/externalLinkPath" Target="../../../../../../A:/KSJ/HW/&#44592;&#49457;&#45236;&#50669;.XLS" TargetMode="External"/>
</Relationships>
</file>

<file path=xl/externalLinks/_rels/externalLink23.xml.rels><?xml version="1.0" encoding="UTF-8"?>
<Relationships xmlns="http://schemas.openxmlformats.org/package/2006/relationships"><Relationship Id="rId1" Type="http://schemas.openxmlformats.org/officeDocument/2006/relationships/externalLinkPath" Target="file://LEEGEUNJO/jojonim/&#51221;&#50980;&#49688;/&#45236;&#50669;/&#53804;&#52272;(1-10&#44277;&#44396;)&#48512;&#44032;&#49464;&#54644;&#44208;/&#53804;&#52272;(1-10&#44277;&#44396;)&#48512;&#44032;&#49464;&#54644;&#44208;.xls" TargetMode="External"/>
</Relationships>
</file>

<file path=xl/externalLinks/_rels/externalLink24.xml.rels><?xml version="1.0" encoding="UTF-8"?>
<Relationships xmlns="http://schemas.openxmlformats.org/package/2006/relationships"><Relationship Id="rId1" Type="http://schemas.openxmlformats.org/officeDocument/2006/relationships/externalLinkPath" Target="file://Pc1/&#49457;&#54868;%20&#53469;&#51648;/WINDOWS/&#48148;&#53461;%20&#54868;&#47732;/&#54200;&#51648;&#54632;/&#51068;&#50948;&#45824;&#44032;9803.xls" TargetMode="External"/>
</Relationships>
</file>

<file path=xl/externalLinks/_rels/externalLink25.xml.rels><?xml version="1.0" encoding="UTF-8"?>
<Relationships xmlns="http://schemas.openxmlformats.org/package/2006/relationships"><Relationship Id="rId1" Type="http://schemas.openxmlformats.org/officeDocument/2006/relationships/externalLinkPath" Target="../../../../../..//&#50976;&#48512;&#51333;/C/Excel/&#48156;&#51452;&#49444;&#44228;/4&#52264;&#48156;&#51452;(20&#50613;)/&#49688;&#47049;&#49328;&#52636;&#49436;/&#50864;&#48169;&#44288;&#47144;/&#45236;&#50669;&#49436;(&#48376;&#49324;).xls" TargetMode="External"/>
</Relationships>
</file>

<file path=xl/externalLinks/_rels/externalLink26.xml.rels><?xml version="1.0" encoding="UTF-8"?>
<Relationships xmlns="http://schemas.openxmlformats.org/package/2006/relationships"><Relationship Id="rId1" Type="http://schemas.openxmlformats.org/officeDocument/2006/relationships/externalLinkPath" Target="2023&#45380;11&#50900;-&#51068;&#50857;-&#52509;&#44292;%20-%20&#48373;&#49324;&#48376;.xls" TargetMode="External"/>
</Relationships>
</file>

<file path=xl/externalLinks/_rels/externalLink27.xml.rels><?xml version="1.0" encoding="UTF-8"?>
<Relationships xmlns="http://schemas.openxmlformats.org/package/2006/relationships"><Relationship Id="rId1" Type="http://schemas.openxmlformats.org/officeDocument/2006/relationships/externalLinkPath" Target="../../../../../../00.&#50629;&#47924;/01.%20&#50629;&#47924;&#44288;&#47144;/32.&#45432;&#47924;&#48708;/2025&#45380;/2025&#45380;03&#50900;/2023&#45380;11&#50900;-&#51068;&#50857;-&#52509;&#44292;%20-%20&#48373;&#49324;&#48376;.xls" TargetMode="External"/>
</Relationships>
</file>

<file path=xl/externalLinks/_rels/externalLink28.xml.rels><?xml version="1.0" encoding="UTF-8"?>
<Relationships xmlns="http://schemas.openxmlformats.org/package/2006/relationships"><Relationship Id="rId1" Type="http://schemas.openxmlformats.org/officeDocument/2006/relationships/externalLinkPath" Target="(&#48156;&#51452;&#52376;)&#45432;&#47924;&#48708;&#51648;&#44553;&#45236;&#50669;&#49436;-2025&#45380;04&#50900;-(&#51452;)&#50500;&#51060;&#50644;&#44148;&#49444;&#54872;&#44221;-25&#45380;%20&#49345;&#48152;&#44592;%20&#50689;&#46041;&#44400;%20&#49688;&#47532;&#49884;&#49444;&#51221;&#48708;&#49324;&#50629;(&#49900;&#52380;&#51648;&#44396;).xlsx" TargetMode="External"/>
</Relationships>
</file>

<file path=xl/externalLinks/_rels/externalLink29.xml.rels><?xml version="1.0" encoding="UTF-8"?>
<Relationships xmlns="http://schemas.openxmlformats.org/package/2006/relationships"><Relationship Id="rId1" Type="http://schemas.openxmlformats.org/officeDocument/2006/relationships/externalLinkPath" Target="2025&#45380;03&#50900;-&#51068;&#50857;-&#49352;&#50516;&#44148;&#49444;(&#51452;)-&#52285;&#50629;&#45453;%20&#49324;&#44288;&#54617;&#44368;%20&#50696;&#51221;&#51648;(&#45824;&#49457;&#54224;&#44368;)%20&#49437;&#47732;&#54644;&#52404;&#51228;&#44144;&#44277;&#49324;.xls" TargetMode="External"/>
</Relationships>
</file>

<file path=xl/externalLinks/_rels/externalLink30.xml.rels><?xml version="1.0" encoding="UTF-8"?>
<Relationships xmlns="http://schemas.openxmlformats.org/package/2006/relationships"><Relationship Id="rId1" Type="http://schemas.openxmlformats.org/officeDocument/2006/relationships/externalLinkPath" Target="2025&#45380;04&#50900;-&#51068;&#50857;-&#44148;&#50864;&#44148;&#49444;(&#51452;)-&#45817;&#44257;&#47532;(&#45320;&#46364;&#44264;)%20&#49464;&#52380;&#51221;&#48708;&#44277;&#49324;.xlsx" TargetMode="External"/>
</Relationships>
</file>

<file path=xl/externalLinks/_rels/externalLink31.xml.rels><?xml version="1.0" encoding="UTF-8"?>
<Relationships xmlns="http://schemas.openxmlformats.org/package/2006/relationships"><Relationship Id="rId1" Type="http://schemas.openxmlformats.org/officeDocument/2006/relationships/externalLinkPath" Target="../../../../../../00.&#50629;&#47924;/01.%20&#50629;&#47924;&#44288;&#47144;/32.&#45432;&#47924;&#48708;/2025&#45380;/2025&#45380;07&#50900;/2025&#45380;07&#50900;-&#51068;&#50857;-&#52509;&#44292;.xls" TargetMode="External"/>
</Relationships>
</file>

<file path=xl/externalLinks/_rels/externalLink32.xml.rels><?xml version="1.0" encoding="UTF-8"?>
<Relationships xmlns="http://schemas.openxmlformats.org/package/2006/relationships"><Relationship Id="rId1" Type="http://schemas.openxmlformats.org/officeDocument/2006/relationships/externalLinkPath" Target="../../../../../../00.&#50629;&#47924;/01.%20&#50629;&#47924;&#44288;&#47144;/32.&#45432;&#47924;&#48708;/2025&#45380;/2025&#45380;07&#50900;/2023&#45380;11&#50900;-&#51068;&#50857;-&#52509;&#44292;%20-%20&#48373;&#49324;&#48376;.xls" TargetMode="External"/>
</Relationships>
</file>

<file path=xl/externalLinks/_rels/externalLink33.xml.rels><?xml version="1.0" encoding="UTF-8"?>
<Relationships xmlns="http://schemas.openxmlformats.org/package/2006/relationships"><Relationship Id="rId1" Type="http://schemas.openxmlformats.org/officeDocument/2006/relationships/externalLinkPath" Target="../../../../../../00.&#50629;&#47924;/01.%20&#50629;&#47924;&#44288;&#47144;/32.&#45432;&#47924;&#48708;/2025&#45380;/2025&#45380;07&#50900;/(&#48156;&#51452;&#52376;)&#45432;&#47924;&#48708;&#51648;&#44553;&#45236;&#50669;&#49436;-2025&#45380;04&#50900;-(&#51452;)&#50500;&#51060;&#50644;&#44148;&#49444;&#54872;&#44221;-25&#45380;%20&#49345;&#48152;&#44592;%20&#50689;&#46041;&#44400;%20&#49688;&#47532;&#49884;&#49444;&#51221;&#48708;&#49324;&#50629;(&#49900;&#52380;&#51648;&#44396;).xlsx" TargetMode="External"/>
</Relationships>
</file>

<file path=xl/externalLinks/_rels/externalLink34.xml.rels><?xml version="1.0" encoding="UTF-8"?>
<Relationships xmlns="http://schemas.openxmlformats.org/package/2006/relationships"><Relationship Id="rId1" Type="http://schemas.openxmlformats.org/officeDocument/2006/relationships/externalLinkPath" Target="../../../../../../00.&#50629;&#47924;/01.%20&#50629;&#47924;&#44288;&#47144;/32.&#45432;&#47924;&#48708;/2025&#45380;/2025&#45380;07&#50900;/2025&#45380;03&#50900;-&#51068;&#50857;-&#49352;&#50516;&#44148;&#49444;(&#51452;)-&#52285;&#50629;&#45453;%20&#49324;&#44288;&#54617;&#44368;%20&#50696;&#51221;&#51648;(&#45824;&#49457;&#54224;&#44368;)%20&#49437;&#47732;&#54644;&#52404;&#51228;&#44144;&#44277;&#49324;.xls" TargetMode="External"/>
</Relationships>
</file>

<file path=xl/externalLinks/_rels/externalLink35.xml.rels><?xml version="1.0" encoding="UTF-8"?>
<Relationships xmlns="http://schemas.openxmlformats.org/package/2006/relationships"><Relationship Id="rId1" Type="http://schemas.openxmlformats.org/officeDocument/2006/relationships/externalLinkPath" Target="../../../../../../00.&#50629;&#47924;/01.%20&#50629;&#47924;&#44288;&#47144;/32.&#45432;&#47924;&#48708;/2025&#45380;/2025&#45380;07&#50900;/2025&#45380;04&#50900;-&#51068;&#50857;-&#44148;&#50864;&#44148;&#49444;(&#51452;)-&#45817;&#44257;&#47532;(&#45320;&#46364;&#44264;)%20&#49464;&#52380;&#51221;&#48708;&#44277;&#49324;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CHEDULE"/>
      <sheetName val="ELECTRIC"/>
      <sheetName val="CTEMCOST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laroux"/>
      <sheetName val="일위"/>
      <sheetName val="원가계산서"/>
      <sheetName val="단가조사서"/>
      <sheetName val="한전공사비 1공"/>
      <sheetName val="한전공사비 2공"/>
      <sheetName val="통합  내역서"/>
      <sheetName val="1공구 내역서"/>
      <sheetName val="2공구 내역서"/>
      <sheetName val="일위대가"/>
      <sheetName val="견적조건"/>
      <sheetName val="부대입찰내역"/>
      <sheetName val="삼호개발"/>
      <sheetName val="정주"/>
      <sheetName val="효동"/>
      <sheetName val="Sheet3"/>
      <sheetName val="집계1"/>
      <sheetName val="집계2"/>
      <sheetName val="집계3"/>
      <sheetName val="집계4"/>
      <sheetName val="내(토)"/>
      <sheetName val="내(건)"/>
      <sheetName val="건축"/>
      <sheetName val="건축설비집계"/>
      <sheetName val="건축설비"/>
      <sheetName val="기타"/>
      <sheetName val="Sheet2"/>
      <sheetName val="Sheet4"/>
      <sheetName val="Sheet5"/>
      <sheetName val="Sheet6"/>
      <sheetName val="Sheet7"/>
      <sheetName val="Sheet8"/>
      <sheetName val="Sheet9"/>
      <sheetName val="Sheet10"/>
      <sheetName val="XXXXXX"/>
      <sheetName val="터널공사"/>
      <sheetName val="집계표(터널내)"/>
      <sheetName val="터널공사 비교"/>
      <sheetName val="터널외구간"/>
      <sheetName val="집계표(터널외)"/>
      <sheetName val="터널외구간비교"/>
      <sheetName val="평택항"/>
      <sheetName val="담보금융비용"/>
      <sheetName val="담보금융비용(0.18)"/>
      <sheetName val="VXXXXX"/>
      <sheetName val="Sheet1"/>
      <sheetName val="전기수량"/>
      <sheetName val="전열및전력간선"/>
      <sheetName val="전등설비"/>
      <sheetName val="동력설비"/>
      <sheetName val="피뢰침및접지"/>
      <sheetName val="소방"/>
      <sheetName val="약전"/>
      <sheetName val="방송"/>
      <sheetName val="TG전력간선"/>
      <sheetName val="TG전등"/>
      <sheetName val="TG약전"/>
      <sheetName val="원가(칠곡다부)"/>
      <sheetName val="집계표"/>
      <sheetName val="다부IC내역"/>
      <sheetName val="원가(재방송)"/>
      <sheetName val="재방송"/>
      <sheetName val="다부내역"/>
      <sheetName val="읍내터널"/>
      <sheetName val="칠곡IC내역"/>
      <sheetName val="monci"/>
      <sheetName val="원가"/>
      <sheetName val="공사집계표"/>
      <sheetName val="전력간선"/>
      <sheetName val="전등"/>
      <sheetName val="전열"/>
      <sheetName val="전화"/>
      <sheetName val="티브이"/>
      <sheetName val="BID"/>
      <sheetName val="BID (2)"/>
      <sheetName val="견적갑지 (2)"/>
      <sheetName val="일위대가서"/>
      <sheetName val="MCC,분전반"/>
      <sheetName val="PANEL"/>
      <sheetName val="갑지"/>
      <sheetName val="총신대(총괄집계)"/>
      <sheetName val="총신대(신설)"/>
      <sheetName val="총신대(철거)"/>
      <sheetName val="000000"/>
      <sheetName val="공사개요"/>
      <sheetName val="원가계산갑지"/>
      <sheetName val="전(원가)"/>
      <sheetName val="전(중총)"/>
      <sheetName val="전(소총)"/>
      <sheetName val="1.1"/>
      <sheetName val="1.2"/>
      <sheetName val="1.3"/>
      <sheetName val="1.4"/>
      <sheetName val="1.5"/>
      <sheetName val="E(소총)"/>
      <sheetName val="ESCO"/>
      <sheetName val="관(소총)"/>
      <sheetName val="관급"/>
      <sheetName val="통(원가)"/>
      <sheetName val="통(총)"/>
      <sheetName val="2.1"/>
      <sheetName val="2.1(공)"/>
      <sheetName val="2.2"/>
      <sheetName val="소(원가)"/>
      <sheetName val="소(총)"/>
      <sheetName val="3.1"/>
      <sheetName val="3.2"/>
      <sheetName val="일위총괄"/>
      <sheetName val="단가산출"/>
      <sheetName val="기본공율"/>
      <sheetName val="공량산출서"/>
      <sheetName val="공.옥외"/>
      <sheetName val="총집계"/>
      <sheetName val="주요기자재 집계"/>
      <sheetName val="주요기자재 산출"/>
      <sheetName val="동력접지집계"/>
      <sheetName val="동력 산출"/>
      <sheetName val="접지 산출"/>
      <sheetName val="건축전기집계"/>
      <sheetName val="조명 산출"/>
      <sheetName val="통신 산출"/>
      <sheetName val="자탐 산출"/>
      <sheetName val="계장집계"/>
      <sheetName val="계장 산출"/>
      <sheetName val="원가계산서(수탁비포함)"/>
      <sheetName val="대총괄표"/>
      <sheetName val="중총괄표"/>
      <sheetName val="소총괄표"/>
      <sheetName val="옥외전력간선"/>
      <sheetName val="전력인입및수변전"/>
      <sheetName val="옥내전력간선"/>
      <sheetName val="동력"/>
      <sheetName val="피뢰침"/>
      <sheetName val="전기TRAY"/>
      <sheetName val="단가비교표"/>
      <sheetName val="Chart1"/>
      <sheetName val="내역서"/>
      <sheetName val="단위내역목록"/>
      <sheetName val="단위내역서"/>
      <sheetName val="총괄표"/>
      <sheetName val="원가(1)"/>
      <sheetName val="원가(2)"/>
      <sheetName val="주요자재집계표"/>
      <sheetName val="표지"/>
      <sheetName val="토적표(부지조성)"/>
      <sheetName val="구조물토공집계표"/>
      <sheetName val="배수토공"/>
      <sheetName val="설계참고목차"/>
      <sheetName val="수량조서"/>
      <sheetName val="1.스코트변압기"/>
      <sheetName val="2.단권변압기"/>
      <sheetName val="3.가스절연"/>
      <sheetName val="4.가스절연"/>
      <sheetName val="5.전자식제어반"/>
      <sheetName val="6.전자식제어반"/>
      <sheetName val="7.전자식제어반"/>
      <sheetName val="8.소규모제어장치"/>
      <sheetName val="9.고장점표정반"/>
      <sheetName val="10.보조릴레이반"/>
      <sheetName val="11.저압반"/>
      <sheetName val="12.무정전전원장치"/>
      <sheetName val="13.축전지반"/>
      <sheetName val="14.소내용TR"/>
      <sheetName val="15.고압반"/>
      <sheetName val="16.전철RTU"/>
      <sheetName val="17.GP"/>
      <sheetName val="18.기기가대"/>
      <sheetName val="19.모선배선"/>
      <sheetName val="20.제어및전력케이블"/>
      <sheetName val="21.핏트"/>
      <sheetName val="22.스틸그레이팅(M.TR)"/>
      <sheetName val="23.스틸그레이팅(AT)"/>
      <sheetName val="24.접지장치"/>
      <sheetName val="25.전선관"/>
      <sheetName val="26.무근콘크리트"/>
      <sheetName val="27.케이블트레이"/>
      <sheetName val="28.자갈부설"/>
      <sheetName val="29.옥외외등"/>
      <sheetName val="30.무인화설비"/>
      <sheetName val="31.JIB크레인설치"/>
      <sheetName val="32.전력RTU"/>
      <sheetName val="33.지중케이블"/>
      <sheetName val="34.전력용관로"/>
      <sheetName val="35.장주신설"/>
      <sheetName val="36.맨홀"/>
      <sheetName val="37.무인온라인"/>
      <sheetName val="38.영주SCADA"/>
      <sheetName val="39.가설비"/>
      <sheetName val="40.운반비"/>
      <sheetName val="운반비(철재류)"/>
      <sheetName val="운반비(전선류)"/>
      <sheetName val="호표"/>
      <sheetName val="시중노임표"/>
      <sheetName val="견적단가"/>
      <sheetName val="재료단가"/>
      <sheetName val="자산총괄서"/>
      <sheetName val="영대증축"/>
      <sheetName val="원가(영대증축)"/>
      <sheetName val="전라선(남원)"/>
      <sheetName val="원가(남원)"/>
      <sheetName val="경비(남원)"/>
      <sheetName val="창원"/>
      <sheetName val="원가(창원)"/>
      <sheetName val="대산면"/>
      <sheetName val="원가(대산면)"/>
      <sheetName val="경비(대산면)"/>
      <sheetName val="다산"/>
      <sheetName val="원가(다산)"/>
      <sheetName val="가창"/>
      <sheetName val="원가(가창)"/>
      <sheetName val="경비(가창)"/>
      <sheetName val="견적조건보고서"/>
      <sheetName val="견적갑지"/>
      <sheetName val="을지"/>
      <sheetName val="견적갑&quot;A&quot;공구"/>
      <sheetName val="견적조건보고서&quot;A&quot;공구"/>
      <sheetName val="A비엠"/>
      <sheetName val="공율산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총괄"/>
      <sheetName val="토공"/>
      <sheetName val="흙막이"/>
      <sheetName val="어스앙카"/>
      <sheetName val="구조물"/>
      <sheetName val="방수공"/>
      <sheetName val="지반보강"/>
      <sheetName val="포장공"/>
      <sheetName val="지장물보호공"/>
      <sheetName val="부대공"/>
      <sheetName val="사급자재"/>
      <sheetName val="자재"/>
      <sheetName val="叉택항"/>
      <sheetName val="증감"/>
      <sheetName val="총괄◀"/>
      <sheetName val="원가◀"/>
      <sheetName val="총괄 "/>
      <sheetName val="순공"/>
      <sheetName val="순공◀"/>
      <sheetName val="토목원가◀"/>
      <sheetName val="건축원가◀"/>
      <sheetName val="기계원가◀"/>
      <sheetName val="전기원가◀"/>
      <sheetName val="통신원가◀"/>
      <sheetName val="results"/>
      <sheetName val="토목"/>
      <sheetName val="원가계산서(건축)"/>
      <sheetName val="건축3차분2회변경"/>
      <sheetName val="건축3차분2회변경(원가)"/>
      <sheetName val="Sheet11"/>
      <sheetName val="Sheet12"/>
      <sheetName val="Sheet13"/>
      <sheetName val="Sheet14"/>
      <sheetName val="Sheet15"/>
      <sheetName val="Sheet16"/>
      <sheetName val="■총괄"/>
      <sheetName val="순공(ROUND)"/>
      <sheetName val="토목원가"/>
      <sheetName val="건축원가"/>
      <sheetName val="기계원가"/>
      <sheetName val="전기원가"/>
      <sheetName val="통신원가"/>
      <sheetName val="진건차집도급"/>
      <sheetName val="진건실행"/>
      <sheetName val="작업별비목별집계"/>
      <sheetName val="기계원가계산서"/>
      <sheetName val="집계"/>
      <sheetName val="가설내역"/>
      <sheetName val="b"/>
      <sheetName val="2003년시공계획"/>
      <sheetName val="2003년실행총괄표"/>
      <sheetName val="시공참여자실행계획"/>
      <sheetName val="자재(직영)"/>
      <sheetName val="노무(직영)"/>
      <sheetName val="장비(직영)"/>
      <sheetName val="자재 (시공))"/>
      <sheetName val="노무 (시공)"/>
      <sheetName val="장비 (시공)"/>
      <sheetName val="관리비"/>
      <sheetName val="공정표"/>
      <sheetName val="간지"/>
      <sheetName val="전체집계표"/>
      <sheetName val="철근집계"/>
      <sheetName val="삽입도면1"/>
      <sheetName val="강관말뚝"/>
      <sheetName val="간지 (2)"/>
      <sheetName val="암거집계표"/>
      <sheetName val="삽입도면2"/>
      <sheetName val="암거공"/>
      <sheetName val="간지 (3)"/>
      <sheetName val="u-type집계표"/>
      <sheetName val="삽입도면3"/>
      <sheetName val="u-type1"/>
      <sheetName val="u-type2"/>
      <sheetName val="xxxx"/>
      <sheetName val="건설기계평균가격"/>
      <sheetName val="특별교실"/>
      <sheetName val="기숙사"/>
      <sheetName val="화장실"/>
      <sheetName val="총집계-1"/>
      <sheetName val="총집계-2"/>
      <sheetName val="원가-1"/>
      <sheetName val="원가-2"/>
      <sheetName val="VXXX"/>
      <sheetName val="공사비대비 (2)"/>
      <sheetName val="공사비대비"/>
      <sheetName val="옹벽공"/>
      <sheetName val="연당4교"/>
      <sheetName val="연당5교"/>
      <sheetName val="연당6교"/>
      <sheetName val="노임단가"/>
      <sheetName val="단가조서"/>
      <sheetName val="불광(총괄집계)"/>
      <sheetName val="불광(신설)"/>
      <sheetName val="불광(철거)"/>
      <sheetName val="내역"/>
      <sheetName val="PACKING OPEN"/>
      <sheetName val="견적정보"/>
      <sheetName val="갑지1"/>
      <sheetName val="집계표1"/>
      <sheetName val="장비비"/>
      <sheetName val="도급내역서"/>
      <sheetName val="실행내역서"/>
      <sheetName val="직종노임"/>
      <sheetName val="운반단가"/>
      <sheetName val="터널투입집계"/>
      <sheetName val="투입내역"/>
      <sheetName val="터널내역"/>
      <sheetName val="합계"/>
      <sheetName val="01.가설공사"/>
      <sheetName val="02.토공사"/>
      <sheetName val="03.철근콘크리트"/>
      <sheetName val="04.조적공사"/>
      <sheetName val="05.방수공사"/>
      <sheetName val="06.타일공사"/>
      <sheetName val="07.석공사"/>
      <sheetName val="08.목공사"/>
      <sheetName val="09.금속공사"/>
      <sheetName val="10.미장공사"/>
      <sheetName val="11.창호공사"/>
      <sheetName val="11.창호-1"/>
      <sheetName val="12.유리공사"/>
      <sheetName val="13.도장공사"/>
      <sheetName val="14.수장공사"/>
      <sheetName val="15.지붕및홈통"/>
      <sheetName val="16.잡공사"/>
      <sheetName val="17.주요자재"/>
      <sheetName val="18.작업부산물"/>
      <sheetName val="공사비"/>
      <sheetName val="가드레일산근"/>
      <sheetName val="수량집계표"/>
      <sheetName val="수량"/>
      <sheetName val="단가비교"/>
      <sheetName val="적용2002"/>
      <sheetName val="중기"/>
      <sheetName val="★현설표지"/>
      <sheetName val="★현장설명서(토공,철콘)"/>
      <sheetName val="★현설참가확인(토공철콘)"/>
      <sheetName val="★현설시 설명자료"/>
      <sheetName val="현설시 설명자료(내부)"/>
      <sheetName val="지역부대토공"/>
      <sheetName val="지역부대철콘"/>
      <sheetName val="근로자현황파악"/>
      <sheetName val="근로자현황파악 (2)"/>
      <sheetName val="보건증"/>
      <sheetName val="명단"/>
      <sheetName val="협력업체"/>
      <sheetName val="건강진단통보"/>
      <sheetName val="건강진단통보 (2)"/>
      <sheetName val="작업변경신청서"/>
      <sheetName val="노동청"/>
      <sheetName val="노동청 (특검)"/>
      <sheetName val="노동청 (작업)"/>
      <sheetName val="암검사"/>
      <sheetName val="암검사 (2)"/>
      <sheetName val="이중자격완료통보"/>
      <sheetName val="보건교육요청"/>
      <sheetName val="보건교육시행통보"/>
      <sheetName val="일반건강진단통보"/>
      <sheetName val="의보 정정신고"/>
      <sheetName val="Invalid_Sheet_Name_9"/>
      <sheetName val="Invalid_Sheet_Name_36"/>
      <sheetName val="Invalid_Sheet_Name_38"/>
      <sheetName val="깝데기"/>
      <sheetName val="설명자료"/>
      <sheetName val="수량산출집계표(후)"/>
      <sheetName val="수량산출2(후)"/>
      <sheetName val="수량산출"/>
      <sheetName val="적용단가"/>
      <sheetName val="적용단가 (2)"/>
      <sheetName val="일위대가목록(전+후)"/>
      <sheetName val="일위대가(전+후)"/>
      <sheetName val="알림장"/>
      <sheetName val="예산표지 "/>
      <sheetName val="제잡비2"/>
      <sheetName val="지급자재1"/>
      <sheetName val="지급자재2"/>
      <sheetName val="지급자재3"/>
      <sheetName val="예산집계"/>
      <sheetName val="제잡비1"/>
      <sheetName val="공제금액"/>
      <sheetName val="정기안전점검비"/>
      <sheetName val="정기안전점검비(직접인건비)"/>
      <sheetName val="공제금액(단가산출서용)"/>
      <sheetName val="사토장 (공통공사)"/>
      <sheetName val="기술료(출력말것)"/>
      <sheetName val="경안천1"/>
      <sheetName val="경안천2"/>
      <sheetName val="금강1"/>
      <sheetName val="금강2"/>
      <sheetName val="남천1"/>
      <sheetName val="남천2"/>
      <sheetName val="녹동1"/>
      <sheetName val="녹동2"/>
      <sheetName val="삼산1"/>
      <sheetName val="삼산2"/>
      <sheetName val="서천1"/>
      <sheetName val="서천2"/>
      <sheetName val="성주1"/>
      <sheetName val="성주2"/>
      <sheetName val="수원"/>
      <sheetName val="아주1"/>
      <sheetName val="아주2"/>
      <sheetName val="울진1"/>
      <sheetName val="울진2"/>
      <sheetName val="조양1"/>
      <sheetName val="조양2"/>
      <sheetName val="창녕1"/>
      <sheetName val="창녕2"/>
      <sheetName val="추풍령1"/>
      <sheetName val="추풍령2"/>
      <sheetName val="고단대기"/>
      <sheetName val="공주이인"/>
      <sheetName val="구암도로"/>
      <sheetName val="낙산대교"/>
      <sheetName val="부산3호선"/>
      <sheetName val="서남권철도"/>
      <sheetName val="증평괴산"/>
      <sheetName val="서초IC"/>
      <sheetName val="신길"/>
      <sheetName val="분당1"/>
      <sheetName val="분당2"/>
      <sheetName val="삼막1"/>
      <sheetName val="삼막2"/>
      <sheetName val="김천1"/>
      <sheetName val="김천2"/>
      <sheetName val="용산"/>
      <sheetName val="전주"/>
      <sheetName val="증감표"/>
      <sheetName val="수입물자"/>
      <sheetName val="MAIN"/>
      <sheetName val="총공사비"/>
      <sheetName val="T1"/>
      <sheetName val="san"/>
      <sheetName val="LIST"/>
      <sheetName val="sw1"/>
      <sheetName val="sw2"/>
      <sheetName val="sw3"/>
      <sheetName val="sw4"/>
      <sheetName val="sw5"/>
      <sheetName val="sw6"/>
      <sheetName val="sw7"/>
      <sheetName val="NOMUBI"/>
      <sheetName val="인당매출(2003.11)-전체"/>
      <sheetName val="현장별 인건비(2003.12)"/>
      <sheetName val="인당매출그래프"/>
      <sheetName val="2003ACCM "/>
      <sheetName val="12월"/>
      <sheetName val="보고"/>
      <sheetName val="투찰서표지"/>
      <sheetName val="총괄 (3)"/>
      <sheetName val="원가(총)"/>
      <sheetName val="대안원가"/>
      <sheetName val="원안원가"/>
      <sheetName val="원안"/>
      <sheetName val="대안"/>
      <sheetName val="폐기물"/>
      <sheetName val="이전비 "/>
      <sheetName val="참고"/>
      <sheetName val="불광(총괄집계ဩ"/>
      <sheetName val="가설도로수량집계(1-8)"/>
      <sheetName val="가설도로입적수량"/>
      <sheetName val="측점(1)-삭제"/>
      <sheetName val="측점(2)-삭제"/>
      <sheetName val="측점(3)-신규"/>
      <sheetName val="측점(4)-신규"/>
      <sheetName val="가호안"/>
      <sheetName val="이식수목"/>
      <sheetName val="훼손예상1"/>
      <sheetName val="훼손예상2"/>
      <sheetName val="산정과정"/>
      <sheetName val="갑지 (2)"/>
      <sheetName val="철콘갑지(2)"/>
      <sheetName val="철콘내역서(2)"/>
      <sheetName val="철콘갑지"/>
      <sheetName val="철콘내역서"/>
      <sheetName val="공사비대비표"/>
      <sheetName val="설계변경개요"/>
      <sheetName val="참고list"/>
      <sheetName val="품 및 별표관련변경"/>
      <sheetName val="자재변경"/>
      <sheetName val="내역서 (2002예산산출)"/>
      <sheetName val="토공집계표"/>
      <sheetName val="적용단가산출조서"/>
      <sheetName val="적용단가산출조서 (추가)"/>
      <sheetName val="품셈총괄표"/>
      <sheetName val="품셈"/>
      <sheetName val="추품총괄표"/>
      <sheetName val="추품"/>
      <sheetName val="부표총괄표"/>
      <sheetName val="부표"/>
      <sheetName val="추부총괄표"/>
      <sheetName val="추부"/>
      <sheetName val="추부총괄표."/>
      <sheetName val="추부."/>
      <sheetName val="별표(변경없슴)"/>
      <sheetName val="별표총괄표"/>
      <sheetName val="추별"/>
      <sheetName val="수정 리스트"/>
      <sheetName val="재료단가표"/>
      <sheetName val="Invalid_Sheet_Name_37"/>
      <sheetName val="Invalid_Sheet_Name_40"/>
      <sheetName val="기계갑지"/>
      <sheetName val="기계설비공사"/>
      <sheetName val="소화갑지"/>
      <sheetName val="소화설비공사"/>
      <sheetName val="기계설비공사 (품)"/>
      <sheetName val="소화설비공사 (품)"/>
      <sheetName val="기계(3공구)"/>
      <sheetName val="Module1"/>
      <sheetName val="대안별개선효과"/>
      <sheetName val="개선효과누계"/>
      <sheetName val="공사이익"/>
      <sheetName val="인천창고"/>
      <sheetName val="금융센터임차"/>
      <sheetName val="자사주펀드"/>
      <sheetName val="동부월드"/>
      <sheetName val="인천공항철도"/>
      <sheetName val="계열사별자금부담"/>
      <sheetName val="자기주식_미반영"/>
      <sheetName val="집수정총괄집계"/>
      <sheetName val="집수정수량집계"/>
      <sheetName val="설치현황"/>
      <sheetName val="실행(도급대비)"/>
      <sheetName val="목차"/>
      <sheetName val="1. 공사개요"/>
      <sheetName val="2. 현장기구조직표"/>
      <sheetName val="3. 공사진행[터,토,구]"/>
      <sheetName val="4. 투자대비"/>
      <sheetName val="5. 실행대비"/>
      <sheetName val="6. 금월분 투자대비"/>
      <sheetName val="2002년도 사업계획서"/>
      <sheetName val="결재란"/>
      <sheetName val="개요"/>
      <sheetName val="39.각설비"/>
      <sheetName val="원가계산"/>
      <sheetName val="조도계산서"/>
      <sheetName val="표지(1)"/>
      <sheetName val="공총괄표"/>
      <sheetName val="공내역서"/>
      <sheetName val="인공산출"/>
      <sheetName val="산출기초"/>
      <sheetName val="자재단가"/>
      <sheetName val="겉장"/>
      <sheetName val="기성검사원"/>
      <sheetName val="전기 BM 내역서"/>
      <sheetName val="피ꢰ침"/>
      <sheetName val="표 지"/>
      <sheetName val="설계조건"/>
      <sheetName val="설계기준"/>
      <sheetName val="처리효율"/>
      <sheetName val="물질수지"/>
      <sheetName val=""/>
      <sheetName val="_x000f_"/>
      <sheetName val="반응조 규격"/>
      <sheetName val="전처리설비"/>
      <sheetName val="생물반응조설비"/>
      <sheetName val="pipe &amp; motor"/>
      <sheetName val="계약내역"/>
      <sheetName val="설계 설명서"/>
      <sheetName val="예 산 서"/>
      <sheetName val="원가 계산서"/>
      <sheetName val="구성비"/>
      <sheetName val="2-1. 경관조명 내역총괄표"/>
      <sheetName val="2-2. 경관조명 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일위대가"/>
      <sheetName val="조명시설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적표"/>
      <sheetName val="토공집계표"/>
      <sheetName val="토공분석표"/>
      <sheetName val="집계표"/>
      <sheetName val="자재대"/>
      <sheetName val="간지"/>
      <sheetName val="표지"/>
      <sheetName val="말뚝지지력산정"/>
      <sheetName val="대로근거"/>
      <sheetName val="중로근거"/>
      <sheetName val="내역서 "/>
      <sheetName val="단가"/>
      <sheetName val="좌측"/>
      <sheetName val="1.설계조건"/>
      <sheetName val="DATA"/>
      <sheetName val="철근단면적"/>
      <sheetName val="DATE"/>
      <sheetName val="sw1"/>
      <sheetName val="교각1"/>
      <sheetName val="산출근거"/>
      <sheetName val="1,2,3,4,5단위수량"/>
      <sheetName val="코드표"/>
      <sheetName val="Y-WORK"/>
      <sheetName val="hvac(제어동)"/>
      <sheetName val="하도금액분계"/>
      <sheetName val="단면가정"/>
      <sheetName val="기둥(원형)"/>
      <sheetName val="견적990322"/>
      <sheetName val="가도공"/>
      <sheetName val="원형맨홀수량"/>
      <sheetName val="구조물철거타공정이월"/>
      <sheetName val="Pier 3"/>
      <sheetName val="물가자료"/>
      <sheetName val="SLAB&quot;1&quot;"/>
      <sheetName val="8.PILE  (돌출)"/>
      <sheetName val="#REF"/>
      <sheetName val="합계금액"/>
      <sheetName val="ABUT수량-A1"/>
      <sheetName val="danga"/>
      <sheetName val="ilch"/>
      <sheetName val="guard(mac)"/>
      <sheetName val="입찰안"/>
      <sheetName val="노임이"/>
      <sheetName val="전기"/>
      <sheetName val="전체"/>
      <sheetName val="CODE"/>
      <sheetName val="보온자재단가표"/>
      <sheetName val="자료"/>
      <sheetName val="COPING"/>
      <sheetName val="대전21토목내역서"/>
      <sheetName val="총괄표"/>
      <sheetName val="ITEM"/>
      <sheetName val="용산1(해보)"/>
      <sheetName val="터파기및재료"/>
      <sheetName val="방음벽기초(H=4m)"/>
      <sheetName val="9GNG운반"/>
      <sheetName val="Sheet1"/>
      <sheetName val="3.하중산정4.지지력"/>
      <sheetName val="표지 (2)"/>
      <sheetName val="주차구획선수량"/>
      <sheetName val="대비"/>
      <sheetName val="철근량"/>
      <sheetName val="단위수량"/>
      <sheetName val="식생블럭단위수량"/>
      <sheetName val="일위대가9803"/>
      <sheetName val="데이타"/>
      <sheetName val="Front"/>
      <sheetName val="wall"/>
      <sheetName val="자재단가"/>
      <sheetName val="TYPE-A"/>
      <sheetName val="1.설계기준"/>
      <sheetName val="설계내역서"/>
      <sheetName val="기기리스트"/>
      <sheetName val="내역서_"/>
      <sheetName val="몰탈재료산출"/>
      <sheetName val="일위대가(가설)"/>
      <sheetName val="노임단가"/>
      <sheetName val="WVAL"/>
      <sheetName val="Macro(전선)"/>
      <sheetName val="hvac내역서(제어동)"/>
      <sheetName val="토목"/>
      <sheetName val="70%"/>
      <sheetName val="참조"/>
      <sheetName val="분석"/>
      <sheetName val="input"/>
      <sheetName val="송라터널총괄"/>
      <sheetName val="INPUT(덕도방향-시점)"/>
      <sheetName val="1"/>
      <sheetName val="W3단면"/>
      <sheetName val="원형1호맨홀토공수량"/>
      <sheetName val="본체"/>
      <sheetName val="안산기계장치"/>
      <sheetName val="일위대가표"/>
      <sheetName val="설계조건"/>
      <sheetName val="금액내역서"/>
      <sheetName val="일위대가(계측기설치)"/>
      <sheetName val="우수공"/>
      <sheetName val="설직재-1"/>
      <sheetName val="수량BOQ"/>
      <sheetName val="노임"/>
      <sheetName val="Macro1"/>
      <sheetName val="플랜트 설치"/>
      <sheetName val="내력서"/>
      <sheetName val="Sheet2"/>
      <sheetName val="조작대(1연)"/>
      <sheetName val="6PILE  (돌출)"/>
      <sheetName val="개산공사비"/>
      <sheetName val="설계예산"/>
      <sheetName val="내역서"/>
      <sheetName val="업체별기성내역"/>
      <sheetName val="일반부표"/>
      <sheetName val="N賃率-職"/>
      <sheetName val="제직재"/>
      <sheetName val="제-노임"/>
      <sheetName val="단면 (2)"/>
      <sheetName val="3BL공동구 수량"/>
      <sheetName val="관리,공감"/>
      <sheetName val="물량표S"/>
      <sheetName val="PAINT"/>
      <sheetName val="SUMMARY"/>
      <sheetName val="물량표"/>
      <sheetName val="물량표(신)"/>
      <sheetName val="연령현황"/>
      <sheetName val="기계경비(시간당)"/>
      <sheetName val="램머"/>
      <sheetName val="갑지(추정)"/>
      <sheetName val="을"/>
      <sheetName val="마산방향철근집계"/>
      <sheetName val="진주방향"/>
      <sheetName val="마산방향"/>
      <sheetName val="한강운반비"/>
      <sheetName val="DATA 입력란"/>
      <sheetName val="CPM챠트"/>
      <sheetName val="전기일위대가"/>
      <sheetName val="산출내역서집계표"/>
      <sheetName val="총집계"/>
      <sheetName val="시설물기초"/>
      <sheetName val="단가산출서1"/>
      <sheetName val="식재총괄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H-pile(298x299)"/>
      <sheetName val="H-pile(250x250)"/>
      <sheetName val="지장물C"/>
      <sheetName val="법면"/>
      <sheetName val="부대공"/>
      <sheetName val="구조물공"/>
      <sheetName val="중기일위대가"/>
      <sheetName val="포장공"/>
      <sheetName val="토공"/>
      <sheetName val="배수공1"/>
      <sheetName val="공통가설"/>
      <sheetName val="가로등내역서"/>
      <sheetName val="배수통관(좌)"/>
      <sheetName val="BID"/>
      <sheetName val="토목품셈"/>
      <sheetName val="음료실행"/>
      <sheetName val="98수문일위"/>
      <sheetName val="안정계산"/>
      <sheetName val="단면검토"/>
      <sheetName val="신규 수주분(사용자 정의)"/>
      <sheetName val="수량산출"/>
      <sheetName val="DATA2000"/>
      <sheetName val="역T형"/>
      <sheetName val="하수급견적대비"/>
      <sheetName val="2호맨홀공제수량"/>
      <sheetName val="설명서 "/>
      <sheetName val="토공총괄집계"/>
      <sheetName val="가중치"/>
      <sheetName val="Total"/>
      <sheetName val="품셈TABLE"/>
      <sheetName val="식재인부"/>
      <sheetName val="Sheet1 (2)"/>
      <sheetName val="정부노임단가"/>
      <sheetName val="찍기"/>
      <sheetName val="견적조건"/>
      <sheetName val="개략"/>
      <sheetName val="신표지1"/>
      <sheetName val="표  지"/>
      <sheetName val="1.우편집중내역서"/>
      <sheetName val="20관리비율"/>
      <sheetName val="맨홀수량"/>
      <sheetName val="토사(PE)"/>
      <sheetName val="식재일위대가"/>
      <sheetName val="신우"/>
      <sheetName val="뚝토공"/>
      <sheetName val="내역및총괄"/>
      <sheetName val="토적계산서"/>
      <sheetName val="2.입력sheet"/>
      <sheetName val="M1"/>
      <sheetName val="99노임기준"/>
      <sheetName val="토공(우물통,기타) "/>
      <sheetName val="내역표지"/>
      <sheetName val="내역"/>
      <sheetName val="총괄내역서"/>
      <sheetName val="BOX(1.5X1.5)"/>
      <sheetName val="U-TYPE(1)"/>
      <sheetName val="전선 및 전선관"/>
      <sheetName val="2000년1차"/>
      <sheetName val="토공총괄표"/>
      <sheetName val="관경별우수관집계"/>
      <sheetName val="세목전체"/>
      <sheetName val="공량산출서"/>
      <sheetName val="실행철강하도"/>
      <sheetName val="교대(A1)"/>
      <sheetName val="총괄"/>
      <sheetName val="건축공사"/>
      <sheetName val="물가시세표"/>
      <sheetName val="crude.SLAB RE-bar"/>
      <sheetName val="CRUDE RE-bar"/>
      <sheetName val="1TL종점(1)"/>
      <sheetName val="도로경계블럭연장조서"/>
      <sheetName val="날개벽수량표"/>
      <sheetName val="덕전리"/>
      <sheetName val="WORK"/>
      <sheetName val="슬래브"/>
      <sheetName val="교각계산"/>
      <sheetName val="COMPARISON TABLE"/>
      <sheetName val="부대공Ⅱ"/>
      <sheetName val="견적대비"/>
      <sheetName val="단가조사서"/>
      <sheetName val="목차"/>
      <sheetName val="절취및터파기"/>
      <sheetName val="통영LNG입찰현황"/>
      <sheetName val="직공비"/>
      <sheetName val="(3.품질관리 시험 총괄표)"/>
      <sheetName val="지급자재"/>
      <sheetName val="차액보증"/>
      <sheetName val="공사비예산서(토목분)"/>
      <sheetName val="토량1-1"/>
      <sheetName val="토목주소"/>
      <sheetName val="프랜트면허"/>
      <sheetName val="별표 "/>
      <sheetName val="조명율표"/>
      <sheetName val="단가조사-2"/>
      <sheetName val="VE절감"/>
      <sheetName val="2.가정단면"/>
      <sheetName val="대비표"/>
      <sheetName val="1.2.1 마루높이결정"/>
      <sheetName val="현장일반사항"/>
      <sheetName val="XL4Poppy"/>
      <sheetName val="수입"/>
      <sheetName val="조경"/>
      <sheetName val="SILICATE"/>
      <sheetName val="TB-내역서"/>
      <sheetName val="원형측구(B-type)"/>
      <sheetName val="변경후-SHEET"/>
      <sheetName val="지주목시비량산출서"/>
      <sheetName val="단가조사"/>
      <sheetName val="상시"/>
      <sheetName val="Sheet3"/>
      <sheetName val="현황산출서"/>
      <sheetName val="옥룡잡비"/>
      <sheetName val="배수내역"/>
      <sheetName val="공내역"/>
      <sheetName val="BOX전기내역"/>
      <sheetName val="소운반"/>
      <sheetName val="o현장경비"/>
      <sheetName val="내역서(전기)"/>
      <sheetName val="DIAPHRAGM"/>
      <sheetName val="2000용수잠관-수량집계"/>
      <sheetName val="시행후면적"/>
      <sheetName val="포장복구집계"/>
      <sheetName val="단가일람"/>
      <sheetName val="단위량당중기"/>
      <sheetName val="갑지"/>
      <sheetName val="PAD TR보호대기초"/>
      <sheetName val="가로등기초"/>
      <sheetName val="배수공"/>
      <sheetName val="측구공"/>
      <sheetName val="계단"/>
      <sheetName val="COL"/>
      <sheetName val="1_설계조건"/>
      <sheetName val="plan&amp;section_of_foundation"/>
      <sheetName val="working_load_at_the_btm_ft_"/>
      <sheetName val="stability_check"/>
      <sheetName val="design_criteria"/>
      <sheetName val="design_load"/>
      <sheetName val="배수철근"/>
      <sheetName val="spiral"/>
      <sheetName val="기계시공"/>
      <sheetName val="11.자재단가"/>
      <sheetName val="중동공구"/>
      <sheetName val="전력구구조물산근"/>
      <sheetName val="상수도공-간지"/>
      <sheetName val="보차도경계석"/>
      <sheetName val="데리네이타현황"/>
      <sheetName val="부하계산서"/>
      <sheetName val="개요"/>
      <sheetName val="입력값"/>
      <sheetName val="설계기준 및 하중계산"/>
      <sheetName val="증감내역서"/>
      <sheetName val="정렬"/>
      <sheetName val="1062-X방향 "/>
      <sheetName val="woo(mac)"/>
      <sheetName val="수량집계"/>
      <sheetName val="지구단위계획"/>
      <sheetName val="type-F"/>
      <sheetName val="견적서"/>
      <sheetName val="입찰보고"/>
      <sheetName val="계화배수"/>
      <sheetName val="기자재비"/>
      <sheetName val="단가(1)"/>
      <sheetName val="원하도급내역서(당초)"/>
      <sheetName val="A-4"/>
      <sheetName val="수량집계표"/>
      <sheetName val="산근목록"/>
      <sheetName val="방음벽기초"/>
      <sheetName val="유림골조"/>
      <sheetName val="웅진교-S2"/>
      <sheetName val="소업1교"/>
      <sheetName val="설계변경원가계산총괄표"/>
      <sheetName val="간지9)"/>
      <sheetName val="7.PILE  (돌출)"/>
      <sheetName val="금융비용"/>
      <sheetName val="기안"/>
      <sheetName val="거래처등록"/>
      <sheetName val="도장수량(하1)"/>
      <sheetName val="주형"/>
      <sheetName val="CON포장수량"/>
      <sheetName val="CONUNIT"/>
      <sheetName val="자재목록"/>
      <sheetName val="입력"/>
      <sheetName val="시선유도표지집계표"/>
      <sheetName val="손익분석"/>
      <sheetName val="일위대가(건축)"/>
      <sheetName val="BOILING검토"/>
      <sheetName val="WEON"/>
      <sheetName val="차선도색현황"/>
      <sheetName val="옹벽"/>
      <sheetName val="토목내역"/>
      <sheetName val="관경"/>
      <sheetName val="시가지우회도로공내역서"/>
      <sheetName val="각사별공사비분개 "/>
      <sheetName val="기계경비일람"/>
      <sheetName val="설계예산서"/>
      <sheetName val="PD-5(직선)"/>
      <sheetName val="바닥판(1)"/>
      <sheetName val="예산작성기준(전기)"/>
      <sheetName val="전력"/>
      <sheetName val="산근(PE,300)"/>
      <sheetName val="특2호부관하천산근"/>
      <sheetName val="특2호하천산근"/>
      <sheetName val="일반공사"/>
      <sheetName val="설계명세"/>
      <sheetName val="통합"/>
      <sheetName val="P3"/>
      <sheetName val="※참고자료※"/>
      <sheetName val="UEC영화관본공사내역"/>
      <sheetName val="대운산출"/>
      <sheetName val="세부내역"/>
      <sheetName val="소방현물"/>
      <sheetName val="기초공"/>
      <sheetName val="일위대가1"/>
      <sheetName val="BOX-1515"/>
      <sheetName val="BOX-1510"/>
      <sheetName val="우수관"/>
      <sheetName val="맨홀수량산출"/>
      <sheetName val="맨홀토공수량"/>
      <sheetName val="간선계산"/>
      <sheetName val="Macro(차단기)"/>
      <sheetName val="터널조도"/>
      <sheetName val="도급예산내역서봉투"/>
      <sheetName val="공사원가계산서"/>
      <sheetName val="도급예산내역서총괄표"/>
      <sheetName val="Baby일위대가"/>
      <sheetName val="분전함신설"/>
      <sheetName val="설계산출표지"/>
      <sheetName val="을부담운반비"/>
      <sheetName val="운반비산출"/>
      <sheetName val="접지1종"/>
      <sheetName val="지급자재조서"/>
      <sheetName val="실행대비"/>
      <sheetName val="날개벽(시점좌측)"/>
      <sheetName val="설계기준"/>
      <sheetName val="기둥(하중)"/>
      <sheetName val="공구"/>
      <sheetName val="실행"/>
      <sheetName val="예산내역서"/>
      <sheetName val="전차선로 물량표"/>
      <sheetName val="인명부"/>
      <sheetName val="별총"/>
      <sheetName val="BID9697"/>
      <sheetName val="&lt;목록&gt;"/>
      <sheetName val="SLIDES"/>
      <sheetName val="횡배수관"/>
      <sheetName val="ENE-CAL 1"/>
      <sheetName val="costing_CV"/>
      <sheetName val="ITB COST"/>
      <sheetName val="costing_ESDV"/>
      <sheetName val="costing_Misc"/>
      <sheetName val="costing_MOV"/>
      <sheetName val="costing_Press"/>
      <sheetName val="자압"/>
      <sheetName val="주식"/>
      <sheetName val="갑지1"/>
      <sheetName val="6호기"/>
      <sheetName val="공사내역"/>
      <sheetName val="집계표(육상)"/>
      <sheetName val="조건표"/>
      <sheetName val="참조M"/>
      <sheetName val="Sheet15"/>
      <sheetName val="하중"/>
      <sheetName val="ACUNIT"/>
      <sheetName val="용수량(생활용수)"/>
      <sheetName val="수정내역서"/>
      <sheetName val="주경기-오배수"/>
      <sheetName val="TEL"/>
      <sheetName val="-몰탈콘크리트"/>
      <sheetName val="품의"/>
      <sheetName val="약품공급2"/>
      <sheetName val="2011.(4)"/>
      <sheetName val="맨홀평균높이"/>
      <sheetName val="기초일위"/>
      <sheetName val="수목단가"/>
      <sheetName val="시설수량표"/>
      <sheetName val="시설일위"/>
      <sheetName val="식재수량표"/>
      <sheetName val="식재일위"/>
      <sheetName val="재집"/>
      <sheetName val="직재"/>
      <sheetName val="결과조달"/>
      <sheetName val="상승요인분석"/>
      <sheetName val="날개벽"/>
      <sheetName val="예상"/>
      <sheetName val="2002년12월"/>
      <sheetName val="수량산출근거"/>
      <sheetName val="Sheet6"/>
      <sheetName val="주요자재집계표"/>
      <sheetName val="터널구조물산근"/>
      <sheetName val="노무비계"/>
      <sheetName val="sheeet2"/>
      <sheetName val=" 냉각수펌프"/>
      <sheetName val="단면 _2_"/>
      <sheetName val="Sheet5"/>
      <sheetName val="MOTOR"/>
      <sheetName val="단가(반정1교-원주)"/>
      <sheetName val="Sheet10"/>
      <sheetName val="2000전체분"/>
      <sheetName val="대림경상68억"/>
      <sheetName val="공종별수량집계"/>
      <sheetName val="GAEYO"/>
      <sheetName val="SUMDO"/>
      <sheetName val="ENDDO"/>
      <sheetName val="PLDB"/>
      <sheetName val="AAA"/>
      <sheetName val="M-HOUR"/>
      <sheetName val="공기"/>
      <sheetName val="원가입력"/>
      <sheetName val="ASP"/>
      <sheetName val="유림총괄"/>
      <sheetName val="공사비산출내역"/>
      <sheetName val="은행"/>
      <sheetName val="입력시트"/>
      <sheetName val="공사현황"/>
      <sheetName val="종배수관(신)"/>
      <sheetName val="적용단위길이"/>
      <sheetName val="자료입력"/>
      <sheetName val="종배수관면벽신"/>
      <sheetName val="수로단위수량"/>
      <sheetName val="1. 설계조건 2.단면가정 3. 하중계산"/>
      <sheetName val="계산서(곡선부)"/>
      <sheetName val="-치수표(곡선부)"/>
      <sheetName val="설정"/>
      <sheetName val="코드"/>
      <sheetName val="기계경비"/>
      <sheetName val="포장물량집계"/>
      <sheetName val="기계내역"/>
      <sheetName val="화단 철거"/>
      <sheetName val="인천제철"/>
      <sheetName val="(A)내역서"/>
      <sheetName val="집계"/>
      <sheetName val="수량산출서 갑지"/>
      <sheetName val="2000년하반기"/>
      <sheetName val="수지예산"/>
      <sheetName val="예정(3)"/>
      <sheetName val="원가계산서"/>
      <sheetName val="역T형(H=6.0) (2)"/>
      <sheetName val="재료"/>
      <sheetName val="북방3터널"/>
      <sheetName val="석축"/>
      <sheetName val="산근"/>
      <sheetName val="기둥"/>
      <sheetName val="저판(버림100)"/>
      <sheetName val="중기집계"/>
      <sheetName val="단가산출"/>
      <sheetName val="2공구산출내역"/>
      <sheetName val="준검 내역서"/>
      <sheetName val="Dike for 49T03 &amp; 49T04"/>
      <sheetName val="Dike for 49T02, 05~07, 19 (1)"/>
      <sheetName val="슬래브(유곡)"/>
      <sheetName val="공정별 수량산출서"/>
      <sheetName val="일반시방서"/>
      <sheetName val="일위대가(조경)"/>
      <sheetName val="자재 및 폐기물견적(2008)"/>
      <sheetName val="전계가"/>
      <sheetName val="인건비"/>
      <sheetName val="CTEMCOST"/>
      <sheetName val="DESCRIPTION"/>
      <sheetName val="내역(전체)"/>
      <sheetName val="평균터파기"/>
      <sheetName val="공사내역서(을)실행"/>
      <sheetName val="중기사용료산출근거"/>
      <sheetName val="단가 및 재료비"/>
      <sheetName val="M_DB"/>
      <sheetName val="TYPE"/>
      <sheetName val="우수"/>
      <sheetName val="내역서_1"/>
      <sheetName val="8_PILE__(돌출)"/>
      <sheetName val="1_설계기준"/>
      <sheetName val="6PILE__(돌출)"/>
      <sheetName val="플랜트_설치"/>
      <sheetName val="설명서_"/>
      <sheetName val="3BL공동구_수량"/>
      <sheetName val="단면_(2)"/>
      <sheetName val="crude_SLAB_RE-bar"/>
      <sheetName val="CRUDE_RE-bar"/>
      <sheetName val="신규_수주분(사용자_정의)"/>
      <sheetName val="BOX(1_5X1_5)"/>
      <sheetName val="pile_bearing_capa_&amp;_arrenge"/>
      <sheetName val="DATA_입력란"/>
      <sheetName val="2_입력sheet"/>
      <sheetName val="(3_품질관리_시험_총괄표)"/>
      <sheetName val="별표_"/>
      <sheetName val="2_가정단면"/>
      <sheetName val="토공(우물통,기타)_"/>
      <sheetName val="7_PILE__(돌출)"/>
      <sheetName val="COMPARISON_TABLE"/>
      <sheetName val="3CHBDC"/>
      <sheetName val="사급자재"/>
      <sheetName val="CAT_5"/>
      <sheetName val="간접비내역-1"/>
      <sheetName val="inter"/>
      <sheetName val="0226"/>
      <sheetName val="예산대비"/>
      <sheetName val="수목표준대가"/>
      <sheetName val="포장직선구간"/>
      <sheetName val="대정2공구"/>
      <sheetName val="1호맨홀토공"/>
      <sheetName val="현장관리비"/>
      <sheetName val="품셈총괄표"/>
      <sheetName val="FOOTING단면력"/>
      <sheetName val="00000"/>
      <sheetName val="costing_FE"/>
      <sheetName val="공종집계"/>
      <sheetName val="공통부대비"/>
      <sheetName val="자재 집계표"/>
      <sheetName val="옥내아파트(전기)"/>
      <sheetName val="점수계산1-2"/>
      <sheetName val="국공유지및사유지"/>
      <sheetName val="건축내역"/>
      <sheetName val="재료비"/>
      <sheetName val="TYPE1"/>
      <sheetName val="공사비집계"/>
      <sheetName val="노임단가기준"/>
      <sheetName val="Sheet16"/>
      <sheetName val="Sheet14"/>
      <sheetName val="부하"/>
      <sheetName val="APT"/>
      <sheetName val="Sheet13"/>
      <sheetName val="최적단면"/>
      <sheetName val="1호-아(오)0.4"/>
      <sheetName val="수량"/>
      <sheetName val="2.단면가정 "/>
      <sheetName val="관로토공"/>
      <sheetName val="명세서"/>
      <sheetName val="현장별계약현황('98.10.31)"/>
      <sheetName val="일위대가_호표"/>
      <sheetName val="일위대가_호표 (계약)"/>
      <sheetName val="구조물공위치조서"/>
      <sheetName val="배수관산출"/>
      <sheetName val="하중계산"/>
      <sheetName val="기본DATA"/>
      <sheetName val="접속도로"/>
      <sheetName val="단가대비표"/>
      <sheetName val="중기비"/>
      <sheetName val="현금및현금등가물1"/>
      <sheetName val="지장물총괄표"/>
      <sheetName val="97 사업추정(WEKI)"/>
      <sheetName val="농로수량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견적서갑지"/>
      <sheetName val="원가계산서"/>
      <sheetName val="집계"/>
      <sheetName val="포장공사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도근전개"/>
      <sheetName val="날개벽수량표"/>
      <sheetName val="흄관기초"/>
      <sheetName val="덕전리"/>
      <sheetName val="#REF"/>
      <sheetName val="단가조사"/>
      <sheetName val="MOTOR"/>
      <sheetName val="조명시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잔수량(작성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원남울진낙찰내역(99.4.13 부산청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FORM-0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동력계장및수배전원가"/>
      <sheetName val="1-4동력및계장공사내역"/>
      <sheetName val="1-4동력및계장노무산출"/>
      <sheetName val="1-4동력및계장단가"/>
      <sheetName val="1-4동력및계장물량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총괄표"/>
      <sheetName val="원가계산"/>
      <sheetName val="집계표"/>
      <sheetName val="내역서"/>
      <sheetName val="영동(일)"/>
      <sheetName val="영동(D)"/>
      <sheetName val="영동(골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신정동(벽산)"/>
      <sheetName val="상암동(두산)"/>
      <sheetName val="제주호텔(범양)"/>
      <sheetName val="제주호텔(범양)-1"/>
      <sheetName val="대구남산(롯데)"/>
      <sheetName val="목포산정(신안)"/>
      <sheetName val="오류동(경남)"/>
      <sheetName val="구로IT타워(한신)"/>
      <sheetName val="수원설1(월드)"/>
      <sheetName val="수원설2(월드)"/>
      <sheetName val="수원설3(월드)"/>
      <sheetName val="수원소1(월드)"/>
      <sheetName val="수원소2(월드)"/>
      <sheetName val="광주지하(경남)"/>
      <sheetName val="프리스틴(고려)"/>
      <sheetName val="등촌동(현산)"/>
      <sheetName val="화성태안(신성)"/>
      <sheetName val="화성태안(한신)"/>
      <sheetName val="기장교리(한신)"/>
      <sheetName val="용인죽전(극동)"/>
      <sheetName val="진주(금호)"/>
      <sheetName val="삼성동(현산)"/>
      <sheetName val="창동(금호)"/>
      <sheetName val="공릉(삼익)"/>
      <sheetName val="광명(고려)"/>
      <sheetName val="올림픽(금호)"/>
      <sheetName val="전자(대아)"/>
      <sheetName val="군포(고려)"/>
      <sheetName val="송도(경남)"/>
      <sheetName val="군포(성원)"/>
      <sheetName val="내수(쌍용)"/>
      <sheetName val="용인(효성)"/>
      <sheetName val="포송4(한신)"/>
      <sheetName val="포송5(한신)"/>
      <sheetName val="포송5(신성)"/>
      <sheetName val="방림방적(금호)"/>
      <sheetName val="대명(두산)"/>
      <sheetName val="대명소화(두산)"/>
      <sheetName val="천안시청(경남)"/>
      <sheetName val="천안시청(대아)"/>
      <sheetName val="천안시청설(롯데)"/>
      <sheetName val="천안시청소(롯데)"/>
      <sheetName val="천안시청(한신)"/>
      <sheetName val="포항(롯데)"/>
      <sheetName val="포항(경남)"/>
      <sheetName val="포항(대아)"/>
      <sheetName val="포항(고려)"/>
      <sheetName val="포항(신성)"/>
      <sheetName val="포항설(범양)"/>
      <sheetName val="포항소(범양)"/>
      <sheetName val="안양변(성원)"/>
      <sheetName val="안양아(성원)"/>
      <sheetName val="역삼동(금호)"/>
      <sheetName val="전주송천(신성)"/>
      <sheetName val="대구동호1(대아)"/>
      <sheetName val="대구동호2(대아)"/>
      <sheetName val="전주송천(한신)"/>
      <sheetName val="목동2차(월드)"/>
      <sheetName val="목동3차(월드)"/>
      <sheetName val="상암5(극동)"/>
      <sheetName val="상암6(극동)"/>
      <sheetName val="상암7(극동)"/>
      <sheetName val="상암5(경남)"/>
      <sheetName val="상암6(경남)"/>
      <sheetName val="상암7(경남)"/>
      <sheetName val="하나은행(남광)"/>
      <sheetName val="울산설(성원)"/>
      <sheetName val="울산소(성원)"/>
      <sheetName val="화성태안(경남)"/>
      <sheetName val="부천(SK)"/>
      <sheetName val="화성태안11(한신)"/>
      <sheetName val="목포용해(한신)"/>
      <sheetName val="마그넷(롯데)"/>
      <sheetName val="곤지암(삼주도면)"/>
      <sheetName val="천안백석(한신)"/>
      <sheetName val="광희동,동숭동(TS)"/>
      <sheetName val="구산동(경남)"/>
      <sheetName val="거여동(금호)"/>
      <sheetName val="묵동(금호)"/>
      <sheetName val="분당시티(성우)"/>
      <sheetName val="구로동(신성)"/>
      <sheetName val="마산양덕동(신성)"/>
      <sheetName val="광주용봉(한신)"/>
      <sheetName val="파금9(경남)"/>
      <sheetName val="파금9(한신)"/>
      <sheetName val="일산오텔(남광)"/>
      <sheetName val="선텍시티(롯데)"/>
      <sheetName val="한림원(롯데)"/>
      <sheetName val="까르프(대전유성점)"/>
      <sheetName val="수성1-1(대아)"/>
      <sheetName val="노인병원(극동)"/>
      <sheetName val="여의도1(롯데)"/>
      <sheetName val="여의도2(롯데)"/>
      <sheetName val="여의도3(롯데)"/>
      <sheetName val="여의도소화(롯데)"/>
      <sheetName val="서울호텔(쌍용)"/>
      <sheetName val="포항장성1(롯데)"/>
      <sheetName val="포항장성2(롯데)"/>
      <sheetName val="잠실오피(효성)"/>
      <sheetName val="용인수지(벽산)"/>
      <sheetName val="용인기흥(대명)"/>
      <sheetName val="부산1(롯데)"/>
      <sheetName val="부산2(롯데)"/>
      <sheetName val="부산3(롯데)"/>
      <sheetName val="천안시청(범양)"/>
      <sheetName val="현대해상(현산)"/>
      <sheetName val="용인구성(쌍용)"/>
      <sheetName val="대치동(롯데)"/>
      <sheetName val="서울시니어스(롯데,닥트)"/>
      <sheetName val="서울시니어스(롯데,소화)"/>
      <sheetName val="화성태안9(경남)"/>
      <sheetName val="수원망포(범양)"/>
      <sheetName val="선일(벽산)"/>
      <sheetName val="안산원곡(벽산)"/>
      <sheetName val="반포빌라트(신성)"/>
      <sheetName val="복지관(영도)"/>
      <sheetName val="잠원설악1(롯데)"/>
      <sheetName val="잠원설악2(롯데)"/>
      <sheetName val="숭인동주복(롯데)"/>
      <sheetName val="인천삼산(신성)"/>
      <sheetName val="곤지암(삼주)"/>
      <sheetName val="도곡동(롯데)"/>
      <sheetName val="서초동(롯데)"/>
      <sheetName val="포송4(경남)"/>
      <sheetName val="포송5(신성-2)"/>
      <sheetName val="의왕시(대명)"/>
      <sheetName val="남부연립(태창)"/>
      <sheetName val="본동(한신)"/>
      <sheetName val="진주가좌(경남)"/>
      <sheetName val="광장동(효성)"/>
      <sheetName val="신정동(경남)"/>
      <sheetName val="신정동(경남) (2)"/>
      <sheetName val="춘천휴게(대아)"/>
      <sheetName val="상모고(대아)"/>
      <sheetName val="한국광고(현산)"/>
      <sheetName val="한국광고(롯데)"/>
      <sheetName val="한국설비(남광)"/>
      <sheetName val="한국소방(남광)"/>
      <sheetName val="한국광고(고려)"/>
      <sheetName val="한국광고(경남)"/>
      <sheetName val="한국광고(극동)"/>
      <sheetName val="한국소방(극동)"/>
      <sheetName val="서초캐슬(롯데)"/>
      <sheetName val="방배캐슬(롯데)"/>
      <sheetName val="천안백석(대아)"/>
      <sheetName val="부천쇼핑(현산)"/>
      <sheetName val="서초캐슬냉매(롯데)"/>
      <sheetName val="도곡동냉매(롯데)"/>
      <sheetName val="잠원설악1(롯데) (3)"/>
      <sheetName val="대구용산냉매(롯데)"/>
      <sheetName val="덕소지급무(남광)"/>
      <sheetName val="덕소지급유(남광)"/>
      <sheetName val="춘천퇴계1(효성)"/>
      <sheetName val="전포동1(롯데)"/>
      <sheetName val="전포동2(롯데)"/>
      <sheetName val="전포동소화(롯데)"/>
      <sheetName val="숭인동소화(롯데)"/>
      <sheetName val="시흥베르빌(알포메)"/>
      <sheetName val="옥수동(성원)"/>
      <sheetName val="천안두정동(대아)"/>
      <sheetName val="삼성동(금호)"/>
      <sheetName val="남양주평내(극동)"/>
      <sheetName val="남양주평내(쌍용)"/>
      <sheetName val="남양주평내(남광)"/>
      <sheetName val="동교동(효성)"/>
      <sheetName val="서계동 오피스텔(풍림)"/>
      <sheetName val="대한유화공업(풍림)"/>
      <sheetName val="서계동+대한"/>
      <sheetName val="일산오피(신성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변경사유"/>
      <sheetName val="집계표"/>
      <sheetName val="내역서"/>
      <sheetName val="지급자재"/>
      <sheetName val="laroux"/>
      <sheetName val="1"/>
      <sheetName val="4"/>
      <sheetName val="5"/>
      <sheetName val="2"/>
      <sheetName val="3"/>
      <sheetName val="2차손익금회"/>
      <sheetName val="2차손익누계"/>
      <sheetName val="2차기성고조서"/>
      <sheetName val="2차내역분류누계"/>
      <sheetName val="2차내역분류금회"/>
      <sheetName val="집계"/>
      <sheetName val="비목군별공사비산출내역"/>
      <sheetName val="상승비산출"/>
      <sheetName val="기타산출"/>
      <sheetName val="K치산출"/>
      <sheetName val="건축제잡비"/>
      <sheetName val="제잡비전체"/>
      <sheetName val="제잡비97"/>
      <sheetName val="종표지"/>
      <sheetName val="횡표지"/>
      <sheetName val="기계경비지수"/>
      <sheetName val="건설기계집계"/>
      <sheetName val="건설기계단가 (2)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R.C관제작재료표"/>
      <sheetName val="주민세법인"/>
      <sheetName val="구조물시공현황"/>
      <sheetName val="사진대지"/>
      <sheetName val="법면구배조정"/>
      <sheetName val="공람"/>
      <sheetName val="공람(이름)"/>
      <sheetName val="참고"/>
      <sheetName val="조명시설"/>
      <sheetName val="준검 내역서"/>
      <sheetName val="뿜타일"/>
      <sheetName val="7기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적표"/>
      <sheetName val="토공집계표"/>
      <sheetName val="토공분석표"/>
      <sheetName val="집계표"/>
      <sheetName val="자재대"/>
      <sheetName val="간지"/>
      <sheetName val="표지"/>
      <sheetName val="조명시설"/>
      <sheetName val="DATE"/>
      <sheetName val="슬래브"/>
      <sheetName val="데리네이타현황"/>
      <sheetName val="ABUT수량-A1"/>
      <sheetName val="하부철근수량"/>
      <sheetName val="공사비"/>
      <sheetName val="웅진교-S2"/>
      <sheetName val="코드표"/>
      <sheetName val="일위대가(가설)"/>
      <sheetName val="수량산출"/>
      <sheetName val="몰탈재료산출"/>
      <sheetName val="내역서"/>
      <sheetName val="비탈면보호공수량산출"/>
      <sheetName val="2000년1차"/>
      <sheetName val="산출근거"/>
      <sheetName val="일위대가9803"/>
      <sheetName val="포장면적산출"/>
      <sheetName val="이토변실(A3-LINE)"/>
      <sheetName val="Sheet1"/>
      <sheetName val="BID"/>
      <sheetName val="노임단가"/>
      <sheetName val="Pier 3"/>
      <sheetName val="실행철강하도"/>
      <sheetName val="노임단"/>
      <sheetName val="데이타"/>
      <sheetName val="노무비"/>
      <sheetName val="덕전리"/>
      <sheetName val="N賃率-職"/>
      <sheetName val="이음개소"/>
      <sheetName val="노견단위수량"/>
      <sheetName val="일위대가"/>
      <sheetName val="3연box"/>
      <sheetName val="단 box"/>
      <sheetName val="wall"/>
      <sheetName val="참고자료"/>
      <sheetName val="증명지번목록"/>
      <sheetName val="직노"/>
      <sheetName val="6공구(당초)"/>
      <sheetName val="수량집계"/>
      <sheetName val="자재"/>
      <sheetName val="자재단가"/>
      <sheetName val="Sheet1 (2)"/>
      <sheetName val="1,2,3,4,5단위수량"/>
      <sheetName val="내역"/>
      <sheetName val="SORCE1"/>
      <sheetName val="2.건축"/>
      <sheetName val="내역서(기성청구)"/>
      <sheetName val="대창(장성)"/>
      <sheetName val="현황산출서"/>
      <sheetName val="설계서을"/>
      <sheetName val="단"/>
      <sheetName val="보도공제면적"/>
      <sheetName val="가도공"/>
      <sheetName val="5지진시"/>
      <sheetName val="성곽내역서"/>
      <sheetName val="#REF"/>
      <sheetName val="인건비"/>
      <sheetName val="입력"/>
      <sheetName val="안정검토(온1)"/>
      <sheetName val="터파기및재료"/>
      <sheetName val="부대내역"/>
      <sheetName val="DATA"/>
      <sheetName val="일위대가표"/>
      <sheetName val="부대공"/>
      <sheetName val="물건조서"/>
      <sheetName val="내역서 (2)"/>
      <sheetName val="비교표"/>
      <sheetName val="증감내역서"/>
      <sheetName val="작업금지"/>
      <sheetName val="입찰안"/>
      <sheetName val="변압기 및 발전기 용량"/>
      <sheetName val="단면 (2)"/>
      <sheetName val="조도계산서 (도서)"/>
      <sheetName val="2000전체분"/>
      <sheetName val="절대지우지말것"/>
      <sheetName val="노임"/>
      <sheetName val="목록"/>
      <sheetName val="일위대가목록"/>
      <sheetName val="단가산출서"/>
      <sheetName val="옥룡잡비"/>
      <sheetName val="맨홀수량"/>
      <sheetName val="단면가정"/>
      <sheetName val="횡배수관집현황(2공구)"/>
      <sheetName val="자가"/>
      <sheetName val="98수문일위"/>
      <sheetName val="제경비최종"/>
      <sheetName val="요율"/>
      <sheetName val="총집계표"/>
      <sheetName val="계정별실적"/>
      <sheetName val="영업권조서"/>
      <sheetName val="토지조서"/>
      <sheetName val="EQ"/>
      <sheetName val="날개벽수량표"/>
      <sheetName val="식대장부"/>
      <sheetName val="배수량"/>
      <sheetName val="말뚝지지력산정"/>
      <sheetName val="투찰금액"/>
      <sheetName val="45,46"/>
      <sheetName val="주현(해보)"/>
      <sheetName val="주현(영광)"/>
      <sheetName val="Sheet2"/>
      <sheetName val="원가계산"/>
      <sheetName val="토사(PE)"/>
      <sheetName val="기본데이타입력"/>
      <sheetName val="8.PILE  (돌출)"/>
      <sheetName val="건축내역"/>
      <sheetName val="설계내역서"/>
      <sheetName val="공통자료"/>
      <sheetName val="C.배수관공"/>
      <sheetName val="BDATA"/>
      <sheetName val="수목표준대가"/>
      <sheetName val="2설계 (웅촌고연)"/>
      <sheetName val="토목내역서"/>
      <sheetName val="6PILE  (돌출)"/>
      <sheetName val="공사비증감"/>
      <sheetName val="INPUT"/>
      <sheetName val="A1(토공)"/>
      <sheetName val="A1(구조물)"/>
      <sheetName val="수량집계(1)"/>
      <sheetName val="철근집계표"/>
      <sheetName val="포장직선구간"/>
      <sheetName val="Sheet17"/>
      <sheetName val="설계조건"/>
      <sheetName val="교대철근집계"/>
      <sheetName val="노임이"/>
      <sheetName val="9811"/>
      <sheetName val="대비"/>
      <sheetName val="을"/>
      <sheetName val="식생블럭단위수량"/>
      <sheetName val="공종목록표"/>
      <sheetName val="파일의이용"/>
      <sheetName val="인건비 "/>
      <sheetName val="98NS-N"/>
      <sheetName val="배수설비"/>
      <sheetName val="포장재료집계표"/>
      <sheetName val="포장수량집계"/>
      <sheetName val="금액내역서"/>
      <sheetName val="전기일위대가"/>
      <sheetName val="마산방향"/>
      <sheetName val="진주방향"/>
      <sheetName val="7.PILE  (돌출)"/>
      <sheetName val="봉산운반"/>
      <sheetName val="구조물철거타공정이월"/>
      <sheetName val="7단가"/>
      <sheetName val="Y-WORK"/>
      <sheetName val="수자재단위당"/>
      <sheetName val="코드"/>
      <sheetName val="Baby일위대가"/>
      <sheetName val="3련 BOX"/>
      <sheetName val="단위수량"/>
      <sheetName val="교각"/>
      <sheetName val="맨홀수량산출"/>
      <sheetName val="BOX"/>
      <sheetName val="유림총괄"/>
      <sheetName val="이름표"/>
      <sheetName val="토지가격산출기초"/>
      <sheetName val="공시지가"/>
      <sheetName val="일반수량총괄집계"/>
      <sheetName val="간접"/>
      <sheetName val="규준틀"/>
      <sheetName val="역T형옹벽(3.0)"/>
      <sheetName val="흙쌓기도수로설치현황"/>
      <sheetName val="총괄내역"/>
      <sheetName val="단재적표"/>
      <sheetName val="단가(1)"/>
      <sheetName val="수량산출서"/>
      <sheetName val="단가"/>
      <sheetName val="골막이(야매)"/>
      <sheetName val="경산"/>
      <sheetName val="기계경비"/>
      <sheetName val="단가산출2"/>
      <sheetName val="기존단가 (2)"/>
      <sheetName val="교각1"/>
      <sheetName val="기초코드"/>
      <sheetName val="1.설계조건"/>
      <sheetName val="밸브설치"/>
      <sheetName val="TYPE1"/>
      <sheetName val="철근량"/>
      <sheetName val="단위단가"/>
      <sheetName val="마산월령동골조물량변경"/>
      <sheetName val="5.정산서"/>
      <sheetName val="노임목록"/>
      <sheetName val="DATA 입력부"/>
      <sheetName val="단가목록"/>
      <sheetName val="일위목록"/>
      <sheetName val="공양식"/>
      <sheetName val="사  업  비  수  지  예  산  서"/>
      <sheetName val="인건-측정"/>
      <sheetName val="유림골조"/>
      <sheetName val="보호공"/>
      <sheetName val="별표집계"/>
      <sheetName val="산출내역서집계표"/>
      <sheetName val="s"/>
      <sheetName val="전기단가조사서"/>
      <sheetName val="대치판정"/>
      <sheetName val="공구"/>
      <sheetName val="차액보증"/>
      <sheetName val="J형측구단위수량"/>
      <sheetName val="가압장구체수량산출서"/>
      <sheetName val="토공분배표"/>
      <sheetName val="SLAB"/>
      <sheetName val="4차원가계산서"/>
      <sheetName val="자료"/>
      <sheetName val="교각토공"/>
      <sheetName val="포장면적"/>
      <sheetName val="수토공단위당"/>
      <sheetName val="ⴭⴭⴭⴭⴭ"/>
      <sheetName val="지급자재"/>
      <sheetName val="1.3.1절점좌표"/>
      <sheetName val="1.1설계기준"/>
      <sheetName val="횡배수관"/>
      <sheetName val="Total"/>
      <sheetName val="수정시산표"/>
      <sheetName val="96보완계획7.12"/>
      <sheetName val="토공총괄표"/>
      <sheetName val="자재조사표"/>
      <sheetName val="4.2유효폭의 계산"/>
      <sheetName val="기초단가"/>
      <sheetName val="공사"/>
      <sheetName val="개소별수량산출"/>
      <sheetName val="1호맨홀가감수량"/>
      <sheetName val="단가 및 재료비"/>
      <sheetName val="중기사용료산출근거"/>
      <sheetName val="단가산출"/>
      <sheetName val="소분류목록"/>
      <sheetName val="1"/>
      <sheetName val="2"/>
      <sheetName val="3"/>
      <sheetName val="4"/>
      <sheetName val="5"/>
      <sheetName val="6"/>
      <sheetName val="자료입력"/>
      <sheetName val="구간별"/>
      <sheetName val="기자재비"/>
      <sheetName val="비교1"/>
      <sheetName val="구의33고"/>
      <sheetName val="노무단가"/>
      <sheetName val="건축내역서"/>
      <sheetName val="1공구내역서(1)"/>
      <sheetName val="노면및방향"/>
      <sheetName val="24분기"/>
      <sheetName val="여비"/>
      <sheetName val="가격산출"/>
      <sheetName val="현금및현금등가물"/>
      <sheetName val="I.설계조건"/>
      <sheetName val="공비대비"/>
      <sheetName val="이설도로유용토"/>
      <sheetName val="아스팔트 포장총괄집계표"/>
      <sheetName val="시운전연료"/>
      <sheetName val="일위"/>
      <sheetName val="교대(a1)"/>
      <sheetName val="실행(ALT1)"/>
      <sheetName val="실행내역서 "/>
      <sheetName val="APT"/>
      <sheetName val="우수공"/>
      <sheetName val="식재가격"/>
      <sheetName val="식재총괄"/>
      <sheetName val="시화점실행"/>
      <sheetName val="원가계산 (2)"/>
      <sheetName val="월말"/>
      <sheetName val="설계"/>
      <sheetName val="TOTAL_BOQ"/>
      <sheetName val="별표 "/>
      <sheetName val="간지(5.04)"/>
      <sheetName val="자재비"/>
      <sheetName val="복주일위대가"/>
      <sheetName val="총괄"/>
      <sheetName val="지급(1)"/>
      <sheetName val="2공종별예산조서"/>
      <sheetName val="산출내역서"/>
      <sheetName val="부안일위"/>
      <sheetName val="규격"/>
      <sheetName val="원형1호맨홀토공수량"/>
      <sheetName val="자  재"/>
      <sheetName val="건축외주"/>
      <sheetName val="노임단가 "/>
      <sheetName val="1,2공구원가계산서"/>
      <sheetName val="2공구산출내역"/>
      <sheetName val="1공구산출내역서"/>
      <sheetName val="인상효1"/>
      <sheetName val="자재목록"/>
      <sheetName val="중기목록"/>
      <sheetName val="신평리 권리자명부"/>
      <sheetName val="동일리 권리자명부"/>
      <sheetName val="지장물조서"/>
      <sheetName val="본사인상전"/>
      <sheetName val="시험물량산출"/>
      <sheetName val="토공산근"/>
      <sheetName val="단가산출1"/>
      <sheetName val="tggwan(mac)"/>
      <sheetName val="방송(체육관)"/>
      <sheetName val="공사비집계"/>
      <sheetName val="공종"/>
      <sheetName val="토목"/>
      <sheetName val="토공(우물통,기타) "/>
      <sheetName val="추정설계"/>
      <sheetName val="프랜트면허"/>
      <sheetName val="화설내"/>
      <sheetName val="주식"/>
      <sheetName val="7급줄떼"/>
      <sheetName val="별첨4_전담운영PM(1)"/>
      <sheetName val="가계부"/>
      <sheetName val="제품목록"/>
      <sheetName val="매입매출관리"/>
      <sheetName val="포장총괄집계표"/>
      <sheetName val="준검 내역서"/>
      <sheetName val="8.석축단위(H=1.5M)"/>
      <sheetName val="전기"/>
      <sheetName val="000000"/>
      <sheetName val="대로근거"/>
      <sheetName val="중로근거"/>
      <sheetName val="내역서 "/>
      <sheetName val="견적990322"/>
      <sheetName val="갑지"/>
      <sheetName val="대비표"/>
      <sheetName val="danga"/>
      <sheetName val="ilch"/>
      <sheetName val="6MONTHS"/>
      <sheetName val="침하계"/>
      <sheetName val="6PILE__(돌출)"/>
      <sheetName val="내역서_"/>
      <sheetName val="1_설계조건"/>
      <sheetName val="예상"/>
      <sheetName val="Sheet3"/>
      <sheetName val="Xunit (단위환산)"/>
      <sheetName val="고객사 관리 코드"/>
      <sheetName val="플랜트 설치"/>
      <sheetName val="원형맨홀수량"/>
      <sheetName val="찍기"/>
      <sheetName val="정부노임단가"/>
      <sheetName val="설명서 "/>
      <sheetName val="가중치"/>
      <sheetName val="70%"/>
      <sheetName val="견적조건"/>
      <sheetName val="개략"/>
      <sheetName val="2호맨홀공제수량"/>
      <sheetName val="기둥(원형)"/>
      <sheetName val="철근단면적"/>
      <sheetName val="CODE"/>
      <sheetName val="하도금액분계"/>
      <sheetName val="대전21토목내역서"/>
      <sheetName val="guard(mac)"/>
      <sheetName val="SLAB&quot;1&quot;"/>
      <sheetName val="WVAL"/>
      <sheetName val="ITEM"/>
      <sheetName val="용산1(해보)"/>
      <sheetName val="방음벽기초(H=4m)"/>
      <sheetName val="3BL공동구 수량"/>
      <sheetName val="합계금액"/>
      <sheetName val="총괄표"/>
      <sheetName val="Macro(전선)"/>
      <sheetName val="hvac(제어동)"/>
      <sheetName val="9GNG운반"/>
      <sheetName val="Front"/>
      <sheetName val="송라터널총괄"/>
      <sheetName val="INPUT(덕도방향-시점)"/>
      <sheetName val="COPING"/>
      <sheetName val="hvac내역서(제어동)"/>
      <sheetName val="참조"/>
      <sheetName val="분석"/>
      <sheetName val="변화치수"/>
      <sheetName val="대포2교접속"/>
      <sheetName val="천방교접속"/>
      <sheetName val="약품공급2"/>
      <sheetName val="실행대비"/>
      <sheetName val="돌담교 상부수량"/>
      <sheetName val="H-PILE수량집계"/>
      <sheetName val="수량-가로등"/>
      <sheetName val="가시설수량"/>
      <sheetName val="우수받이"/>
      <sheetName val="제원및배치"/>
      <sheetName val="돌담교_상부수량"/>
      <sheetName val="해평견적"/>
      <sheetName val="CON기초"/>
      <sheetName val="역T형교대(말뚝기초)"/>
      <sheetName val="SAP_INPUT"/>
      <sheetName val="산근"/>
      <sheetName val="기안"/>
      <sheetName val="1단계"/>
      <sheetName val="테이블"/>
      <sheetName val="토목주소"/>
      <sheetName val="건축"/>
      <sheetName val="기계경비(시간당)"/>
      <sheetName val="램머"/>
      <sheetName val="장비집계"/>
      <sheetName val="자재집계표"/>
      <sheetName val="용수량(생활용수)"/>
      <sheetName val="제-노임"/>
      <sheetName val="제직재"/>
      <sheetName val="신표지1"/>
      <sheetName val="구천"/>
      <sheetName val="평가데이터"/>
      <sheetName val="청천내"/>
      <sheetName val="산출금액내역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주차구획선수량"/>
      <sheetName val="현장예산"/>
      <sheetName val="예총"/>
      <sheetName val="명세서"/>
      <sheetName val="조경내역서"/>
      <sheetName val="3BL공동구_수량"/>
      <sheetName val="안정검토"/>
      <sheetName val="단면설계"/>
      <sheetName val="공사기본내용입력"/>
      <sheetName val="동원인원"/>
      <sheetName val="설계예산서"/>
      <sheetName val="2공구하도급내역서"/>
      <sheetName val="포장공"/>
      <sheetName val="3.공통공사대비"/>
      <sheetName val="범례표"/>
      <sheetName val="옹벽일반수량"/>
      <sheetName val="품셈집계표"/>
      <sheetName val="연결관암거"/>
      <sheetName val="현장경비"/>
      <sheetName val="방배동내역(리라)"/>
      <sheetName val="건축공사집계표"/>
      <sheetName val="방배동내역 (총괄)"/>
      <sheetName val="부대공사총괄"/>
      <sheetName val="한강운반비"/>
      <sheetName val="신우"/>
      <sheetName val="원본(갑지)"/>
      <sheetName val="단열-자재"/>
      <sheetName val="공제수량총집계표"/>
      <sheetName val="임금단가"/>
      <sheetName val="총투입계"/>
      <sheetName val="대창(함평)"/>
      <sheetName val="대창(함평)-창열"/>
      <sheetName val="원가"/>
      <sheetName val="연습"/>
      <sheetName val="Sheet5"/>
      <sheetName val="견적"/>
      <sheetName val="조명율표"/>
      <sheetName val="수량3"/>
      <sheetName val="골재산출"/>
      <sheetName val="바닥판"/>
      <sheetName val="입력DATA"/>
      <sheetName val="흥양2교토공집계표"/>
      <sheetName val="토공"/>
      <sheetName val="COMPARISON TABLE"/>
      <sheetName val="crude.SLAB RE-bar"/>
      <sheetName val="CRUDE RE-bar"/>
      <sheetName val="부대공Ⅱ"/>
      <sheetName val="총집계"/>
      <sheetName val="보온자재단가표"/>
      <sheetName val="물량표S"/>
      <sheetName val="PAINT"/>
      <sheetName val="SUMMARY"/>
      <sheetName val="물량표"/>
      <sheetName val="Macro1"/>
      <sheetName val="예산대비"/>
      <sheetName val="지장물C"/>
      <sheetName val="법면"/>
      <sheetName val="구조물공"/>
      <sheetName val="중기일위대가"/>
      <sheetName val="배수공1"/>
      <sheetName val="전체"/>
      <sheetName val="공통가설"/>
      <sheetName val="본체"/>
      <sheetName val="TYPE-A"/>
      <sheetName val="1.설계기준"/>
      <sheetName val="기기리스트"/>
      <sheetName val="sw1"/>
      <sheetName val="W3단면"/>
      <sheetName val="설직재-1"/>
      <sheetName val="관리,공감"/>
      <sheetName val="업체별기성내역"/>
      <sheetName val="물량표(신)"/>
      <sheetName val="안산기계장치"/>
      <sheetName val="가로등내역서"/>
      <sheetName val="내력서"/>
      <sheetName val="배수통관(좌)"/>
      <sheetName val="토목품셈"/>
      <sheetName val="음료실행"/>
      <sheetName val="안정계산"/>
      <sheetName val="단면검토"/>
      <sheetName val="신규 수주분(사용자 정의)"/>
      <sheetName val="DATA2000"/>
      <sheetName val="역T형"/>
      <sheetName val="하수급견적대비"/>
      <sheetName val="일반부표"/>
      <sheetName val="설계예산"/>
      <sheetName val="교각계산"/>
      <sheetName val="손익분석"/>
      <sheetName val="연령현황"/>
      <sheetName val="99노임기준"/>
      <sheetName val="일위대가(건축)"/>
      <sheetName val="20관리비율"/>
      <sheetName val="세목전체"/>
      <sheetName val="좌측"/>
      <sheetName val="WORK"/>
      <sheetName val="1.2.1 마루높이결정"/>
      <sheetName val="갑지(추정)"/>
      <sheetName val="개산공사비"/>
      <sheetName val="3.하중산정4.지지력"/>
      <sheetName val="표지 (2)"/>
      <sheetName val="일위대가(계측기설치)"/>
      <sheetName val="단가산출서1"/>
      <sheetName val="토적계산서"/>
      <sheetName val="2.입력sheet"/>
      <sheetName val="마산방향철근집계"/>
      <sheetName val="DATA 입력란"/>
      <sheetName val="CPM챠트"/>
      <sheetName val="H-pile(298x299)"/>
      <sheetName val="H-pile(250x250)"/>
      <sheetName val="총괄내역서"/>
      <sheetName val="1.우편집중내역서"/>
      <sheetName val="물가자료"/>
      <sheetName val="2.가정단면"/>
      <sheetName val="원가계산서"/>
      <sheetName val="수입"/>
      <sheetName val="조경"/>
      <sheetName val="SILICATE"/>
      <sheetName val="TB-내역서"/>
      <sheetName val="시설물기초"/>
      <sheetName val="뚝토공"/>
      <sheetName val="UEC영화관본공사내역"/>
      <sheetName val="대운산출"/>
      <sheetName val="정렬"/>
      <sheetName val="금융비용"/>
      <sheetName val="토공총괄집계"/>
      <sheetName val="건축공사"/>
      <sheetName val="지주목시비량산출서"/>
      <sheetName val="일반공사"/>
      <sheetName val="원하도급내역서(당초)"/>
      <sheetName val="견적서"/>
      <sheetName val="배수공"/>
      <sheetName val="조작대(1연)"/>
      <sheetName val="내역표지"/>
      <sheetName val="&lt;목록&gt;"/>
      <sheetName val="직공비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산근(PE,300)"/>
      <sheetName val="특2호부관하천산근"/>
      <sheetName val="특2호하천산근"/>
      <sheetName val="2.2 S-Curve"/>
      <sheetName val="일위대가목차"/>
      <sheetName val="PAD TR보호대기초"/>
      <sheetName val="가로등기초"/>
      <sheetName val="전력"/>
      <sheetName val="CTG"/>
      <sheetName val="소비자가"/>
      <sheetName val="중기손료"/>
      <sheetName val="설계명세서"/>
      <sheetName val="#3_일위대가목록"/>
      <sheetName val="차수공개요"/>
      <sheetName val="공사비산출내역"/>
      <sheetName val="당초"/>
      <sheetName val="PIPING"/>
      <sheetName val="#2_일위대가목록"/>
      <sheetName val="중기"/>
      <sheetName val="DB"/>
      <sheetName val="일위대가표(유단가)"/>
      <sheetName val="6PILE__(돌출)1"/>
      <sheetName val="내역서_1"/>
      <sheetName val="1_설계조건1"/>
      <sheetName val="Thuc thanh"/>
      <sheetName val="연부97-1"/>
      <sheetName val="울산자동제어"/>
      <sheetName val="FAB별"/>
      <sheetName val="6PILE__(돌출)2"/>
      <sheetName val="내역서_2"/>
      <sheetName val="1_설계조건2"/>
      <sheetName val="2_2_S-Curve"/>
      <sheetName val="플랜트_설치"/>
      <sheetName val="설명서_"/>
      <sheetName val="8_PILE__(돌출)"/>
      <sheetName val="3BL공동구_수량1"/>
      <sheetName val="돌담교_상부수량1"/>
      <sheetName val="8_석축단위(H=1_5M)"/>
      <sheetName val="준검_내역서"/>
      <sheetName val="3_공통공사대비"/>
      <sheetName val="방배동내역_(총괄)"/>
      <sheetName val="COMPARISON_TABLE"/>
      <sheetName val="crude_SLAB_RE-bar"/>
      <sheetName val="CRUDE_RE-bar"/>
      <sheetName val="1_설계기준"/>
      <sheetName val="신규_수주분(사용자_정의)"/>
      <sheetName val="단면_(2)"/>
      <sheetName val="골조시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매크로명령어"/>
      <sheetName val="잔수량(작성)"/>
      <sheetName val="총체(자동)"/>
      <sheetName val="3차내역"/>
      <sheetName val="관급자재"/>
      <sheetName val="연부액"/>
      <sheetName val="Module1"/>
      <sheetName val="일위대가"/>
      <sheetName val="여과지동"/>
      <sheetName val="기초자료"/>
      <sheetName val="실행철강하도"/>
      <sheetName val="조명시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지불결의서"/>
      <sheetName val="실행대비표"/>
      <sheetName val="현장관리비"/>
      <sheetName val="중기.유류"/>
      <sheetName val="전도금"/>
      <sheetName val="외상대금"/>
      <sheetName val="노무비"/>
      <sheetName val="하도급"/>
      <sheetName val="요기"/>
      <sheetName val="부여-착공내역"/>
      <sheetName val="집계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프랜트면허"/>
      <sheetName val="토목주소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집계표"/>
      <sheetName val="입찰표지"/>
      <sheetName val="총괄표"/>
      <sheetName val="전체내역서"/>
      <sheetName val="전기내역서"/>
      <sheetName val="단가산출"/>
      <sheetName val="자재수량"/>
      <sheetName val="Sheet1"/>
      <sheetName val="Sheet2"/>
      <sheetName val="Sheet3"/>
      <sheetName val="1공구 건정토건 토공"/>
      <sheetName val="1공구 건정토건 철콘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BID"/>
      <sheetName val="입찰안"/>
      <sheetName val="준검 내역서"/>
      <sheetName val="내역서"/>
      <sheetName val="실행철강하도"/>
      <sheetName val="Qheet6"/>
      <sheetName val="차액보증"/>
      <sheetName val="산출내역서"/>
      <sheetName val="주차구획선수량"/>
      <sheetName val="공사개요"/>
      <sheetName val="갑지"/>
      <sheetName val="자재단가비교표"/>
      <sheetName val="보할"/>
      <sheetName val="하조서"/>
      <sheetName val="한강운반비"/>
      <sheetName val="신공항A-9(원가수정)"/>
      <sheetName val="#REF"/>
      <sheetName val="일위대가"/>
      <sheetName val="개요"/>
      <sheetName val="부대tu"/>
      <sheetName val="도급"/>
      <sheetName val="내역"/>
      <sheetName val="가도공"/>
      <sheetName val="금호"/>
      <sheetName val="목차"/>
      <sheetName val="저"/>
      <sheetName val="정부노임단가"/>
      <sheetName val="서∼군(2)"/>
      <sheetName val="A-4"/>
      <sheetName val="변경비교-을"/>
      <sheetName val="6공구(당초)"/>
      <sheetName val="품의서"/>
      <sheetName val="데리네이타현황"/>
      <sheetName val="재개발"/>
      <sheetName val="SP-B1"/>
      <sheetName val="SG"/>
      <sheetName val="낙찰표"/>
      <sheetName val="2.대외공문"/>
      <sheetName val="후다내역"/>
      <sheetName val="노임단가"/>
      <sheetName val="소야공정계획표"/>
      <sheetName val="기초코드"/>
      <sheetName val="토적집계"/>
      <sheetName val="98NS-N"/>
      <sheetName val="설계예산서"/>
      <sheetName val="을"/>
      <sheetName val="대로근거"/>
      <sheetName val="총괄-1"/>
      <sheetName val="공업용수관로"/>
      <sheetName val="입적표"/>
      <sheetName val="1.수인터널"/>
      <sheetName val="45,46"/>
      <sheetName val="SANTOGO"/>
      <sheetName val="일위대가표"/>
      <sheetName val="실행대비"/>
      <sheetName val="부대내역"/>
      <sheetName val="설계"/>
      <sheetName val="건축내역"/>
      <sheetName val="공통가설"/>
      <sheetName val="일위(토목)"/>
      <sheetName val="6PILE  (돌출)"/>
      <sheetName val="토목주소"/>
      <sheetName val="98지급계획"/>
      <sheetName val="대비"/>
      <sheetName val="시공여유율"/>
      <sheetName val="단가산출서"/>
      <sheetName val="DATA"/>
      <sheetName val="전기공사"/>
      <sheetName val="원형1호맨홀토공수량"/>
      <sheetName val="갑지(추정)"/>
      <sheetName val="자재단가"/>
      <sheetName val="연결임시"/>
      <sheetName val="0.0ControlSheet"/>
      <sheetName val="0.1keyAssumption"/>
      <sheetName val="실행내역"/>
      <sheetName val="Total"/>
      <sheetName val="물가시세"/>
      <sheetName val="횡배수관토공수량"/>
      <sheetName val="내역(최종본4.5)"/>
      <sheetName val="접속도로1"/>
      <sheetName val="지주설치제원"/>
      <sheetName val="초기화면"/>
      <sheetName val="2000년1차"/>
      <sheetName val="특수선일위대가"/>
      <sheetName val="건축내역서"/>
      <sheetName val="단가비교표"/>
      <sheetName val="입력시트"/>
      <sheetName val="결과조달"/>
      <sheetName val="AS포장복구 "/>
      <sheetName val="Dae_Jiju"/>
      <sheetName val="Sikje_ingun"/>
      <sheetName val="TREE_D"/>
      <sheetName val="eq_data"/>
      <sheetName val="기본단가"/>
      <sheetName val="설 계"/>
      <sheetName val="경비"/>
      <sheetName val="장비집계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준검_내역서"/>
      <sheetName val="중로근거"/>
      <sheetName val="준공조서갑지"/>
      <sheetName val="실행내역서"/>
      <sheetName val="입출재고현황 (2)"/>
      <sheetName val="수문일1"/>
      <sheetName val="을지"/>
      <sheetName val="가시설"/>
      <sheetName val="시화점실행"/>
      <sheetName val="흥양2교토공집계표"/>
      <sheetName val="입찰품의서"/>
      <sheetName val="인건-측정"/>
      <sheetName val="단"/>
      <sheetName val="3차준공"/>
      <sheetName val="현장관리"/>
      <sheetName val="토공사"/>
      <sheetName val="원본(갑지)"/>
      <sheetName val="DATE"/>
      <sheetName val="N賃率-職"/>
      <sheetName val="수로단위수량"/>
      <sheetName val="공사비총괄표"/>
      <sheetName val="토사(PE)"/>
      <sheetName val="배수통관(좌)"/>
      <sheetName val="공문(신)"/>
      <sheetName val="전체_1설계"/>
      <sheetName val="공제구간조서"/>
      <sheetName val="ELECTRIC"/>
      <sheetName val="A-7-1LINE(수량)"/>
      <sheetName val="Sheet1 (2)"/>
      <sheetName val="상-교대(A1-A2)"/>
      <sheetName val="기성신청"/>
      <sheetName val="하수급견적대비"/>
      <sheetName val="전기일위대가"/>
      <sheetName val="노임"/>
      <sheetName val="대치판정"/>
      <sheetName val="증감대비"/>
      <sheetName val="일위대가(가설)"/>
      <sheetName val="BJJIN"/>
      <sheetName val="총괄내역서"/>
      <sheetName val="노임이"/>
      <sheetName val="강교(Sub)"/>
      <sheetName val="ABUT수량-A1"/>
      <sheetName val="96보완계획7.12"/>
      <sheetName val="위치조서"/>
      <sheetName val="맨홀수량"/>
      <sheetName val="광산내역"/>
      <sheetName val="몰탈재료산출"/>
      <sheetName val="여과지동"/>
      <sheetName val="기초자료"/>
      <sheetName val="세금자료"/>
      <sheetName val="기계내역"/>
      <sheetName val="충주"/>
      <sheetName val="표지"/>
      <sheetName val="9GNG운반"/>
      <sheetName val="MOTOR"/>
      <sheetName val="4)유동표"/>
      <sheetName val="설계서"/>
      <sheetName val="예산서"/>
      <sheetName val="총공사비"/>
      <sheetName val="배관단가조사서"/>
      <sheetName val="4.내진설계"/>
      <sheetName val="2000년하반기"/>
      <sheetName val="type-F"/>
      <sheetName val="1.취수장"/>
      <sheetName val="TYPE-A"/>
      <sheetName val="단면가정"/>
      <sheetName val="설계조건"/>
      <sheetName val="부재력정리"/>
      <sheetName val="98수문일위"/>
      <sheetName val=" 총괄표"/>
      <sheetName val="배수내역"/>
      <sheetName val="토공(우물통,기타) "/>
      <sheetName val="팔당터널(1공구)"/>
      <sheetName val="BSD (2)"/>
      <sheetName val="97년 추정"/>
      <sheetName val="수량산출"/>
      <sheetName val="1_수인터널"/>
      <sheetName val="6PILE__(돌출)"/>
      <sheetName val="2_대외공문"/>
      <sheetName val="설_계"/>
      <sheetName val="AS포장복구_"/>
      <sheetName val="전신"/>
      <sheetName val="수량조서"/>
      <sheetName val="단가조사"/>
      <sheetName val="s"/>
      <sheetName val="간접비"/>
      <sheetName val="집계"/>
      <sheetName val="날개벽(시점좌측)"/>
      <sheetName val="APT"/>
      <sheetName val="부하(성남)"/>
      <sheetName val="부하계산서"/>
      <sheetName val="손익현황"/>
      <sheetName val="현황CODE"/>
      <sheetName val="교대(A1)"/>
      <sheetName val="전신환매도율"/>
      <sheetName val="구천"/>
      <sheetName val="자재"/>
      <sheetName val="수량3"/>
      <sheetName val="1. 설계조건 2.단면가정 3. 하중계산"/>
      <sheetName val="DATA 입력란"/>
      <sheetName val="투찰(하수)"/>
      <sheetName val="관일"/>
      <sheetName val="조명시설"/>
      <sheetName val="현장관리비 산출내역"/>
      <sheetName val="프랜트면허"/>
      <sheetName val="직노"/>
      <sheetName val="금액내역서"/>
      <sheetName val="물량표"/>
      <sheetName val="공사"/>
      <sheetName val="설계예산"/>
      <sheetName val="wall"/>
      <sheetName val="설직재-1"/>
      <sheetName val="I一般比"/>
      <sheetName val="6호기"/>
      <sheetName val="수자재단위당"/>
      <sheetName val="일위대가(1)"/>
      <sheetName val="가격조사서"/>
      <sheetName val="자재목록"/>
      <sheetName val="중기목록"/>
      <sheetName val="단가목록"/>
      <sheetName val="일위목록"/>
      <sheetName val="노임목록"/>
      <sheetName val="EQUIP-H"/>
      <sheetName val="교각계산"/>
      <sheetName val="부대입찰 내역서"/>
      <sheetName val="전차선로 물량표"/>
      <sheetName val="공통(20-91)"/>
      <sheetName val="교각1"/>
      <sheetName val="공종별산출내역서"/>
      <sheetName val="단가"/>
      <sheetName val="최초침전지집계표"/>
      <sheetName val="철거산출근거"/>
      <sheetName val="일위대가(계측기설치)"/>
      <sheetName val="코드표"/>
      <sheetName val="공사비예산서(토목분)"/>
      <sheetName val="토목내역"/>
      <sheetName val="관급"/>
      <sheetName val="nys"/>
      <sheetName val="골조시행"/>
      <sheetName val="제잡비.xls"/>
      <sheetName val="3BL공동구 수량"/>
      <sheetName val="적용대가"/>
      <sheetName val="인건비 "/>
      <sheetName val="현대물량"/>
      <sheetName val="원가계산서"/>
      <sheetName val="자재집계표"/>
      <sheetName val="명단"/>
      <sheetName val="CONCRETE"/>
      <sheetName val="Front"/>
      <sheetName val="증감내역서"/>
      <sheetName val="2000전체분"/>
      <sheetName val="전기단가조사서"/>
      <sheetName val="자재일람"/>
      <sheetName val="STAND20"/>
      <sheetName val="경영혁신본부"/>
      <sheetName val="설계명세서"/>
      <sheetName val="예산M6-B"/>
      <sheetName val="AB자재단가"/>
      <sheetName val="상세산출"/>
      <sheetName val="적현로"/>
      <sheetName val="견적서"/>
      <sheetName val="산출내역서집계표"/>
      <sheetName val="2.고용보험료산출근거"/>
      <sheetName val="원가계산 (2)"/>
      <sheetName val="포장공자재집계표"/>
      <sheetName val="Eq. Mobilization"/>
      <sheetName val="신대방33(적용)"/>
      <sheetName val="포장단면별단위수량"/>
      <sheetName val="마산방향"/>
      <sheetName val="진주방향"/>
      <sheetName val="설계내역서"/>
      <sheetName val="Type(123)"/>
      <sheetName val="TOT"/>
      <sheetName val="건축집계"/>
      <sheetName val="현장관리비"/>
      <sheetName val="TB-내역서"/>
      <sheetName val="실행내역서 "/>
      <sheetName val="경영상태"/>
      <sheetName val="가로등내역서"/>
      <sheetName val="전라자금"/>
      <sheetName val="b_yesan"/>
      <sheetName val="현장별계약현황('98.10.31)"/>
      <sheetName val="구의33고"/>
      <sheetName val="세부내역"/>
      <sheetName val="도급b_balju"/>
      <sheetName val="원가서"/>
      <sheetName val="200"/>
      <sheetName val="중기일위대가"/>
      <sheetName val="실행간접비용"/>
      <sheetName val="보고"/>
      <sheetName val="J直材4"/>
      <sheetName val="노무비"/>
      <sheetName val="인건비"/>
      <sheetName val="COPING"/>
      <sheetName val="일위(PN)"/>
      <sheetName val="내역서01"/>
      <sheetName val="1.설계기준"/>
      <sheetName val="수량산출서"/>
      <sheetName val="확약서"/>
      <sheetName val="F4-F7"/>
      <sheetName val="장비당단가 (1)"/>
      <sheetName val="Sheet2 (2)"/>
      <sheetName val="업무"/>
      <sheetName val="내역(최종본4_5)"/>
      <sheetName val="0_0ControlSheet"/>
      <sheetName val="0_1keyAssumption"/>
      <sheetName val="밸브설치"/>
      <sheetName val="TEST1"/>
      <sheetName val="_REF"/>
      <sheetName val="품셈TABLE"/>
      <sheetName val="수량집계표"/>
      <sheetName val="INPUT(덕도방향-시점)"/>
      <sheetName val="경비2내역"/>
      <sheetName val="노원열병합  건축공사기성내역서"/>
      <sheetName val="CPM챠트"/>
      <sheetName val="지우지마"/>
      <sheetName val="토목"/>
      <sheetName val="설계기준"/>
      <sheetName val="내역1"/>
      <sheetName val="횡배수관"/>
      <sheetName val="견적대비표"/>
      <sheetName val="0Title"/>
      <sheetName val="발주설계서(당초)"/>
      <sheetName val="화설내"/>
      <sheetName val="집계표(OPTION)"/>
      <sheetName val="IW-LIST"/>
      <sheetName val="부안일위"/>
      <sheetName val="모래기초"/>
      <sheetName val="입적6-10"/>
      <sheetName val="공량산출서"/>
      <sheetName val="공정표 "/>
      <sheetName val="전체ﾴ엿서"/>
      <sheetName val="1.설계조건"/>
      <sheetName val="음료실행"/>
      <sheetName val="뚝토공"/>
      <sheetName val="Y-WORK"/>
      <sheetName val="연습"/>
      <sheetName val="선정요령"/>
      <sheetName val="건축내역(진해석동)"/>
      <sheetName val="주경기-오배수"/>
      <sheetName val="인사자료총집계"/>
      <sheetName val="콤보박스와 리스트박스의 연결"/>
      <sheetName val="유형처분"/>
      <sheetName val="식재"/>
      <sheetName val="시설물"/>
      <sheetName val="식재출력용"/>
      <sheetName val="유지관리"/>
      <sheetName val="DC-O-4-S(설명서)"/>
      <sheetName val="평균터파기고(1-2,ASP)"/>
      <sheetName val="건축공사"/>
      <sheetName val="종단계산"/>
      <sheetName val="앵커구조계산"/>
      <sheetName val="집 계 표"/>
      <sheetName val="역T형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현황산출서"/>
      <sheetName val="물집"/>
      <sheetName val="단가(반정1교-원주)"/>
      <sheetName val="주요자재단가"/>
      <sheetName val="각형맨홀"/>
      <sheetName val="본공사"/>
      <sheetName val="JUCKEYK"/>
      <sheetName val="S0"/>
      <sheetName val="하중"/>
      <sheetName val="플랜트 설치"/>
      <sheetName val="시중노임단가"/>
      <sheetName val="날개벽"/>
      <sheetName val="VXXXXXXX"/>
      <sheetName val="집계표(수배전제조구매)"/>
      <sheetName val="50-4(2차)"/>
      <sheetName val="S12"/>
      <sheetName val="업무분장"/>
      <sheetName val="국내"/>
      <sheetName val="우석문틀"/>
      <sheetName val="Sheet9"/>
      <sheetName val="지급자재"/>
      <sheetName val="설-원가"/>
      <sheetName val="건축적용원가계산"/>
      <sheetName val="비교1"/>
      <sheetName val="설내역서 "/>
      <sheetName val="산수배수"/>
      <sheetName val="건설성적"/>
      <sheetName val="신우"/>
      <sheetName val="예산내역서"/>
      <sheetName val="배수공"/>
      <sheetName val="별표 "/>
      <sheetName val="내역분기"/>
      <sheetName val="3F"/>
      <sheetName val="부대공Ⅱ"/>
      <sheetName val="맨홀(2호)"/>
      <sheetName val="2.건축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총집계표"/>
      <sheetName val="간지"/>
      <sheetName val="기계경비"/>
      <sheetName val="수입"/>
      <sheetName val="건축-물가변동"/>
      <sheetName val="실행(ALT1)"/>
      <sheetName val="세부내역서"/>
      <sheetName val="총괄"/>
      <sheetName val="base"/>
      <sheetName val="포설list원본"/>
      <sheetName val="공사비산출내역"/>
      <sheetName val="신공항A-;(원가수정)"/>
      <sheetName val="수 량 명 세 서 - 1"/>
      <sheetName val="견적조건"/>
      <sheetName val="CALCULATION"/>
      <sheetName val="차수"/>
      <sheetName val="FB25JN"/>
      <sheetName val="현경"/>
      <sheetName val="기초(1)"/>
      <sheetName val="참조"/>
      <sheetName val="정보"/>
      <sheetName val="8.PILE  (돌출)"/>
      <sheetName val="내   역"/>
      <sheetName val="자금청구"/>
      <sheetName val="프라임 강변역(4,236)"/>
      <sheetName val="機器明細(MC)"/>
      <sheetName val="장비별표(오거보링)(Ø400)(12M)"/>
      <sheetName val="울산자금"/>
      <sheetName val="변경후원본2"/>
      <sheetName val="강북라우터"/>
      <sheetName val="공사분석"/>
      <sheetName val="건집"/>
      <sheetName val="기집"/>
      <sheetName val="토집"/>
      <sheetName val="조집"/>
      <sheetName val="2000년 공정표"/>
      <sheetName val="입찰보고"/>
      <sheetName val="2.교량(신설)"/>
      <sheetName val="5.2코핑"/>
      <sheetName val="덕전리"/>
      <sheetName val="P.M 별"/>
      <sheetName val="산출근거"/>
      <sheetName val="1호맨홀수량산출"/>
      <sheetName val="관련자료입력"/>
      <sheetName val="구조물철거타공정이월"/>
      <sheetName val="철근단면적"/>
      <sheetName val="코드"/>
      <sheetName val="위생기구"/>
      <sheetName val="기계실냉난방"/>
      <sheetName val="데이타"/>
      <sheetName val="전기"/>
      <sheetName val="10동"/>
      <sheetName val="sw1"/>
      <sheetName val="유림골조"/>
      <sheetName val="입찰"/>
      <sheetName val="파이프류"/>
      <sheetName val="사통"/>
      <sheetName val="간접"/>
      <sheetName val="견적을지"/>
      <sheetName val="ITEM"/>
      <sheetName val="수토공단위당"/>
      <sheetName val="구조물터파기수량집계"/>
      <sheetName val="측구터파기공수량집계"/>
      <sheetName val="배수공 시멘트 및 골재량 산출"/>
      <sheetName val="7.PILE  (돌출)"/>
      <sheetName val="예산총괄표"/>
      <sheetName val="재료비"/>
      <sheetName val="대림경상68억"/>
      <sheetName val="일위대가목차"/>
      <sheetName val="DATA 입력부"/>
      <sheetName val="A"/>
      <sheetName val="식재수량표"/>
      <sheetName val="식재일위"/>
      <sheetName val="실행(표지,갑,을)"/>
      <sheetName val="깨기"/>
      <sheetName val="구분자"/>
      <sheetName val="TBN실행"/>
      <sheetName val="지중자재단가"/>
      <sheetName val="본부장"/>
      <sheetName val="현장별"/>
      <sheetName val="마산월령동골조물량변경"/>
      <sheetName val="Mc1"/>
      <sheetName val="설계변경내역서"/>
      <sheetName val="원가계산"/>
      <sheetName val="남양내역"/>
      <sheetName val="직공비"/>
      <sheetName val="NOMUBI"/>
      <sheetName val="벽체면적당일위대가"/>
      <sheetName val="작성기준"/>
      <sheetName val="샘플표지"/>
      <sheetName val="남양시작동010313100%"/>
      <sheetName val="CIP 공사"/>
      <sheetName val="5사남"/>
      <sheetName val="적용토목"/>
      <sheetName val="식재인부"/>
      <sheetName val="평자재단가"/>
      <sheetName val="내역서(전기)"/>
      <sheetName val="INPUT"/>
      <sheetName val="database"/>
      <sheetName val="공통가설공사"/>
      <sheetName val="대우"/>
      <sheetName val="1맨AO"/>
      <sheetName val="CTEMCOST"/>
      <sheetName val="토량1-1"/>
      <sheetName val="PI"/>
      <sheetName val="견적의뢰서"/>
      <sheetName val="현장일반사항"/>
      <sheetName val="연부97-1"/>
      <sheetName val="갑지1"/>
      <sheetName val="간접경상비"/>
      <sheetName val="경상비"/>
      <sheetName val="1차설계변경내역"/>
      <sheetName val="96노임기준"/>
      <sheetName val="9-1차이내역"/>
      <sheetName val="상호참고자료"/>
      <sheetName val="발주처자료입력"/>
      <sheetName val="회사기본자료"/>
      <sheetName val="하자보증자료"/>
      <sheetName val="기술자관련자료"/>
      <sheetName val="다곡2교"/>
      <sheetName val="표지 (3)"/>
      <sheetName val="표지 (2)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제경비"/>
      <sheetName val="수량집계"/>
      <sheetName val="수량(교각)"/>
      <sheetName val="수량산출(2)"/>
      <sheetName val="단가(동바리)"/>
      <sheetName val="단가(강재운반)"/>
      <sheetName val="추진계획"/>
      <sheetName val="추진실적"/>
      <sheetName val="공정표"/>
      <sheetName val="일수계산"/>
      <sheetName val="터널공기"/>
      <sheetName val="업협(토공,철콘)"/>
      <sheetName val="실행예산"/>
      <sheetName val="시방서"/>
      <sheetName val="계약현황"/>
      <sheetName val="견적(토공)"/>
      <sheetName val="견적(철콘)"/>
      <sheetName val="xxxxxx"/>
      <sheetName val="0000"/>
      <sheetName val="현황"/>
      <sheetName val="철콘"/>
      <sheetName val="laroux"/>
      <sheetName val="도급예정1199"/>
      <sheetName val="외주대비"/>
      <sheetName val="수정실행"/>
      <sheetName val="마감사양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원가계산서"/>
      <sheetName val="DANGA"/>
      <sheetName val="실행철강하도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공내역"/>
      <sheetName val="공잡비"/>
      <sheetName val="20청천덕평"/>
      <sheetName val="20청천잡"/>
      <sheetName val="2000전체분"/>
      <sheetName val="2000전체잡비"/>
      <sheetName val="2000년1차"/>
      <sheetName val="2000년1차잡비"/>
      <sheetName val="신규단가"/>
      <sheetName val="단가리스트"/>
      <sheetName val="입력"/>
      <sheetName val="Sheet1"/>
      <sheetName val="STANDARD"/>
      <sheetName val="자재단가"/>
      <sheetName val="터파기및재료"/>
      <sheetName val="집계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기성부분조서(내역서)"/>
      <sheetName val="내역서"/>
      <sheetName val="집계표"/>
      <sheetName val="laroux"/>
      <sheetName val="R.C관제작재료표"/>
      <sheetName val="주민세법인"/>
      <sheetName val="구조물시공현황"/>
      <sheetName val="사진대지"/>
      <sheetName val="법면구배조정"/>
      <sheetName val="공람"/>
      <sheetName val="공람(이름)"/>
      <sheetName val="부대내역"/>
      <sheetName val="입찰안"/>
      <sheetName val="기성내역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Sheet3"/>
      <sheetName val="재료"/>
      <sheetName val="2000년1차"/>
      <sheetName val="표지"/>
      <sheetName val="저장소"/>
      <sheetName val="내역집계"/>
      <sheetName val="준검 내역서"/>
      <sheetName val="교량하부공"/>
      <sheetName val="하부철근수량"/>
      <sheetName val="노무비단가"/>
      <sheetName val="기준액"/>
      <sheetName val="제출내역 (2)"/>
      <sheetName val="4.자재비(총괄)"/>
      <sheetName val="설직재-1"/>
      <sheetName val="설계명세서"/>
      <sheetName val="토사(PE)"/>
      <sheetName val="을지"/>
      <sheetName val="문10"/>
      <sheetName val="중기조종사 단위단가"/>
      <sheetName val="수량산출내역1115"/>
      <sheetName val="터파기및재료"/>
      <sheetName val="건축내역"/>
      <sheetName val="부대tu"/>
      <sheetName val="일위대가표"/>
      <sheetName val="입력자료(노무비)"/>
      <sheetName val="기계경비단가"/>
      <sheetName val="내역"/>
      <sheetName val="연결임시"/>
      <sheetName val="지급자재"/>
      <sheetName val="금광1터널"/>
      <sheetName val="1-11조직표"/>
      <sheetName val="#REF"/>
      <sheetName val="Sheet2"/>
      <sheetName val="기초자료"/>
      <sheetName val="3.하중계산"/>
      <sheetName val="1.설계조건"/>
      <sheetName val="DATE"/>
      <sheetName val="교각"/>
      <sheetName val="기계경비"/>
      <sheetName val="노임"/>
      <sheetName val="일반자재"/>
      <sheetName val="배수공"/>
      <sheetName val="데리네이타현황"/>
      <sheetName val="경산"/>
      <sheetName val="구조물공"/>
      <sheetName val="부대공"/>
      <sheetName val="토공"/>
      <sheetName val="포장공"/>
      <sheetName val="1.취수장"/>
      <sheetName val="직영2"/>
      <sheetName val="3.2갑지"/>
      <sheetName val="산근"/>
      <sheetName val="일위대가"/>
      <sheetName val="공사비집계"/>
      <sheetName val="I一般比"/>
      <sheetName val="N賃率-職"/>
      <sheetName val="상세"/>
      <sheetName val="관급_File"/>
      <sheetName val="(3.품질관리 시험 총괄표)"/>
      <sheetName val="산출"/>
      <sheetName val="소방"/>
      <sheetName val="국산화"/>
      <sheetName val="DATA"/>
      <sheetName val="데이타"/>
      <sheetName val="효명0010"/>
      <sheetName val="Tool"/>
      <sheetName val="그림"/>
      <sheetName val="교대"/>
      <sheetName val="기경집계"/>
      <sheetName val="토공 total"/>
      <sheetName val="기흥하도용"/>
      <sheetName val="식재인부"/>
      <sheetName val="단가비교표"/>
      <sheetName val="6공구(당초)"/>
      <sheetName val="토공산근"/>
      <sheetName val="코드표"/>
      <sheetName val="조건표"/>
      <sheetName val="NYS"/>
      <sheetName val="TOTAL_BOQ"/>
      <sheetName val="보험료산출"/>
      <sheetName val="J"/>
      <sheetName val="산출내역(4월)"/>
      <sheetName val="산출내역(5월) (2)"/>
      <sheetName val="감액총괄표"/>
      <sheetName val="기존단가 (2)"/>
      <sheetName val="소일위대가코드표"/>
      <sheetName val="도근좌표"/>
      <sheetName val="1,2공구원가계산서"/>
      <sheetName val="2공구산출내역"/>
      <sheetName val="1공구산출내역서"/>
      <sheetName val="중기손료"/>
      <sheetName val="기초단가"/>
      <sheetName val="하수급견적대비"/>
      <sheetName val="우수"/>
      <sheetName val="JUCKEYK"/>
      <sheetName val="3.바닥판설계"/>
      <sheetName val="2"/>
      <sheetName val="수로BOX"/>
      <sheetName val="9902"/>
      <sheetName val="주형"/>
      <sheetName val="ABUT수량-A1"/>
      <sheetName val="1.설계기준"/>
      <sheetName val="노임이"/>
      <sheetName val="초기화면"/>
      <sheetName val="예산자료(최종'00,9.27)"/>
      <sheetName val="하중계산"/>
      <sheetName val="INPUT"/>
      <sheetName val="Sheet1 (2)"/>
      <sheetName val="자금청구"/>
      <sheetName val="정거장 설계조건"/>
      <sheetName val="설계내역서"/>
      <sheetName val="공사미수"/>
      <sheetName val="저"/>
      <sheetName val="가로등내역서"/>
      <sheetName val="내역서 "/>
      <sheetName val="집계표(육상)"/>
      <sheetName val="산출-설비"/>
      <sheetName val="전기단가조사서"/>
      <sheetName val="차액보증"/>
      <sheetName val="주안3차A-A"/>
      <sheetName val="단열-자재"/>
      <sheetName val="Total"/>
      <sheetName val="건축집계"/>
      <sheetName val="P-산#1-1(WOWA1)"/>
      <sheetName val="6PILE  (돌출)"/>
      <sheetName val="예정(3)"/>
      <sheetName val="01"/>
      <sheetName val="99총공사내역서"/>
      <sheetName val="BID"/>
      <sheetName val="약품공급2"/>
      <sheetName val="바닥판"/>
      <sheetName val="입력DATA"/>
      <sheetName val="철근량"/>
      <sheetName val="설계예산"/>
      <sheetName val="입상내역"/>
      <sheetName val="SLAB&quot;1&quot;"/>
      <sheetName val="조명시설"/>
      <sheetName val="2호맨홀공제수량"/>
      <sheetName val="2000전체분"/>
      <sheetName val="공사비"/>
      <sheetName val="인원계획"/>
      <sheetName val="노임단가"/>
      <sheetName val="직노"/>
      <sheetName val="상-교대(A1-A2)"/>
      <sheetName val="7기초"/>
      <sheetName val="연습장소"/>
      <sheetName val="플랜트 설치"/>
      <sheetName val="토공(우물통,기타) "/>
      <sheetName val="교대(A1)"/>
      <sheetName val="임시전기공사설계서"/>
      <sheetName val="남평내역"/>
      <sheetName val="9509"/>
      <sheetName val="변경현황"/>
      <sheetName val="공사비총괄표"/>
      <sheetName val="Sheet1"/>
      <sheetName val="조경일람"/>
      <sheetName val="국내조달(통합-1)"/>
      <sheetName val="예산변경사항"/>
      <sheetName val="현장경비"/>
      <sheetName val="수량"/>
      <sheetName val="노임,재료비"/>
      <sheetName val="도급"/>
      <sheetName val="70%"/>
      <sheetName val="wall"/>
      <sheetName val="인부노임"/>
      <sheetName val="인건비(10)"/>
      <sheetName val="106C0300"/>
      <sheetName val="산출내역서"/>
      <sheetName val="원가계산"/>
      <sheetName val="원가계산 (2)"/>
      <sheetName val="구역화물"/>
      <sheetName val="단위목록"/>
      <sheetName val="시험비"/>
      <sheetName val="일위대가목록"/>
      <sheetName val="자재단가"/>
      <sheetName val="기계경비목록"/>
      <sheetName val="내역전기"/>
      <sheetName val="기성내역1"/>
      <sheetName val="기초일위"/>
      <sheetName val="시설일위"/>
      <sheetName val="조명일위"/>
      <sheetName val="중동상가"/>
      <sheetName val="401"/>
      <sheetName val="내역서2안"/>
      <sheetName val="단가조사"/>
      <sheetName val="단가일람"/>
      <sheetName val="2000.11월설계내역"/>
      <sheetName val="6호기"/>
      <sheetName val="안전보건교육"/>
      <sheetName val="공사설계서"/>
      <sheetName val="노무단가"/>
      <sheetName val="편입용지조서"/>
      <sheetName val="동해title"/>
      <sheetName val="중기솔뇨"/>
      <sheetName val="석축설면"/>
      <sheetName val="조명율표"/>
      <sheetName val="공종"/>
      <sheetName val="97노임단가"/>
      <sheetName val="입력란"/>
      <sheetName val="S.중기사용료"/>
      <sheetName val="초곡1교(일반)"/>
      <sheetName val="기계경비(시간당)"/>
      <sheetName val="램머"/>
      <sheetName val="가은우회도로"/>
      <sheetName val="노원열병합  건축공사기성내역서"/>
      <sheetName val="XL4Poppy"/>
      <sheetName val="NN (2)"/>
      <sheetName val="45,46"/>
      <sheetName val="지수적용공사비내역서"/>
      <sheetName val="일위대가 "/>
      <sheetName val="견적대비표"/>
      <sheetName val="수원역(전체분)설계서"/>
      <sheetName val="맨홀수량"/>
      <sheetName val="노무비"/>
      <sheetName val="내역작성"/>
      <sheetName val="대비"/>
      <sheetName val="부분별자중"/>
      <sheetName val="전기일위대가"/>
      <sheetName val="건축원가"/>
      <sheetName val="98수문일위"/>
      <sheetName val="세골재  T2 변경 현황"/>
      <sheetName val="제경집계"/>
      <sheetName val="효성CB 1P기초"/>
      <sheetName val=" 상부공통집계(총괄)"/>
      <sheetName val="8.PILE  (돌출)"/>
      <sheetName val="식생블럭단위수량"/>
      <sheetName val="토량산출서"/>
      <sheetName val="당초토량산출서"/>
      <sheetName val="H-PILE수량집계"/>
      <sheetName val="총집계표"/>
      <sheetName val="수량집계"/>
      <sheetName val="토공유동표(전체.당초)"/>
      <sheetName val="관리,부대비"/>
      <sheetName val="단가"/>
      <sheetName val="설계내역일위"/>
      <sheetName val="구조물"/>
      <sheetName val="적산산출"/>
      <sheetName val="자재비산출"/>
      <sheetName val="운용비산출"/>
      <sheetName val="화재 탐지 설비"/>
      <sheetName val="간접비계산"/>
      <sheetName val="목교수량집계"/>
      <sheetName val="설계변경내역서"/>
      <sheetName val="측량요율"/>
      <sheetName val="49수량"/>
      <sheetName val="48수량"/>
      <sheetName val="22수량"/>
      <sheetName val="실행내역서"/>
      <sheetName val="토목"/>
      <sheetName val="산출근거"/>
      <sheetName val="04상노임"/>
      <sheetName val="유기공정"/>
      <sheetName val="3연box"/>
      <sheetName val="수량산출"/>
      <sheetName val="도장수량(하1)"/>
      <sheetName val="일위단위"/>
      <sheetName val="슬래브"/>
      <sheetName val="세부내역(직접인건비)"/>
      <sheetName val="세부내역(직접경비)"/>
      <sheetName val="장비집계"/>
      <sheetName val="소요자재명세서"/>
      <sheetName val="목재동바리"/>
      <sheetName val="Sheet6"/>
      <sheetName val="기계공사"/>
      <sheetName val="1차증가원가계산"/>
      <sheetName val="일계표"/>
      <sheetName val="파일의이용"/>
      <sheetName val="물집"/>
      <sheetName val="심부구속철근 (용접시)"/>
      <sheetName val="총괄표"/>
      <sheetName val="종현황"/>
      <sheetName val="현금"/>
      <sheetName val="골조시행"/>
      <sheetName val="지질조사"/>
      <sheetName val="내역서-설비"/>
      <sheetName val="구간별"/>
      <sheetName val="경비"/>
      <sheetName val="웅진교-S2"/>
      <sheetName val="수목표준대가"/>
      <sheetName val="실행대비"/>
      <sheetName val="표_재료"/>
      <sheetName val="한강운반비"/>
      <sheetName val="금액"/>
      <sheetName val="하중조건(평상시)"/>
      <sheetName val="견적단가"/>
      <sheetName val="관접합및부설"/>
      <sheetName val="공사개요"/>
      <sheetName val="토공유동표"/>
      <sheetName val="실행"/>
      <sheetName val="내역(중앙)"/>
      <sheetName val="총괄서"/>
      <sheetName val="공양식"/>
      <sheetName val="맨홀접합조서"/>
      <sheetName val="01AC"/>
      <sheetName val="기자재비"/>
      <sheetName val="정산내역서"/>
      <sheetName val="200"/>
      <sheetName val="200-1"/>
      <sheetName val="200-2"/>
      <sheetName val="200-3"/>
      <sheetName val="200(a)"/>
      <sheetName val="200-1 (a)"/>
      <sheetName val="200-3 (a)"/>
      <sheetName val="200(b)"/>
      <sheetName val="200-1 (b)"/>
      <sheetName val="200-3 (b)"/>
      <sheetName val="장비"/>
      <sheetName val="노무"/>
      <sheetName val="Sheet5"/>
      <sheetName val="변수값"/>
      <sheetName val="중기상차"/>
      <sheetName val="AS복구"/>
      <sheetName val="중기터파기"/>
      <sheetName val="기둥(원형)"/>
      <sheetName val="MAT"/>
      <sheetName val="빙축열"/>
      <sheetName val="철거산출근거"/>
      <sheetName val="내역서(교량)전체"/>
      <sheetName val="DI1"/>
      <sheetName val="콘_재료분리(1)"/>
      <sheetName val="JUCK"/>
      <sheetName val="전체내역 (2)"/>
      <sheetName val="공종코드"/>
      <sheetName val="세부내역"/>
      <sheetName val="그레이더"/>
      <sheetName val="제요율표"/>
      <sheetName val="DT"/>
      <sheetName val="로더"/>
      <sheetName val="롤러"/>
      <sheetName val="BH"/>
      <sheetName val="BD"/>
      <sheetName val="BD운반거리"/>
      <sheetName val="디젤파일해머"/>
      <sheetName val="인력터파기품"/>
      <sheetName val="+-"/>
      <sheetName val="조경"/>
      <sheetName val="1호맨홀토공"/>
      <sheetName val="4.전기"/>
      <sheetName val="8설7발"/>
      <sheetName val="일위집계표"/>
      <sheetName val="변경내역"/>
      <sheetName val="배수내역"/>
      <sheetName val="설계조건"/>
      <sheetName val="공사착공계"/>
      <sheetName val="입찰보고"/>
      <sheetName val="안양건축"/>
      <sheetName val="총공사내역서"/>
      <sheetName val="단위중량"/>
      <sheetName val="관구보호몰탈"/>
      <sheetName val="작성방법"/>
      <sheetName val="별첨-기계경비 산출목록"/>
      <sheetName val="흥양2교토공집계표"/>
      <sheetName val="기본단가표"/>
      <sheetName val="순수 기본급"/>
      <sheetName val="횡배수관"/>
      <sheetName val="기타 정보통신공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총괄표"/>
      <sheetName val="투찰"/>
      <sheetName val="투찰 (2)"/>
      <sheetName val="판"/>
      <sheetName val="잡비"/>
      <sheetName val="준비"/>
      <sheetName val="별지"/>
      <sheetName val="부집"/>
      <sheetName val="토공"/>
      <sheetName val="구조물공"/>
      <sheetName val="방수공"/>
      <sheetName val="갑토"/>
      <sheetName val="부토"/>
      <sheetName val="갑구"/>
      <sheetName val="부구"/>
      <sheetName val="갑방"/>
      <sheetName val="부방"/>
      <sheetName val="A-4"/>
      <sheetName val="입찰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일위대가"/>
      <sheetName val="조명시설"/>
    </sheetNames>
    <sheetDataSet>
      <sheetData sheetId="0"/>
      <sheetData sheetId="1"/>
      <sheetData sheetId="2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내역서"/>
      <sheetName val="도급내역서"/>
      <sheetName val="도급(본사보고)"/>
      <sheetName val="실행내역서"/>
      <sheetName val="실행(본사보고)"/>
      <sheetName val="대비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지출결의서"/>
      <sheetName val="청구리스트"/>
      <sheetName val=" 노무비"/>
      <sheetName val="7월-형틀"/>
      <sheetName val="직영노임"/>
      <sheetName val="외주비"/>
      <sheetName val="자재비"/>
      <sheetName val="중기비"/>
      <sheetName val="장비출력"/>
      <sheetName val="경비"/>
      <sheetName val="경비사용(법카)"/>
      <sheetName val="업체계좌"/>
      <sheetName val="Sheet1"/>
      <sheetName val="Sheet2"/>
      <sheetName val="대정-2"/>
      <sheetName val="직영노임 (22-공-경계~~~)"/>
      <sheetName val="일용직명단"/>
      <sheetName val="현장관련업체"/>
      <sheetName val="특고직"/>
      <sheetName val="Sheet5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A3" t="str">
            <v>오정만</v>
          </cell>
          <cell r="B3" t="str">
            <v>직영인부</v>
          </cell>
          <cell r="C3" t="str">
            <v>520205-1057335</v>
          </cell>
          <cell r="D3" t="str">
            <v>충북 영동군 학산면 모산1길 16-14</v>
          </cell>
          <cell r="E3" t="str">
            <v>농협</v>
          </cell>
          <cell r="F3" t="str">
            <v>오정만</v>
          </cell>
          <cell r="G3" t="str">
            <v>302-0809-4379-11</v>
          </cell>
          <cell r="H3">
            <v>120000</v>
          </cell>
          <cell r="I3" t="str">
            <v>010-5334-6133</v>
          </cell>
        </row>
        <row r="3">
          <cell r="K3" t="str">
            <v>29164</v>
          </cell>
        </row>
        <row r="4">
          <cell r="A4" t="str">
            <v>금걸</v>
          </cell>
          <cell r="B4" t="str">
            <v>보통인부</v>
          </cell>
          <cell r="C4" t="str">
            <v>640415-1384716</v>
          </cell>
          <cell r="D4" t="str">
            <v>충북 옥천군 이원면 건진리 630-8</v>
          </cell>
          <cell r="E4" t="str">
            <v>국민</v>
          </cell>
          <cell r="F4" t="str">
            <v>금걸</v>
          </cell>
          <cell r="G4" t="str">
            <v> 405-21-0020-797</v>
          </cell>
          <cell r="H4">
            <v>160000</v>
          </cell>
          <cell r="I4" t="str">
            <v>010-9207-4425</v>
          </cell>
        </row>
        <row r="4">
          <cell r="K4" t="str">
            <v>29061</v>
          </cell>
        </row>
        <row r="5">
          <cell r="A5" t="str">
            <v>주도현</v>
          </cell>
          <cell r="B5" t="str">
            <v>보통인부</v>
          </cell>
          <cell r="C5" t="str">
            <v>990511-1384718</v>
          </cell>
          <cell r="D5" t="str">
            <v> 충북 옥천군 이원면 지탄6길 24</v>
          </cell>
          <cell r="E5" t="str">
            <v>농협</v>
          </cell>
          <cell r="F5" t="str">
            <v>주도현</v>
          </cell>
          <cell r="G5" t="str">
            <v> 351-1021-5063-63</v>
          </cell>
          <cell r="H5">
            <v>120000</v>
          </cell>
          <cell r="I5" t="str">
            <v>010-5402-6851</v>
          </cell>
        </row>
        <row r="5">
          <cell r="K5" t="str">
            <v>29062</v>
          </cell>
        </row>
        <row r="6">
          <cell r="A6" t="str">
            <v>채청기</v>
          </cell>
          <cell r="B6" t="str">
            <v>작업반장</v>
          </cell>
          <cell r="C6" t="str">
            <v>611117-1644319</v>
          </cell>
          <cell r="D6" t="str">
            <v> 충북 영동군 매천1길 11-10</v>
          </cell>
          <cell r="E6" t="str">
            <v>농협</v>
          </cell>
          <cell r="F6" t="str">
            <v>채청기</v>
          </cell>
          <cell r="G6" t="str">
            <v>403063-51-043152</v>
          </cell>
          <cell r="H6">
            <v>200000</v>
          </cell>
          <cell r="I6" t="str">
            <v>010-7357-9166</v>
          </cell>
        </row>
        <row r="7">
          <cell r="A7" t="str">
            <v>채성진</v>
          </cell>
          <cell r="B7" t="str">
            <v>보통인부</v>
          </cell>
          <cell r="C7" t="str">
            <v>930707-1386119</v>
          </cell>
          <cell r="D7" t="str">
            <v> 충북 영동군 영동읍 매천1길 11-10</v>
          </cell>
          <cell r="E7" t="str">
            <v>농협</v>
          </cell>
          <cell r="F7" t="str">
            <v>채성진</v>
          </cell>
          <cell r="G7" t="str">
            <v>356-0214-5208-83</v>
          </cell>
          <cell r="H7">
            <v>140000</v>
          </cell>
          <cell r="I7" t="str">
            <v>010-2842-9171</v>
          </cell>
        </row>
        <row r="7">
          <cell r="K7" t="str">
            <v>29150</v>
          </cell>
        </row>
        <row r="8">
          <cell r="A8" t="str">
            <v>이준호</v>
          </cell>
          <cell r="B8" t="str">
            <v>보통인부</v>
          </cell>
          <cell r="C8" t="str">
            <v>680526-1167726</v>
          </cell>
          <cell r="D8" t="str">
            <v> 충북 영동군 영동읍 성안길 20-7</v>
          </cell>
          <cell r="E8" t="str">
            <v>농협</v>
          </cell>
          <cell r="F8" t="str">
            <v>이준호</v>
          </cell>
          <cell r="G8" t="str">
            <v>356-0927-9268-73</v>
          </cell>
          <cell r="H8">
            <v>160000</v>
          </cell>
          <cell r="I8" t="str">
            <v>010-7324-3090</v>
          </cell>
        </row>
        <row r="8">
          <cell r="K8" t="str">
            <v>29149</v>
          </cell>
        </row>
        <row r="9">
          <cell r="A9" t="str">
            <v>박희석</v>
          </cell>
          <cell r="B9" t="str">
            <v>목공</v>
          </cell>
          <cell r="C9" t="str">
            <v>620320-1386717</v>
          </cell>
          <cell r="D9" t="str">
            <v> 충북 영동군 양강면 남전2안길 4-16</v>
          </cell>
          <cell r="E9" t="str">
            <v>농협</v>
          </cell>
          <cell r="F9" t="str">
            <v>박희석</v>
          </cell>
          <cell r="G9" t="str">
            <v>407023-52-023453</v>
          </cell>
          <cell r="H9">
            <v>180000</v>
          </cell>
          <cell r="I9" t="str">
            <v>010-3033-5024</v>
          </cell>
        </row>
        <row r="9">
          <cell r="K9" t="str">
            <v>29155</v>
          </cell>
        </row>
        <row r="10">
          <cell r="A10" t="str">
            <v>박희원</v>
          </cell>
          <cell r="B10" t="str">
            <v>목공</v>
          </cell>
          <cell r="C10" t="str">
            <v>591208-1386711</v>
          </cell>
          <cell r="D10" t="str">
            <v> 충북 영동군 양강면 남전2안길 4-17</v>
          </cell>
          <cell r="E10" t="str">
            <v>농협</v>
          </cell>
          <cell r="F10" t="str">
            <v>박희원</v>
          </cell>
          <cell r="G10" t="str">
            <v>352-1445-5223-63</v>
          </cell>
          <cell r="H10">
            <v>180000</v>
          </cell>
          <cell r="I10" t="str">
            <v>010-5461-8445</v>
          </cell>
        </row>
        <row r="10">
          <cell r="K10" t="str">
            <v>29155</v>
          </cell>
        </row>
        <row r="11">
          <cell r="A11" t="str">
            <v>김주열</v>
          </cell>
          <cell r="B11" t="str">
            <v>철근공</v>
          </cell>
          <cell r="C11" t="str">
            <v>661109-1384112</v>
          </cell>
          <cell r="D11" t="str">
            <v>충북 옥천군 옥천읍 관성로 29</v>
          </cell>
          <cell r="E11" t="str">
            <v>중소기업</v>
          </cell>
          <cell r="F11" t="str">
            <v>김주열</v>
          </cell>
          <cell r="G11" t="str">
            <v>010-5454-1383</v>
          </cell>
          <cell r="H11">
            <v>240000</v>
          </cell>
          <cell r="I11" t="str">
            <v>010-5454-1383</v>
          </cell>
        </row>
        <row r="11">
          <cell r="K11" t="str">
            <v>29039</v>
          </cell>
        </row>
        <row r="12">
          <cell r="A12" t="str">
            <v>김덕환</v>
          </cell>
          <cell r="B12" t="str">
            <v>철근공</v>
          </cell>
          <cell r="C12" t="str">
            <v>671203-1386930</v>
          </cell>
          <cell r="D12" t="str">
            <v>충북 옥천군 옥천읍 신기4길16,a동102</v>
          </cell>
          <cell r="E12" t="str">
            <v>농협</v>
          </cell>
          <cell r="F12" t="str">
            <v>김덕환</v>
          </cell>
          <cell r="G12" t="str">
            <v>356-0961-2797-13</v>
          </cell>
          <cell r="H12">
            <v>200000</v>
          </cell>
          <cell r="I12" t="str">
            <v>010-9422-5581</v>
          </cell>
        </row>
        <row r="13">
          <cell r="B13" t="str">
            <v>철근공</v>
          </cell>
          <cell r="C13" t="str">
            <v>740215-1384136</v>
          </cell>
          <cell r="D13" t="str">
            <v>충북 옥천군 옥천읍 성신로21-10</v>
          </cell>
          <cell r="E13" t="str">
            <v>농협</v>
          </cell>
        </row>
        <row r="13">
          <cell r="G13" t="str">
            <v>317-02-252767</v>
          </cell>
          <cell r="H13">
            <v>240000</v>
          </cell>
          <cell r="I13" t="str">
            <v>010-4569-4810</v>
          </cell>
        </row>
        <row r="13">
          <cell r="K13" t="str">
            <v>29048</v>
          </cell>
          <cell r="L13" t="str">
            <v>김동진</v>
          </cell>
        </row>
        <row r="14">
          <cell r="A14" t="str">
            <v>이영철</v>
          </cell>
          <cell r="B14" t="str">
            <v>철근공</v>
          </cell>
          <cell r="C14" t="str">
            <v>650222-1384139</v>
          </cell>
          <cell r="D14" t="str">
            <v>충북 옥천군 옥천읍 가화3길18,101동105호</v>
          </cell>
          <cell r="E14" t="str">
            <v>농협</v>
          </cell>
          <cell r="F14" t="str">
            <v>이영철</v>
          </cell>
          <cell r="G14" t="str">
            <v>317-12-395296</v>
          </cell>
          <cell r="H14">
            <v>240000</v>
          </cell>
          <cell r="I14" t="str">
            <v>010-5405-3976</v>
          </cell>
        </row>
        <row r="14">
          <cell r="K14" t="str">
            <v>29034</v>
          </cell>
        </row>
        <row r="15">
          <cell r="A15" t="str">
            <v>박용옥</v>
          </cell>
          <cell r="B15" t="str">
            <v>철근공</v>
          </cell>
          <cell r="C15" t="str">
            <v>580304-1384211</v>
          </cell>
          <cell r="D15" t="str">
            <v>충북 옥천군 옥천읍 금구리18-2</v>
          </cell>
          <cell r="E15" t="str">
            <v>농협</v>
          </cell>
          <cell r="F15" t="str">
            <v>박용옥</v>
          </cell>
          <cell r="G15" t="str">
            <v>317-12-351368</v>
          </cell>
          <cell r="H15">
            <v>240000</v>
          </cell>
          <cell r="I15" t="str">
            <v>010-6438-1661</v>
          </cell>
        </row>
        <row r="15">
          <cell r="K15" t="str">
            <v>29046</v>
          </cell>
        </row>
        <row r="16">
          <cell r="A16" t="str">
            <v>박종복</v>
          </cell>
          <cell r="B16" t="str">
            <v>철근공</v>
          </cell>
          <cell r="C16" t="str">
            <v>561005-1384211</v>
          </cell>
          <cell r="D16" t="str">
            <v>충북 옥천군 옥천읍 동부로16,102동901</v>
          </cell>
          <cell r="E16" t="str">
            <v>농협</v>
          </cell>
          <cell r="F16" t="str">
            <v>박종복</v>
          </cell>
          <cell r="G16" t="str">
            <v>302-0299-7809-11</v>
          </cell>
          <cell r="H16">
            <v>240000</v>
          </cell>
          <cell r="I16" t="str">
            <v>010-5457-5297</v>
          </cell>
        </row>
        <row r="16">
          <cell r="K16" t="str">
            <v>29039</v>
          </cell>
        </row>
        <row r="17">
          <cell r="A17" t="str">
            <v>김일용</v>
          </cell>
          <cell r="B17" t="str">
            <v>철근공</v>
          </cell>
          <cell r="C17" t="str">
            <v>580211-1403112</v>
          </cell>
          <cell r="D17" t="str">
            <v>충북 옥천군 옥천읍 신기4길18,나동201호</v>
          </cell>
          <cell r="E17" t="str">
            <v>새마을금고</v>
          </cell>
          <cell r="F17" t="str">
            <v>김일용</v>
          </cell>
          <cell r="G17" t="str">
            <v>9003-2149-2059-6</v>
          </cell>
          <cell r="H17">
            <v>200000</v>
          </cell>
          <cell r="I17" t="str">
            <v>010-9439-5026</v>
          </cell>
        </row>
        <row r="17">
          <cell r="K17" t="str">
            <v>29049</v>
          </cell>
        </row>
        <row r="18">
          <cell r="A18" t="str">
            <v>김일호</v>
          </cell>
          <cell r="B18" t="str">
            <v>보통인부</v>
          </cell>
          <cell r="C18" t="str">
            <v>600413-1386324</v>
          </cell>
          <cell r="D18" t="str">
            <v>충북 영동군 황간면 마산리109</v>
          </cell>
          <cell r="E18" t="str">
            <v>농협</v>
          </cell>
          <cell r="F18" t="str">
            <v>김일호</v>
          </cell>
          <cell r="G18" t="str">
            <v>407089-52-142573</v>
          </cell>
          <cell r="H18">
            <v>130000</v>
          </cell>
          <cell r="I18" t="str">
            <v>010-3060-5145</v>
          </cell>
        </row>
        <row r="18">
          <cell r="K18" t="str">
            <v>29114</v>
          </cell>
        </row>
        <row r="19">
          <cell r="A19" t="str">
            <v>정재인</v>
          </cell>
          <cell r="B19" t="str">
            <v>목공</v>
          </cell>
          <cell r="C19" t="str">
            <v>580217-1384115</v>
          </cell>
          <cell r="D19" t="str">
            <v>충북 옥천군 옥천읍 성신로27B동101호</v>
          </cell>
          <cell r="E19" t="str">
            <v>농협</v>
          </cell>
          <cell r="F19" t="str">
            <v>정재인</v>
          </cell>
          <cell r="G19" t="str">
            <v>405010-51-123375</v>
          </cell>
          <cell r="H19">
            <v>200000</v>
          </cell>
          <cell r="I19" t="str">
            <v>010-5493-3436</v>
          </cell>
        </row>
        <row r="20">
          <cell r="A20" t="str">
            <v>정백교</v>
          </cell>
          <cell r="B20" t="str">
            <v>목공</v>
          </cell>
          <cell r="C20" t="str">
            <v>561220-1812524</v>
          </cell>
          <cell r="D20" t="str">
            <v>대전광역시 동구 대동 33-119</v>
          </cell>
          <cell r="E20" t="str">
            <v>국민</v>
          </cell>
          <cell r="F20" t="str">
            <v>정백교</v>
          </cell>
          <cell r="G20" t="str">
            <v>734402-01-012660</v>
          </cell>
          <cell r="H20">
            <v>200000</v>
          </cell>
          <cell r="I20" t="str">
            <v>010-5408-8423</v>
          </cell>
        </row>
        <row r="20">
          <cell r="K20" t="str">
            <v>34657</v>
          </cell>
        </row>
        <row r="21">
          <cell r="A21" t="str">
            <v>공양록</v>
          </cell>
          <cell r="B21" t="str">
            <v>목공</v>
          </cell>
          <cell r="C21" t="str">
            <v>570505-1384112</v>
          </cell>
          <cell r="D21" t="str">
            <v>충북 옥천군 옥천읍 대천557-1   25</v>
          </cell>
          <cell r="E21" t="str">
            <v>국민</v>
          </cell>
          <cell r="F21" t="str">
            <v>공양록</v>
          </cell>
          <cell r="G21" t="str">
            <v>405-21-0588-793</v>
          </cell>
          <cell r="H21">
            <v>200000</v>
          </cell>
          <cell r="I21" t="str">
            <v>010-3456-5927</v>
          </cell>
        </row>
        <row r="22">
          <cell r="A22" t="str">
            <v>이정열</v>
          </cell>
          <cell r="B22" t="str">
            <v>목공</v>
          </cell>
          <cell r="C22" t="str">
            <v>590820-1384819</v>
          </cell>
          <cell r="D22" t="str">
            <v>충북 옥천군 옥천읍 중앙로2길24</v>
          </cell>
          <cell r="E22" t="str">
            <v>농협</v>
          </cell>
          <cell r="F22" t="str">
            <v>이정열</v>
          </cell>
          <cell r="G22" t="str">
            <v>356-1330-1383-03</v>
          </cell>
          <cell r="H22">
            <v>200000</v>
          </cell>
          <cell r="I22" t="str">
            <v>011-464-4388</v>
          </cell>
        </row>
        <row r="22">
          <cell r="K22" t="str">
            <v>29047</v>
          </cell>
        </row>
        <row r="23">
          <cell r="A23" t="str">
            <v>정경섭</v>
          </cell>
          <cell r="B23" t="str">
            <v>목공</v>
          </cell>
          <cell r="C23" t="str">
            <v>580319-1254218</v>
          </cell>
          <cell r="D23" t="str">
            <v>충북 옥천군 동이면 남곡리151</v>
          </cell>
          <cell r="E23" t="str">
            <v>농협</v>
          </cell>
          <cell r="F23" t="str">
            <v>정경섭</v>
          </cell>
          <cell r="G23" t="str">
            <v>173128-52-132419</v>
          </cell>
          <cell r="H23">
            <v>200000</v>
          </cell>
          <cell r="I23" t="str">
            <v>010-8808-1863</v>
          </cell>
        </row>
        <row r="23">
          <cell r="K23" t="str">
            <v>29021</v>
          </cell>
        </row>
        <row r="24">
          <cell r="A24" t="str">
            <v>이종선</v>
          </cell>
          <cell r="B24" t="str">
            <v>목공</v>
          </cell>
          <cell r="C24" t="str">
            <v>620315-1382711</v>
          </cell>
          <cell r="D24" t="str">
            <v>충북 보은군 수한면 차정리99-1</v>
          </cell>
          <cell r="E24" t="str">
            <v>농협</v>
          </cell>
          <cell r="F24" t="str">
            <v>이종선</v>
          </cell>
          <cell r="G24" t="str">
            <v>356-0638-7963-13</v>
          </cell>
          <cell r="H24">
            <v>200000</v>
          </cell>
          <cell r="I24" t="str">
            <v>010-3456-5927</v>
          </cell>
        </row>
        <row r="24">
          <cell r="K24" t="str">
            <v>28919</v>
          </cell>
        </row>
        <row r="25">
          <cell r="A25" t="str">
            <v>황인호</v>
          </cell>
          <cell r="B25" t="str">
            <v>목공</v>
          </cell>
          <cell r="C25" t="str">
            <v>570625-1384117</v>
          </cell>
          <cell r="D25" t="str">
            <v>대전 동구 자양35-14</v>
          </cell>
          <cell r="E25" t="str">
            <v>농협</v>
          </cell>
          <cell r="F25" t="str">
            <v>황인호</v>
          </cell>
          <cell r="G25" t="str">
            <v>356-1420-1868-53</v>
          </cell>
          <cell r="H25">
            <v>200000</v>
          </cell>
          <cell r="I25" t="str">
            <v>010-9874-7747</v>
          </cell>
        </row>
        <row r="26">
          <cell r="A26" t="str">
            <v>공양호</v>
          </cell>
          <cell r="B26" t="str">
            <v>목공</v>
          </cell>
          <cell r="C26" t="str">
            <v>620302-1384112</v>
          </cell>
          <cell r="D26" t="str">
            <v>충북 옥천군 옥천읍 장이1길1005호</v>
          </cell>
          <cell r="E26" t="str">
            <v>농협</v>
          </cell>
          <cell r="F26" t="str">
            <v>공양호</v>
          </cell>
          <cell r="G26" t="str">
            <v>356-1307-5702-93</v>
          </cell>
          <cell r="H26">
            <v>200000</v>
          </cell>
          <cell r="I26" t="str">
            <v>010-5450-2276</v>
          </cell>
        </row>
        <row r="27">
          <cell r="A27" t="str">
            <v>김홍성</v>
          </cell>
          <cell r="B27" t="str">
            <v>목공</v>
          </cell>
          <cell r="C27" t="str">
            <v>490418-1447611</v>
          </cell>
          <cell r="D27" t="str">
            <v>대전 대덕구 대덕대로1601번길40</v>
          </cell>
          <cell r="E27" t="str">
            <v>농협</v>
          </cell>
          <cell r="F27" t="str">
            <v>김홍성</v>
          </cell>
          <cell r="G27" t="str">
            <v>352-1448-3038-13</v>
          </cell>
          <cell r="H27">
            <v>200000</v>
          </cell>
          <cell r="I27" t="str">
            <v>010-5609-4913</v>
          </cell>
        </row>
        <row r="27">
          <cell r="K27" t="str">
            <v>34305</v>
          </cell>
        </row>
        <row r="28">
          <cell r="A28" t="str">
            <v>남상길</v>
          </cell>
          <cell r="B28" t="str">
            <v>목공</v>
          </cell>
          <cell r="C28" t="str">
            <v>550719-1805215</v>
          </cell>
          <cell r="D28" t="str">
            <v>충북 옥천군 옥천읍 서정1길5-40</v>
          </cell>
          <cell r="E28" t="str">
            <v>농협</v>
          </cell>
          <cell r="F28" t="str">
            <v>남상길</v>
          </cell>
          <cell r="G28" t="str">
            <v>356-1314-4411-13</v>
          </cell>
          <cell r="H28">
            <v>200000</v>
          </cell>
          <cell r="I28" t="str">
            <v>010-8826-8939</v>
          </cell>
        </row>
        <row r="28">
          <cell r="K28" t="str">
            <v>29025</v>
          </cell>
        </row>
        <row r="29">
          <cell r="A29" t="str">
            <v>최성환</v>
          </cell>
          <cell r="B29" t="str">
            <v>철근공</v>
          </cell>
          <cell r="C29" t="str">
            <v>660710-1386211</v>
          </cell>
          <cell r="D29" t="str">
            <v>충북 옥천군 옥천읍 삼양로2길 6-4</v>
          </cell>
          <cell r="E29" t="str">
            <v>중소기업</v>
          </cell>
          <cell r="F29" t="str">
            <v>최성환</v>
          </cell>
          <cell r="G29" t="str">
            <v>570-000536-02-026</v>
          </cell>
          <cell r="H29">
            <v>200000</v>
          </cell>
          <cell r="I29" t="str">
            <v>010-6641-6613</v>
          </cell>
        </row>
        <row r="29">
          <cell r="K29" t="str">
            <v>29032</v>
          </cell>
        </row>
        <row r="30">
          <cell r="A30" t="str">
            <v>진수영</v>
          </cell>
          <cell r="B30" t="str">
            <v>철근공</v>
          </cell>
          <cell r="C30" t="str">
            <v>550928-1384216</v>
          </cell>
          <cell r="D30" t="str">
            <v>충북 옥천군 동이면 무산리657</v>
          </cell>
          <cell r="E30" t="str">
            <v>신협</v>
          </cell>
          <cell r="F30" t="str">
            <v>진수영</v>
          </cell>
          <cell r="G30" t="str">
            <v>131-015-480063</v>
          </cell>
          <cell r="H30">
            <v>200000</v>
          </cell>
          <cell r="I30" t="str">
            <v>010-4352-2174</v>
          </cell>
        </row>
        <row r="31">
          <cell r="A31" t="str">
            <v>김종덕</v>
          </cell>
          <cell r="B31" t="str">
            <v>철근공</v>
          </cell>
          <cell r="C31" t="str">
            <v>551120-1449514</v>
          </cell>
          <cell r="D31" t="str">
            <v>대전 광역시 중구 유천동 340-51</v>
          </cell>
          <cell r="E31" t="str">
            <v>국민</v>
          </cell>
          <cell r="F31" t="str">
            <v>김종덕</v>
          </cell>
          <cell r="G31" t="str">
            <v>460001-04-016552</v>
          </cell>
          <cell r="H31">
            <v>200000</v>
          </cell>
          <cell r="I31" t="str">
            <v>010-3418-1669</v>
          </cell>
        </row>
        <row r="32">
          <cell r="A32" t="str">
            <v>김용근</v>
          </cell>
          <cell r="B32" t="str">
            <v>철근공</v>
          </cell>
          <cell r="C32" t="str">
            <v>491010-1403113</v>
          </cell>
          <cell r="D32" t="str">
            <v>충북 옥천군 동이면 무산리658</v>
          </cell>
          <cell r="E32" t="str">
            <v>국민</v>
          </cell>
          <cell r="F32" t="str">
            <v>김용근</v>
          </cell>
          <cell r="G32" t="str">
            <v>740902-93-109270</v>
          </cell>
          <cell r="H32">
            <v>200000</v>
          </cell>
          <cell r="I32" t="str">
            <v>010-5456-3529</v>
          </cell>
        </row>
        <row r="33">
          <cell r="A33" t="str">
            <v>윤진한</v>
          </cell>
          <cell r="B33" t="str">
            <v>석공</v>
          </cell>
          <cell r="C33" t="str">
            <v>760224-1386921</v>
          </cell>
          <cell r="D33" t="str">
            <v>충북 영동군 영동읍 계산리 197-2</v>
          </cell>
          <cell r="E33" t="str">
            <v>농협</v>
          </cell>
          <cell r="F33" t="str">
            <v>윤진한</v>
          </cell>
          <cell r="G33" t="str">
            <v>356-0991-0651-23</v>
          </cell>
          <cell r="H33">
            <v>250000</v>
          </cell>
          <cell r="I33" t="str">
            <v>010-7360-3345</v>
          </cell>
        </row>
        <row r="33">
          <cell r="K33" t="str">
            <v>29139</v>
          </cell>
        </row>
        <row r="34">
          <cell r="A34" t="str">
            <v>권오득</v>
          </cell>
          <cell r="B34" t="str">
            <v>보통인부</v>
          </cell>
          <cell r="C34" t="str">
            <v>640529-1386416</v>
          </cell>
          <cell r="D34" t="str">
            <v>충북영동군추풍령면추풍령로9길10-2</v>
          </cell>
          <cell r="E34" t="str">
            <v>농협</v>
          </cell>
          <cell r="F34" t="str">
            <v>권오득</v>
          </cell>
          <cell r="G34" t="str">
            <v>352-1857-0983-23</v>
          </cell>
          <cell r="H34">
            <v>150000</v>
          </cell>
          <cell r="I34" t="str">
            <v>010-9133-8928</v>
          </cell>
        </row>
        <row r="35">
          <cell r="A35" t="str">
            <v>손석래</v>
          </cell>
          <cell r="B35" t="str">
            <v>보통인부</v>
          </cell>
          <cell r="C35" t="str">
            <v>600404-1386121</v>
          </cell>
          <cell r="D35" t="str">
            <v>충북 영동군 영동읍 새심길18,1004호 조한드림플러스@</v>
          </cell>
          <cell r="E35" t="str">
            <v>농협</v>
          </cell>
          <cell r="F35" t="str">
            <v>손석래</v>
          </cell>
          <cell r="G35" t="str">
            <v>356-1493-9522-63</v>
          </cell>
          <cell r="H35">
            <v>160000</v>
          </cell>
          <cell r="I35" t="str">
            <v>043-744-5228</v>
          </cell>
        </row>
        <row r="35">
          <cell r="K35" t="str">
            <v>29142</v>
          </cell>
        </row>
        <row r="36">
          <cell r="A36" t="str">
            <v>조운규</v>
          </cell>
          <cell r="B36" t="str">
            <v>특별인부</v>
          </cell>
          <cell r="C36" t="str">
            <v>650305-1386131</v>
          </cell>
          <cell r="D36" t="str">
            <v>충북 영동군 영동읍 금동안길 60</v>
          </cell>
          <cell r="E36" t="str">
            <v>우체국</v>
          </cell>
          <cell r="F36" t="str">
            <v>조운규</v>
          </cell>
          <cell r="G36" t="str">
            <v>301515-02-022804</v>
          </cell>
          <cell r="H36">
            <v>170000</v>
          </cell>
          <cell r="I36" t="str">
            <v>010-8343-0468</v>
          </cell>
        </row>
        <row r="36">
          <cell r="K36" t="str">
            <v>29138</v>
          </cell>
        </row>
        <row r="37">
          <cell r="A37" t="str">
            <v>강희종</v>
          </cell>
          <cell r="B37" t="str">
            <v>단순노무자</v>
          </cell>
          <cell r="C37" t="str">
            <v>540612-1400325</v>
          </cell>
          <cell r="D37" t="str">
            <v>충북 영동군 추풍령면 추풍령로5안길8</v>
          </cell>
          <cell r="E37" t="str">
            <v>농협</v>
          </cell>
          <cell r="F37" t="str">
            <v>강희종</v>
          </cell>
          <cell r="G37" t="str">
            <v>351-1142-0210-73</v>
          </cell>
          <cell r="H37">
            <v>130000</v>
          </cell>
          <cell r="I37" t="str">
            <v>010-5028-0656</v>
          </cell>
          <cell r="J37" t="str">
            <v>명장인력</v>
          </cell>
          <cell r="K37" t="str">
            <v>29120</v>
          </cell>
        </row>
        <row r="38">
          <cell r="A38" t="str">
            <v>김기필</v>
          </cell>
          <cell r="B38" t="str">
            <v>단순노무자</v>
          </cell>
          <cell r="C38" t="str">
            <v>611022-1386251</v>
          </cell>
          <cell r="D38" t="str">
            <v>충북 영동군 용산면 금곡3길 19</v>
          </cell>
          <cell r="E38" t="str">
            <v>농협</v>
          </cell>
          <cell r="F38" t="str">
            <v>김기필</v>
          </cell>
          <cell r="G38" t="str">
            <v>351-1142-0210-73</v>
          </cell>
          <cell r="H38">
            <v>150000</v>
          </cell>
          <cell r="I38" t="str">
            <v>010-6428-8990</v>
          </cell>
          <cell r="J38" t="str">
            <v>명장인력</v>
          </cell>
          <cell r="K38" t="str">
            <v>29100</v>
          </cell>
        </row>
        <row r="39">
          <cell r="A39" t="str">
            <v>윤석률</v>
          </cell>
          <cell r="B39" t="str">
            <v>단순노무자</v>
          </cell>
          <cell r="C39" t="str">
            <v>681215-1384614</v>
          </cell>
          <cell r="D39" t="str">
            <v>충북 옥천군 청산면 효목1길 83</v>
          </cell>
          <cell r="E39" t="str">
            <v>농협</v>
          </cell>
          <cell r="F39" t="str">
            <v>윤석률</v>
          </cell>
          <cell r="G39" t="str">
            <v>351-1142-0210-73</v>
          </cell>
          <cell r="H39">
            <v>150000</v>
          </cell>
          <cell r="I39" t="str">
            <v>010-3425-9337</v>
          </cell>
          <cell r="J39" t="str">
            <v>명장인력</v>
          </cell>
          <cell r="K39" t="str">
            <v>29015</v>
          </cell>
        </row>
        <row r="40">
          <cell r="A40" t="str">
            <v>전근성</v>
          </cell>
          <cell r="B40" t="str">
            <v>단순노무자</v>
          </cell>
          <cell r="C40" t="str">
            <v>721105-1386912</v>
          </cell>
          <cell r="D40" t="str">
            <v>충북 영동군 학산면 모정길 78</v>
          </cell>
          <cell r="E40" t="str">
            <v>농협</v>
          </cell>
          <cell r="F40" t="str">
            <v>전근성</v>
          </cell>
          <cell r="G40" t="str">
            <v>351-1142-0210-73</v>
          </cell>
          <cell r="H40">
            <v>150000</v>
          </cell>
          <cell r="I40" t="str">
            <v>010-3405-4114</v>
          </cell>
          <cell r="J40" t="str">
            <v>명장인력</v>
          </cell>
          <cell r="K40" t="str">
            <v>29165</v>
          </cell>
        </row>
        <row r="41">
          <cell r="A41" t="str">
            <v>김병호</v>
          </cell>
          <cell r="B41" t="str">
            <v>철근공</v>
          </cell>
          <cell r="C41" t="str">
            <v>921202-1058619</v>
          </cell>
          <cell r="D41" t="str">
            <v>충북 옥천군 옥천읍 관성로 29</v>
          </cell>
          <cell r="E41" t="str">
            <v>우체국</v>
          </cell>
          <cell r="F41" t="str">
            <v>김병호</v>
          </cell>
          <cell r="G41" t="str">
            <v>300111-02-297282</v>
          </cell>
          <cell r="H41">
            <v>200000</v>
          </cell>
          <cell r="I41" t="str">
            <v>010-4904-9092</v>
          </cell>
        </row>
        <row r="41">
          <cell r="K41" t="str">
            <v>29039</v>
          </cell>
        </row>
        <row r="42">
          <cell r="A42" t="str">
            <v>최동섭</v>
          </cell>
          <cell r="B42" t="str">
            <v>특별인부</v>
          </cell>
          <cell r="C42" t="str">
            <v>670211-1386119</v>
          </cell>
          <cell r="D42" t="str">
            <v>충북 영동군 영동읍 부용7안길7-1</v>
          </cell>
          <cell r="E42" t="str">
            <v>농협</v>
          </cell>
          <cell r="F42" t="str">
            <v>최동섭</v>
          </cell>
          <cell r="G42" t="str">
            <v>173173-52-042958</v>
          </cell>
          <cell r="H42">
            <v>170000</v>
          </cell>
          <cell r="I42" t="str">
            <v>010-4114-2902</v>
          </cell>
        </row>
        <row r="42">
          <cell r="K42" t="str">
            <v>29149</v>
          </cell>
        </row>
        <row r="43">
          <cell r="A43" t="str">
            <v>김영환</v>
          </cell>
          <cell r="B43" t="str">
            <v>보통인부</v>
          </cell>
          <cell r="C43" t="str">
            <v>600925-1386115</v>
          </cell>
          <cell r="D43" t="str">
            <v>충북 영동군 영동읍 계산리 426-1</v>
          </cell>
          <cell r="E43" t="str">
            <v>농협</v>
          </cell>
          <cell r="F43" t="str">
            <v>김영환</v>
          </cell>
          <cell r="G43" t="str">
            <v>302-1601-4630-21</v>
          </cell>
          <cell r="H43">
            <v>130000</v>
          </cell>
        </row>
        <row r="43">
          <cell r="K43" t="str">
            <v>29138</v>
          </cell>
        </row>
        <row r="44">
          <cell r="A44" t="str">
            <v>김명숙</v>
          </cell>
          <cell r="B44" t="str">
            <v>보통인부</v>
          </cell>
          <cell r="C44" t="str">
            <v>660125-2524919</v>
          </cell>
          <cell r="D44" t="str">
            <v>대전 동구 판암동 328방주아파트101-604</v>
          </cell>
          <cell r="E44" t="str">
            <v>농협</v>
          </cell>
          <cell r="F44" t="str">
            <v>김명숙</v>
          </cell>
          <cell r="G44" t="str">
            <v>302-0957-7396-11</v>
          </cell>
          <cell r="H44">
            <v>150000</v>
          </cell>
        </row>
        <row r="45">
          <cell r="A45" t="str">
            <v>이홍성</v>
          </cell>
          <cell r="B45" t="str">
            <v>목공</v>
          </cell>
          <cell r="C45" t="str">
            <v>510520-1384216</v>
          </cell>
          <cell r="D45" t="str">
            <v>충북 옥천 옥천읍 미암리49-1</v>
          </cell>
          <cell r="E45" t="str">
            <v>농협</v>
          </cell>
          <cell r="F45" t="str">
            <v>이홍성</v>
          </cell>
          <cell r="G45" t="str">
            <v>356-1306-8954-13</v>
          </cell>
          <cell r="H45">
            <v>200000</v>
          </cell>
          <cell r="I45" t="str">
            <v>010-5100-7490</v>
          </cell>
        </row>
        <row r="46">
          <cell r="A46" t="str">
            <v>김장곤</v>
          </cell>
          <cell r="B46" t="str">
            <v>목공</v>
          </cell>
          <cell r="C46" t="str">
            <v>611211-1458428</v>
          </cell>
          <cell r="D46" t="str">
            <v>대전광역시 중구 산성동 304-18</v>
          </cell>
          <cell r="E46" t="str">
            <v>농협</v>
          </cell>
          <cell r="F46" t="str">
            <v>김장곤</v>
          </cell>
          <cell r="G46" t="str">
            <v>356-1483-5978-13</v>
          </cell>
          <cell r="H46">
            <v>200000</v>
          </cell>
          <cell r="I46" t="str">
            <v>010-4830-2110</v>
          </cell>
        </row>
        <row r="46">
          <cell r="K46" t="str">
            <v>35054</v>
          </cell>
        </row>
        <row r="47">
          <cell r="A47" t="str">
            <v>김효식</v>
          </cell>
          <cell r="B47" t="str">
            <v>목공</v>
          </cell>
          <cell r="C47" t="str">
            <v>630220-1384116</v>
          </cell>
          <cell r="D47" t="str">
            <v>충북 옥천 옥천읍 송신길 89-1</v>
          </cell>
          <cell r="E47" t="str">
            <v>농협</v>
          </cell>
          <cell r="F47" t="str">
            <v>김효식</v>
          </cell>
          <cell r="G47" t="str">
            <v>356-1306-7504-13</v>
          </cell>
          <cell r="H47">
            <v>200000</v>
          </cell>
          <cell r="I47" t="str">
            <v>010-3448-1889</v>
          </cell>
        </row>
        <row r="48">
          <cell r="A48" t="str">
            <v>김정자</v>
          </cell>
          <cell r="B48" t="str">
            <v>목공</v>
          </cell>
          <cell r="C48" t="str">
            <v>600225-2408313</v>
          </cell>
          <cell r="D48" t="str">
            <v>대전 동구 판암동236주공 508-1302</v>
          </cell>
          <cell r="E48" t="str">
            <v>농협</v>
          </cell>
          <cell r="F48" t="str">
            <v>김정자</v>
          </cell>
          <cell r="G48" t="str">
            <v>302-1299-6426-51</v>
          </cell>
          <cell r="H48">
            <v>150000</v>
          </cell>
          <cell r="I48" t="str">
            <v>010-5402-7460</v>
          </cell>
        </row>
        <row r="49">
          <cell r="A49" t="str">
            <v>이순희</v>
          </cell>
          <cell r="B49" t="str">
            <v>목공</v>
          </cell>
          <cell r="C49" t="str">
            <v>610808-2379713</v>
          </cell>
          <cell r="D49" t="str">
            <v>충북 옥천 옥천읍 마암리22-4은혜연립B동101</v>
          </cell>
          <cell r="E49" t="str">
            <v>농협</v>
          </cell>
          <cell r="F49" t="str">
            <v>이순희</v>
          </cell>
          <cell r="G49" t="str">
            <v>405013-52-039686</v>
          </cell>
          <cell r="H49">
            <v>150000</v>
          </cell>
          <cell r="I49" t="str">
            <v>010-9138-3436</v>
          </cell>
        </row>
        <row r="50">
          <cell r="A50" t="str">
            <v>김태식</v>
          </cell>
          <cell r="B50" t="str">
            <v>목공</v>
          </cell>
          <cell r="C50" t="str">
            <v>551215-1384133</v>
          </cell>
          <cell r="D50" t="str">
            <v>충북옥천 옥천읍문정리 62-1</v>
          </cell>
          <cell r="E50" t="str">
            <v>농협</v>
          </cell>
          <cell r="F50" t="str">
            <v>김태식</v>
          </cell>
          <cell r="G50" t="str">
            <v>302-5458-3411-01</v>
          </cell>
          <cell r="H50">
            <v>200000</v>
          </cell>
          <cell r="I50" t="str">
            <v>010-5458-3411</v>
          </cell>
        </row>
        <row r="51">
          <cell r="A51" t="str">
            <v>유현봉</v>
          </cell>
          <cell r="B51" t="str">
            <v>목공</v>
          </cell>
          <cell r="C51" t="str">
            <v>531210-1384312</v>
          </cell>
          <cell r="D51" t="str">
            <v>충북 옥천 옥천읍 양수로6길4</v>
          </cell>
          <cell r="E51" t="str">
            <v>국민</v>
          </cell>
          <cell r="F51" t="str">
            <v>유현봉</v>
          </cell>
          <cell r="G51" t="str">
            <v>405-24-0081-770</v>
          </cell>
          <cell r="H51">
            <v>200000</v>
          </cell>
          <cell r="I51" t="str">
            <v>010-5427-7937</v>
          </cell>
        </row>
        <row r="52">
          <cell r="A52" t="str">
            <v>신기창</v>
          </cell>
          <cell r="B52" t="str">
            <v>목공</v>
          </cell>
          <cell r="C52" t="str">
            <v>611028-1411611</v>
          </cell>
          <cell r="D52" t="str">
            <v>충북 옥천 옥천읍 성암2길30-1</v>
          </cell>
          <cell r="E52" t="str">
            <v>농협</v>
          </cell>
          <cell r="F52" t="str">
            <v>신기창</v>
          </cell>
          <cell r="G52" t="str">
            <v>356-1479-8602-73</v>
          </cell>
          <cell r="H52">
            <v>200000</v>
          </cell>
          <cell r="I52" t="str">
            <v>010-3893-7198</v>
          </cell>
        </row>
        <row r="53">
          <cell r="A53" t="str">
            <v>김충재</v>
          </cell>
          <cell r="B53" t="str">
            <v>목공</v>
          </cell>
          <cell r="C53" t="str">
            <v>590114-1384121</v>
          </cell>
          <cell r="D53" t="str">
            <v>충북 옥천 옥천읍 금구천길15나동103호</v>
          </cell>
          <cell r="E53" t="str">
            <v>농협</v>
          </cell>
          <cell r="F53" t="str">
            <v>김충재</v>
          </cell>
          <cell r="G53" t="str">
            <v>356-1488-3009-73</v>
          </cell>
          <cell r="H53">
            <v>200000</v>
          </cell>
          <cell r="I53" t="str">
            <v>010-5465-8302</v>
          </cell>
        </row>
        <row r="54">
          <cell r="A54" t="str">
            <v>김정식</v>
          </cell>
          <cell r="B54" t="str">
            <v>목공</v>
          </cell>
          <cell r="C54" t="str">
            <v>760110-1384826</v>
          </cell>
          <cell r="D54" t="str">
            <v>충북 옥천 옥천읍가화3길23</v>
          </cell>
          <cell r="E54" t="str">
            <v>농협</v>
          </cell>
          <cell r="F54" t="str">
            <v>김정식</v>
          </cell>
          <cell r="G54" t="str">
            <v>302-0953-8269-11</v>
          </cell>
          <cell r="H54">
            <v>200000</v>
          </cell>
          <cell r="I54" t="str">
            <v>010-6252-2437</v>
          </cell>
        </row>
        <row r="55">
          <cell r="A55" t="str">
            <v>소세영</v>
          </cell>
          <cell r="B55" t="str">
            <v>철근공</v>
          </cell>
          <cell r="C55" t="str">
            <v>661110-1403017</v>
          </cell>
          <cell r="D55" t="str">
            <v>대전 동구 번동 2길 25(천동)</v>
          </cell>
          <cell r="E55" t="str">
            <v>농협</v>
          </cell>
          <cell r="F55" t="str">
            <v>소세영</v>
          </cell>
          <cell r="G55" t="str">
            <v>351-0883-3616-63</v>
          </cell>
          <cell r="H55">
            <v>200000</v>
          </cell>
          <cell r="I55" t="str">
            <v>010-8859-2729</v>
          </cell>
          <cell r="J55" t="str">
            <v>010-5454-1383</v>
          </cell>
          <cell r="K55" t="str">
            <v>34683</v>
          </cell>
        </row>
        <row r="56">
          <cell r="A56" t="str">
            <v>이영훈</v>
          </cell>
          <cell r="B56" t="str">
            <v>철근공</v>
          </cell>
          <cell r="C56" t="str">
            <v>941126-1055311</v>
          </cell>
          <cell r="D56" t="str">
            <v>서울 영등포구 도신로29길28</v>
          </cell>
          <cell r="E56" t="str">
            <v>중소기업</v>
          </cell>
          <cell r="F56" t="str">
            <v>이영훈</v>
          </cell>
          <cell r="G56" t="str">
            <v>570-020656-01-010</v>
          </cell>
          <cell r="H56">
            <v>200000</v>
          </cell>
          <cell r="I56" t="str">
            <v>010-9358-8464</v>
          </cell>
          <cell r="J56" t="str">
            <v>010-5454-1383</v>
          </cell>
          <cell r="K56" t="str">
            <v>07365</v>
          </cell>
        </row>
        <row r="57">
          <cell r="A57" t="str">
            <v>박길환</v>
          </cell>
          <cell r="B57" t="str">
            <v>철근공</v>
          </cell>
          <cell r="C57" t="str">
            <v>671015-1920528</v>
          </cell>
          <cell r="D57" t="str">
            <v>충북 옥천 옥천읍 중앙로6길8</v>
          </cell>
          <cell r="E57" t="str">
            <v>중소기업</v>
          </cell>
          <cell r="F57" t="str">
            <v>박길환</v>
          </cell>
          <cell r="G57" t="str">
            <v>570-020656-01-010</v>
          </cell>
          <cell r="H57">
            <v>200000</v>
          </cell>
          <cell r="I57" t="str">
            <v>010-4486-7508</v>
          </cell>
          <cell r="J57" t="str">
            <v>010-5454-1383</v>
          </cell>
        </row>
        <row r="58">
          <cell r="A58" t="str">
            <v>원용길</v>
          </cell>
          <cell r="B58" t="str">
            <v>철근공</v>
          </cell>
          <cell r="C58" t="str">
            <v>640220-5141993</v>
          </cell>
          <cell r="D58" t="str">
            <v>재외동포(F-4)</v>
          </cell>
          <cell r="E58" t="str">
            <v>중소기업</v>
          </cell>
          <cell r="F58" t="str">
            <v>원용길</v>
          </cell>
          <cell r="G58" t="str">
            <v>570-020656-01-010</v>
          </cell>
          <cell r="H58">
            <v>200000</v>
          </cell>
          <cell r="I58" t="str">
            <v>010-2293-0638</v>
          </cell>
          <cell r="J58" t="str">
            <v>010-5454-1383</v>
          </cell>
        </row>
        <row r="59">
          <cell r="A59" t="str">
            <v>조갑성</v>
          </cell>
          <cell r="B59" t="str">
            <v>목공</v>
          </cell>
          <cell r="C59" t="str">
            <v>540619-1384810</v>
          </cell>
          <cell r="D59" t="str">
            <v>충북 옥천 옥천읍 문장로2길9</v>
          </cell>
          <cell r="E59" t="str">
            <v>우체국</v>
          </cell>
          <cell r="F59" t="str">
            <v>조갑성</v>
          </cell>
          <cell r="G59" t="str">
            <v>102434-02-170588</v>
          </cell>
          <cell r="H59">
            <v>200000</v>
          </cell>
          <cell r="I59" t="str">
            <v>010-3456-5927</v>
          </cell>
        </row>
        <row r="60">
          <cell r="A60" t="str">
            <v>박준용</v>
          </cell>
          <cell r="B60" t="str">
            <v>보통인부</v>
          </cell>
          <cell r="C60" t="str">
            <v>571003-1386215</v>
          </cell>
          <cell r="D60" t="str">
            <v>충북 영동군 영동읍 중앙로1길18</v>
          </cell>
          <cell r="E60" t="str">
            <v>농협</v>
          </cell>
          <cell r="F60" t="str">
            <v>박준용</v>
          </cell>
          <cell r="G60" t="str">
            <v>407034-52-068141</v>
          </cell>
          <cell r="H60">
            <v>150000</v>
          </cell>
        </row>
        <row r="60">
          <cell r="K60" t="str">
            <v>29145</v>
          </cell>
        </row>
        <row r="61">
          <cell r="A61" t="str">
            <v>백경훈</v>
          </cell>
          <cell r="B61" t="str">
            <v>단순노무자</v>
          </cell>
          <cell r="C61" t="str">
            <v>850202-1386312</v>
          </cell>
          <cell r="D61" t="str">
            <v>충북 영동군 황간면 남성동3길27</v>
          </cell>
        </row>
        <row r="61">
          <cell r="F61" t="str">
            <v>백경훈</v>
          </cell>
        </row>
        <row r="61">
          <cell r="H61">
            <v>170000</v>
          </cell>
        </row>
        <row r="61">
          <cell r="K61" t="str">
            <v>29115</v>
          </cell>
        </row>
        <row r="62">
          <cell r="A62" t="str">
            <v>이진권</v>
          </cell>
          <cell r="B62" t="str">
            <v>단순노무자</v>
          </cell>
          <cell r="C62" t="str">
            <v>610210-1238818</v>
          </cell>
          <cell r="D62" t="str">
            <v>경기도 연천군 전곡읍 전곡리 324-33세림빌라7동301호</v>
          </cell>
          <cell r="E62" t="str">
            <v>농협</v>
          </cell>
          <cell r="F62" t="str">
            <v>이진권</v>
          </cell>
          <cell r="G62" t="str">
            <v>356-0129-1298-13</v>
          </cell>
          <cell r="H62">
            <v>170000</v>
          </cell>
        </row>
        <row r="63">
          <cell r="A63" t="str">
            <v>김동식</v>
          </cell>
          <cell r="B63" t="str">
            <v>단순노무자</v>
          </cell>
          <cell r="C63" t="str">
            <v>760715-1386710</v>
          </cell>
          <cell r="D63" t="str">
            <v>충북 영동군 영동읍금동로1길6,202호(혜성빌라)</v>
          </cell>
          <cell r="E63" t="str">
            <v>우체국</v>
          </cell>
          <cell r="F63" t="str">
            <v>김동식</v>
          </cell>
          <cell r="G63" t="str">
            <v>301515-02-072801</v>
          </cell>
          <cell r="H63">
            <v>160000</v>
          </cell>
        </row>
        <row r="64">
          <cell r="A64" t="str">
            <v>정광일</v>
          </cell>
          <cell r="B64" t="str">
            <v>철근공</v>
          </cell>
          <cell r="C64" t="str">
            <v>600220-1041824</v>
          </cell>
          <cell r="D64" t="str">
            <v>충북 옥천군 옥천읍 동부로16 101동301호(하늘빛아파트)</v>
          </cell>
          <cell r="E64" t="str">
            <v>농협</v>
          </cell>
          <cell r="F64" t="str">
            <v>정광일</v>
          </cell>
          <cell r="G64" t="str">
            <v>351-0883-3616-63</v>
          </cell>
          <cell r="H64">
            <v>200000</v>
          </cell>
        </row>
        <row r="64">
          <cell r="K64" t="str">
            <v>29039</v>
          </cell>
        </row>
        <row r="65">
          <cell r="A65" t="str">
            <v>이윤건</v>
          </cell>
          <cell r="B65" t="str">
            <v>철근공</v>
          </cell>
          <cell r="C65" t="str">
            <v>630822-1229912</v>
          </cell>
          <cell r="D65" t="str">
            <v>충북 옥천군 군서면 성왕로 489-16</v>
          </cell>
          <cell r="E65" t="str">
            <v>농협</v>
          </cell>
          <cell r="F65" t="str">
            <v>이윤건</v>
          </cell>
          <cell r="G65" t="str">
            <v>351-0883-3616-63</v>
          </cell>
          <cell r="H65">
            <v>200000</v>
          </cell>
        </row>
        <row r="65">
          <cell r="K65" t="str">
            <v>29059</v>
          </cell>
        </row>
        <row r="66">
          <cell r="A66" t="str">
            <v>박래일</v>
          </cell>
          <cell r="B66" t="str">
            <v>보통인부</v>
          </cell>
          <cell r="C66" t="str">
            <v>590108-1386126</v>
          </cell>
          <cell r="D66" t="str">
            <v>충북 영동군 영동읍 양산로7길 2가동106호(양지연립)</v>
          </cell>
          <cell r="E66" t="str">
            <v>농협</v>
          </cell>
          <cell r="F66" t="str">
            <v>박래일</v>
          </cell>
          <cell r="G66" t="str">
            <v>774-02-269271</v>
          </cell>
          <cell r="H66">
            <v>170000</v>
          </cell>
          <cell r="I66" t="str">
            <v>010-9405-6479</v>
          </cell>
        </row>
        <row r="67">
          <cell r="A67" t="str">
            <v>이정근</v>
          </cell>
          <cell r="B67" t="str">
            <v>보통인부</v>
          </cell>
          <cell r="C67" t="str">
            <v>590825-1386143</v>
          </cell>
          <cell r="D67" t="str">
            <v>충북 영동군 영동읍 계산리280</v>
          </cell>
          <cell r="E67" t="str">
            <v>우체국</v>
          </cell>
          <cell r="F67" t="str">
            <v>이정근</v>
          </cell>
          <cell r="G67" t="str">
            <v>300160-02-240447</v>
          </cell>
          <cell r="H67">
            <v>160000</v>
          </cell>
        </row>
        <row r="67">
          <cell r="K67" t="str">
            <v>29139</v>
          </cell>
        </row>
        <row r="68">
          <cell r="A68" t="str">
            <v>육종필</v>
          </cell>
          <cell r="B68" t="str">
            <v>철근공</v>
          </cell>
          <cell r="C68" t="str">
            <v>681020-1384919</v>
          </cell>
          <cell r="D68" t="str">
            <v>충북 옥천군 옥천읍 장야리 313 장야1주공106-304</v>
          </cell>
          <cell r="E68" t="str">
            <v>중소기업</v>
          </cell>
          <cell r="F68" t="str">
            <v>육종필</v>
          </cell>
          <cell r="G68" t="str">
            <v>570-007217-02-013</v>
          </cell>
          <cell r="H68">
            <v>200000</v>
          </cell>
          <cell r="I68" t="str">
            <v>010-6800-2394</v>
          </cell>
        </row>
        <row r="68">
          <cell r="K68" t="str">
            <v>29045</v>
          </cell>
        </row>
        <row r="69">
          <cell r="A69" t="str">
            <v>조기혁</v>
          </cell>
          <cell r="B69" t="str">
            <v>목공</v>
          </cell>
          <cell r="C69" t="str">
            <v>630523-1402713</v>
          </cell>
          <cell r="D69" t="str">
            <v>대전광역시 동구 우암로326번길57-1(가양동)</v>
          </cell>
          <cell r="E69" t="str">
            <v>농협</v>
          </cell>
          <cell r="F69" t="str">
            <v>조기혁</v>
          </cell>
          <cell r="G69" t="str">
            <v>356-1497-0677-43</v>
          </cell>
          <cell r="H69">
            <v>200000</v>
          </cell>
          <cell r="I69" t="str">
            <v>010-8623-6218</v>
          </cell>
        </row>
        <row r="69">
          <cell r="K69" t="str">
            <v>34506</v>
          </cell>
        </row>
        <row r="70">
          <cell r="A70" t="str">
            <v>정일흥</v>
          </cell>
          <cell r="B70" t="str">
            <v>목공</v>
          </cell>
          <cell r="C70" t="str">
            <v>600605-1384810</v>
          </cell>
          <cell r="D70" t="str">
            <v>충북 옥천군 교서면 원전2길86-9</v>
          </cell>
          <cell r="E70" t="str">
            <v>농협</v>
          </cell>
          <cell r="F70" t="str">
            <v>정일흥</v>
          </cell>
          <cell r="G70" t="str">
            <v>352-1559-7324-93</v>
          </cell>
          <cell r="H70">
            <v>200000</v>
          </cell>
          <cell r="I70" t="str">
            <v>010-8843-0512</v>
          </cell>
        </row>
        <row r="71">
          <cell r="A71" t="str">
            <v>곽태</v>
          </cell>
          <cell r="B71" t="str">
            <v>목공</v>
          </cell>
          <cell r="C71" t="str">
            <v>551001-1448815</v>
          </cell>
          <cell r="D71" t="str">
            <v>충북 옥천군 옥천읍 중앙로1길 6-4602호</v>
          </cell>
          <cell r="E71" t="str">
            <v>농협</v>
          </cell>
          <cell r="F71" t="str">
            <v>곽태</v>
          </cell>
          <cell r="G71" t="str">
            <v>356-1434-8325-93</v>
          </cell>
          <cell r="H71">
            <v>200000</v>
          </cell>
          <cell r="I71" t="str">
            <v>0106423-3895</v>
          </cell>
        </row>
        <row r="71">
          <cell r="K71" t="str">
            <v>29037</v>
          </cell>
        </row>
        <row r="72">
          <cell r="A72" t="str">
            <v>박세호</v>
          </cell>
          <cell r="B72" t="str">
            <v>보통인부</v>
          </cell>
          <cell r="C72" t="str">
            <v>641015-1386715</v>
          </cell>
          <cell r="D72" t="str">
            <v>충북 영동군 영동읍 동정로 47,103동 1303호</v>
          </cell>
          <cell r="E72" t="str">
            <v>농협</v>
          </cell>
          <cell r="F72" t="str">
            <v>박세호</v>
          </cell>
          <cell r="G72" t="str">
            <v>356-1193-1604-23</v>
          </cell>
          <cell r="H72">
            <v>160000</v>
          </cell>
          <cell r="I72" t="str">
            <v>010-3896-8077</v>
          </cell>
        </row>
        <row r="72">
          <cell r="K72" t="str">
            <v>29140</v>
          </cell>
        </row>
        <row r="73">
          <cell r="A73" t="str">
            <v>정홍길</v>
          </cell>
          <cell r="B73" t="str">
            <v>목공</v>
          </cell>
          <cell r="C73" t="str">
            <v>821112-1384119</v>
          </cell>
          <cell r="D73" t="str">
            <v>충북 옥천군 옥천읍 대천길 159</v>
          </cell>
          <cell r="E73" t="str">
            <v>농협</v>
          </cell>
          <cell r="F73" t="str">
            <v>정홍길</v>
          </cell>
          <cell r="G73" t="str">
            <v>302-8622-0879-11</v>
          </cell>
          <cell r="H73">
            <v>200000</v>
          </cell>
          <cell r="I73" t="str">
            <v>010-8622-0879</v>
          </cell>
        </row>
        <row r="73">
          <cell r="K73" t="str">
            <v>29052</v>
          </cell>
        </row>
        <row r="74">
          <cell r="A74" t="str">
            <v>백정숙</v>
          </cell>
          <cell r="B74" t="str">
            <v>목공</v>
          </cell>
          <cell r="C74" t="str">
            <v>550420-2789718</v>
          </cell>
          <cell r="D74" t="str">
            <v>충북 옥천군 옥천읍 대천길 549</v>
          </cell>
          <cell r="E74" t="str">
            <v>새마을금고</v>
          </cell>
          <cell r="F74" t="str">
            <v>백정숙</v>
          </cell>
          <cell r="G74" t="str">
            <v>4614-09-003672-7</v>
          </cell>
          <cell r="H74">
            <v>150000</v>
          </cell>
          <cell r="I74" t="str">
            <v>010-8843-</v>
          </cell>
        </row>
        <row r="75">
          <cell r="A75" t="str">
            <v>배태봉</v>
          </cell>
          <cell r="B75" t="str">
            <v>목공</v>
          </cell>
          <cell r="C75" t="str">
            <v>610303-1386748</v>
          </cell>
          <cell r="D75" t="str">
            <v>충북 영동군 영동읍 당곡로14-1</v>
          </cell>
          <cell r="E75" t="str">
            <v>우체국</v>
          </cell>
          <cell r="F75" t="str">
            <v>배태봉</v>
          </cell>
          <cell r="G75" t="str">
            <v>300160-02-231942</v>
          </cell>
          <cell r="H75">
            <v>200000</v>
          </cell>
        </row>
        <row r="75">
          <cell r="K75" t="str">
            <v>29128</v>
          </cell>
        </row>
        <row r="76">
          <cell r="A76" t="str">
            <v>최승열</v>
          </cell>
          <cell r="B76" t="str">
            <v>보통인부</v>
          </cell>
          <cell r="C76" t="str">
            <v>620724-1648219</v>
          </cell>
          <cell r="D76" t="str">
            <v>충북 영동군 영동읍 부용7길 12,가동 201호(남경빌라)</v>
          </cell>
        </row>
        <row r="76">
          <cell r="F76" t="str">
            <v>최승열</v>
          </cell>
          <cell r="G76" t="str">
            <v>상용직</v>
          </cell>
        </row>
        <row r="76">
          <cell r="I76" t="str">
            <v>010-3435-3094</v>
          </cell>
        </row>
        <row r="76">
          <cell r="K76" t="str">
            <v>29149</v>
          </cell>
        </row>
        <row r="77">
          <cell r="A77" t="str">
            <v>박장현</v>
          </cell>
          <cell r="B77" t="str">
            <v>보통인부</v>
          </cell>
          <cell r="C77" t="str">
            <v>690615-1386125</v>
          </cell>
          <cell r="D77" t="str">
            <v>충북 영동군 영동읍 부용7안길 25</v>
          </cell>
        </row>
        <row r="77">
          <cell r="F77" t="str">
            <v>박장현</v>
          </cell>
          <cell r="G77" t="str">
            <v>상용직</v>
          </cell>
        </row>
        <row r="77">
          <cell r="I77">
            <v>1054644595</v>
          </cell>
        </row>
        <row r="77">
          <cell r="K77" t="str">
            <v>29149</v>
          </cell>
        </row>
        <row r="78">
          <cell r="A78" t="str">
            <v>박래일</v>
          </cell>
        </row>
        <row r="78">
          <cell r="C78" t="str">
            <v>590108-1386126</v>
          </cell>
          <cell r="D78" t="str">
            <v>충북 영동군 영동읍 영산로7길 2, 가동 106호 (양지연립)</v>
          </cell>
          <cell r="E78" t="str">
            <v>농협</v>
          </cell>
          <cell r="F78" t="str">
            <v>박래일</v>
          </cell>
          <cell r="G78" t="str">
            <v>356-0895-8530-93</v>
          </cell>
          <cell r="H78">
            <v>150000</v>
          </cell>
          <cell r="I78" t="str">
            <v>010-9405-6479</v>
          </cell>
        </row>
        <row r="78">
          <cell r="K78" t="str">
            <v>29147</v>
          </cell>
          <cell r="L78" t="str">
            <v>박래화</v>
          </cell>
        </row>
        <row r="79">
          <cell r="A79" t="str">
            <v>박래일</v>
          </cell>
        </row>
        <row r="79">
          <cell r="C79" t="str">
            <v>590108-1386126</v>
          </cell>
          <cell r="D79" t="str">
            <v>충북 영동군 영동읍 영산로7길 2, 가동 106호 (양지연립)</v>
          </cell>
          <cell r="E79" t="str">
            <v>농협</v>
          </cell>
          <cell r="F79" t="str">
            <v>박래일</v>
          </cell>
          <cell r="G79" t="str">
            <v>356-0895-8530-93</v>
          </cell>
          <cell r="H79">
            <v>150000</v>
          </cell>
          <cell r="I79" t="str">
            <v>010-9405-6479</v>
          </cell>
        </row>
        <row r="79">
          <cell r="K79" t="str">
            <v>29147</v>
          </cell>
          <cell r="L79" t="str">
            <v>박래화</v>
          </cell>
        </row>
        <row r="80">
          <cell r="A80" t="str">
            <v>민헌기</v>
          </cell>
        </row>
        <row r="80">
          <cell r="C80" t="str">
            <v>601219-1386711</v>
          </cell>
          <cell r="D80" t="str">
            <v>충북 영동군 양강면 내만길 173 (만계리 156-4)</v>
          </cell>
          <cell r="E80" t="str">
            <v>농협</v>
          </cell>
          <cell r="F80" t="str">
            <v>민헌기</v>
          </cell>
          <cell r="G80" t="str">
            <v>352-0293-9952-13</v>
          </cell>
          <cell r="H80">
            <v>150000</v>
          </cell>
          <cell r="I80" t="str">
            <v>010-4650-3480</v>
          </cell>
        </row>
        <row r="80">
          <cell r="K80" t="str">
            <v>29157</v>
          </cell>
          <cell r="L80" t="str">
            <v>통장갖고있어서 자유롭게 신고가능자</v>
          </cell>
        </row>
        <row r="81">
          <cell r="A81" t="str">
            <v>박범해</v>
          </cell>
        </row>
        <row r="81">
          <cell r="C81" t="str">
            <v>660105-1386714</v>
          </cell>
          <cell r="D81" t="str">
            <v>충북 영동군 양강면 남전2안길 4-17 (남전리 272)</v>
          </cell>
          <cell r="E81" t="str">
            <v>농협</v>
          </cell>
          <cell r="F81" t="str">
            <v>박범해</v>
          </cell>
          <cell r="G81" t="str">
            <v>356-1071-0591-83</v>
          </cell>
          <cell r="H81">
            <v>150000</v>
          </cell>
          <cell r="I81" t="str">
            <v>010-5338-5196</v>
          </cell>
        </row>
        <row r="81">
          <cell r="K81" t="str">
            <v>29155</v>
          </cell>
          <cell r="L81" t="str">
            <v>임종관 김재억 성명식 양희옥 김충식 박원회 박범해(7/15일부터)</v>
          </cell>
        </row>
        <row r="82">
          <cell r="A82" t="str">
            <v>이명철</v>
          </cell>
        </row>
        <row r="82">
          <cell r="C82" t="str">
            <v>000329-3691911</v>
          </cell>
          <cell r="D82" t="str">
            <v>충북 제천시 제천북로1길 75 (왕암동)</v>
          </cell>
          <cell r="E82" t="str">
            <v>농협</v>
          </cell>
          <cell r="F82" t="str">
            <v>이명철</v>
          </cell>
          <cell r="G82" t="str">
            <v>302-1531-6143-71</v>
          </cell>
          <cell r="H82">
            <v>150000</v>
          </cell>
          <cell r="I82" t="str">
            <v>010-6356-5898</v>
          </cell>
        </row>
        <row r="82">
          <cell r="K82" t="str">
            <v>27116</v>
          </cell>
          <cell r="L82" t="str">
            <v>한희열 민헌기(7/21일부터)</v>
          </cell>
        </row>
        <row r="83">
          <cell r="A83" t="str">
            <v>배진식</v>
          </cell>
        </row>
        <row r="83">
          <cell r="C83" t="str">
            <v>540910-1386711</v>
          </cell>
          <cell r="D83" t="str">
            <v>충북 영동군 양강면 국촌길16-11</v>
          </cell>
          <cell r="E83" t="str">
            <v>농협</v>
          </cell>
          <cell r="F83" t="str">
            <v>배진식</v>
          </cell>
          <cell r="G83" t="str">
            <v>069-01-106491</v>
          </cell>
          <cell r="H83">
            <v>150000</v>
          </cell>
          <cell r="I83" t="str">
            <v>010-5301-8775</v>
          </cell>
        </row>
        <row r="83">
          <cell r="K83" t="str">
            <v>29155</v>
          </cell>
        </row>
        <row r="84">
          <cell r="A84" t="str">
            <v>박헌태</v>
          </cell>
        </row>
        <row r="84">
          <cell r="C84" t="str">
            <v>551120-1455311</v>
          </cell>
          <cell r="D84" t="str">
            <v>충북 영동군 영동읍 오탄리20</v>
          </cell>
          <cell r="E84" t="str">
            <v>농협</v>
          </cell>
          <cell r="F84" t="str">
            <v>박헌태</v>
          </cell>
          <cell r="G84" t="str">
            <v>356-0142-0083-23</v>
          </cell>
          <cell r="H84">
            <v>150000</v>
          </cell>
          <cell r="I84" t="str">
            <v>010-4476-3636</v>
          </cell>
        </row>
        <row r="84">
          <cell r="K84" t="str">
            <v>29129</v>
          </cell>
          <cell r="L84" t="str">
            <v>통장은 없고 자유롭게 올릴수 있는분</v>
          </cell>
        </row>
        <row r="85">
          <cell r="A85" t="str">
            <v>민백규</v>
          </cell>
        </row>
        <row r="85">
          <cell r="C85" t="str">
            <v>600810-1386721</v>
          </cell>
          <cell r="D85" t="str">
            <v>충북 영동군 양강면 내만길 178-2</v>
          </cell>
          <cell r="E85" t="str">
            <v>농협</v>
          </cell>
          <cell r="F85" t="str">
            <v>민백규</v>
          </cell>
          <cell r="G85" t="str">
            <v>453060-52-207611</v>
          </cell>
          <cell r="H85">
            <v>150000</v>
          </cell>
          <cell r="I85" t="str">
            <v>010-5450-0950</v>
          </cell>
        </row>
        <row r="85">
          <cell r="K85" t="str">
            <v>29157</v>
          </cell>
          <cell r="L85" t="str">
            <v>배진식 박헌태 권영안 민백규 박상복</v>
          </cell>
        </row>
        <row r="86">
          <cell r="A86" t="str">
            <v>박상복</v>
          </cell>
        </row>
        <row r="86">
          <cell r="C86" t="str">
            <v>800702-1386911</v>
          </cell>
          <cell r="D86" t="str">
            <v>충북 영동군 영동읍 동정리143</v>
          </cell>
          <cell r="E86" t="str">
            <v>중소기업</v>
          </cell>
          <cell r="F86" t="str">
            <v>박상복</v>
          </cell>
          <cell r="G86" t="str">
            <v>186-041383-01-012</v>
          </cell>
          <cell r="H86">
            <v>150000</v>
          </cell>
          <cell r="I86" t="str">
            <v>010-7107-2693</v>
          </cell>
        </row>
        <row r="86">
          <cell r="K86" t="str">
            <v>29140</v>
          </cell>
        </row>
        <row r="87">
          <cell r="A87" t="str">
            <v>황동주</v>
          </cell>
        </row>
        <row r="87">
          <cell r="C87" t="str">
            <v>571013-1805110</v>
          </cell>
          <cell r="D87" t="str">
            <v>경상북도 상주시 모동면 수봉리 546 </v>
          </cell>
          <cell r="E87" t="str">
            <v>우체국</v>
          </cell>
          <cell r="F87" t="str">
            <v>황동주</v>
          </cell>
          <cell r="G87" t="str">
            <v>701029-02-013954</v>
          </cell>
          <cell r="H87">
            <v>150000</v>
          </cell>
          <cell r="I87" t="str">
            <v>010-8597-4428</v>
          </cell>
        </row>
        <row r="87">
          <cell r="K87" t="str">
            <v>37274</v>
          </cell>
          <cell r="L87" t="str">
            <v>모동면 수봉2길 29</v>
          </cell>
        </row>
        <row r="88">
          <cell r="A88" t="str">
            <v>이병문</v>
          </cell>
        </row>
        <row r="88">
          <cell r="C88" t="str">
            <v>570919-1401027</v>
          </cell>
          <cell r="D88" t="str">
            <v>충북 영동군 영동읍 동정리 143</v>
          </cell>
          <cell r="E88" t="str">
            <v>농협</v>
          </cell>
          <cell r="F88" t="str">
            <v>이병문</v>
          </cell>
          <cell r="G88" t="str">
            <v>302-0987-1761-21</v>
          </cell>
          <cell r="H88">
            <v>150000</v>
          </cell>
          <cell r="I88" t="str">
            <v>010-3432-0395</v>
          </cell>
        </row>
        <row r="88">
          <cell r="K88" t="str">
            <v>29140</v>
          </cell>
        </row>
        <row r="89">
          <cell r="A89" t="str">
            <v>성명식</v>
          </cell>
        </row>
        <row r="89">
          <cell r="C89" t="str">
            <v>590801-1386129</v>
          </cell>
          <cell r="D89" t="str">
            <v>경기도 고양시 덕양구 화신로298</v>
          </cell>
          <cell r="E89" t="str">
            <v>농협</v>
          </cell>
          <cell r="F89" t="str">
            <v>성명식</v>
          </cell>
          <cell r="G89" t="str">
            <v>049-02-203321</v>
          </cell>
          <cell r="H89">
            <v>150000</v>
          </cell>
          <cell r="I89" t="str">
            <v>010-8975-6129</v>
          </cell>
        </row>
        <row r="89">
          <cell r="K89" t="str">
            <v>10501</v>
          </cell>
        </row>
        <row r="90">
          <cell r="A90" t="str">
            <v>박원회</v>
          </cell>
        </row>
        <row r="90">
          <cell r="C90" t="str">
            <v>600124-1386123</v>
          </cell>
          <cell r="D90" t="str">
            <v>인천시 계양구 계산로112번길 26</v>
          </cell>
          <cell r="E90" t="str">
            <v>농협</v>
          </cell>
          <cell r="F90" t="str">
            <v>박원회</v>
          </cell>
          <cell r="G90" t="str">
            <v>312-0171-3781-31</v>
          </cell>
          <cell r="H90">
            <v>150000</v>
          </cell>
        </row>
        <row r="90">
          <cell r="K90" t="str">
            <v>21088</v>
          </cell>
        </row>
        <row r="91">
          <cell r="A91" t="str">
            <v>정찬옥</v>
          </cell>
        </row>
        <row r="91">
          <cell r="C91" t="str">
            <v>610512-2328134</v>
          </cell>
          <cell r="D91" t="str">
            <v>대전광역시 동구 백룡로 35-10</v>
          </cell>
          <cell r="E91" t="str">
            <v>새마을</v>
          </cell>
          <cell r="F91" t="str">
            <v>정찬옥</v>
          </cell>
          <cell r="G91" t="str">
            <v>9002-1563-1485-9</v>
          </cell>
          <cell r="H91">
            <v>220000</v>
          </cell>
        </row>
        <row r="91">
          <cell r="K91" t="str">
            <v>34516</v>
          </cell>
        </row>
        <row r="92">
          <cell r="A92" t="str">
            <v>이창우</v>
          </cell>
        </row>
        <row r="92">
          <cell r="C92" t="str">
            <v>670620-1387124</v>
          </cell>
          <cell r="D92" t="str">
            <v>충북 영동군 심천면 지계길 113</v>
          </cell>
          <cell r="E92" t="str">
            <v>농협</v>
          </cell>
          <cell r="F92" t="str">
            <v>이창우</v>
          </cell>
          <cell r="G92" t="str">
            <v>4070-52-014063</v>
          </cell>
          <cell r="H92">
            <v>150000</v>
          </cell>
        </row>
        <row r="92">
          <cell r="K92" t="str">
            <v>29104</v>
          </cell>
        </row>
        <row r="93">
          <cell r="A93" t="str">
            <v>김환배</v>
          </cell>
        </row>
        <row r="93">
          <cell r="C93" t="str">
            <v>530810-1057646</v>
          </cell>
          <cell r="D93" t="str">
            <v>충북 영동군 양강면 남전2안길 4-20</v>
          </cell>
          <cell r="E93" t="str">
            <v>농협</v>
          </cell>
          <cell r="F93" t="str">
            <v>김환배</v>
          </cell>
          <cell r="G93" t="str">
            <v>352-0532-0302-03</v>
          </cell>
          <cell r="H93">
            <v>180000</v>
          </cell>
        </row>
        <row r="93">
          <cell r="K93" t="str">
            <v>29155</v>
          </cell>
        </row>
        <row r="94">
          <cell r="A94" t="str">
            <v>엄종섭</v>
          </cell>
        </row>
        <row r="94">
          <cell r="C94" t="str">
            <v>660719-1522231</v>
          </cell>
          <cell r="D94" t="str">
            <v>충북 영동군 용산면 율리4길 18-8</v>
          </cell>
          <cell r="E94" t="str">
            <v>농협</v>
          </cell>
          <cell r="F94" t="str">
            <v>엄종섭</v>
          </cell>
          <cell r="G94" t="str">
            <v>352-0772-2516-93</v>
          </cell>
        </row>
        <row r="94">
          <cell r="K94" t="str">
            <v>29101</v>
          </cell>
          <cell r="L94" t="str">
            <v>비탄길 22로 적용함</v>
          </cell>
        </row>
        <row r="95">
          <cell r="A95" t="str">
            <v>정구목</v>
          </cell>
        </row>
        <row r="95">
          <cell r="C95" t="str">
            <v>601005-1386727</v>
          </cell>
          <cell r="D95" t="str">
            <v>충북 영동군 영동읍 구교로 32-7, 307호 (대성@)</v>
          </cell>
          <cell r="E95" t="str">
            <v>농협</v>
          </cell>
          <cell r="F95" t="str">
            <v>정구목</v>
          </cell>
          <cell r="G95" t="str">
            <v>301-0283-3279-11</v>
          </cell>
          <cell r="H95">
            <v>150000</v>
          </cell>
        </row>
        <row r="95">
          <cell r="K95" t="str">
            <v>29139</v>
          </cell>
        </row>
        <row r="96">
          <cell r="A96" t="str">
            <v>전근정</v>
          </cell>
        </row>
        <row r="96">
          <cell r="C96" t="str">
            <v>721105-1386912</v>
          </cell>
          <cell r="D96" t="str">
            <v>충북 영동군 학산면 모정길 78 (황산리 843)</v>
          </cell>
          <cell r="E96" t="str">
            <v>농협</v>
          </cell>
          <cell r="F96" t="str">
            <v>전근정</v>
          </cell>
          <cell r="G96" t="str">
            <v>237824-52-034278</v>
          </cell>
          <cell r="H96">
            <v>150000</v>
          </cell>
        </row>
        <row r="96">
          <cell r="K96" t="str">
            <v>29165</v>
          </cell>
        </row>
        <row r="97">
          <cell r="A97" t="str">
            <v>장갑진</v>
          </cell>
        </row>
        <row r="97">
          <cell r="C97" t="str">
            <v>610210-1386710</v>
          </cell>
          <cell r="D97" t="str">
            <v>충북 영동군 양강면 신기1길 21</v>
          </cell>
        </row>
        <row r="97">
          <cell r="F97" t="str">
            <v>장갑진</v>
          </cell>
        </row>
        <row r="97">
          <cell r="I97" t="str">
            <v>010-4754-1141</v>
          </cell>
        </row>
        <row r="97">
          <cell r="K97" t="str">
            <v>29155</v>
          </cell>
        </row>
        <row r="98">
          <cell r="A98" t="str">
            <v>박성안</v>
          </cell>
        </row>
        <row r="98">
          <cell r="C98" t="str">
            <v>570827-1386125</v>
          </cell>
          <cell r="D98" t="str">
            <v>충북 충북 영동군 영동읍 가리 755-2</v>
          </cell>
          <cell r="E98" t="str">
            <v>농협</v>
          </cell>
          <cell r="F98" t="str">
            <v>박성안</v>
          </cell>
          <cell r="G98" t="str">
            <v>407012-52-048265</v>
          </cell>
          <cell r="H98">
            <v>180000</v>
          </cell>
        </row>
        <row r="99">
          <cell r="A99" t="str">
            <v>김이수</v>
          </cell>
        </row>
        <row r="99">
          <cell r="C99" t="str">
            <v>500226-1386711</v>
          </cell>
          <cell r="D99" t="str">
            <v>충북 영동군 영동읍 영동천1길 32-1</v>
          </cell>
          <cell r="E99" t="str">
            <v>농협</v>
          </cell>
          <cell r="F99" t="str">
            <v>김이수</v>
          </cell>
          <cell r="G99" t="str">
            <v>356-0817-4633-33</v>
          </cell>
          <cell r="H99">
            <v>160000</v>
          </cell>
        </row>
        <row r="99">
          <cell r="K99" t="str">
            <v>29146</v>
          </cell>
        </row>
        <row r="100">
          <cell r="A100" t="str">
            <v>장신진</v>
          </cell>
        </row>
        <row r="100">
          <cell r="C100" t="str">
            <v>620908-1386710</v>
          </cell>
          <cell r="D100" t="str">
            <v>충북 영동군 영동읍 동정로 39-27, 현대아파트 101동 1501호</v>
          </cell>
        </row>
        <row r="100">
          <cell r="I100" t="str">
            <v>010-8450-8819</v>
          </cell>
        </row>
        <row r="100">
          <cell r="K100" t="str">
            <v>29140</v>
          </cell>
        </row>
        <row r="101">
          <cell r="A101" t="str">
            <v>김정우</v>
          </cell>
        </row>
        <row r="101">
          <cell r="C101" t="str">
            <v>960116-1386119</v>
          </cell>
          <cell r="D101" t="str">
            <v>충북 영동군 영동읍 회동로 162</v>
          </cell>
          <cell r="E101" t="str">
            <v>농협</v>
          </cell>
          <cell r="F101" t="str">
            <v>김정우</v>
          </cell>
          <cell r="G101" t="str">
            <v>407013-52-111897</v>
          </cell>
          <cell r="H101">
            <v>150000</v>
          </cell>
          <cell r="I101" t="str">
            <v>010-3198-3409</v>
          </cell>
        </row>
        <row r="101">
          <cell r="K101" t="str">
            <v>29141</v>
          </cell>
        </row>
        <row r="102">
          <cell r="A102" t="str">
            <v>김양수</v>
          </cell>
        </row>
        <row r="102">
          <cell r="C102" t="str">
            <v>610205-2400329</v>
          </cell>
          <cell r="D102" t="str">
            <v>충북 영동군 영동읍 회동로 156-20</v>
          </cell>
        </row>
        <row r="102">
          <cell r="H102">
            <v>150000</v>
          </cell>
        </row>
        <row r="102">
          <cell r="K102" t="str">
            <v>29141</v>
          </cell>
        </row>
        <row r="103">
          <cell r="A103" t="str">
            <v>최순자</v>
          </cell>
        </row>
        <row r="103">
          <cell r="C103" t="str">
            <v>610604-2382923</v>
          </cell>
          <cell r="D103" t="str">
            <v>대전광역시 동구 충정로 136, 1102동 2006호 (가양동, 대주파크빌)</v>
          </cell>
          <cell r="E103" t="str">
            <v>농협</v>
          </cell>
          <cell r="F103" t="str">
            <v>최순자</v>
          </cell>
          <cell r="G103" t="str">
            <v>356-1585-3805-03</v>
          </cell>
          <cell r="H103">
            <v>150000</v>
          </cell>
          <cell r="I103" t="str">
            <v>010-4034 9739</v>
          </cell>
        </row>
        <row r="103">
          <cell r="K103" t="str">
            <v>34509</v>
          </cell>
        </row>
        <row r="104">
          <cell r="A104" t="str">
            <v>최순옥</v>
          </cell>
        </row>
        <row r="104">
          <cell r="C104" t="str">
            <v>661110-2382929</v>
          </cell>
          <cell r="D104" t="str">
            <v>대전광역시 동구 성동로7번길 58-11, 1동 107호 (자양동, 임광아파트)</v>
          </cell>
          <cell r="E104" t="str">
            <v>농협</v>
          </cell>
          <cell r="F104" t="str">
            <v>최순옥</v>
          </cell>
          <cell r="G104" t="str">
            <v>352-2099-8874-83</v>
          </cell>
          <cell r="H104">
            <v>150000</v>
          </cell>
          <cell r="I104" t="str">
            <v>010-403- 9839</v>
          </cell>
        </row>
        <row r="104">
          <cell r="K104" t="str">
            <v>34513</v>
          </cell>
        </row>
        <row r="105">
          <cell r="A105" t="str">
            <v>손경윤</v>
          </cell>
        </row>
        <row r="105">
          <cell r="C105" t="str">
            <v>780528-1386217</v>
          </cell>
          <cell r="D105" t="str">
            <v>전라남도 순천시 우석로 105, 2층(남정동)</v>
          </cell>
        </row>
        <row r="105">
          <cell r="H105">
            <v>150000</v>
          </cell>
          <cell r="I105" t="str">
            <v>010-3900-0965</v>
          </cell>
        </row>
        <row r="105">
          <cell r="K105" t="str">
            <v>57958</v>
          </cell>
        </row>
        <row r="106">
          <cell r="A106" t="str">
            <v>하재주</v>
          </cell>
        </row>
        <row r="106">
          <cell r="C106" t="str">
            <v>571020-1481929</v>
          </cell>
          <cell r="D106" t="str">
            <v>서울특별시 은평구 역촌동 68-31 지층-2</v>
          </cell>
          <cell r="E106" t="str">
            <v>농협</v>
          </cell>
          <cell r="F106" t="str">
            <v>하재주</v>
          </cell>
          <cell r="G106" t="str">
            <v>356-0367-2587-73</v>
          </cell>
          <cell r="H106">
            <v>150000</v>
          </cell>
          <cell r="I106" t="str">
            <v>010-8770-7249</v>
          </cell>
        </row>
        <row r="106">
          <cell r="K106" t="str">
            <v>03419</v>
          </cell>
          <cell r="L106" t="str">
            <v>은평구 연서로3나길 11-33, 삼풍빌라</v>
          </cell>
        </row>
        <row r="107">
          <cell r="A107" t="str">
            <v>전덕하</v>
          </cell>
        </row>
        <row r="107">
          <cell r="C107" t="str">
            <v>491107-1448813</v>
          </cell>
          <cell r="D107" t="str">
            <v>충북 영동군 양강면 국촌1길 6-6</v>
          </cell>
          <cell r="E107" t="str">
            <v>농협</v>
          </cell>
          <cell r="F107" t="str">
            <v>전덕하</v>
          </cell>
          <cell r="G107" t="str">
            <v>356-0791-8136-43</v>
          </cell>
          <cell r="H107">
            <v>150000</v>
          </cell>
        </row>
        <row r="107">
          <cell r="K107" t="str">
            <v>29155</v>
          </cell>
        </row>
        <row r="108">
          <cell r="A108" t="str">
            <v>김경옥</v>
          </cell>
        </row>
        <row r="108">
          <cell r="C108" t="str">
            <v>650424-2785412</v>
          </cell>
          <cell r="D108" t="str">
            <v>충북 영동군 영동읍 동정로 47, 103동 304호(영동가마실휴먼시아)</v>
          </cell>
        </row>
        <row r="108">
          <cell r="H108">
            <v>150000</v>
          </cell>
        </row>
        <row r="108">
          <cell r="K108" t="str">
            <v>29140</v>
          </cell>
        </row>
        <row r="114">
          <cell r="A114" t="str">
            <v>곽정관</v>
          </cell>
        </row>
        <row r="114">
          <cell r="C114" t="str">
            <v>530112-1117421</v>
          </cell>
          <cell r="D114" t="str">
            <v>충북 영동군 영동읍 금동로3길 5-9</v>
          </cell>
          <cell r="E114" t="str">
            <v>농협</v>
          </cell>
          <cell r="F114" t="str">
            <v>곽정관</v>
          </cell>
          <cell r="G114" t="str">
            <v>319-12-247113</v>
          </cell>
          <cell r="H114">
            <v>150000</v>
          </cell>
          <cell r="I114" t="str">
            <v>010-9416-0264</v>
          </cell>
        </row>
        <row r="114">
          <cell r="K114" t="str">
            <v>29138</v>
          </cell>
        </row>
        <row r="115">
          <cell r="A115" t="str">
            <v>조원제</v>
          </cell>
        </row>
        <row r="115">
          <cell r="C115" t="str">
            <v>641120-1386124</v>
          </cell>
          <cell r="D115" t="str">
            <v>충북 영동군 영동읍 부용리 334-1</v>
          </cell>
          <cell r="E115" t="str">
            <v>농협</v>
          </cell>
          <cell r="F115" t="str">
            <v>조원제</v>
          </cell>
          <cell r="G115" t="str">
            <v>319-12-230641</v>
          </cell>
          <cell r="H115">
            <v>150000</v>
          </cell>
          <cell r="I115" t="str">
            <v>010-5255-9807</v>
          </cell>
        </row>
        <row r="115">
          <cell r="K115" t="str">
            <v>29149</v>
          </cell>
          <cell r="L115" t="str">
            <v>영동읍 부용6길 20-39</v>
          </cell>
        </row>
        <row r="116">
          <cell r="A116" t="str">
            <v>박재영</v>
          </cell>
          <cell r="B116" t="str">
            <v>굴삭기기사</v>
          </cell>
          <cell r="C116" t="str">
            <v>720815-1386721</v>
          </cell>
          <cell r="D116" t="str">
            <v>충북 옥천군 옥천읍 문장로2길 10, 304동 503호</v>
          </cell>
        </row>
        <row r="116">
          <cell r="F116" t="str">
            <v>박재영</v>
          </cell>
        </row>
        <row r="116">
          <cell r="H116">
            <v>150000</v>
          </cell>
        </row>
        <row r="116">
          <cell r="K116" t="str">
            <v>29040</v>
          </cell>
        </row>
        <row r="117">
          <cell r="A117" t="str">
            <v>이관우</v>
          </cell>
          <cell r="B117" t="str">
            <v>철근공</v>
          </cell>
          <cell r="C117" t="str">
            <v>590920-1383021</v>
          </cell>
          <cell r="D117" t="str">
            <v>충북 보은군 보은읍 중초2길 20</v>
          </cell>
          <cell r="E117" t="str">
            <v>농협</v>
          </cell>
          <cell r="F117" t="str">
            <v>이관우</v>
          </cell>
          <cell r="G117" t="str">
            <v>118012-00-9732</v>
          </cell>
          <cell r="H117">
            <v>250000</v>
          </cell>
        </row>
        <row r="117">
          <cell r="K117" t="str">
            <v>28917</v>
          </cell>
        </row>
        <row r="118">
          <cell r="A118" t="str">
            <v>주문식</v>
          </cell>
          <cell r="B118" t="str">
            <v>목공</v>
          </cell>
          <cell r="C118" t="str">
            <v>650310-1392622</v>
          </cell>
          <cell r="D118" t="str">
            <v>청주시 상당구 영운천로 187번길 7-5</v>
          </cell>
          <cell r="E118" t="str">
            <v>농협</v>
          </cell>
          <cell r="F118" t="str">
            <v>주하정</v>
          </cell>
          <cell r="G118" t="str">
            <v>356-1247-9282-33</v>
          </cell>
          <cell r="H118">
            <v>250000</v>
          </cell>
        </row>
        <row r="118">
          <cell r="K118" t="str">
            <v>28750</v>
          </cell>
        </row>
        <row r="119">
          <cell r="A119" t="str">
            <v>음희진</v>
          </cell>
          <cell r="B119" t="str">
            <v>목공</v>
          </cell>
          <cell r="C119" t="str">
            <v>591220-1392335</v>
          </cell>
          <cell r="D119" t="str">
            <v>청주시 흥덕구 장구봉로101번길27, 사랑동405호 (복대동,형석@)</v>
          </cell>
          <cell r="E119" t="str">
            <v>농협</v>
          </cell>
          <cell r="F119" t="str">
            <v>음희진</v>
          </cell>
          <cell r="G119" t="str">
            <v>401149-56-096884</v>
          </cell>
          <cell r="H119">
            <v>250000</v>
          </cell>
        </row>
        <row r="119">
          <cell r="K119" t="str">
            <v>28607</v>
          </cell>
        </row>
        <row r="120">
          <cell r="A120" t="str">
            <v>지창기</v>
          </cell>
          <cell r="B120" t="str">
            <v>울타리공</v>
          </cell>
          <cell r="C120" t="str">
            <v>681022-1446910</v>
          </cell>
          <cell r="D120" t="str">
            <v>대전광역시 중구 대흥동 현대@ 7동 1101호</v>
          </cell>
        </row>
        <row r="120">
          <cell r="F120" t="str">
            <v>지창기</v>
          </cell>
        </row>
        <row r="120">
          <cell r="H120">
            <v>250000</v>
          </cell>
        </row>
        <row r="120">
          <cell r="K120" t="str">
            <v>34929</v>
          </cell>
          <cell r="L120" t="str">
            <v>대전광역시 중구 대종로 425</v>
          </cell>
        </row>
        <row r="121">
          <cell r="A121" t="str">
            <v>김재수</v>
          </cell>
          <cell r="B121" t="str">
            <v>울타리공</v>
          </cell>
          <cell r="C121" t="str">
            <v>660202-1400210</v>
          </cell>
          <cell r="D121" t="str">
            <v>전북 무주군 부남면 유동길 7-4</v>
          </cell>
        </row>
        <row r="121">
          <cell r="F121" t="str">
            <v>김재수</v>
          </cell>
        </row>
        <row r="121">
          <cell r="H121">
            <v>250000</v>
          </cell>
        </row>
        <row r="121">
          <cell r="K121" t="str">
            <v>55501</v>
          </cell>
        </row>
        <row r="122">
          <cell r="A122" t="str">
            <v>지봉수</v>
          </cell>
        </row>
        <row r="122">
          <cell r="C122" t="str">
            <v>871003-</v>
          </cell>
          <cell r="D122" t="str">
            <v>충북 증평군 도안면 탑골길 1-22</v>
          </cell>
        </row>
        <row r="122">
          <cell r="K122" t="str">
            <v>27901</v>
          </cell>
        </row>
        <row r="123">
          <cell r="A123" t="str">
            <v>이기영</v>
          </cell>
        </row>
        <row r="123">
          <cell r="C123" t="str">
            <v>580824-1390815</v>
          </cell>
          <cell r="D123" t="str">
            <v>충청북도 증평군 도안면 탑골길 1-22</v>
          </cell>
          <cell r="E123" t="str">
            <v>농협</v>
          </cell>
          <cell r="F123" t="str">
            <v>이기영</v>
          </cell>
          <cell r="G123" t="str">
            <v>302-0589-3448-81</v>
          </cell>
          <cell r="H123">
            <v>165000</v>
          </cell>
          <cell r="I123" t="str">
            <v>010-9345-3633</v>
          </cell>
          <cell r="J123" t="str">
            <v>삼일용역</v>
          </cell>
          <cell r="K123" t="str">
            <v>27901</v>
          </cell>
        </row>
        <row r="124">
          <cell r="A124" t="str">
            <v>조남부</v>
          </cell>
        </row>
        <row r="124">
          <cell r="C124" t="str">
            <v>600417-1458432</v>
          </cell>
          <cell r="D124" t="str">
            <v>충북 청원군 낭성면 관정길 180-1</v>
          </cell>
          <cell r="E124" t="str">
            <v>국민</v>
          </cell>
          <cell r="F124" t="str">
            <v>삼일용역</v>
          </cell>
          <cell r="G124" t="str">
            <v>722125-95-102456</v>
          </cell>
          <cell r="H124">
            <v>150000</v>
          </cell>
        </row>
        <row r="124">
          <cell r="J124" t="str">
            <v>삼일용역</v>
          </cell>
          <cell r="K124" t="str">
            <v>28194</v>
          </cell>
        </row>
        <row r="125">
          <cell r="A125" t="str">
            <v>임종길</v>
          </cell>
        </row>
        <row r="125">
          <cell r="C125" t="str">
            <v>611204-1346019</v>
          </cell>
          <cell r="D125" t="str">
            <v>경상남도 고성군 거류면 화당2길 21-10</v>
          </cell>
          <cell r="E125" t="str">
            <v>국민</v>
          </cell>
          <cell r="F125" t="str">
            <v>삼일용역</v>
          </cell>
          <cell r="G125" t="str">
            <v>722125-95-102456</v>
          </cell>
          <cell r="H125">
            <v>175000</v>
          </cell>
        </row>
        <row r="125">
          <cell r="J125" t="str">
            <v>삼일용역</v>
          </cell>
          <cell r="K125" t="str">
            <v>52926</v>
          </cell>
        </row>
        <row r="126">
          <cell r="A126" t="str">
            <v>윤덕근</v>
          </cell>
        </row>
        <row r="126">
          <cell r="C126" t="str">
            <v>620209-1390912</v>
          </cell>
          <cell r="D126" t="str">
            <v>충청북도 증평군 증평읍 송산로4길 14,305동</v>
          </cell>
          <cell r="E126" t="str">
            <v>농협</v>
          </cell>
          <cell r="F126" t="str">
            <v>윤덕근</v>
          </cell>
          <cell r="G126" t="str">
            <v>302-0589-3448-81</v>
          </cell>
          <cell r="H126">
            <v>165000</v>
          </cell>
          <cell r="I126" t="str">
            <v>010-5498-6461</v>
          </cell>
          <cell r="J126" t="str">
            <v>삼일용역</v>
          </cell>
          <cell r="K126" t="str">
            <v>27917</v>
          </cell>
        </row>
        <row r="127">
          <cell r="A127" t="str">
            <v>김상만</v>
          </cell>
        </row>
        <row r="127">
          <cell r="C127" t="str">
            <v>730115-1781625</v>
          </cell>
          <cell r="D127" t="str">
            <v>울산광역시 동구 대송3길 63</v>
          </cell>
          <cell r="E127" t="str">
            <v>국민</v>
          </cell>
          <cell r="F127" t="str">
            <v>삼일용역</v>
          </cell>
          <cell r="G127" t="str">
            <v>722125-95-102456</v>
          </cell>
          <cell r="H127">
            <v>175000</v>
          </cell>
          <cell r="I127" t="str">
            <v>010-5498-6461</v>
          </cell>
          <cell r="J127" t="str">
            <v>삼일용역</v>
          </cell>
          <cell r="K127" t="str">
            <v>44062</v>
          </cell>
        </row>
        <row r="128">
          <cell r="A128" t="str">
            <v>이주은</v>
          </cell>
        </row>
        <row r="128">
          <cell r="C128" t="str">
            <v>930109-2409915</v>
          </cell>
          <cell r="D128" t="str">
            <v>대전광역시 서구 도솔로 324-5(괴정동)</v>
          </cell>
          <cell r="E128" t="str">
            <v>국민</v>
          </cell>
          <cell r="F128" t="str">
            <v>삼일용역</v>
          </cell>
          <cell r="G128" t="str">
            <v>722125-95-102456</v>
          </cell>
          <cell r="H128">
            <v>130000</v>
          </cell>
        </row>
        <row r="128">
          <cell r="J128" t="str">
            <v>삼일용역</v>
          </cell>
          <cell r="K128" t="str">
            <v>35295</v>
          </cell>
        </row>
        <row r="129">
          <cell r="A129" t="str">
            <v>김정태</v>
          </cell>
          <cell r="B129" t="str">
            <v>삼일용역</v>
          </cell>
          <cell r="C129" t="str">
            <v>650104-1380821</v>
          </cell>
          <cell r="D129" t="str">
            <v>충청북도 청주시 청원구 오창읍 여천2길 22-5</v>
          </cell>
          <cell r="E129" t="str">
            <v>국민</v>
          </cell>
          <cell r="F129" t="str">
            <v>삼일용역</v>
          </cell>
          <cell r="G129" t="str">
            <v>722125-95-102456</v>
          </cell>
          <cell r="H129">
            <v>175000</v>
          </cell>
        </row>
        <row r="129">
          <cell r="J129" t="str">
            <v>삼일용역</v>
          </cell>
          <cell r="K129" t="str">
            <v>28127</v>
          </cell>
        </row>
        <row r="130">
          <cell r="A130" t="str">
            <v>윤희주</v>
          </cell>
          <cell r="B130" t="str">
            <v>삼일용역</v>
          </cell>
          <cell r="C130" t="str">
            <v>520112-1621913</v>
          </cell>
          <cell r="D130" t="str">
            <v>충북 증평군 증평읍 쇠마루1길 45</v>
          </cell>
          <cell r="E130" t="str">
            <v>국민</v>
          </cell>
          <cell r="F130" t="str">
            <v>삼일용역</v>
          </cell>
          <cell r="G130" t="str">
            <v>722125-95-102456</v>
          </cell>
          <cell r="H130">
            <v>175000</v>
          </cell>
        </row>
        <row r="130">
          <cell r="J130" t="str">
            <v>삼일용역</v>
          </cell>
          <cell r="K130" t="str">
            <v>27913</v>
          </cell>
        </row>
        <row r="131">
          <cell r="A131" t="str">
            <v>최성학</v>
          </cell>
          <cell r="B131" t="str">
            <v>삼일용역</v>
          </cell>
          <cell r="C131" t="str">
            <v>630111-1268111</v>
          </cell>
          <cell r="D131" t="str">
            <v>충북 음성군 설성로 2</v>
          </cell>
          <cell r="E131" t="str">
            <v>국민</v>
          </cell>
          <cell r="F131" t="str">
            <v>삼일용역</v>
          </cell>
          <cell r="G131" t="str">
            <v>722125-95-102456</v>
          </cell>
          <cell r="H131">
            <v>165000</v>
          </cell>
        </row>
        <row r="131">
          <cell r="J131" t="str">
            <v>삼일용역</v>
          </cell>
          <cell r="K131" t="str">
            <v>21952</v>
          </cell>
        </row>
        <row r="132">
          <cell r="A132" t="str">
            <v>이종호</v>
          </cell>
          <cell r="B132" t="str">
            <v>울타리공</v>
          </cell>
          <cell r="C132" t="str">
            <v>740211-1149313</v>
          </cell>
          <cell r="D132" t="str">
            <v>인천시 연수구 옥련동 642-1</v>
          </cell>
          <cell r="E132" t="str">
            <v>기업</v>
          </cell>
          <cell r="F132" t="str">
            <v>이종호</v>
          </cell>
          <cell r="G132" t="str">
            <v>1064340831</v>
          </cell>
          <cell r="H132">
            <v>155000</v>
          </cell>
          <cell r="I132" t="str">
            <v>010-6434-0831</v>
          </cell>
        </row>
        <row r="132">
          <cell r="K132" t="str">
            <v>21952</v>
          </cell>
        </row>
        <row r="133">
          <cell r="A133" t="str">
            <v>이동헌</v>
          </cell>
          <cell r="B133" t="str">
            <v>울타리공</v>
          </cell>
          <cell r="C133" t="str">
            <v>900614-1674812</v>
          </cell>
          <cell r="D133" t="str">
            <v>인천시 부평구 부평대로 95번길 </v>
          </cell>
        </row>
        <row r="133">
          <cell r="I133" t="str">
            <v>010-4682-4812</v>
          </cell>
        </row>
        <row r="133">
          <cell r="K133" t="str">
            <v>21375</v>
          </cell>
        </row>
        <row r="134">
          <cell r="A134" t="str">
            <v>김동진</v>
          </cell>
          <cell r="B134" t="str">
            <v>울타리공</v>
          </cell>
          <cell r="C134" t="str">
            <v>980615-1094810</v>
          </cell>
          <cell r="D134" t="str">
            <v>전주시  덕진구 명주5길 41번지</v>
          </cell>
          <cell r="E134" t="str">
            <v>우리</v>
          </cell>
        </row>
        <row r="134">
          <cell r="G134" t="str">
            <v>1002763162620</v>
          </cell>
          <cell r="H134">
            <v>200000</v>
          </cell>
          <cell r="I134" t="str">
            <v>010-5738-4795</v>
          </cell>
        </row>
        <row r="134">
          <cell r="K134" t="str">
            <v>54918</v>
          </cell>
        </row>
        <row r="135">
          <cell r="A135" t="str">
            <v>정복용</v>
          </cell>
          <cell r="B135" t="str">
            <v>삼일용역</v>
          </cell>
          <cell r="C135" t="str">
            <v>651210-1337113</v>
          </cell>
          <cell r="D135" t="str">
            <v>강원도 화천군 간동면 오동나무길8-9</v>
          </cell>
          <cell r="E135" t="str">
            <v>국민</v>
          </cell>
          <cell r="F135" t="str">
            <v>삼일용역</v>
          </cell>
          <cell r="G135" t="str">
            <v>722125-95-102456</v>
          </cell>
          <cell r="H135">
            <v>175000</v>
          </cell>
        </row>
        <row r="135">
          <cell r="J135" t="str">
            <v>삼일용역</v>
          </cell>
          <cell r="K135" t="str">
            <v>24137</v>
          </cell>
        </row>
        <row r="136">
          <cell r="A136" t="str">
            <v>정인섭</v>
          </cell>
          <cell r="B136" t="str">
            <v>삼일용역</v>
          </cell>
          <cell r="C136" t="str">
            <v>610720-1452816</v>
          </cell>
          <cell r="D136" t="str">
            <v>충북 증평군 증평읍 삼보로 1길21 104동110호</v>
          </cell>
          <cell r="E136" t="str">
            <v>국민</v>
          </cell>
          <cell r="F136" t="str">
            <v>삼일용역</v>
          </cell>
          <cell r="G136" t="str">
            <v>722125-95-102456</v>
          </cell>
          <cell r="H136">
            <v>165000</v>
          </cell>
        </row>
        <row r="136">
          <cell r="J136" t="str">
            <v>삼일용역</v>
          </cell>
          <cell r="K136" t="str">
            <v>27928</v>
          </cell>
        </row>
        <row r="137">
          <cell r="A137" t="str">
            <v>연제선</v>
          </cell>
          <cell r="B137" t="str">
            <v>삼일용역</v>
          </cell>
          <cell r="C137" t="str">
            <v>880417-1390814</v>
          </cell>
          <cell r="D137" t="str">
            <v>충북 증평군 증평읍 송산로53 휴먼시아</v>
          </cell>
          <cell r="E137" t="str">
            <v>국민</v>
          </cell>
          <cell r="F137" t="str">
            <v>삼일용역</v>
          </cell>
          <cell r="G137" t="str">
            <v>722125-95-102456</v>
          </cell>
          <cell r="H137">
            <v>175000</v>
          </cell>
        </row>
        <row r="137">
          <cell r="J137" t="str">
            <v>삼일용역</v>
          </cell>
          <cell r="K137" t="str">
            <v>27918</v>
          </cell>
        </row>
        <row r="138">
          <cell r="A138" t="str">
            <v>이기범</v>
          </cell>
          <cell r="B138" t="str">
            <v>삼일용역</v>
          </cell>
          <cell r="C138" t="str">
            <v>840608-1227411</v>
          </cell>
          <cell r="D138" t="str">
            <v>경기도 평택시 새교동 560 향촌현대아파트</v>
          </cell>
          <cell r="E138" t="str">
            <v>국민</v>
          </cell>
          <cell r="F138" t="str">
            <v>삼일용역</v>
          </cell>
          <cell r="G138" t="str">
            <v>722125-95-102456</v>
          </cell>
          <cell r="H138">
            <v>165000</v>
          </cell>
        </row>
        <row r="138">
          <cell r="J138" t="str">
            <v>삼일용역</v>
          </cell>
          <cell r="K138" t="str">
            <v>17832</v>
          </cell>
        </row>
        <row r="139">
          <cell r="A139" t="str">
            <v>신기호</v>
          </cell>
          <cell r="B139" t="str">
            <v>삼일용역</v>
          </cell>
          <cell r="C139" t="str">
            <v>740917-1390110</v>
          </cell>
          <cell r="D139" t="str">
            <v>충북 청주시 청원구 오창읍 양천6길 4-10 104호</v>
          </cell>
          <cell r="E139" t="str">
            <v>국민</v>
          </cell>
          <cell r="F139" t="str">
            <v>삼일용역</v>
          </cell>
          <cell r="G139" t="str">
            <v>722125-95-102456</v>
          </cell>
          <cell r="H139">
            <v>165000</v>
          </cell>
        </row>
        <row r="139">
          <cell r="J139" t="str">
            <v>삼일용역</v>
          </cell>
          <cell r="K139" t="str">
            <v>28116</v>
          </cell>
        </row>
        <row r="140">
          <cell r="A140" t="str">
            <v>유상철</v>
          </cell>
          <cell r="B140" t="str">
            <v>울타리공</v>
          </cell>
          <cell r="C140" t="str">
            <v>780418-1411311</v>
          </cell>
          <cell r="D140" t="str">
            <v>인청광역시 남동구 간석동 188-7 203호</v>
          </cell>
          <cell r="E140" t="str">
            <v>농협</v>
          </cell>
          <cell r="F140" t="str">
            <v>유상철</v>
          </cell>
          <cell r="G140" t="str">
            <v>3020703001141</v>
          </cell>
          <cell r="H140">
            <v>230000</v>
          </cell>
          <cell r="I140" t="str">
            <v>010-8997-4235</v>
          </cell>
        </row>
        <row r="140">
          <cell r="K140" t="str">
            <v>21545</v>
          </cell>
        </row>
        <row r="141">
          <cell r="A141" t="str">
            <v>박건진</v>
          </cell>
          <cell r="B141" t="str">
            <v>울타리공</v>
          </cell>
          <cell r="C141" t="str">
            <v>730926-1182618</v>
          </cell>
          <cell r="D141" t="str">
            <v>인천시 연수구 옥련동 642-139</v>
          </cell>
          <cell r="E141" t="str">
            <v>신한</v>
          </cell>
          <cell r="F141" t="str">
            <v>박건진</v>
          </cell>
          <cell r="G141" t="str">
            <v>110531618208</v>
          </cell>
          <cell r="H141">
            <v>200000</v>
          </cell>
          <cell r="I141" t="str">
            <v>010-2520-9629</v>
          </cell>
        </row>
        <row r="141">
          <cell r="K141" t="str">
            <v>21952</v>
          </cell>
        </row>
        <row r="142">
          <cell r="A142" t="str">
            <v>김도운</v>
          </cell>
          <cell r="B142" t="str">
            <v>울타리공</v>
          </cell>
          <cell r="C142" t="str">
            <v>980424-1042216</v>
          </cell>
          <cell r="D142" t="str">
            <v>경기도 부천시 삼적로 395번길8 502호</v>
          </cell>
        </row>
        <row r="142">
          <cell r="I142" t="str">
            <v>010-4856-8783</v>
          </cell>
        </row>
        <row r="142">
          <cell r="K142" t="str">
            <v>14473</v>
          </cell>
        </row>
        <row r="143">
          <cell r="A143" t="str">
            <v>최진영</v>
          </cell>
          <cell r="B143" t="str">
            <v>울타리공</v>
          </cell>
          <cell r="C143" t="str">
            <v>830808-1273513</v>
          </cell>
          <cell r="D143" t="str">
            <v>경기도 군포시 군포로 767번길 35 </v>
          </cell>
          <cell r="E143" t="str">
            <v>신한</v>
          </cell>
          <cell r="F143" t="str">
            <v>최진영</v>
          </cell>
          <cell r="G143" t="str">
            <v>110309789591</v>
          </cell>
          <cell r="H143">
            <v>165000</v>
          </cell>
          <cell r="I143" t="str">
            <v>010-2537-9954</v>
          </cell>
        </row>
        <row r="143">
          <cell r="K143" t="str">
            <v>15805</v>
          </cell>
        </row>
        <row r="150">
          <cell r="A150" t="str">
            <v>청주건설기계
(오근장지게차,공항지게차)</v>
          </cell>
          <cell r="B150" t="str">
            <v>지게차</v>
          </cell>
          <cell r="C150" t="str">
            <v>490-40-00058</v>
          </cell>
          <cell r="D150" t="str">
            <v>농협010-8574-3343-09</v>
          </cell>
          <cell r="E150" t="str">
            <v>농협</v>
          </cell>
        </row>
        <row r="150">
          <cell r="G150" t="str">
            <v>010-8574-3343-09</v>
          </cell>
          <cell r="H150">
            <v>90000</v>
          </cell>
          <cell r="I150" t="str">
            <v>010-8574-3343</v>
          </cell>
        </row>
        <row r="151">
          <cell r="A151" t="str">
            <v>김학형</v>
          </cell>
        </row>
        <row r="151">
          <cell r="C151" t="str">
            <v>680808-1386718</v>
          </cell>
          <cell r="D151" t="str">
            <v>충북 영동군 영동읍 영동시장1길 32 A동 202호</v>
          </cell>
          <cell r="E151" t="str">
            <v>농협</v>
          </cell>
          <cell r="F151" t="str">
            <v>이성</v>
          </cell>
          <cell r="G151" t="str">
            <v>351-1142-0210-73</v>
          </cell>
          <cell r="H151">
            <v>170000</v>
          </cell>
          <cell r="I151" t="str">
            <v>010-7430-9885</v>
          </cell>
          <cell r="J151" t="str">
            <v>명장인력</v>
          </cell>
          <cell r="K151" t="str">
            <v>29146</v>
          </cell>
        </row>
        <row r="152">
          <cell r="A152" t="str">
            <v>배권</v>
          </cell>
        </row>
        <row r="152">
          <cell r="C152" t="str">
            <v>661120-1386210</v>
          </cell>
          <cell r="D152" t="str">
            <v>충북 영동군 영동읍 상부용로 20 (지평더웰Ⅱ아파트) </v>
          </cell>
          <cell r="E152" t="str">
            <v>농협</v>
          </cell>
          <cell r="F152" t="str">
            <v>이성</v>
          </cell>
          <cell r="G152" t="str">
            <v>351-1142-0210-73</v>
          </cell>
          <cell r="H152">
            <v>150000</v>
          </cell>
          <cell r="I152" t="str">
            <v>010-9979-9238</v>
          </cell>
          <cell r="J152" t="str">
            <v>명장인력</v>
          </cell>
          <cell r="K152" t="str">
            <v>29148</v>
          </cell>
        </row>
        <row r="153">
          <cell r="A153" t="str">
            <v>이상찬</v>
          </cell>
        </row>
        <row r="153">
          <cell r="C153" t="str">
            <v>700201-1386132</v>
          </cell>
          <cell r="D153" t="str">
            <v>충북 영동군 영동읍 영동시장1길 18-3 </v>
          </cell>
          <cell r="E153" t="str">
            <v>농협</v>
          </cell>
          <cell r="F153" t="str">
            <v>이성</v>
          </cell>
          <cell r="G153" t="str">
            <v>351-1142-0210-73</v>
          </cell>
          <cell r="H153">
            <v>170000</v>
          </cell>
          <cell r="I153" t="str">
            <v>010-2804-4792</v>
          </cell>
          <cell r="J153" t="str">
            <v>명장인력</v>
          </cell>
          <cell r="K153" t="str">
            <v>29146</v>
          </cell>
        </row>
        <row r="154">
          <cell r="A154" t="str">
            <v>이효주</v>
          </cell>
        </row>
        <row r="154">
          <cell r="C154" t="str">
            <v>510217-1466413</v>
          </cell>
          <cell r="D154" t="str">
            <v>충북 영동군 영동읍 계산로1길 11 </v>
          </cell>
          <cell r="E154" t="str">
            <v>농협</v>
          </cell>
          <cell r="F154" t="str">
            <v>이성</v>
          </cell>
          <cell r="G154" t="str">
            <v>351-1142-0210-73</v>
          </cell>
          <cell r="H154">
            <v>160000</v>
          </cell>
          <cell r="I154" t="str">
            <v>010-3117-7949</v>
          </cell>
          <cell r="J154" t="str">
            <v>명장인력</v>
          </cell>
          <cell r="K154" t="str">
            <v>29145</v>
          </cell>
        </row>
        <row r="155">
          <cell r="A155" t="str">
            <v>최병길</v>
          </cell>
        </row>
        <row r="155">
          <cell r="C155" t="str">
            <v>511119-1460910</v>
          </cell>
          <cell r="D155" t="str">
            <v>대전광역시 중구 산성동 509-15</v>
          </cell>
          <cell r="E155" t="str">
            <v>농협</v>
          </cell>
          <cell r="F155" t="str">
            <v>최병길</v>
          </cell>
          <cell r="G155" t="str">
            <v>453029-52-022509</v>
          </cell>
          <cell r="H155">
            <v>150000</v>
          </cell>
        </row>
        <row r="155">
          <cell r="J155" t="str">
            <v>석공</v>
          </cell>
        </row>
        <row r="156">
          <cell r="A156" t="str">
            <v>이준우</v>
          </cell>
        </row>
        <row r="156">
          <cell r="C156" t="str">
            <v>520216-1408321</v>
          </cell>
          <cell r="D156" t="str">
            <v>대전광역시 중구 보문산로 157, 마동303호(문화동,동양맨션)</v>
          </cell>
          <cell r="E156" t="str">
            <v>농협</v>
          </cell>
          <cell r="F156" t="str">
            <v>이준우</v>
          </cell>
          <cell r="G156" t="str">
            <v>453029-51-013658</v>
          </cell>
          <cell r="H156">
            <v>150000</v>
          </cell>
        </row>
        <row r="156">
          <cell r="J156" t="str">
            <v>석공</v>
          </cell>
          <cell r="K156" t="str">
            <v>35014</v>
          </cell>
        </row>
        <row r="157">
          <cell r="A157" t="str">
            <v>이성돌</v>
          </cell>
        </row>
        <row r="157">
          <cell r="C157" t="str">
            <v>500414-1408219</v>
          </cell>
          <cell r="D157" t="str">
            <v>대전광역시 중구 대둔산로 414번길 75(산성동)</v>
          </cell>
          <cell r="E157" t="str">
            <v>농협</v>
          </cell>
          <cell r="F157" t="str">
            <v>이성돌</v>
          </cell>
          <cell r="G157" t="str">
            <v>453029-52-260357</v>
          </cell>
          <cell r="H157">
            <v>150000</v>
          </cell>
        </row>
        <row r="157">
          <cell r="J157" t="str">
            <v>석공</v>
          </cell>
          <cell r="K157" t="str">
            <v>35011</v>
          </cell>
        </row>
        <row r="158">
          <cell r="A158" t="str">
            <v>정태성</v>
          </cell>
        </row>
        <row r="158">
          <cell r="C158" t="str">
            <v>660501-1386134</v>
          </cell>
          <cell r="D158" t="str">
            <v>충북 영동군 영동읍 계산로 34-1</v>
          </cell>
          <cell r="E158" t="str">
            <v>농협</v>
          </cell>
          <cell r="F158" t="str">
            <v>정태성</v>
          </cell>
          <cell r="G158" t="str">
            <v>352-1006-9268-83</v>
          </cell>
          <cell r="H158">
            <v>150000</v>
          </cell>
          <cell r="I158" t="str">
            <v>010-5490-9056</v>
          </cell>
          <cell r="J158" t="str">
            <v>석공</v>
          </cell>
          <cell r="K158" t="str">
            <v>29144</v>
          </cell>
        </row>
        <row r="159">
          <cell r="A159" t="str">
            <v>배석득</v>
          </cell>
        </row>
        <row r="159">
          <cell r="C159" t="str">
            <v>501225-1386713</v>
          </cell>
          <cell r="D159" t="str">
            <v>충북 영동군 영동읍 부용7안길 2-13</v>
          </cell>
          <cell r="E159" t="str">
            <v>농협</v>
          </cell>
          <cell r="F159" t="str">
            <v>배석득</v>
          </cell>
          <cell r="G159" t="str">
            <v>356-1479-5477-73</v>
          </cell>
          <cell r="H159">
            <v>150000</v>
          </cell>
          <cell r="I159" t="str">
            <v>010-6580-1303</v>
          </cell>
          <cell r="J159" t="str">
            <v>석공</v>
          </cell>
          <cell r="K159" t="str">
            <v>29149</v>
          </cell>
        </row>
        <row r="160">
          <cell r="A160" t="str">
            <v>최석진</v>
          </cell>
        </row>
        <row r="160">
          <cell r="C160" t="str">
            <v>580324-1652410</v>
          </cell>
          <cell r="D160" t="str">
            <v>대전광역시 동구 동서대로 1579, 101동 1501호(홍도동,홍도@)</v>
          </cell>
          <cell r="E160" t="str">
            <v>하나</v>
          </cell>
          <cell r="F160" t="str">
            <v>최석진</v>
          </cell>
          <cell r="G160" t="str">
            <v>646-910748-77207</v>
          </cell>
          <cell r="H160">
            <v>150000</v>
          </cell>
        </row>
        <row r="160">
          <cell r="J160" t="str">
            <v>석공</v>
          </cell>
          <cell r="K160" t="str">
            <v>34557</v>
          </cell>
        </row>
        <row r="161">
          <cell r="A161" t="str">
            <v>권신홍</v>
          </cell>
        </row>
        <row r="161">
          <cell r="C161" t="str">
            <v>510315-1651218</v>
          </cell>
          <cell r="D161" t="str">
            <v>대전광역시 동구 가양동 149-30</v>
          </cell>
          <cell r="E161" t="str">
            <v>국민</v>
          </cell>
          <cell r="F161" t="str">
            <v>권신흥</v>
          </cell>
          <cell r="G161" t="str">
            <v>845901-22-004565</v>
          </cell>
          <cell r="H161">
            <v>150000</v>
          </cell>
          <cell r="I161" t="str">
            <v>010-4413-4583</v>
          </cell>
          <cell r="J161" t="str">
            <v>석공</v>
          </cell>
          <cell r="K161" t="str">
            <v>34506</v>
          </cell>
        </row>
        <row r="162">
          <cell r="A162" t="str">
            <v>조을순</v>
          </cell>
        </row>
        <row r="162">
          <cell r="C162" t="str">
            <v>560302-2400210</v>
          </cell>
          <cell r="D162" t="str">
            <v>대전광역시 동구 판암동 558-6 국민빌라 301호</v>
          </cell>
          <cell r="E162" t="str">
            <v>농협</v>
          </cell>
          <cell r="F162" t="str">
            <v>조을순</v>
          </cell>
          <cell r="G162" t="str">
            <v>352-0676-2630-53</v>
          </cell>
          <cell r="H162">
            <v>150000</v>
          </cell>
        </row>
        <row r="162">
          <cell r="J162" t="str">
            <v>석공</v>
          </cell>
          <cell r="K162" t="str">
            <v>34670</v>
          </cell>
          <cell r="L162" t="str">
            <v>대전광역시 동구 용운로 80, 309동 1201호(용운동,용방마을@)</v>
          </cell>
          <cell r="M162" t="str">
            <v>조을송</v>
          </cell>
        </row>
        <row r="163">
          <cell r="A163" t="str">
            <v>임종관</v>
          </cell>
        </row>
        <row r="163">
          <cell r="C163" t="str">
            <v>660123-1386716</v>
          </cell>
          <cell r="D163" t="str">
            <v>충북 영동군 양강면 국촌1길10</v>
          </cell>
          <cell r="E163" t="str">
            <v>농협</v>
          </cell>
          <cell r="F163" t="str">
            <v>임종관</v>
          </cell>
          <cell r="G163" t="str">
            <v>352-1734-5415-23</v>
          </cell>
          <cell r="H163">
            <v>150000</v>
          </cell>
          <cell r="I163" t="str">
            <v>010-5483-0500</v>
          </cell>
        </row>
        <row r="163">
          <cell r="K163" t="str">
            <v>29155</v>
          </cell>
        </row>
        <row r="164">
          <cell r="A164" t="str">
            <v>양희옥</v>
          </cell>
        </row>
        <row r="164">
          <cell r="C164" t="str">
            <v>640320-2386922</v>
          </cell>
          <cell r="D164" t="str">
            <v>충북 영동군 양강면 양정리116-6</v>
          </cell>
          <cell r="E164" t="str">
            <v>농협</v>
          </cell>
          <cell r="F164" t="str">
            <v>양희옥</v>
          </cell>
          <cell r="G164" t="str">
            <v>407023-56-010784</v>
          </cell>
          <cell r="H164">
            <v>130000</v>
          </cell>
          <cell r="I164" t="str">
            <v>010-3039-3737</v>
          </cell>
        </row>
        <row r="164">
          <cell r="K164" t="str">
            <v>29156</v>
          </cell>
        </row>
        <row r="165">
          <cell r="A165" t="str">
            <v>김충식</v>
          </cell>
        </row>
        <row r="165">
          <cell r="C165" t="str">
            <v>520618-1384416</v>
          </cell>
          <cell r="D165" t="str">
            <v>충북 청원군 북이면 석성리448-2</v>
          </cell>
          <cell r="E165" t="str">
            <v>농협</v>
          </cell>
          <cell r="F165" t="str">
            <v>김충식</v>
          </cell>
          <cell r="G165" t="str">
            <v>302-0971-3212-91</v>
          </cell>
          <cell r="H165">
            <v>150000</v>
          </cell>
          <cell r="I165" t="str">
            <v>010-5547-6459</v>
          </cell>
        </row>
        <row r="166">
          <cell r="A166" t="str">
            <v>한희열</v>
          </cell>
        </row>
        <row r="166">
          <cell r="C166" t="str">
            <v>590921-1709522</v>
          </cell>
          <cell r="D166" t="str">
            <v>충북 영동군 영동읍 상부용로 7-50, 101동1501호 (지평더웰@)</v>
          </cell>
          <cell r="E166" t="str">
            <v>농협</v>
          </cell>
          <cell r="F166" t="str">
            <v>한희열</v>
          </cell>
          <cell r="G166" t="str">
            <v>356-1123-9590-03</v>
          </cell>
          <cell r="H166">
            <v>150000</v>
          </cell>
          <cell r="I166" t="str">
            <v>010-3976-2700</v>
          </cell>
        </row>
        <row r="166">
          <cell r="K166" t="str">
            <v>29148</v>
          </cell>
        </row>
        <row r="167">
          <cell r="A167" t="str">
            <v>박래화</v>
          </cell>
        </row>
        <row r="167">
          <cell r="C167" t="str">
            <v>470117-1018911</v>
          </cell>
          <cell r="D167" t="str">
            <v>충북 영동군 영동읍 영산로7길 2, 가동 106호(양지연립)</v>
          </cell>
          <cell r="E167" t="str">
            <v>농협</v>
          </cell>
          <cell r="F167" t="str">
            <v>박래화</v>
          </cell>
          <cell r="G167" t="str">
            <v>302-0822-9170-11</v>
          </cell>
          <cell r="H167">
            <v>150000</v>
          </cell>
        </row>
        <row r="167">
          <cell r="K167" t="str">
            <v>29147</v>
          </cell>
        </row>
        <row r="168">
          <cell r="A168" t="str">
            <v>권영안</v>
          </cell>
        </row>
        <row r="168">
          <cell r="C168" t="str">
            <v>570815-1380728</v>
          </cell>
          <cell r="D168" t="str">
            <v>충북 청주시 상당구 중흥로 71 109/1402</v>
          </cell>
          <cell r="E168" t="str">
            <v>농협</v>
          </cell>
          <cell r="F168" t="str">
            <v>권영안</v>
          </cell>
          <cell r="G168" t="str">
            <v>401147-52-151337</v>
          </cell>
          <cell r="H168">
            <v>150000</v>
          </cell>
        </row>
        <row r="168">
          <cell r="K168" t="str">
            <v>28773</v>
          </cell>
        </row>
        <row r="169">
          <cell r="A169" t="str">
            <v>신용철</v>
          </cell>
        </row>
        <row r="169">
          <cell r="C169" t="str">
            <v>651220-1228344</v>
          </cell>
          <cell r="D169" t="str">
            <v>충북 영동군 황간면 신흥1길 8</v>
          </cell>
          <cell r="E169" t="str">
            <v>농협</v>
          </cell>
          <cell r="F169" t="str">
            <v>신용철</v>
          </cell>
          <cell r="G169" t="str">
            <v>356-1329-6202-53</v>
          </cell>
          <cell r="H169">
            <v>150000</v>
          </cell>
        </row>
        <row r="169">
          <cell r="K169" t="str">
            <v>29116</v>
          </cell>
        </row>
        <row r="170">
          <cell r="A170" t="str">
            <v>최영희</v>
          </cell>
        </row>
        <row r="170">
          <cell r="C170" t="str">
            <v>641012-2478918</v>
          </cell>
          <cell r="D170" t="str">
            <v>충북 청주시 흥덕구 수곡동 328 산남주공@ 103동 501호</v>
          </cell>
          <cell r="E170" t="str">
            <v>국민</v>
          </cell>
          <cell r="F170" t="str">
            <v>최영희</v>
          </cell>
          <cell r="G170" t="str">
            <v>709802-01-046029</v>
          </cell>
          <cell r="H170">
            <v>150000</v>
          </cell>
        </row>
        <row r="171">
          <cell r="A171" t="str">
            <v>김재억</v>
          </cell>
        </row>
        <row r="171">
          <cell r="C171" t="str">
            <v>600605-1386718</v>
          </cell>
          <cell r="D171" t="str">
            <v>충북 영동군 양강면 괴목리 411</v>
          </cell>
          <cell r="E171" t="str">
            <v>농협</v>
          </cell>
          <cell r="F171" t="str">
            <v>김재억</v>
          </cell>
          <cell r="G171" t="str">
            <v>356-1337-2458-73</v>
          </cell>
          <cell r="H171">
            <v>150000</v>
          </cell>
          <cell r="I171" t="str">
            <v>010-7415-9300</v>
          </cell>
        </row>
        <row r="171">
          <cell r="K171" t="str">
            <v>29155</v>
          </cell>
          <cell r="L171" t="str">
            <v>사용불가(압류)</v>
          </cell>
        </row>
        <row r="172">
          <cell r="A172" t="str">
            <v>박봉환</v>
          </cell>
          <cell r="B172" t="str">
            <v>보통인부</v>
          </cell>
          <cell r="C172" t="str">
            <v>600713-1182814</v>
          </cell>
          <cell r="D172" t="str">
            <v>경북 김천시 증산면황황2길31-6</v>
          </cell>
          <cell r="E172" t="str">
            <v>우체국</v>
          </cell>
          <cell r="F172" t="str">
            <v>박봉환</v>
          </cell>
          <cell r="G172" t="str">
            <v>312785-02-005538</v>
          </cell>
          <cell r="H172">
            <v>150000</v>
          </cell>
          <cell r="I172" t="str">
            <v>010-8803-3163</v>
          </cell>
        </row>
        <row r="172">
          <cell r="L172" t="str">
            <v>사용불가(사용직)</v>
          </cell>
        </row>
        <row r="173">
          <cell r="A173" t="str">
            <v>김기면</v>
          </cell>
          <cell r="B173" t="str">
            <v>보통인부</v>
          </cell>
          <cell r="C173" t="str">
            <v>601010-1386125</v>
          </cell>
          <cell r="D173" t="str">
            <v>청주시 서원구 구룡산로 275-13,408동306호</v>
          </cell>
          <cell r="E173" t="str">
            <v>농협</v>
          </cell>
          <cell r="F173" t="str">
            <v>김기면</v>
          </cell>
          <cell r="G173" t="str">
            <v>356-0677-4691-13</v>
          </cell>
          <cell r="H173">
            <v>150000</v>
          </cell>
        </row>
        <row r="173">
          <cell r="K173" t="str">
            <v>28683</v>
          </cell>
          <cell r="L173" t="str">
            <v>사용불가(사용직)</v>
          </cell>
        </row>
      </sheetData>
      <sheetData sheetId="17"/>
      <sheetData sheetId="18"/>
      <sheetData sheetId="19"/>
      <sheetData sheetId="20"/>
      <sheetData sheetId="2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지출결의서"/>
      <sheetName val="청구리스트"/>
      <sheetName val=" 노무비"/>
      <sheetName val="7월-형틀"/>
      <sheetName val="직영노임"/>
      <sheetName val="외주비"/>
      <sheetName val="자재비"/>
      <sheetName val="중기비"/>
      <sheetName val="장비출력"/>
      <sheetName val="경비"/>
      <sheetName val="경비사용(법카)"/>
      <sheetName val="업체계좌"/>
      <sheetName val="Sheet1"/>
      <sheetName val="Sheet2"/>
      <sheetName val="대정-2"/>
      <sheetName val="직영노임 (22-공-경계~~~)"/>
      <sheetName val="일용직명단"/>
      <sheetName val="현장관련업체"/>
      <sheetName val="특고직"/>
      <sheetName val="Sheet5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A3" t="str">
            <v>오정만</v>
          </cell>
          <cell r="B3" t="str">
            <v>직영인부</v>
          </cell>
          <cell r="C3" t="str">
            <v>520205-1057335</v>
          </cell>
          <cell r="D3" t="str">
            <v>충북 영동군 학산면 모산1길 16-14</v>
          </cell>
          <cell r="E3" t="str">
            <v>농협</v>
          </cell>
          <cell r="F3" t="str">
            <v>오정만</v>
          </cell>
          <cell r="G3" t="str">
            <v>302-0809-4379-11</v>
          </cell>
          <cell r="H3">
            <v>120000</v>
          </cell>
          <cell r="I3" t="str">
            <v>010-5334-6133</v>
          </cell>
        </row>
        <row r="3">
          <cell r="K3" t="str">
            <v>29164</v>
          </cell>
        </row>
        <row r="4">
          <cell r="A4" t="str">
            <v>금걸</v>
          </cell>
          <cell r="B4" t="str">
            <v>보통인부</v>
          </cell>
          <cell r="C4" t="str">
            <v>640415-1384716</v>
          </cell>
          <cell r="D4" t="str">
            <v>충북 옥천군 이원면 건진리 630-8</v>
          </cell>
          <cell r="E4" t="str">
            <v>국민</v>
          </cell>
          <cell r="F4" t="str">
            <v>금걸</v>
          </cell>
          <cell r="G4" t="str">
            <v> 405-21-0020-797</v>
          </cell>
          <cell r="H4">
            <v>160000</v>
          </cell>
          <cell r="I4" t="str">
            <v>010-9207-4425</v>
          </cell>
        </row>
        <row r="4">
          <cell r="K4" t="str">
            <v>29061</v>
          </cell>
        </row>
        <row r="5">
          <cell r="A5" t="str">
            <v>주도현</v>
          </cell>
          <cell r="B5" t="str">
            <v>보통인부</v>
          </cell>
          <cell r="C5" t="str">
            <v>990511-1384718</v>
          </cell>
          <cell r="D5" t="str">
            <v> 충북 옥천군 이원면 지탄6길 24</v>
          </cell>
          <cell r="E5" t="str">
            <v>농협</v>
          </cell>
          <cell r="F5" t="str">
            <v>주도현</v>
          </cell>
          <cell r="G5" t="str">
            <v> 351-1021-5063-63</v>
          </cell>
          <cell r="H5">
            <v>120000</v>
          </cell>
          <cell r="I5" t="str">
            <v>010-5402-6851</v>
          </cell>
        </row>
        <row r="5">
          <cell r="K5" t="str">
            <v>29062</v>
          </cell>
        </row>
        <row r="6">
          <cell r="A6" t="str">
            <v>채청기</v>
          </cell>
          <cell r="B6" t="str">
            <v>작업반장</v>
          </cell>
          <cell r="C6" t="str">
            <v>611117-1644319</v>
          </cell>
          <cell r="D6" t="str">
            <v> 충북 영동군 매천1길 11-10</v>
          </cell>
          <cell r="E6" t="str">
            <v>농협</v>
          </cell>
          <cell r="F6" t="str">
            <v>채청기</v>
          </cell>
          <cell r="G6" t="str">
            <v>403063-51-043152</v>
          </cell>
          <cell r="H6">
            <v>200000</v>
          </cell>
          <cell r="I6" t="str">
            <v>010-7357-9166</v>
          </cell>
        </row>
        <row r="7">
          <cell r="A7" t="str">
            <v>채성진</v>
          </cell>
          <cell r="B7" t="str">
            <v>보통인부</v>
          </cell>
          <cell r="C7" t="str">
            <v>930707-1386119</v>
          </cell>
          <cell r="D7" t="str">
            <v> 충북 영동군 영동읍 매천1길 11-10</v>
          </cell>
          <cell r="E7" t="str">
            <v>농협</v>
          </cell>
          <cell r="F7" t="str">
            <v>채성진</v>
          </cell>
          <cell r="G7" t="str">
            <v>356-0214-5208-83</v>
          </cell>
          <cell r="H7">
            <v>140000</v>
          </cell>
          <cell r="I7" t="str">
            <v>010-2842-9171</v>
          </cell>
        </row>
        <row r="7">
          <cell r="K7" t="str">
            <v>29150</v>
          </cell>
        </row>
        <row r="8">
          <cell r="A8" t="str">
            <v>이준호</v>
          </cell>
          <cell r="B8" t="str">
            <v>보통인부</v>
          </cell>
          <cell r="C8" t="str">
            <v>680526-1167726</v>
          </cell>
          <cell r="D8" t="str">
            <v> 충북 영동군 영동읍 성안길 20-7</v>
          </cell>
          <cell r="E8" t="str">
            <v>농협</v>
          </cell>
          <cell r="F8" t="str">
            <v>이준호</v>
          </cell>
          <cell r="G8" t="str">
            <v>356-0927-9268-73</v>
          </cell>
          <cell r="H8">
            <v>160000</v>
          </cell>
          <cell r="I8" t="str">
            <v>010-7324-3090</v>
          </cell>
        </row>
        <row r="8">
          <cell r="K8" t="str">
            <v>29149</v>
          </cell>
        </row>
        <row r="9">
          <cell r="A9" t="str">
            <v>박희석</v>
          </cell>
          <cell r="B9" t="str">
            <v>목공</v>
          </cell>
          <cell r="C9" t="str">
            <v>620320-1386717</v>
          </cell>
          <cell r="D9" t="str">
            <v> 충북 영동군 양강면 남전2안길 4-16</v>
          </cell>
          <cell r="E9" t="str">
            <v>농협</v>
          </cell>
          <cell r="F9" t="str">
            <v>박희석</v>
          </cell>
          <cell r="G9" t="str">
            <v>407023-52-023453</v>
          </cell>
          <cell r="H9">
            <v>180000</v>
          </cell>
          <cell r="I9" t="str">
            <v>010-3033-5024</v>
          </cell>
        </row>
        <row r="9">
          <cell r="K9" t="str">
            <v>29155</v>
          </cell>
        </row>
        <row r="10">
          <cell r="A10" t="str">
            <v>박희원</v>
          </cell>
          <cell r="B10" t="str">
            <v>목공</v>
          </cell>
          <cell r="C10" t="str">
            <v>591208-1386711</v>
          </cell>
          <cell r="D10" t="str">
            <v> 충북 영동군 양강면 남전2안길 4-17</v>
          </cell>
          <cell r="E10" t="str">
            <v>농협</v>
          </cell>
          <cell r="F10" t="str">
            <v>박희원</v>
          </cell>
          <cell r="G10" t="str">
            <v>352-1445-5223-63</v>
          </cell>
          <cell r="H10">
            <v>180000</v>
          </cell>
          <cell r="I10" t="str">
            <v>010-5461-8445</v>
          </cell>
        </row>
        <row r="10">
          <cell r="K10" t="str">
            <v>29155</v>
          </cell>
        </row>
        <row r="11">
          <cell r="A11" t="str">
            <v>김주열</v>
          </cell>
          <cell r="B11" t="str">
            <v>철근공</v>
          </cell>
          <cell r="C11" t="str">
            <v>661109-1384112</v>
          </cell>
          <cell r="D11" t="str">
            <v>충북 옥천군 옥천읍 관성로 29</v>
          </cell>
          <cell r="E11" t="str">
            <v>중소기업</v>
          </cell>
          <cell r="F11" t="str">
            <v>김주열</v>
          </cell>
          <cell r="G11" t="str">
            <v>010-5454-1383</v>
          </cell>
          <cell r="H11">
            <v>240000</v>
          </cell>
          <cell r="I11" t="str">
            <v>010-5454-1383</v>
          </cell>
        </row>
        <row r="11">
          <cell r="K11" t="str">
            <v>29039</v>
          </cell>
        </row>
        <row r="12">
          <cell r="A12" t="str">
            <v>김덕환</v>
          </cell>
          <cell r="B12" t="str">
            <v>철근공</v>
          </cell>
          <cell r="C12" t="str">
            <v>671203-1386930</v>
          </cell>
          <cell r="D12" t="str">
            <v>충북 옥천군 옥천읍 신기4길16,a동102</v>
          </cell>
          <cell r="E12" t="str">
            <v>농협</v>
          </cell>
          <cell r="F12" t="str">
            <v>김덕환</v>
          </cell>
          <cell r="G12" t="str">
            <v>356-0961-2797-13</v>
          </cell>
          <cell r="H12">
            <v>200000</v>
          </cell>
          <cell r="I12" t="str">
            <v>010-9422-5581</v>
          </cell>
        </row>
        <row r="13">
          <cell r="B13" t="str">
            <v>철근공</v>
          </cell>
          <cell r="C13" t="str">
            <v>740215-1384136</v>
          </cell>
          <cell r="D13" t="str">
            <v>충북 옥천군 옥천읍 성신로21-10</v>
          </cell>
          <cell r="E13" t="str">
            <v>농협</v>
          </cell>
        </row>
        <row r="13">
          <cell r="G13" t="str">
            <v>317-02-252767</v>
          </cell>
          <cell r="H13">
            <v>240000</v>
          </cell>
          <cell r="I13" t="str">
            <v>010-4569-4810</v>
          </cell>
        </row>
        <row r="13">
          <cell r="K13" t="str">
            <v>29048</v>
          </cell>
          <cell r="L13" t="str">
            <v>김동진</v>
          </cell>
        </row>
        <row r="14">
          <cell r="A14" t="str">
            <v>이영철</v>
          </cell>
          <cell r="B14" t="str">
            <v>철근공</v>
          </cell>
          <cell r="C14" t="str">
            <v>650222-1384139</v>
          </cell>
          <cell r="D14" t="str">
            <v>충북 옥천군 옥천읍 가화3길18,101동105호</v>
          </cell>
          <cell r="E14" t="str">
            <v>농협</v>
          </cell>
          <cell r="F14" t="str">
            <v>이영철</v>
          </cell>
          <cell r="G14" t="str">
            <v>317-12-395296</v>
          </cell>
          <cell r="H14">
            <v>240000</v>
          </cell>
          <cell r="I14" t="str">
            <v>010-5405-3976</v>
          </cell>
        </row>
        <row r="14">
          <cell r="K14" t="str">
            <v>29034</v>
          </cell>
        </row>
        <row r="15">
          <cell r="A15" t="str">
            <v>박용옥</v>
          </cell>
          <cell r="B15" t="str">
            <v>철근공</v>
          </cell>
          <cell r="C15" t="str">
            <v>580304-1384211</v>
          </cell>
          <cell r="D15" t="str">
            <v>충북 옥천군 옥천읍 금구리18-2</v>
          </cell>
          <cell r="E15" t="str">
            <v>농협</v>
          </cell>
          <cell r="F15" t="str">
            <v>박용옥</v>
          </cell>
          <cell r="G15" t="str">
            <v>317-12-351368</v>
          </cell>
          <cell r="H15">
            <v>240000</v>
          </cell>
          <cell r="I15" t="str">
            <v>010-6438-1661</v>
          </cell>
        </row>
        <row r="15">
          <cell r="K15" t="str">
            <v>29046</v>
          </cell>
        </row>
        <row r="16">
          <cell r="A16" t="str">
            <v>박종복</v>
          </cell>
          <cell r="B16" t="str">
            <v>철근공</v>
          </cell>
          <cell r="C16" t="str">
            <v>561005-1384211</v>
          </cell>
          <cell r="D16" t="str">
            <v>충북 옥천군 옥천읍 동부로16,102동901</v>
          </cell>
          <cell r="E16" t="str">
            <v>농협</v>
          </cell>
          <cell r="F16" t="str">
            <v>박종복</v>
          </cell>
          <cell r="G16" t="str">
            <v>302-0299-7809-11</v>
          </cell>
          <cell r="H16">
            <v>240000</v>
          </cell>
          <cell r="I16" t="str">
            <v>010-5457-5297</v>
          </cell>
        </row>
        <row r="16">
          <cell r="K16" t="str">
            <v>29039</v>
          </cell>
        </row>
        <row r="17">
          <cell r="A17" t="str">
            <v>김일용</v>
          </cell>
          <cell r="B17" t="str">
            <v>철근공</v>
          </cell>
          <cell r="C17" t="str">
            <v>580211-1403112</v>
          </cell>
          <cell r="D17" t="str">
            <v>충북 옥천군 옥천읍 신기4길18,나동201호</v>
          </cell>
          <cell r="E17" t="str">
            <v>새마을금고</v>
          </cell>
          <cell r="F17" t="str">
            <v>김일용</v>
          </cell>
          <cell r="G17" t="str">
            <v>9003-2149-2059-6</v>
          </cell>
          <cell r="H17">
            <v>200000</v>
          </cell>
          <cell r="I17" t="str">
            <v>010-9439-5026</v>
          </cell>
        </row>
        <row r="17">
          <cell r="K17" t="str">
            <v>29049</v>
          </cell>
        </row>
        <row r="18">
          <cell r="A18" t="str">
            <v>김일호</v>
          </cell>
          <cell r="B18" t="str">
            <v>보통인부</v>
          </cell>
          <cell r="C18" t="str">
            <v>600413-1386324</v>
          </cell>
          <cell r="D18" t="str">
            <v>충북 영동군 황간면 마산리109</v>
          </cell>
          <cell r="E18" t="str">
            <v>농협</v>
          </cell>
          <cell r="F18" t="str">
            <v>김일호</v>
          </cell>
          <cell r="G18" t="str">
            <v>407089-52-142573</v>
          </cell>
          <cell r="H18">
            <v>130000</v>
          </cell>
          <cell r="I18" t="str">
            <v>010-3060-5145</v>
          </cell>
        </row>
        <row r="18">
          <cell r="K18" t="str">
            <v>29114</v>
          </cell>
        </row>
        <row r="19">
          <cell r="A19" t="str">
            <v>정재인</v>
          </cell>
          <cell r="B19" t="str">
            <v>목공</v>
          </cell>
          <cell r="C19" t="str">
            <v>580217-1384115</v>
          </cell>
          <cell r="D19" t="str">
            <v>충북 옥천군 옥천읍 성신로27B동101호</v>
          </cell>
          <cell r="E19" t="str">
            <v>농협</v>
          </cell>
          <cell r="F19" t="str">
            <v>정재인</v>
          </cell>
          <cell r="G19" t="str">
            <v>405010-51-123375</v>
          </cell>
          <cell r="H19">
            <v>200000</v>
          </cell>
          <cell r="I19" t="str">
            <v>010-5493-3436</v>
          </cell>
        </row>
        <row r="20">
          <cell r="A20" t="str">
            <v>정백교</v>
          </cell>
          <cell r="B20" t="str">
            <v>목공</v>
          </cell>
          <cell r="C20" t="str">
            <v>561220-1812524</v>
          </cell>
          <cell r="D20" t="str">
            <v>대전광역시 동구 대동 33-119</v>
          </cell>
          <cell r="E20" t="str">
            <v>국민</v>
          </cell>
          <cell r="F20" t="str">
            <v>정백교</v>
          </cell>
          <cell r="G20" t="str">
            <v>734402-01-012660</v>
          </cell>
          <cell r="H20">
            <v>200000</v>
          </cell>
          <cell r="I20" t="str">
            <v>010-5408-8423</v>
          </cell>
        </row>
        <row r="20">
          <cell r="K20" t="str">
            <v>34657</v>
          </cell>
        </row>
        <row r="21">
          <cell r="A21" t="str">
            <v>공양록</v>
          </cell>
          <cell r="B21" t="str">
            <v>목공</v>
          </cell>
          <cell r="C21" t="str">
            <v>570505-1384112</v>
          </cell>
          <cell r="D21" t="str">
            <v>충북 옥천군 옥천읍 대천557-1   25</v>
          </cell>
          <cell r="E21" t="str">
            <v>국민</v>
          </cell>
          <cell r="F21" t="str">
            <v>공양록</v>
          </cell>
          <cell r="G21" t="str">
            <v>405-21-0588-793</v>
          </cell>
          <cell r="H21">
            <v>200000</v>
          </cell>
          <cell r="I21" t="str">
            <v>010-3456-5927</v>
          </cell>
        </row>
        <row r="22">
          <cell r="A22" t="str">
            <v>이정열</v>
          </cell>
          <cell r="B22" t="str">
            <v>목공</v>
          </cell>
          <cell r="C22" t="str">
            <v>590820-1384819</v>
          </cell>
          <cell r="D22" t="str">
            <v>충북 옥천군 옥천읍 중앙로2길24</v>
          </cell>
          <cell r="E22" t="str">
            <v>농협</v>
          </cell>
          <cell r="F22" t="str">
            <v>이정열</v>
          </cell>
          <cell r="G22" t="str">
            <v>356-1330-1383-03</v>
          </cell>
          <cell r="H22">
            <v>200000</v>
          </cell>
          <cell r="I22" t="str">
            <v>011-464-4388</v>
          </cell>
        </row>
        <row r="22">
          <cell r="K22" t="str">
            <v>29047</v>
          </cell>
        </row>
        <row r="23">
          <cell r="A23" t="str">
            <v>정경섭</v>
          </cell>
          <cell r="B23" t="str">
            <v>목공</v>
          </cell>
          <cell r="C23" t="str">
            <v>580319-1254218</v>
          </cell>
          <cell r="D23" t="str">
            <v>충북 옥천군 동이면 남곡리151</v>
          </cell>
          <cell r="E23" t="str">
            <v>농협</v>
          </cell>
          <cell r="F23" t="str">
            <v>정경섭</v>
          </cell>
          <cell r="G23" t="str">
            <v>173128-52-132419</v>
          </cell>
          <cell r="H23">
            <v>200000</v>
          </cell>
          <cell r="I23" t="str">
            <v>010-8808-1863</v>
          </cell>
        </row>
        <row r="23">
          <cell r="K23" t="str">
            <v>29021</v>
          </cell>
        </row>
        <row r="24">
          <cell r="A24" t="str">
            <v>이종선</v>
          </cell>
          <cell r="B24" t="str">
            <v>목공</v>
          </cell>
          <cell r="C24" t="str">
            <v>620315-1382711</v>
          </cell>
          <cell r="D24" t="str">
            <v>충북 보은군 수한면 차정리99-1</v>
          </cell>
          <cell r="E24" t="str">
            <v>농협</v>
          </cell>
          <cell r="F24" t="str">
            <v>이종선</v>
          </cell>
          <cell r="G24" t="str">
            <v>356-0638-7963-13</v>
          </cell>
          <cell r="H24">
            <v>200000</v>
          </cell>
          <cell r="I24" t="str">
            <v>010-3456-5927</v>
          </cell>
        </row>
        <row r="24">
          <cell r="K24" t="str">
            <v>28919</v>
          </cell>
        </row>
        <row r="25">
          <cell r="A25" t="str">
            <v>황인호</v>
          </cell>
          <cell r="B25" t="str">
            <v>목공</v>
          </cell>
          <cell r="C25" t="str">
            <v>570625-1384117</v>
          </cell>
          <cell r="D25" t="str">
            <v>대전 동구 자양35-14</v>
          </cell>
          <cell r="E25" t="str">
            <v>농협</v>
          </cell>
          <cell r="F25" t="str">
            <v>황인호</v>
          </cell>
          <cell r="G25" t="str">
            <v>356-1420-1868-53</v>
          </cell>
          <cell r="H25">
            <v>200000</v>
          </cell>
          <cell r="I25" t="str">
            <v>010-9874-7747</v>
          </cell>
        </row>
        <row r="26">
          <cell r="A26" t="str">
            <v>공양호</v>
          </cell>
          <cell r="B26" t="str">
            <v>목공</v>
          </cell>
          <cell r="C26" t="str">
            <v>620302-1384112</v>
          </cell>
          <cell r="D26" t="str">
            <v>충북 옥천군 옥천읍 장이1길1005호</v>
          </cell>
          <cell r="E26" t="str">
            <v>농협</v>
          </cell>
          <cell r="F26" t="str">
            <v>공양호</v>
          </cell>
          <cell r="G26" t="str">
            <v>356-1307-5702-93</v>
          </cell>
          <cell r="H26">
            <v>200000</v>
          </cell>
          <cell r="I26" t="str">
            <v>010-5450-2276</v>
          </cell>
        </row>
        <row r="27">
          <cell r="A27" t="str">
            <v>김홍성</v>
          </cell>
          <cell r="B27" t="str">
            <v>목공</v>
          </cell>
          <cell r="C27" t="str">
            <v>490418-1447611</v>
          </cell>
          <cell r="D27" t="str">
            <v>대전 대덕구 대덕대로1601번길40</v>
          </cell>
          <cell r="E27" t="str">
            <v>농협</v>
          </cell>
          <cell r="F27" t="str">
            <v>김홍성</v>
          </cell>
          <cell r="G27" t="str">
            <v>352-1448-3038-13</v>
          </cell>
          <cell r="H27">
            <v>200000</v>
          </cell>
          <cell r="I27" t="str">
            <v>010-5609-4913</v>
          </cell>
        </row>
        <row r="27">
          <cell r="K27" t="str">
            <v>34305</v>
          </cell>
        </row>
        <row r="28">
          <cell r="A28" t="str">
            <v>남상길</v>
          </cell>
          <cell r="B28" t="str">
            <v>목공</v>
          </cell>
          <cell r="C28" t="str">
            <v>550719-1805215</v>
          </cell>
          <cell r="D28" t="str">
            <v>충북 옥천군 옥천읍 서정1길5-40</v>
          </cell>
          <cell r="E28" t="str">
            <v>농협</v>
          </cell>
          <cell r="F28" t="str">
            <v>남상길</v>
          </cell>
          <cell r="G28" t="str">
            <v>356-1314-4411-13</v>
          </cell>
          <cell r="H28">
            <v>200000</v>
          </cell>
          <cell r="I28" t="str">
            <v>010-8826-8939</v>
          </cell>
        </row>
        <row r="28">
          <cell r="K28" t="str">
            <v>29025</v>
          </cell>
        </row>
        <row r="29">
          <cell r="A29" t="str">
            <v>최성환</v>
          </cell>
          <cell r="B29" t="str">
            <v>철근공</v>
          </cell>
          <cell r="C29" t="str">
            <v>660710-1386211</v>
          </cell>
          <cell r="D29" t="str">
            <v>충북 옥천군 옥천읍 삼양로2길 6-4</v>
          </cell>
          <cell r="E29" t="str">
            <v>중소기업</v>
          </cell>
          <cell r="F29" t="str">
            <v>최성환</v>
          </cell>
          <cell r="G29" t="str">
            <v>570-000536-02-026</v>
          </cell>
          <cell r="H29">
            <v>200000</v>
          </cell>
          <cell r="I29" t="str">
            <v>010-6641-6613</v>
          </cell>
        </row>
        <row r="29">
          <cell r="K29" t="str">
            <v>29032</v>
          </cell>
        </row>
        <row r="30">
          <cell r="A30" t="str">
            <v>진수영</v>
          </cell>
          <cell r="B30" t="str">
            <v>철근공</v>
          </cell>
          <cell r="C30" t="str">
            <v>550928-1384216</v>
          </cell>
          <cell r="D30" t="str">
            <v>충북 옥천군 동이면 무산리657</v>
          </cell>
          <cell r="E30" t="str">
            <v>신협</v>
          </cell>
          <cell r="F30" t="str">
            <v>진수영</v>
          </cell>
          <cell r="G30" t="str">
            <v>131-015-480063</v>
          </cell>
          <cell r="H30">
            <v>200000</v>
          </cell>
          <cell r="I30" t="str">
            <v>010-4352-2174</v>
          </cell>
        </row>
        <row r="31">
          <cell r="A31" t="str">
            <v>김종덕</v>
          </cell>
          <cell r="B31" t="str">
            <v>철근공</v>
          </cell>
          <cell r="C31" t="str">
            <v>551120-1449514</v>
          </cell>
          <cell r="D31" t="str">
            <v>대전 광역시 중구 유천동 340-51</v>
          </cell>
          <cell r="E31" t="str">
            <v>국민</v>
          </cell>
          <cell r="F31" t="str">
            <v>김종덕</v>
          </cell>
          <cell r="G31" t="str">
            <v>460001-04-016552</v>
          </cell>
          <cell r="H31">
            <v>200000</v>
          </cell>
          <cell r="I31" t="str">
            <v>010-3418-1669</v>
          </cell>
        </row>
        <row r="32">
          <cell r="A32" t="str">
            <v>김용근</v>
          </cell>
          <cell r="B32" t="str">
            <v>철근공</v>
          </cell>
          <cell r="C32" t="str">
            <v>491010-1403113</v>
          </cell>
          <cell r="D32" t="str">
            <v>충북 옥천군 동이면 무산리658</v>
          </cell>
          <cell r="E32" t="str">
            <v>국민</v>
          </cell>
          <cell r="F32" t="str">
            <v>김용근</v>
          </cell>
          <cell r="G32" t="str">
            <v>740902-93-109270</v>
          </cell>
          <cell r="H32">
            <v>200000</v>
          </cell>
          <cell r="I32" t="str">
            <v>010-5456-3529</v>
          </cell>
        </row>
        <row r="33">
          <cell r="A33" t="str">
            <v>윤진한</v>
          </cell>
          <cell r="B33" t="str">
            <v>석공</v>
          </cell>
          <cell r="C33" t="str">
            <v>760224-1386921</v>
          </cell>
          <cell r="D33" t="str">
            <v>충북 영동군 영동읍 계산리 197-2</v>
          </cell>
          <cell r="E33" t="str">
            <v>농협</v>
          </cell>
          <cell r="F33" t="str">
            <v>윤진한</v>
          </cell>
          <cell r="G33" t="str">
            <v>356-0991-0651-23</v>
          </cell>
          <cell r="H33">
            <v>250000</v>
          </cell>
          <cell r="I33" t="str">
            <v>010-7360-3345</v>
          </cell>
        </row>
        <row r="33">
          <cell r="K33" t="str">
            <v>29139</v>
          </cell>
        </row>
        <row r="34">
          <cell r="A34" t="str">
            <v>권오득</v>
          </cell>
          <cell r="B34" t="str">
            <v>보통인부</v>
          </cell>
          <cell r="C34" t="str">
            <v>640529-1386416</v>
          </cell>
          <cell r="D34" t="str">
            <v>충북영동군추풍령면추풍령로9길10-2</v>
          </cell>
          <cell r="E34" t="str">
            <v>농협</v>
          </cell>
          <cell r="F34" t="str">
            <v>권오득</v>
          </cell>
          <cell r="G34" t="str">
            <v>352-1857-0983-23</v>
          </cell>
          <cell r="H34">
            <v>150000</v>
          </cell>
          <cell r="I34" t="str">
            <v>010-9133-8928</v>
          </cell>
        </row>
        <row r="35">
          <cell r="A35" t="str">
            <v>손석래</v>
          </cell>
          <cell r="B35" t="str">
            <v>보통인부</v>
          </cell>
          <cell r="C35" t="str">
            <v>600404-1386121</v>
          </cell>
          <cell r="D35" t="str">
            <v>충북 영동군 영동읍 새심길18,1004호 조한드림플러스@</v>
          </cell>
          <cell r="E35" t="str">
            <v>농협</v>
          </cell>
          <cell r="F35" t="str">
            <v>손석래</v>
          </cell>
          <cell r="G35" t="str">
            <v>356-1493-9522-63</v>
          </cell>
          <cell r="H35">
            <v>160000</v>
          </cell>
          <cell r="I35" t="str">
            <v>043-744-5228</v>
          </cell>
        </row>
        <row r="35">
          <cell r="K35" t="str">
            <v>29142</v>
          </cell>
        </row>
        <row r="36">
          <cell r="A36" t="str">
            <v>조운규</v>
          </cell>
          <cell r="B36" t="str">
            <v>특별인부</v>
          </cell>
          <cell r="C36" t="str">
            <v>650305-1386131</v>
          </cell>
          <cell r="D36" t="str">
            <v>충북 영동군 영동읍 금동안길 60</v>
          </cell>
          <cell r="E36" t="str">
            <v>우체국</v>
          </cell>
          <cell r="F36" t="str">
            <v>조운규</v>
          </cell>
          <cell r="G36" t="str">
            <v>301515-02-022804</v>
          </cell>
          <cell r="H36">
            <v>170000</v>
          </cell>
          <cell r="I36" t="str">
            <v>010-8343-0468</v>
          </cell>
        </row>
        <row r="36">
          <cell r="K36" t="str">
            <v>29138</v>
          </cell>
        </row>
        <row r="37">
          <cell r="A37" t="str">
            <v>강희종</v>
          </cell>
          <cell r="B37" t="str">
            <v>단순노무자</v>
          </cell>
          <cell r="C37" t="str">
            <v>540612-1400325</v>
          </cell>
          <cell r="D37" t="str">
            <v>충북 영동군 추풍령면 추풍령로5안길8</v>
          </cell>
          <cell r="E37" t="str">
            <v>농협</v>
          </cell>
          <cell r="F37" t="str">
            <v>강희종</v>
          </cell>
          <cell r="G37" t="str">
            <v>351-1142-0210-73</v>
          </cell>
          <cell r="H37">
            <v>130000</v>
          </cell>
          <cell r="I37" t="str">
            <v>010-5028-0656</v>
          </cell>
          <cell r="J37" t="str">
            <v>명장인력</v>
          </cell>
          <cell r="K37" t="str">
            <v>29120</v>
          </cell>
        </row>
        <row r="38">
          <cell r="A38" t="str">
            <v>김기필</v>
          </cell>
          <cell r="B38" t="str">
            <v>단순노무자</v>
          </cell>
          <cell r="C38" t="str">
            <v>611022-1386251</v>
          </cell>
          <cell r="D38" t="str">
            <v>충북 영동군 용산면 금곡3길 19</v>
          </cell>
          <cell r="E38" t="str">
            <v>농협</v>
          </cell>
          <cell r="F38" t="str">
            <v>김기필</v>
          </cell>
          <cell r="G38" t="str">
            <v>351-1142-0210-73</v>
          </cell>
          <cell r="H38">
            <v>150000</v>
          </cell>
          <cell r="I38" t="str">
            <v>010-6428-8990</v>
          </cell>
          <cell r="J38" t="str">
            <v>명장인력</v>
          </cell>
          <cell r="K38" t="str">
            <v>29100</v>
          </cell>
        </row>
        <row r="39">
          <cell r="A39" t="str">
            <v>윤석률</v>
          </cell>
          <cell r="B39" t="str">
            <v>단순노무자</v>
          </cell>
          <cell r="C39" t="str">
            <v>681215-1384614</v>
          </cell>
          <cell r="D39" t="str">
            <v>충북 옥천군 청산면 효목1길 83</v>
          </cell>
          <cell r="E39" t="str">
            <v>농협</v>
          </cell>
          <cell r="F39" t="str">
            <v>윤석률</v>
          </cell>
          <cell r="G39" t="str">
            <v>351-1142-0210-73</v>
          </cell>
          <cell r="H39">
            <v>150000</v>
          </cell>
          <cell r="I39" t="str">
            <v>010-3425-9337</v>
          </cell>
          <cell r="J39" t="str">
            <v>명장인력</v>
          </cell>
          <cell r="K39" t="str">
            <v>29015</v>
          </cell>
        </row>
        <row r="40">
          <cell r="A40" t="str">
            <v>전근성</v>
          </cell>
          <cell r="B40" t="str">
            <v>단순노무자</v>
          </cell>
          <cell r="C40" t="str">
            <v>721105-1386912</v>
          </cell>
          <cell r="D40" t="str">
            <v>충북 영동군 학산면 모정길 78</v>
          </cell>
          <cell r="E40" t="str">
            <v>농협</v>
          </cell>
          <cell r="F40" t="str">
            <v>전근성</v>
          </cell>
          <cell r="G40" t="str">
            <v>351-1142-0210-73</v>
          </cell>
          <cell r="H40">
            <v>150000</v>
          </cell>
          <cell r="I40" t="str">
            <v>010-3405-4114</v>
          </cell>
          <cell r="J40" t="str">
            <v>명장인력</v>
          </cell>
          <cell r="K40" t="str">
            <v>29165</v>
          </cell>
        </row>
        <row r="41">
          <cell r="A41" t="str">
            <v>김병호</v>
          </cell>
          <cell r="B41" t="str">
            <v>철근공</v>
          </cell>
          <cell r="C41" t="str">
            <v>921202-1058619</v>
          </cell>
          <cell r="D41" t="str">
            <v>충북 옥천군 옥천읍 관성로 29</v>
          </cell>
          <cell r="E41" t="str">
            <v>우체국</v>
          </cell>
          <cell r="F41" t="str">
            <v>김병호</v>
          </cell>
          <cell r="G41" t="str">
            <v>300111-02-297282</v>
          </cell>
          <cell r="H41">
            <v>200000</v>
          </cell>
          <cell r="I41" t="str">
            <v>010-4904-9092</v>
          </cell>
        </row>
        <row r="41">
          <cell r="K41" t="str">
            <v>29039</v>
          </cell>
        </row>
        <row r="42">
          <cell r="A42" t="str">
            <v>최동섭</v>
          </cell>
          <cell r="B42" t="str">
            <v>특별인부</v>
          </cell>
          <cell r="C42" t="str">
            <v>670211-1386119</v>
          </cell>
          <cell r="D42" t="str">
            <v>충북 영동군 영동읍 부용7안길7-1</v>
          </cell>
          <cell r="E42" t="str">
            <v>농협</v>
          </cell>
          <cell r="F42" t="str">
            <v>최동섭</v>
          </cell>
          <cell r="G42" t="str">
            <v>173173-52-042958</v>
          </cell>
          <cell r="H42">
            <v>170000</v>
          </cell>
          <cell r="I42" t="str">
            <v>010-4114-2902</v>
          </cell>
        </row>
        <row r="42">
          <cell r="K42" t="str">
            <v>29149</v>
          </cell>
        </row>
        <row r="43">
          <cell r="A43" t="str">
            <v>김영환</v>
          </cell>
          <cell r="B43" t="str">
            <v>보통인부</v>
          </cell>
          <cell r="C43" t="str">
            <v>600925-1386115</v>
          </cell>
          <cell r="D43" t="str">
            <v>충북 영동군 영동읍 계산리 426-1</v>
          </cell>
          <cell r="E43" t="str">
            <v>농협</v>
          </cell>
          <cell r="F43" t="str">
            <v>김영환</v>
          </cell>
          <cell r="G43" t="str">
            <v>302-1601-4630-21</v>
          </cell>
          <cell r="H43">
            <v>130000</v>
          </cell>
        </row>
        <row r="43">
          <cell r="K43" t="str">
            <v>29138</v>
          </cell>
        </row>
        <row r="44">
          <cell r="A44" t="str">
            <v>김명숙</v>
          </cell>
          <cell r="B44" t="str">
            <v>보통인부</v>
          </cell>
          <cell r="C44" t="str">
            <v>660125-2524919</v>
          </cell>
          <cell r="D44" t="str">
            <v>대전 동구 판암동 328방주아파트101-604</v>
          </cell>
          <cell r="E44" t="str">
            <v>농협</v>
          </cell>
          <cell r="F44" t="str">
            <v>김명숙</v>
          </cell>
          <cell r="G44" t="str">
            <v>302-0957-7396-11</v>
          </cell>
          <cell r="H44">
            <v>150000</v>
          </cell>
        </row>
        <row r="45">
          <cell r="A45" t="str">
            <v>이홍성</v>
          </cell>
          <cell r="B45" t="str">
            <v>목공</v>
          </cell>
          <cell r="C45" t="str">
            <v>510520-1384216</v>
          </cell>
          <cell r="D45" t="str">
            <v>충북 옥천 옥천읍 미암리49-1</v>
          </cell>
          <cell r="E45" t="str">
            <v>농협</v>
          </cell>
          <cell r="F45" t="str">
            <v>이홍성</v>
          </cell>
          <cell r="G45" t="str">
            <v>356-1306-8954-13</v>
          </cell>
          <cell r="H45">
            <v>200000</v>
          </cell>
          <cell r="I45" t="str">
            <v>010-5100-7490</v>
          </cell>
        </row>
        <row r="46">
          <cell r="A46" t="str">
            <v>김장곤</v>
          </cell>
          <cell r="B46" t="str">
            <v>목공</v>
          </cell>
          <cell r="C46" t="str">
            <v>611211-1458428</v>
          </cell>
          <cell r="D46" t="str">
            <v>대전광역시 중구 산성동 304-18</v>
          </cell>
          <cell r="E46" t="str">
            <v>농협</v>
          </cell>
          <cell r="F46" t="str">
            <v>김장곤</v>
          </cell>
          <cell r="G46" t="str">
            <v>356-1483-5978-13</v>
          </cell>
          <cell r="H46">
            <v>200000</v>
          </cell>
          <cell r="I46" t="str">
            <v>010-4830-2110</v>
          </cell>
        </row>
        <row r="46">
          <cell r="K46" t="str">
            <v>35054</v>
          </cell>
        </row>
        <row r="47">
          <cell r="A47" t="str">
            <v>김효식</v>
          </cell>
          <cell r="B47" t="str">
            <v>목공</v>
          </cell>
          <cell r="C47" t="str">
            <v>630220-1384116</v>
          </cell>
          <cell r="D47" t="str">
            <v>충북 옥천 옥천읍 송신길 89-1</v>
          </cell>
          <cell r="E47" t="str">
            <v>농협</v>
          </cell>
          <cell r="F47" t="str">
            <v>김효식</v>
          </cell>
          <cell r="G47" t="str">
            <v>356-1306-7504-13</v>
          </cell>
          <cell r="H47">
            <v>200000</v>
          </cell>
          <cell r="I47" t="str">
            <v>010-3448-1889</v>
          </cell>
        </row>
        <row r="48">
          <cell r="A48" t="str">
            <v>김정자</v>
          </cell>
          <cell r="B48" t="str">
            <v>목공</v>
          </cell>
          <cell r="C48" t="str">
            <v>600225-2408313</v>
          </cell>
          <cell r="D48" t="str">
            <v>대전 동구 판암동236주공 508-1302</v>
          </cell>
          <cell r="E48" t="str">
            <v>농협</v>
          </cell>
          <cell r="F48" t="str">
            <v>김정자</v>
          </cell>
          <cell r="G48" t="str">
            <v>302-1299-6426-51</v>
          </cell>
          <cell r="H48">
            <v>150000</v>
          </cell>
          <cell r="I48" t="str">
            <v>010-5402-7460</v>
          </cell>
        </row>
        <row r="49">
          <cell r="A49" t="str">
            <v>이순희</v>
          </cell>
          <cell r="B49" t="str">
            <v>목공</v>
          </cell>
          <cell r="C49" t="str">
            <v>610808-2379713</v>
          </cell>
          <cell r="D49" t="str">
            <v>충북 옥천 옥천읍 마암리22-4은혜연립B동101</v>
          </cell>
          <cell r="E49" t="str">
            <v>농협</v>
          </cell>
          <cell r="F49" t="str">
            <v>이순희</v>
          </cell>
          <cell r="G49" t="str">
            <v>405013-52-039686</v>
          </cell>
          <cell r="H49">
            <v>150000</v>
          </cell>
          <cell r="I49" t="str">
            <v>010-9138-3436</v>
          </cell>
        </row>
        <row r="50">
          <cell r="A50" t="str">
            <v>김태식</v>
          </cell>
          <cell r="B50" t="str">
            <v>목공</v>
          </cell>
          <cell r="C50" t="str">
            <v>551215-1384133</v>
          </cell>
          <cell r="D50" t="str">
            <v>충북옥천 옥천읍문정리 62-1</v>
          </cell>
          <cell r="E50" t="str">
            <v>농협</v>
          </cell>
          <cell r="F50" t="str">
            <v>김태식</v>
          </cell>
          <cell r="G50" t="str">
            <v>302-5458-3411-01</v>
          </cell>
          <cell r="H50">
            <v>200000</v>
          </cell>
          <cell r="I50" t="str">
            <v>010-5458-3411</v>
          </cell>
        </row>
        <row r="51">
          <cell r="A51" t="str">
            <v>유현봉</v>
          </cell>
          <cell r="B51" t="str">
            <v>목공</v>
          </cell>
          <cell r="C51" t="str">
            <v>531210-1384312</v>
          </cell>
          <cell r="D51" t="str">
            <v>충북 옥천 옥천읍 양수로6길4</v>
          </cell>
          <cell r="E51" t="str">
            <v>국민</v>
          </cell>
          <cell r="F51" t="str">
            <v>유현봉</v>
          </cell>
          <cell r="G51" t="str">
            <v>405-24-0081-770</v>
          </cell>
          <cell r="H51">
            <v>200000</v>
          </cell>
          <cell r="I51" t="str">
            <v>010-5427-7937</v>
          </cell>
        </row>
        <row r="52">
          <cell r="A52" t="str">
            <v>신기창</v>
          </cell>
          <cell r="B52" t="str">
            <v>목공</v>
          </cell>
          <cell r="C52" t="str">
            <v>611028-1411611</v>
          </cell>
          <cell r="D52" t="str">
            <v>충북 옥천 옥천읍 성암2길30-1</v>
          </cell>
          <cell r="E52" t="str">
            <v>농협</v>
          </cell>
          <cell r="F52" t="str">
            <v>신기창</v>
          </cell>
          <cell r="G52" t="str">
            <v>356-1479-8602-73</v>
          </cell>
          <cell r="H52">
            <v>200000</v>
          </cell>
          <cell r="I52" t="str">
            <v>010-3893-7198</v>
          </cell>
        </row>
        <row r="53">
          <cell r="A53" t="str">
            <v>김충재</v>
          </cell>
          <cell r="B53" t="str">
            <v>목공</v>
          </cell>
          <cell r="C53" t="str">
            <v>590114-1384121</v>
          </cell>
          <cell r="D53" t="str">
            <v>충북 옥천 옥천읍 금구천길15나동103호</v>
          </cell>
          <cell r="E53" t="str">
            <v>농협</v>
          </cell>
          <cell r="F53" t="str">
            <v>김충재</v>
          </cell>
          <cell r="G53" t="str">
            <v>356-1488-3009-73</v>
          </cell>
          <cell r="H53">
            <v>200000</v>
          </cell>
          <cell r="I53" t="str">
            <v>010-5465-8302</v>
          </cell>
        </row>
        <row r="54">
          <cell r="A54" t="str">
            <v>김정식</v>
          </cell>
          <cell r="B54" t="str">
            <v>목공</v>
          </cell>
          <cell r="C54" t="str">
            <v>760110-1384826</v>
          </cell>
          <cell r="D54" t="str">
            <v>충북 옥천 옥천읍가화3길23</v>
          </cell>
          <cell r="E54" t="str">
            <v>농협</v>
          </cell>
          <cell r="F54" t="str">
            <v>김정식</v>
          </cell>
          <cell r="G54" t="str">
            <v>302-0953-8269-11</v>
          </cell>
          <cell r="H54">
            <v>200000</v>
          </cell>
          <cell r="I54" t="str">
            <v>010-6252-2437</v>
          </cell>
        </row>
        <row r="55">
          <cell r="A55" t="str">
            <v>소세영</v>
          </cell>
          <cell r="B55" t="str">
            <v>철근공</v>
          </cell>
          <cell r="C55" t="str">
            <v>661110-1403017</v>
          </cell>
          <cell r="D55" t="str">
            <v>대전 동구 번동 2길 25(천동)</v>
          </cell>
          <cell r="E55" t="str">
            <v>농협</v>
          </cell>
          <cell r="F55" t="str">
            <v>소세영</v>
          </cell>
          <cell r="G55" t="str">
            <v>351-0883-3616-63</v>
          </cell>
          <cell r="H55">
            <v>200000</v>
          </cell>
          <cell r="I55" t="str">
            <v>010-8859-2729</v>
          </cell>
          <cell r="J55" t="str">
            <v>010-5454-1383</v>
          </cell>
          <cell r="K55" t="str">
            <v>34683</v>
          </cell>
        </row>
        <row r="56">
          <cell r="A56" t="str">
            <v>이영훈</v>
          </cell>
          <cell r="B56" t="str">
            <v>철근공</v>
          </cell>
          <cell r="C56" t="str">
            <v>941126-1055311</v>
          </cell>
          <cell r="D56" t="str">
            <v>서울 영등포구 도신로29길28</v>
          </cell>
          <cell r="E56" t="str">
            <v>중소기업</v>
          </cell>
          <cell r="F56" t="str">
            <v>이영훈</v>
          </cell>
          <cell r="G56" t="str">
            <v>570-020656-01-010</v>
          </cell>
          <cell r="H56">
            <v>200000</v>
          </cell>
          <cell r="I56" t="str">
            <v>010-9358-8464</v>
          </cell>
          <cell r="J56" t="str">
            <v>010-5454-1383</v>
          </cell>
          <cell r="K56" t="str">
            <v>07365</v>
          </cell>
        </row>
        <row r="57">
          <cell r="A57" t="str">
            <v>박길환</v>
          </cell>
          <cell r="B57" t="str">
            <v>철근공</v>
          </cell>
          <cell r="C57" t="str">
            <v>671015-1920528</v>
          </cell>
          <cell r="D57" t="str">
            <v>충북 옥천 옥천읍 중앙로6길8</v>
          </cell>
          <cell r="E57" t="str">
            <v>중소기업</v>
          </cell>
          <cell r="F57" t="str">
            <v>박길환</v>
          </cell>
          <cell r="G57" t="str">
            <v>570-020656-01-010</v>
          </cell>
          <cell r="H57">
            <v>200000</v>
          </cell>
          <cell r="I57" t="str">
            <v>010-4486-7508</v>
          </cell>
          <cell r="J57" t="str">
            <v>010-5454-1383</v>
          </cell>
        </row>
        <row r="58">
          <cell r="A58" t="str">
            <v>원용길</v>
          </cell>
          <cell r="B58" t="str">
            <v>철근공</v>
          </cell>
          <cell r="C58" t="str">
            <v>640220-5141993</v>
          </cell>
          <cell r="D58" t="str">
            <v>재외동포(F-4)</v>
          </cell>
          <cell r="E58" t="str">
            <v>중소기업</v>
          </cell>
          <cell r="F58" t="str">
            <v>원용길</v>
          </cell>
          <cell r="G58" t="str">
            <v>570-020656-01-010</v>
          </cell>
          <cell r="H58">
            <v>200000</v>
          </cell>
          <cell r="I58" t="str">
            <v>010-2293-0638</v>
          </cell>
          <cell r="J58" t="str">
            <v>010-5454-1383</v>
          </cell>
        </row>
        <row r="59">
          <cell r="A59" t="str">
            <v>조갑성</v>
          </cell>
          <cell r="B59" t="str">
            <v>목공</v>
          </cell>
          <cell r="C59" t="str">
            <v>540619-1384810</v>
          </cell>
          <cell r="D59" t="str">
            <v>충북 옥천 옥천읍 문장로2길9</v>
          </cell>
          <cell r="E59" t="str">
            <v>우체국</v>
          </cell>
          <cell r="F59" t="str">
            <v>조갑성</v>
          </cell>
          <cell r="G59" t="str">
            <v>102434-02-170588</v>
          </cell>
          <cell r="H59">
            <v>200000</v>
          </cell>
          <cell r="I59" t="str">
            <v>010-3456-5927</v>
          </cell>
        </row>
        <row r="60">
          <cell r="A60" t="str">
            <v>박준용</v>
          </cell>
          <cell r="B60" t="str">
            <v>보통인부</v>
          </cell>
          <cell r="C60" t="str">
            <v>571003-1386215</v>
          </cell>
          <cell r="D60" t="str">
            <v>충북 영동군 영동읍 중앙로1길18</v>
          </cell>
          <cell r="E60" t="str">
            <v>농협</v>
          </cell>
          <cell r="F60" t="str">
            <v>박준용</v>
          </cell>
          <cell r="G60" t="str">
            <v>407034-52-068141</v>
          </cell>
          <cell r="H60">
            <v>150000</v>
          </cell>
        </row>
        <row r="60">
          <cell r="K60" t="str">
            <v>29145</v>
          </cell>
        </row>
        <row r="61">
          <cell r="A61" t="str">
            <v>백경훈</v>
          </cell>
          <cell r="B61" t="str">
            <v>단순노무자</v>
          </cell>
          <cell r="C61" t="str">
            <v>850202-1386312</v>
          </cell>
          <cell r="D61" t="str">
            <v>충북 영동군 황간면 남성동3길27</v>
          </cell>
        </row>
        <row r="61">
          <cell r="F61" t="str">
            <v>백경훈</v>
          </cell>
        </row>
        <row r="61">
          <cell r="H61">
            <v>170000</v>
          </cell>
        </row>
        <row r="61">
          <cell r="K61" t="str">
            <v>29115</v>
          </cell>
        </row>
        <row r="62">
          <cell r="A62" t="str">
            <v>이진권</v>
          </cell>
          <cell r="B62" t="str">
            <v>단순노무자</v>
          </cell>
          <cell r="C62" t="str">
            <v>610210-1238818</v>
          </cell>
          <cell r="D62" t="str">
            <v>경기도 연천군 전곡읍 전곡리 324-33세림빌라7동301호</v>
          </cell>
          <cell r="E62" t="str">
            <v>농협</v>
          </cell>
          <cell r="F62" t="str">
            <v>이진권</v>
          </cell>
          <cell r="G62" t="str">
            <v>356-0129-1298-13</v>
          </cell>
          <cell r="H62">
            <v>170000</v>
          </cell>
        </row>
        <row r="63">
          <cell r="A63" t="str">
            <v>김동식</v>
          </cell>
          <cell r="B63" t="str">
            <v>단순노무자</v>
          </cell>
          <cell r="C63" t="str">
            <v>760715-1386710</v>
          </cell>
          <cell r="D63" t="str">
            <v>충북 영동군 영동읍금동로1길6,202호(혜성빌라)</v>
          </cell>
          <cell r="E63" t="str">
            <v>우체국</v>
          </cell>
          <cell r="F63" t="str">
            <v>김동식</v>
          </cell>
          <cell r="G63" t="str">
            <v>301515-02-072801</v>
          </cell>
          <cell r="H63">
            <v>160000</v>
          </cell>
        </row>
        <row r="64">
          <cell r="A64" t="str">
            <v>정광일</v>
          </cell>
          <cell r="B64" t="str">
            <v>철근공</v>
          </cell>
          <cell r="C64" t="str">
            <v>600220-1041824</v>
          </cell>
          <cell r="D64" t="str">
            <v>충북 옥천군 옥천읍 동부로16 101동301호(하늘빛아파트)</v>
          </cell>
          <cell r="E64" t="str">
            <v>농협</v>
          </cell>
          <cell r="F64" t="str">
            <v>정광일</v>
          </cell>
          <cell r="G64" t="str">
            <v>351-0883-3616-63</v>
          </cell>
          <cell r="H64">
            <v>200000</v>
          </cell>
        </row>
        <row r="64">
          <cell r="K64" t="str">
            <v>29039</v>
          </cell>
        </row>
        <row r="65">
          <cell r="A65" t="str">
            <v>이윤건</v>
          </cell>
          <cell r="B65" t="str">
            <v>철근공</v>
          </cell>
          <cell r="C65" t="str">
            <v>630822-1229912</v>
          </cell>
          <cell r="D65" t="str">
            <v>충북 옥천군 군서면 성왕로 489-16</v>
          </cell>
          <cell r="E65" t="str">
            <v>농협</v>
          </cell>
          <cell r="F65" t="str">
            <v>이윤건</v>
          </cell>
          <cell r="G65" t="str">
            <v>351-0883-3616-63</v>
          </cell>
          <cell r="H65">
            <v>200000</v>
          </cell>
        </row>
        <row r="65">
          <cell r="K65" t="str">
            <v>29059</v>
          </cell>
        </row>
        <row r="66">
          <cell r="A66" t="str">
            <v>박래일</v>
          </cell>
          <cell r="B66" t="str">
            <v>보통인부</v>
          </cell>
          <cell r="C66" t="str">
            <v>590108-1386126</v>
          </cell>
          <cell r="D66" t="str">
            <v>충북 영동군 영동읍 양산로7길 2가동106호(양지연립)</v>
          </cell>
          <cell r="E66" t="str">
            <v>농협</v>
          </cell>
          <cell r="F66" t="str">
            <v>박래일</v>
          </cell>
          <cell r="G66" t="str">
            <v>774-02-269271</v>
          </cell>
          <cell r="H66">
            <v>170000</v>
          </cell>
          <cell r="I66" t="str">
            <v>010-9405-6479</v>
          </cell>
        </row>
        <row r="67">
          <cell r="A67" t="str">
            <v>이정근</v>
          </cell>
          <cell r="B67" t="str">
            <v>보통인부</v>
          </cell>
          <cell r="C67" t="str">
            <v>590825-1386143</v>
          </cell>
          <cell r="D67" t="str">
            <v>충북 영동군 영동읍 계산리280</v>
          </cell>
          <cell r="E67" t="str">
            <v>우체국</v>
          </cell>
          <cell r="F67" t="str">
            <v>이정근</v>
          </cell>
          <cell r="G67" t="str">
            <v>300160-02-240447</v>
          </cell>
          <cell r="H67">
            <v>160000</v>
          </cell>
        </row>
        <row r="67">
          <cell r="K67" t="str">
            <v>29139</v>
          </cell>
        </row>
        <row r="68">
          <cell r="A68" t="str">
            <v>육종필</v>
          </cell>
          <cell r="B68" t="str">
            <v>철근공</v>
          </cell>
          <cell r="C68" t="str">
            <v>681020-1384919</v>
          </cell>
          <cell r="D68" t="str">
            <v>충북 옥천군 옥천읍 장야리 313 장야1주공106-304</v>
          </cell>
          <cell r="E68" t="str">
            <v>중소기업</v>
          </cell>
          <cell r="F68" t="str">
            <v>육종필</v>
          </cell>
          <cell r="G68" t="str">
            <v>570-007217-02-013</v>
          </cell>
          <cell r="H68">
            <v>200000</v>
          </cell>
          <cell r="I68" t="str">
            <v>010-6800-2394</v>
          </cell>
        </row>
        <row r="68">
          <cell r="K68" t="str">
            <v>29045</v>
          </cell>
        </row>
        <row r="69">
          <cell r="A69" t="str">
            <v>조기혁</v>
          </cell>
          <cell r="B69" t="str">
            <v>목공</v>
          </cell>
          <cell r="C69" t="str">
            <v>630523-1402713</v>
          </cell>
          <cell r="D69" t="str">
            <v>대전광역시 동구 우암로326번길57-1(가양동)</v>
          </cell>
          <cell r="E69" t="str">
            <v>농협</v>
          </cell>
          <cell r="F69" t="str">
            <v>조기혁</v>
          </cell>
          <cell r="G69" t="str">
            <v>356-1497-0677-43</v>
          </cell>
          <cell r="H69">
            <v>200000</v>
          </cell>
          <cell r="I69" t="str">
            <v>010-8623-6218</v>
          </cell>
        </row>
        <row r="69">
          <cell r="K69" t="str">
            <v>34506</v>
          </cell>
        </row>
        <row r="70">
          <cell r="A70" t="str">
            <v>정일흥</v>
          </cell>
          <cell r="B70" t="str">
            <v>목공</v>
          </cell>
          <cell r="C70" t="str">
            <v>600605-1384810</v>
          </cell>
          <cell r="D70" t="str">
            <v>충북 옥천군 교서면 원전2길86-9</v>
          </cell>
          <cell r="E70" t="str">
            <v>농협</v>
          </cell>
          <cell r="F70" t="str">
            <v>정일흥</v>
          </cell>
          <cell r="G70" t="str">
            <v>352-1559-7324-93</v>
          </cell>
          <cell r="H70">
            <v>200000</v>
          </cell>
          <cell r="I70" t="str">
            <v>010-8843-0512</v>
          </cell>
        </row>
        <row r="71">
          <cell r="A71" t="str">
            <v>곽태</v>
          </cell>
          <cell r="B71" t="str">
            <v>목공</v>
          </cell>
          <cell r="C71" t="str">
            <v>551001-1448815</v>
          </cell>
          <cell r="D71" t="str">
            <v>충북 옥천군 옥천읍 중앙로1길 6-4602호</v>
          </cell>
          <cell r="E71" t="str">
            <v>농협</v>
          </cell>
          <cell r="F71" t="str">
            <v>곽태</v>
          </cell>
          <cell r="G71" t="str">
            <v>356-1434-8325-93</v>
          </cell>
          <cell r="H71">
            <v>200000</v>
          </cell>
          <cell r="I71" t="str">
            <v>0106423-3895</v>
          </cell>
        </row>
        <row r="71">
          <cell r="K71" t="str">
            <v>29037</v>
          </cell>
        </row>
        <row r="72">
          <cell r="A72" t="str">
            <v>박세호</v>
          </cell>
          <cell r="B72" t="str">
            <v>보통인부</v>
          </cell>
          <cell r="C72" t="str">
            <v>641015-1386715</v>
          </cell>
          <cell r="D72" t="str">
            <v>충북 영동군 영동읍 동정로 47,103동 1303호</v>
          </cell>
          <cell r="E72" t="str">
            <v>농협</v>
          </cell>
          <cell r="F72" t="str">
            <v>박세호</v>
          </cell>
          <cell r="G72" t="str">
            <v>356-1193-1604-23</v>
          </cell>
          <cell r="H72">
            <v>160000</v>
          </cell>
          <cell r="I72" t="str">
            <v>010-3896-8077</v>
          </cell>
        </row>
        <row r="72">
          <cell r="K72" t="str">
            <v>29140</v>
          </cell>
        </row>
        <row r="73">
          <cell r="A73" t="str">
            <v>정홍길</v>
          </cell>
          <cell r="B73" t="str">
            <v>목공</v>
          </cell>
          <cell r="C73" t="str">
            <v>821112-1384119</v>
          </cell>
          <cell r="D73" t="str">
            <v>충북 옥천군 옥천읍 대천길 159</v>
          </cell>
          <cell r="E73" t="str">
            <v>농협</v>
          </cell>
          <cell r="F73" t="str">
            <v>정홍길</v>
          </cell>
          <cell r="G73" t="str">
            <v>302-8622-0879-11</v>
          </cell>
          <cell r="H73">
            <v>200000</v>
          </cell>
          <cell r="I73" t="str">
            <v>010-8622-0879</v>
          </cell>
        </row>
        <row r="73">
          <cell r="K73" t="str">
            <v>29052</v>
          </cell>
        </row>
        <row r="74">
          <cell r="A74" t="str">
            <v>백정숙</v>
          </cell>
          <cell r="B74" t="str">
            <v>목공</v>
          </cell>
          <cell r="C74" t="str">
            <v>550420-2789718</v>
          </cell>
          <cell r="D74" t="str">
            <v>충북 옥천군 옥천읍 대천길 549</v>
          </cell>
          <cell r="E74" t="str">
            <v>새마을금고</v>
          </cell>
          <cell r="F74" t="str">
            <v>백정숙</v>
          </cell>
          <cell r="G74" t="str">
            <v>4614-09-003672-7</v>
          </cell>
          <cell r="H74">
            <v>150000</v>
          </cell>
          <cell r="I74" t="str">
            <v>010-8843-</v>
          </cell>
        </row>
        <row r="75">
          <cell r="A75" t="str">
            <v>배태봉</v>
          </cell>
          <cell r="B75" t="str">
            <v>목공</v>
          </cell>
          <cell r="C75" t="str">
            <v>610303-1386748</v>
          </cell>
          <cell r="D75" t="str">
            <v>충북 영동군 영동읍 당곡로14-1</v>
          </cell>
          <cell r="E75" t="str">
            <v>우체국</v>
          </cell>
          <cell r="F75" t="str">
            <v>배태봉</v>
          </cell>
          <cell r="G75" t="str">
            <v>300160-02-231942</v>
          </cell>
          <cell r="H75">
            <v>200000</v>
          </cell>
        </row>
        <row r="75">
          <cell r="K75" t="str">
            <v>29128</v>
          </cell>
        </row>
        <row r="76">
          <cell r="A76" t="str">
            <v>최승열</v>
          </cell>
          <cell r="B76" t="str">
            <v>보통인부</v>
          </cell>
          <cell r="C76" t="str">
            <v>620724-1648219</v>
          </cell>
          <cell r="D76" t="str">
            <v>충북 영동군 영동읍 부용7길 12,가동 201호(남경빌라)</v>
          </cell>
        </row>
        <row r="76">
          <cell r="F76" t="str">
            <v>최승열</v>
          </cell>
          <cell r="G76" t="str">
            <v>상용직</v>
          </cell>
        </row>
        <row r="76">
          <cell r="I76" t="str">
            <v>010-3435-3094</v>
          </cell>
        </row>
        <row r="76">
          <cell r="K76" t="str">
            <v>29149</v>
          </cell>
        </row>
        <row r="77">
          <cell r="A77" t="str">
            <v>박장현</v>
          </cell>
          <cell r="B77" t="str">
            <v>보통인부</v>
          </cell>
          <cell r="C77" t="str">
            <v>690615-1386125</v>
          </cell>
          <cell r="D77" t="str">
            <v>충북 영동군 영동읍 부용7안길 25</v>
          </cell>
        </row>
        <row r="77">
          <cell r="F77" t="str">
            <v>박장현</v>
          </cell>
          <cell r="G77" t="str">
            <v>상용직</v>
          </cell>
        </row>
        <row r="77">
          <cell r="I77">
            <v>1054644595</v>
          </cell>
        </row>
        <row r="77">
          <cell r="K77" t="str">
            <v>29149</v>
          </cell>
        </row>
        <row r="78">
          <cell r="A78" t="str">
            <v>박래일</v>
          </cell>
        </row>
        <row r="78">
          <cell r="C78" t="str">
            <v>590108-1386126</v>
          </cell>
          <cell r="D78" t="str">
            <v>충북 영동군 영동읍 영산로7길 2, 가동 106호 (양지연립)</v>
          </cell>
          <cell r="E78" t="str">
            <v>농협</v>
          </cell>
          <cell r="F78" t="str">
            <v>박래일</v>
          </cell>
          <cell r="G78" t="str">
            <v>356-0895-8530-93</v>
          </cell>
          <cell r="H78">
            <v>150000</v>
          </cell>
          <cell r="I78" t="str">
            <v>010-9405-6479</v>
          </cell>
        </row>
        <row r="78">
          <cell r="K78" t="str">
            <v>29147</v>
          </cell>
          <cell r="L78" t="str">
            <v>박래화</v>
          </cell>
        </row>
        <row r="79">
          <cell r="A79" t="str">
            <v>박래일</v>
          </cell>
        </row>
        <row r="79">
          <cell r="C79" t="str">
            <v>590108-1386126</v>
          </cell>
          <cell r="D79" t="str">
            <v>충북 영동군 영동읍 영산로7길 2, 가동 106호 (양지연립)</v>
          </cell>
          <cell r="E79" t="str">
            <v>농협</v>
          </cell>
          <cell r="F79" t="str">
            <v>박래일</v>
          </cell>
          <cell r="G79" t="str">
            <v>356-0895-8530-93</v>
          </cell>
          <cell r="H79">
            <v>150000</v>
          </cell>
          <cell r="I79" t="str">
            <v>010-9405-6479</v>
          </cell>
        </row>
        <row r="79">
          <cell r="K79" t="str">
            <v>29147</v>
          </cell>
          <cell r="L79" t="str">
            <v>박래화</v>
          </cell>
        </row>
        <row r="80">
          <cell r="A80" t="str">
            <v>민헌기</v>
          </cell>
        </row>
        <row r="80">
          <cell r="C80" t="str">
            <v>601219-1386711</v>
          </cell>
          <cell r="D80" t="str">
            <v>충북 영동군 양강면 내만길 173 (만계리 156-4)</v>
          </cell>
          <cell r="E80" t="str">
            <v>농협</v>
          </cell>
          <cell r="F80" t="str">
            <v>민헌기</v>
          </cell>
          <cell r="G80" t="str">
            <v>352-0293-9952-13</v>
          </cell>
          <cell r="H80">
            <v>150000</v>
          </cell>
          <cell r="I80" t="str">
            <v>010-4650-3480</v>
          </cell>
        </row>
        <row r="80">
          <cell r="K80" t="str">
            <v>29157</v>
          </cell>
          <cell r="L80" t="str">
            <v>통장갖고있어서 자유롭게 신고가능자</v>
          </cell>
        </row>
        <row r="81">
          <cell r="A81" t="str">
            <v>박범해</v>
          </cell>
        </row>
        <row r="81">
          <cell r="C81" t="str">
            <v>660105-1386714</v>
          </cell>
          <cell r="D81" t="str">
            <v>충북 영동군 양강면 남전2안길 4-17 (남전리 272)</v>
          </cell>
          <cell r="E81" t="str">
            <v>농협</v>
          </cell>
          <cell r="F81" t="str">
            <v>박범해</v>
          </cell>
          <cell r="G81" t="str">
            <v>356-1071-0591-83</v>
          </cell>
          <cell r="H81">
            <v>150000</v>
          </cell>
          <cell r="I81" t="str">
            <v>010-5338-5196</v>
          </cell>
        </row>
        <row r="81">
          <cell r="K81" t="str">
            <v>29155</v>
          </cell>
          <cell r="L81" t="str">
            <v>임종관 김재억 성명식 양희옥 김충식 박원회 박범해(7/15일부터)</v>
          </cell>
        </row>
        <row r="82">
          <cell r="A82" t="str">
            <v>이명철</v>
          </cell>
        </row>
        <row r="82">
          <cell r="C82" t="str">
            <v>000329-3691911</v>
          </cell>
          <cell r="D82" t="str">
            <v>충북 제천시 제천북로1길 75 (왕암동)</v>
          </cell>
          <cell r="E82" t="str">
            <v>농협</v>
          </cell>
          <cell r="F82" t="str">
            <v>이명철</v>
          </cell>
          <cell r="G82" t="str">
            <v>302-1531-6143-71</v>
          </cell>
          <cell r="H82">
            <v>150000</v>
          </cell>
          <cell r="I82" t="str">
            <v>010-6356-5898</v>
          </cell>
        </row>
        <row r="82">
          <cell r="K82" t="str">
            <v>27116</v>
          </cell>
          <cell r="L82" t="str">
            <v>한희열 민헌기(7/21일부터)</v>
          </cell>
        </row>
        <row r="83">
          <cell r="A83" t="str">
            <v>배진식</v>
          </cell>
        </row>
        <row r="83">
          <cell r="C83" t="str">
            <v>540910-1386711</v>
          </cell>
          <cell r="D83" t="str">
            <v>충북 영동군 양강면 국촌길16-11</v>
          </cell>
          <cell r="E83" t="str">
            <v>농협</v>
          </cell>
          <cell r="F83" t="str">
            <v>배진식</v>
          </cell>
          <cell r="G83" t="str">
            <v>069-01-106491</v>
          </cell>
          <cell r="H83">
            <v>150000</v>
          </cell>
          <cell r="I83" t="str">
            <v>010-5301-8775</v>
          </cell>
        </row>
        <row r="83">
          <cell r="K83" t="str">
            <v>29155</v>
          </cell>
        </row>
        <row r="84">
          <cell r="A84" t="str">
            <v>박헌태</v>
          </cell>
        </row>
        <row r="84">
          <cell r="C84" t="str">
            <v>551120-1455311</v>
          </cell>
          <cell r="D84" t="str">
            <v>충북 영동군 영동읍 오탄리20</v>
          </cell>
          <cell r="E84" t="str">
            <v>농협</v>
          </cell>
          <cell r="F84" t="str">
            <v>박헌태</v>
          </cell>
          <cell r="G84" t="str">
            <v>356-0142-0083-23</v>
          </cell>
          <cell r="H84">
            <v>150000</v>
          </cell>
          <cell r="I84" t="str">
            <v>010-4476-3636</v>
          </cell>
        </row>
        <row r="84">
          <cell r="K84" t="str">
            <v>29129</v>
          </cell>
          <cell r="L84" t="str">
            <v>통장은 없고 자유롭게 올릴수 있는분</v>
          </cell>
        </row>
        <row r="85">
          <cell r="A85" t="str">
            <v>민백규</v>
          </cell>
        </row>
        <row r="85">
          <cell r="C85" t="str">
            <v>600810-1386721</v>
          </cell>
          <cell r="D85" t="str">
            <v>충북 영동군 양강면 내만길 178-2</v>
          </cell>
          <cell r="E85" t="str">
            <v>농협</v>
          </cell>
          <cell r="F85" t="str">
            <v>민백규</v>
          </cell>
          <cell r="G85" t="str">
            <v>453060-52-207611</v>
          </cell>
          <cell r="H85">
            <v>150000</v>
          </cell>
          <cell r="I85" t="str">
            <v>010-5450-0950</v>
          </cell>
        </row>
        <row r="85">
          <cell r="K85" t="str">
            <v>29157</v>
          </cell>
          <cell r="L85" t="str">
            <v>배진식 박헌태 권영안 민백규 박상복</v>
          </cell>
        </row>
        <row r="86">
          <cell r="A86" t="str">
            <v>박상복</v>
          </cell>
        </row>
        <row r="86">
          <cell r="C86" t="str">
            <v>800702-1386911</v>
          </cell>
          <cell r="D86" t="str">
            <v>충북 영동군 영동읍 동정리143</v>
          </cell>
          <cell r="E86" t="str">
            <v>중소기업</v>
          </cell>
          <cell r="F86" t="str">
            <v>박상복</v>
          </cell>
          <cell r="G86" t="str">
            <v>186-041383-01-012</v>
          </cell>
          <cell r="H86">
            <v>150000</v>
          </cell>
          <cell r="I86" t="str">
            <v>010-7107-2693</v>
          </cell>
        </row>
        <row r="86">
          <cell r="K86" t="str">
            <v>29140</v>
          </cell>
        </row>
        <row r="87">
          <cell r="A87" t="str">
            <v>황동주</v>
          </cell>
        </row>
        <row r="87">
          <cell r="C87" t="str">
            <v>571013-1805110</v>
          </cell>
          <cell r="D87" t="str">
            <v>경상북도 상주시 모동면 수봉리 546 </v>
          </cell>
          <cell r="E87" t="str">
            <v>우체국</v>
          </cell>
          <cell r="F87" t="str">
            <v>황동주</v>
          </cell>
          <cell r="G87" t="str">
            <v>701029-02-013954</v>
          </cell>
          <cell r="H87">
            <v>150000</v>
          </cell>
          <cell r="I87" t="str">
            <v>010-8597-4428</v>
          </cell>
        </row>
        <row r="87">
          <cell r="K87" t="str">
            <v>37274</v>
          </cell>
          <cell r="L87" t="str">
            <v>모동면 수봉2길 29</v>
          </cell>
        </row>
        <row r="88">
          <cell r="A88" t="str">
            <v>이병문</v>
          </cell>
        </row>
        <row r="88">
          <cell r="C88" t="str">
            <v>570919-1401027</v>
          </cell>
          <cell r="D88" t="str">
            <v>충북 영동군 영동읍 동정리 143</v>
          </cell>
          <cell r="E88" t="str">
            <v>농협</v>
          </cell>
          <cell r="F88" t="str">
            <v>이병문</v>
          </cell>
          <cell r="G88" t="str">
            <v>302-0987-1761-21</v>
          </cell>
          <cell r="H88">
            <v>150000</v>
          </cell>
          <cell r="I88" t="str">
            <v>010-3432-0395</v>
          </cell>
        </row>
        <row r="88">
          <cell r="K88" t="str">
            <v>29140</v>
          </cell>
        </row>
        <row r="89">
          <cell r="A89" t="str">
            <v>성명식</v>
          </cell>
        </row>
        <row r="89">
          <cell r="C89" t="str">
            <v>590801-1386129</v>
          </cell>
          <cell r="D89" t="str">
            <v>경기도 고양시 덕양구 화신로298</v>
          </cell>
          <cell r="E89" t="str">
            <v>농협</v>
          </cell>
          <cell r="F89" t="str">
            <v>성명식</v>
          </cell>
          <cell r="G89" t="str">
            <v>049-02-203321</v>
          </cell>
          <cell r="H89">
            <v>150000</v>
          </cell>
          <cell r="I89" t="str">
            <v>010-8975-6129</v>
          </cell>
        </row>
        <row r="89">
          <cell r="K89" t="str">
            <v>10501</v>
          </cell>
        </row>
        <row r="90">
          <cell r="A90" t="str">
            <v>박원회</v>
          </cell>
        </row>
        <row r="90">
          <cell r="C90" t="str">
            <v>600124-1386123</v>
          </cell>
          <cell r="D90" t="str">
            <v>인천시 계양구 계산로112번길 26</v>
          </cell>
          <cell r="E90" t="str">
            <v>농협</v>
          </cell>
          <cell r="F90" t="str">
            <v>박원회</v>
          </cell>
          <cell r="G90" t="str">
            <v>312-0171-3781-31</v>
          </cell>
          <cell r="H90">
            <v>150000</v>
          </cell>
        </row>
        <row r="90">
          <cell r="K90" t="str">
            <v>21088</v>
          </cell>
        </row>
        <row r="91">
          <cell r="A91" t="str">
            <v>정찬옥</v>
          </cell>
        </row>
        <row r="91">
          <cell r="C91" t="str">
            <v>610512-2328134</v>
          </cell>
          <cell r="D91" t="str">
            <v>대전광역시 동구 백룡로 35-10</v>
          </cell>
          <cell r="E91" t="str">
            <v>새마을</v>
          </cell>
          <cell r="F91" t="str">
            <v>정찬옥</v>
          </cell>
          <cell r="G91" t="str">
            <v>9002-1563-1485-9</v>
          </cell>
          <cell r="H91">
            <v>220000</v>
          </cell>
        </row>
        <row r="91">
          <cell r="K91" t="str">
            <v>34516</v>
          </cell>
        </row>
        <row r="92">
          <cell r="A92" t="str">
            <v>이창우</v>
          </cell>
        </row>
        <row r="92">
          <cell r="C92" t="str">
            <v>670620-1387124</v>
          </cell>
          <cell r="D92" t="str">
            <v>충북 영동군 심천면 지계길 113</v>
          </cell>
          <cell r="E92" t="str">
            <v>농협</v>
          </cell>
          <cell r="F92" t="str">
            <v>이창우</v>
          </cell>
          <cell r="G92" t="str">
            <v>4070-52-014063</v>
          </cell>
          <cell r="H92">
            <v>150000</v>
          </cell>
        </row>
        <row r="92">
          <cell r="K92" t="str">
            <v>29104</v>
          </cell>
        </row>
        <row r="93">
          <cell r="A93" t="str">
            <v>김환배</v>
          </cell>
        </row>
        <row r="93">
          <cell r="C93" t="str">
            <v>530810-1057646</v>
          </cell>
          <cell r="D93" t="str">
            <v>충북 영동군 양강면 남전2안길 4-20</v>
          </cell>
          <cell r="E93" t="str">
            <v>농협</v>
          </cell>
          <cell r="F93" t="str">
            <v>김환배</v>
          </cell>
          <cell r="G93" t="str">
            <v>352-0532-0302-03</v>
          </cell>
          <cell r="H93">
            <v>180000</v>
          </cell>
        </row>
        <row r="93">
          <cell r="K93" t="str">
            <v>29155</v>
          </cell>
        </row>
        <row r="94">
          <cell r="A94" t="str">
            <v>엄종섭</v>
          </cell>
        </row>
        <row r="94">
          <cell r="C94" t="str">
            <v>660719-1522231</v>
          </cell>
          <cell r="D94" t="str">
            <v>충북 영동군 용산면 율리4길 18-8</v>
          </cell>
          <cell r="E94" t="str">
            <v>농협</v>
          </cell>
          <cell r="F94" t="str">
            <v>엄종섭</v>
          </cell>
          <cell r="G94" t="str">
            <v>352-0772-2516-93</v>
          </cell>
        </row>
        <row r="94">
          <cell r="K94" t="str">
            <v>29101</v>
          </cell>
          <cell r="L94" t="str">
            <v>비탄길 22로 적용함</v>
          </cell>
        </row>
        <row r="95">
          <cell r="A95" t="str">
            <v>정구목</v>
          </cell>
        </row>
        <row r="95">
          <cell r="C95" t="str">
            <v>601005-1386727</v>
          </cell>
          <cell r="D95" t="str">
            <v>충북 영동군 영동읍 구교로 32-7, 307호 (대성@)</v>
          </cell>
          <cell r="E95" t="str">
            <v>농협</v>
          </cell>
          <cell r="F95" t="str">
            <v>정구목</v>
          </cell>
          <cell r="G95" t="str">
            <v>301-0283-3279-11</v>
          </cell>
          <cell r="H95">
            <v>150000</v>
          </cell>
        </row>
        <row r="95">
          <cell r="K95" t="str">
            <v>29139</v>
          </cell>
        </row>
        <row r="96">
          <cell r="A96" t="str">
            <v>전근정</v>
          </cell>
        </row>
        <row r="96">
          <cell r="C96" t="str">
            <v>721105-1386912</v>
          </cell>
          <cell r="D96" t="str">
            <v>충북 영동군 학산면 모정길 78 (황산리 843)</v>
          </cell>
          <cell r="E96" t="str">
            <v>농협</v>
          </cell>
          <cell r="F96" t="str">
            <v>전근정</v>
          </cell>
          <cell r="G96" t="str">
            <v>237824-52-034278</v>
          </cell>
          <cell r="H96">
            <v>150000</v>
          </cell>
        </row>
        <row r="96">
          <cell r="K96" t="str">
            <v>29165</v>
          </cell>
        </row>
        <row r="97">
          <cell r="A97" t="str">
            <v>장갑진</v>
          </cell>
        </row>
        <row r="97">
          <cell r="C97" t="str">
            <v>610210-1386710</v>
          </cell>
          <cell r="D97" t="str">
            <v>충북 영동군 양강면 신기1길 21</v>
          </cell>
        </row>
        <row r="97">
          <cell r="F97" t="str">
            <v>장갑진</v>
          </cell>
        </row>
        <row r="97">
          <cell r="I97" t="str">
            <v>010-4754-1141</v>
          </cell>
        </row>
        <row r="97">
          <cell r="K97" t="str">
            <v>29155</v>
          </cell>
        </row>
        <row r="98">
          <cell r="A98" t="str">
            <v>박성안</v>
          </cell>
        </row>
        <row r="98">
          <cell r="C98" t="str">
            <v>570827-1386125</v>
          </cell>
          <cell r="D98" t="str">
            <v>충북 충북 영동군 영동읍 가리 755-2</v>
          </cell>
          <cell r="E98" t="str">
            <v>농협</v>
          </cell>
          <cell r="F98" t="str">
            <v>박성안</v>
          </cell>
          <cell r="G98" t="str">
            <v>407012-52-048265</v>
          </cell>
          <cell r="H98">
            <v>180000</v>
          </cell>
        </row>
        <row r="99">
          <cell r="A99" t="str">
            <v>김이수</v>
          </cell>
        </row>
        <row r="99">
          <cell r="C99" t="str">
            <v>500226-1386711</v>
          </cell>
          <cell r="D99" t="str">
            <v>충북 영동군 영동읍 영동천1길 32-1</v>
          </cell>
          <cell r="E99" t="str">
            <v>농협</v>
          </cell>
          <cell r="F99" t="str">
            <v>김이수</v>
          </cell>
          <cell r="G99" t="str">
            <v>356-0817-4633-33</v>
          </cell>
          <cell r="H99">
            <v>160000</v>
          </cell>
        </row>
        <row r="99">
          <cell r="K99" t="str">
            <v>29146</v>
          </cell>
        </row>
        <row r="100">
          <cell r="A100" t="str">
            <v>장신진</v>
          </cell>
        </row>
        <row r="100">
          <cell r="C100" t="str">
            <v>620908-1386710</v>
          </cell>
          <cell r="D100" t="str">
            <v>충북 영동군 영동읍 동정로 39-27, 현대아파트 101동 1501호</v>
          </cell>
        </row>
        <row r="100">
          <cell r="I100" t="str">
            <v>010-8450-8819</v>
          </cell>
        </row>
        <row r="100">
          <cell r="K100" t="str">
            <v>29140</v>
          </cell>
        </row>
        <row r="101">
          <cell r="A101" t="str">
            <v>김정우</v>
          </cell>
        </row>
        <row r="101">
          <cell r="C101" t="str">
            <v>960116-1386119</v>
          </cell>
          <cell r="D101" t="str">
            <v>충북 영동군 영동읍 회동로 162</v>
          </cell>
          <cell r="E101" t="str">
            <v>농협</v>
          </cell>
          <cell r="F101" t="str">
            <v>김정우</v>
          </cell>
          <cell r="G101" t="str">
            <v>407013-52-111897</v>
          </cell>
          <cell r="H101">
            <v>150000</v>
          </cell>
          <cell r="I101" t="str">
            <v>010-3198-3409</v>
          </cell>
        </row>
        <row r="101">
          <cell r="K101" t="str">
            <v>29141</v>
          </cell>
        </row>
        <row r="102">
          <cell r="A102" t="str">
            <v>김양수</v>
          </cell>
        </row>
        <row r="102">
          <cell r="C102" t="str">
            <v>610205-2400329</v>
          </cell>
          <cell r="D102" t="str">
            <v>충북 영동군 영동읍 회동로 156-20</v>
          </cell>
        </row>
        <row r="102">
          <cell r="H102">
            <v>150000</v>
          </cell>
        </row>
        <row r="102">
          <cell r="K102" t="str">
            <v>29141</v>
          </cell>
        </row>
        <row r="103">
          <cell r="A103" t="str">
            <v>최순자</v>
          </cell>
        </row>
        <row r="103">
          <cell r="C103" t="str">
            <v>610604-2382923</v>
          </cell>
          <cell r="D103" t="str">
            <v>대전광역시 동구 충정로 136, 1102동 2006호 (가양동, 대주파크빌)</v>
          </cell>
          <cell r="E103" t="str">
            <v>농협</v>
          </cell>
          <cell r="F103" t="str">
            <v>최순자</v>
          </cell>
          <cell r="G103" t="str">
            <v>356-1585-3805-03</v>
          </cell>
          <cell r="H103">
            <v>150000</v>
          </cell>
          <cell r="I103" t="str">
            <v>010-4034 9739</v>
          </cell>
        </row>
        <row r="103">
          <cell r="K103" t="str">
            <v>34509</v>
          </cell>
        </row>
        <row r="104">
          <cell r="A104" t="str">
            <v>최순옥</v>
          </cell>
        </row>
        <row r="104">
          <cell r="C104" t="str">
            <v>661110-2382929</v>
          </cell>
          <cell r="D104" t="str">
            <v>대전광역시 동구 성동로7번길 58-11, 1동 107호 (자양동, 임광아파트)</v>
          </cell>
          <cell r="E104" t="str">
            <v>농협</v>
          </cell>
          <cell r="F104" t="str">
            <v>최순옥</v>
          </cell>
          <cell r="G104" t="str">
            <v>352-2099-8874-83</v>
          </cell>
          <cell r="H104">
            <v>150000</v>
          </cell>
          <cell r="I104" t="str">
            <v>010-403- 9839</v>
          </cell>
        </row>
        <row r="104">
          <cell r="K104" t="str">
            <v>34513</v>
          </cell>
        </row>
        <row r="105">
          <cell r="A105" t="str">
            <v>손경윤</v>
          </cell>
        </row>
        <row r="105">
          <cell r="C105" t="str">
            <v>780528-1386217</v>
          </cell>
          <cell r="D105" t="str">
            <v>전라남도 순천시 우석로 105, 2층(남정동)</v>
          </cell>
        </row>
        <row r="105">
          <cell r="H105">
            <v>150000</v>
          </cell>
          <cell r="I105" t="str">
            <v>010-3900-0965</v>
          </cell>
        </row>
        <row r="105">
          <cell r="K105" t="str">
            <v>57958</v>
          </cell>
        </row>
        <row r="106">
          <cell r="A106" t="str">
            <v>하재주</v>
          </cell>
        </row>
        <row r="106">
          <cell r="C106" t="str">
            <v>571020-1481929</v>
          </cell>
          <cell r="D106" t="str">
            <v>서울특별시 은평구 역촌동 68-31 지층-2</v>
          </cell>
          <cell r="E106" t="str">
            <v>농협</v>
          </cell>
          <cell r="F106" t="str">
            <v>하재주</v>
          </cell>
          <cell r="G106" t="str">
            <v>356-0367-2587-73</v>
          </cell>
          <cell r="H106">
            <v>150000</v>
          </cell>
          <cell r="I106" t="str">
            <v>010-8770-7249</v>
          </cell>
        </row>
        <row r="106">
          <cell r="K106" t="str">
            <v>03419</v>
          </cell>
          <cell r="L106" t="str">
            <v>은평구 연서로3나길 11-33, 삼풍빌라</v>
          </cell>
        </row>
        <row r="107">
          <cell r="A107" t="str">
            <v>전덕하</v>
          </cell>
        </row>
        <row r="107">
          <cell r="C107" t="str">
            <v>491107-1448813</v>
          </cell>
          <cell r="D107" t="str">
            <v>충북 영동군 양강면 국촌1길 6-6</v>
          </cell>
          <cell r="E107" t="str">
            <v>농협</v>
          </cell>
          <cell r="F107" t="str">
            <v>전덕하</v>
          </cell>
          <cell r="G107" t="str">
            <v>356-0791-8136-43</v>
          </cell>
          <cell r="H107">
            <v>150000</v>
          </cell>
        </row>
        <row r="107">
          <cell r="K107" t="str">
            <v>29155</v>
          </cell>
        </row>
        <row r="108">
          <cell r="A108" t="str">
            <v>김경옥</v>
          </cell>
        </row>
        <row r="108">
          <cell r="C108" t="str">
            <v>650424-2785412</v>
          </cell>
          <cell r="D108" t="str">
            <v>충북 영동군 영동읍 동정로 47, 103동 304호(영동가마실휴먼시아)</v>
          </cell>
        </row>
        <row r="108">
          <cell r="H108">
            <v>150000</v>
          </cell>
        </row>
        <row r="108">
          <cell r="K108" t="str">
            <v>29140</v>
          </cell>
        </row>
        <row r="114">
          <cell r="A114" t="str">
            <v>곽정관</v>
          </cell>
        </row>
        <row r="114">
          <cell r="C114" t="str">
            <v>530112-1117421</v>
          </cell>
          <cell r="D114" t="str">
            <v>충북 영동군 영동읍 금동로3길 5-9</v>
          </cell>
          <cell r="E114" t="str">
            <v>농협</v>
          </cell>
          <cell r="F114" t="str">
            <v>곽정관</v>
          </cell>
          <cell r="G114" t="str">
            <v>319-12-247113</v>
          </cell>
          <cell r="H114">
            <v>150000</v>
          </cell>
          <cell r="I114" t="str">
            <v>010-9416-0264</v>
          </cell>
        </row>
        <row r="114">
          <cell r="K114" t="str">
            <v>29138</v>
          </cell>
        </row>
        <row r="115">
          <cell r="A115" t="str">
            <v>조원제</v>
          </cell>
        </row>
        <row r="115">
          <cell r="C115" t="str">
            <v>641120-1386124</v>
          </cell>
          <cell r="D115" t="str">
            <v>충북 영동군 영동읍 부용리 334-1</v>
          </cell>
          <cell r="E115" t="str">
            <v>농협</v>
          </cell>
          <cell r="F115" t="str">
            <v>조원제</v>
          </cell>
          <cell r="G115" t="str">
            <v>319-12-230641</v>
          </cell>
          <cell r="H115">
            <v>150000</v>
          </cell>
          <cell r="I115" t="str">
            <v>010-5255-9807</v>
          </cell>
        </row>
        <row r="115">
          <cell r="K115" t="str">
            <v>29149</v>
          </cell>
          <cell r="L115" t="str">
            <v>영동읍 부용6길 20-39</v>
          </cell>
        </row>
        <row r="116">
          <cell r="A116" t="str">
            <v>박재영</v>
          </cell>
          <cell r="B116" t="str">
            <v>굴삭기기사</v>
          </cell>
          <cell r="C116" t="str">
            <v>720815-1386721</v>
          </cell>
          <cell r="D116" t="str">
            <v>충북 옥천군 옥천읍 문장로2길 10, 304동 503호</v>
          </cell>
        </row>
        <row r="116">
          <cell r="F116" t="str">
            <v>박재영</v>
          </cell>
        </row>
        <row r="116">
          <cell r="H116">
            <v>150000</v>
          </cell>
        </row>
        <row r="116">
          <cell r="K116" t="str">
            <v>29040</v>
          </cell>
        </row>
        <row r="117">
          <cell r="A117" t="str">
            <v>이관우</v>
          </cell>
          <cell r="B117" t="str">
            <v>철근공</v>
          </cell>
          <cell r="C117" t="str">
            <v>590920-1383021</v>
          </cell>
          <cell r="D117" t="str">
            <v>충북 보은군 보은읍 중초2길 20</v>
          </cell>
          <cell r="E117" t="str">
            <v>농협</v>
          </cell>
          <cell r="F117" t="str">
            <v>이관우</v>
          </cell>
          <cell r="G117" t="str">
            <v>118012-00-9732</v>
          </cell>
          <cell r="H117">
            <v>250000</v>
          </cell>
        </row>
        <row r="117">
          <cell r="K117" t="str">
            <v>28917</v>
          </cell>
        </row>
        <row r="118">
          <cell r="A118" t="str">
            <v>주문식</v>
          </cell>
          <cell r="B118" t="str">
            <v>목공</v>
          </cell>
          <cell r="C118" t="str">
            <v>650310-1392622</v>
          </cell>
          <cell r="D118" t="str">
            <v>청주시 상당구 영운천로 187번길 7-5</v>
          </cell>
          <cell r="E118" t="str">
            <v>농협</v>
          </cell>
          <cell r="F118" t="str">
            <v>주하정</v>
          </cell>
          <cell r="G118" t="str">
            <v>356-1247-9282-33</v>
          </cell>
          <cell r="H118">
            <v>250000</v>
          </cell>
        </row>
        <row r="118">
          <cell r="K118" t="str">
            <v>28750</v>
          </cell>
        </row>
        <row r="119">
          <cell r="A119" t="str">
            <v>음희진</v>
          </cell>
          <cell r="B119" t="str">
            <v>목공</v>
          </cell>
          <cell r="C119" t="str">
            <v>591220-1392335</v>
          </cell>
          <cell r="D119" t="str">
            <v>청주시 흥덕구 장구봉로101번길27, 사랑동405호 (복대동,형석@)</v>
          </cell>
          <cell r="E119" t="str">
            <v>농협</v>
          </cell>
          <cell r="F119" t="str">
            <v>음희진</v>
          </cell>
          <cell r="G119" t="str">
            <v>401149-56-096884</v>
          </cell>
          <cell r="H119">
            <v>250000</v>
          </cell>
        </row>
        <row r="119">
          <cell r="K119" t="str">
            <v>28607</v>
          </cell>
        </row>
        <row r="120">
          <cell r="A120" t="str">
            <v>지창기</v>
          </cell>
          <cell r="B120" t="str">
            <v>울타리공</v>
          </cell>
          <cell r="C120" t="str">
            <v>681022-1446910</v>
          </cell>
          <cell r="D120" t="str">
            <v>대전광역시 중구 대흥동 현대@ 7동 1101호</v>
          </cell>
        </row>
        <row r="120">
          <cell r="F120" t="str">
            <v>지창기</v>
          </cell>
        </row>
        <row r="120">
          <cell r="H120">
            <v>250000</v>
          </cell>
        </row>
        <row r="120">
          <cell r="K120" t="str">
            <v>34929</v>
          </cell>
          <cell r="L120" t="str">
            <v>대전광역시 중구 대종로 425</v>
          </cell>
        </row>
        <row r="121">
          <cell r="A121" t="str">
            <v>김재수</v>
          </cell>
          <cell r="B121" t="str">
            <v>울타리공</v>
          </cell>
          <cell r="C121" t="str">
            <v>660202-1400210</v>
          </cell>
          <cell r="D121" t="str">
            <v>전북 무주군 부남면 유동길 7-4</v>
          </cell>
        </row>
        <row r="121">
          <cell r="F121" t="str">
            <v>김재수</v>
          </cell>
        </row>
        <row r="121">
          <cell r="H121">
            <v>250000</v>
          </cell>
        </row>
        <row r="121">
          <cell r="K121" t="str">
            <v>55501</v>
          </cell>
        </row>
        <row r="122">
          <cell r="A122" t="str">
            <v>지봉수</v>
          </cell>
        </row>
        <row r="122">
          <cell r="C122" t="str">
            <v>871003-</v>
          </cell>
          <cell r="D122" t="str">
            <v>충북 증평군 도안면 탑골길 1-22</v>
          </cell>
        </row>
        <row r="122">
          <cell r="K122" t="str">
            <v>27901</v>
          </cell>
        </row>
        <row r="123">
          <cell r="A123" t="str">
            <v>이기영</v>
          </cell>
        </row>
        <row r="123">
          <cell r="C123" t="str">
            <v>580824-1390815</v>
          </cell>
          <cell r="D123" t="str">
            <v>충청북도 증평군 도안면 탑골길 1-22</v>
          </cell>
          <cell r="E123" t="str">
            <v>농협</v>
          </cell>
          <cell r="F123" t="str">
            <v>이기영</v>
          </cell>
          <cell r="G123" t="str">
            <v>302-0589-3448-81</v>
          </cell>
          <cell r="H123">
            <v>165000</v>
          </cell>
          <cell r="I123" t="str">
            <v>010-9345-3633</v>
          </cell>
          <cell r="J123" t="str">
            <v>삼일용역</v>
          </cell>
          <cell r="K123" t="str">
            <v>27901</v>
          </cell>
        </row>
        <row r="124">
          <cell r="A124" t="str">
            <v>조남부</v>
          </cell>
        </row>
        <row r="124">
          <cell r="C124" t="str">
            <v>600417-1458432</v>
          </cell>
          <cell r="D124" t="str">
            <v>충북 청원군 낭성면 관정길 180-1</v>
          </cell>
          <cell r="E124" t="str">
            <v>국민</v>
          </cell>
          <cell r="F124" t="str">
            <v>삼일용역</v>
          </cell>
          <cell r="G124" t="str">
            <v>722125-95-102456</v>
          </cell>
          <cell r="H124">
            <v>150000</v>
          </cell>
        </row>
        <row r="124">
          <cell r="J124" t="str">
            <v>삼일용역</v>
          </cell>
          <cell r="K124" t="str">
            <v>28194</v>
          </cell>
        </row>
        <row r="125">
          <cell r="A125" t="str">
            <v>임종길</v>
          </cell>
        </row>
        <row r="125">
          <cell r="C125" t="str">
            <v>611204-1346019</v>
          </cell>
          <cell r="D125" t="str">
            <v>경상남도 고성군 거류면 화당2길 21-10</v>
          </cell>
          <cell r="E125" t="str">
            <v>국민</v>
          </cell>
          <cell r="F125" t="str">
            <v>삼일용역</v>
          </cell>
          <cell r="G125" t="str">
            <v>722125-95-102456</v>
          </cell>
          <cell r="H125">
            <v>175000</v>
          </cell>
        </row>
        <row r="125">
          <cell r="J125" t="str">
            <v>삼일용역</v>
          </cell>
          <cell r="K125" t="str">
            <v>52926</v>
          </cell>
        </row>
        <row r="126">
          <cell r="A126" t="str">
            <v>윤덕근</v>
          </cell>
        </row>
        <row r="126">
          <cell r="C126" t="str">
            <v>620209-1390912</v>
          </cell>
          <cell r="D126" t="str">
            <v>충청북도 증평군 증평읍 송산로4길 14,305동</v>
          </cell>
          <cell r="E126" t="str">
            <v>농협</v>
          </cell>
          <cell r="F126" t="str">
            <v>윤덕근</v>
          </cell>
          <cell r="G126" t="str">
            <v>302-0589-3448-81</v>
          </cell>
          <cell r="H126">
            <v>165000</v>
          </cell>
          <cell r="I126" t="str">
            <v>010-5498-6461</v>
          </cell>
          <cell r="J126" t="str">
            <v>삼일용역</v>
          </cell>
          <cell r="K126" t="str">
            <v>27917</v>
          </cell>
        </row>
        <row r="127">
          <cell r="A127" t="str">
            <v>김상만</v>
          </cell>
        </row>
        <row r="127">
          <cell r="C127" t="str">
            <v>730115-1781625</v>
          </cell>
          <cell r="D127" t="str">
            <v>울산광역시 동구 대송3길 63</v>
          </cell>
          <cell r="E127" t="str">
            <v>국민</v>
          </cell>
          <cell r="F127" t="str">
            <v>삼일용역</v>
          </cell>
          <cell r="G127" t="str">
            <v>722125-95-102456</v>
          </cell>
          <cell r="H127">
            <v>175000</v>
          </cell>
          <cell r="I127" t="str">
            <v>010-5498-6461</v>
          </cell>
          <cell r="J127" t="str">
            <v>삼일용역</v>
          </cell>
          <cell r="K127" t="str">
            <v>44062</v>
          </cell>
        </row>
        <row r="128">
          <cell r="A128" t="str">
            <v>이주은</v>
          </cell>
        </row>
        <row r="128">
          <cell r="C128" t="str">
            <v>930109-2409915</v>
          </cell>
          <cell r="D128" t="str">
            <v>대전광역시 서구 도솔로 324-5(괴정동)</v>
          </cell>
          <cell r="E128" t="str">
            <v>국민</v>
          </cell>
          <cell r="F128" t="str">
            <v>삼일용역</v>
          </cell>
          <cell r="G128" t="str">
            <v>722125-95-102456</v>
          </cell>
          <cell r="H128">
            <v>130000</v>
          </cell>
        </row>
        <row r="128">
          <cell r="J128" t="str">
            <v>삼일용역</v>
          </cell>
          <cell r="K128" t="str">
            <v>35295</v>
          </cell>
        </row>
        <row r="129">
          <cell r="A129" t="str">
            <v>김정태</v>
          </cell>
          <cell r="B129" t="str">
            <v>삼일용역</v>
          </cell>
          <cell r="C129" t="str">
            <v>650104-1380821</v>
          </cell>
          <cell r="D129" t="str">
            <v>충청북도 청주시 청원구 오창읍 여천2길 22-5</v>
          </cell>
          <cell r="E129" t="str">
            <v>국민</v>
          </cell>
          <cell r="F129" t="str">
            <v>삼일용역</v>
          </cell>
          <cell r="G129" t="str">
            <v>722125-95-102456</v>
          </cell>
          <cell r="H129">
            <v>175000</v>
          </cell>
        </row>
        <row r="129">
          <cell r="J129" t="str">
            <v>삼일용역</v>
          </cell>
          <cell r="K129" t="str">
            <v>28127</v>
          </cell>
        </row>
        <row r="130">
          <cell r="A130" t="str">
            <v>윤희주</v>
          </cell>
          <cell r="B130" t="str">
            <v>삼일용역</v>
          </cell>
          <cell r="C130" t="str">
            <v>520112-1621913</v>
          </cell>
          <cell r="D130" t="str">
            <v>충북 증평군 증평읍 쇠마루1길 45</v>
          </cell>
          <cell r="E130" t="str">
            <v>국민</v>
          </cell>
          <cell r="F130" t="str">
            <v>삼일용역</v>
          </cell>
          <cell r="G130" t="str">
            <v>722125-95-102456</v>
          </cell>
          <cell r="H130">
            <v>175000</v>
          </cell>
        </row>
        <row r="130">
          <cell r="J130" t="str">
            <v>삼일용역</v>
          </cell>
          <cell r="K130" t="str">
            <v>27913</v>
          </cell>
        </row>
        <row r="131">
          <cell r="A131" t="str">
            <v>최성학</v>
          </cell>
          <cell r="B131" t="str">
            <v>삼일용역</v>
          </cell>
          <cell r="C131" t="str">
            <v>630111-1268111</v>
          </cell>
          <cell r="D131" t="str">
            <v>충북 음성군 설성로 2</v>
          </cell>
          <cell r="E131" t="str">
            <v>국민</v>
          </cell>
          <cell r="F131" t="str">
            <v>삼일용역</v>
          </cell>
          <cell r="G131" t="str">
            <v>722125-95-102456</v>
          </cell>
          <cell r="H131">
            <v>165000</v>
          </cell>
        </row>
        <row r="131">
          <cell r="J131" t="str">
            <v>삼일용역</v>
          </cell>
          <cell r="K131" t="str">
            <v>21952</v>
          </cell>
        </row>
        <row r="132">
          <cell r="A132" t="str">
            <v>이종호</v>
          </cell>
          <cell r="B132" t="str">
            <v>울타리공</v>
          </cell>
          <cell r="C132" t="str">
            <v>740211-1149313</v>
          </cell>
          <cell r="D132" t="str">
            <v>인천시 연수구 옥련동 642-1</v>
          </cell>
          <cell r="E132" t="str">
            <v>기업</v>
          </cell>
          <cell r="F132" t="str">
            <v>이종호</v>
          </cell>
          <cell r="G132" t="str">
            <v>1064340831</v>
          </cell>
          <cell r="H132">
            <v>155000</v>
          </cell>
          <cell r="I132" t="str">
            <v>010-6434-0831</v>
          </cell>
        </row>
        <row r="132">
          <cell r="K132" t="str">
            <v>21952</v>
          </cell>
        </row>
        <row r="133">
          <cell r="A133" t="str">
            <v>이동헌</v>
          </cell>
          <cell r="B133" t="str">
            <v>울타리공</v>
          </cell>
          <cell r="C133" t="str">
            <v>900614-1674812</v>
          </cell>
          <cell r="D133" t="str">
            <v>인천시 부평구 부평대로 95번길 </v>
          </cell>
        </row>
        <row r="133">
          <cell r="I133" t="str">
            <v>010-4682-4812</v>
          </cell>
        </row>
        <row r="133">
          <cell r="K133" t="str">
            <v>21375</v>
          </cell>
        </row>
        <row r="134">
          <cell r="A134" t="str">
            <v>김동진</v>
          </cell>
          <cell r="B134" t="str">
            <v>울타리공</v>
          </cell>
          <cell r="C134" t="str">
            <v>980615-1094810</v>
          </cell>
          <cell r="D134" t="str">
            <v>전주시  덕진구 명주5길 41번지</v>
          </cell>
          <cell r="E134" t="str">
            <v>우리</v>
          </cell>
        </row>
        <row r="134">
          <cell r="G134" t="str">
            <v>1002763162620</v>
          </cell>
          <cell r="H134">
            <v>200000</v>
          </cell>
          <cell r="I134" t="str">
            <v>010-5738-4795</v>
          </cell>
        </row>
        <row r="134">
          <cell r="K134" t="str">
            <v>54918</v>
          </cell>
        </row>
        <row r="135">
          <cell r="A135" t="str">
            <v>정복용</v>
          </cell>
          <cell r="B135" t="str">
            <v>삼일용역</v>
          </cell>
          <cell r="C135" t="str">
            <v>651210-1337113</v>
          </cell>
          <cell r="D135" t="str">
            <v>강원도 화천군 간동면 오동나무길8-9</v>
          </cell>
          <cell r="E135" t="str">
            <v>국민</v>
          </cell>
          <cell r="F135" t="str">
            <v>삼일용역</v>
          </cell>
          <cell r="G135" t="str">
            <v>722125-95-102456</v>
          </cell>
          <cell r="H135">
            <v>175000</v>
          </cell>
        </row>
        <row r="135">
          <cell r="J135" t="str">
            <v>삼일용역</v>
          </cell>
          <cell r="K135" t="str">
            <v>24137</v>
          </cell>
        </row>
        <row r="136">
          <cell r="A136" t="str">
            <v>정인섭</v>
          </cell>
          <cell r="B136" t="str">
            <v>삼일용역</v>
          </cell>
          <cell r="C136" t="str">
            <v>610720-1452816</v>
          </cell>
          <cell r="D136" t="str">
            <v>충북 증평군 증평읍 삼보로 1길21 104동110호</v>
          </cell>
          <cell r="E136" t="str">
            <v>국민</v>
          </cell>
          <cell r="F136" t="str">
            <v>삼일용역</v>
          </cell>
          <cell r="G136" t="str">
            <v>722125-95-102456</v>
          </cell>
          <cell r="H136">
            <v>165000</v>
          </cell>
        </row>
        <row r="136">
          <cell r="J136" t="str">
            <v>삼일용역</v>
          </cell>
          <cell r="K136" t="str">
            <v>27928</v>
          </cell>
        </row>
        <row r="137">
          <cell r="A137" t="str">
            <v>연제선</v>
          </cell>
          <cell r="B137" t="str">
            <v>삼일용역</v>
          </cell>
          <cell r="C137" t="str">
            <v>880417-1390814</v>
          </cell>
          <cell r="D137" t="str">
            <v>충북 증평군 증평읍 송산로53 휴먼시아</v>
          </cell>
          <cell r="E137" t="str">
            <v>국민</v>
          </cell>
          <cell r="F137" t="str">
            <v>삼일용역</v>
          </cell>
          <cell r="G137" t="str">
            <v>722125-95-102456</v>
          </cell>
          <cell r="H137">
            <v>175000</v>
          </cell>
        </row>
        <row r="137">
          <cell r="J137" t="str">
            <v>삼일용역</v>
          </cell>
          <cell r="K137" t="str">
            <v>27918</v>
          </cell>
        </row>
        <row r="138">
          <cell r="A138" t="str">
            <v>이기범</v>
          </cell>
          <cell r="B138" t="str">
            <v>삼일용역</v>
          </cell>
          <cell r="C138" t="str">
            <v>840608-1227411</v>
          </cell>
          <cell r="D138" t="str">
            <v>경기도 평택시 새교동 560 향촌현대아파트</v>
          </cell>
          <cell r="E138" t="str">
            <v>국민</v>
          </cell>
          <cell r="F138" t="str">
            <v>삼일용역</v>
          </cell>
          <cell r="G138" t="str">
            <v>722125-95-102456</v>
          </cell>
          <cell r="H138">
            <v>165000</v>
          </cell>
        </row>
        <row r="138">
          <cell r="J138" t="str">
            <v>삼일용역</v>
          </cell>
          <cell r="K138" t="str">
            <v>17832</v>
          </cell>
        </row>
        <row r="139">
          <cell r="A139" t="str">
            <v>신기호</v>
          </cell>
          <cell r="B139" t="str">
            <v>삼일용역</v>
          </cell>
          <cell r="C139" t="str">
            <v>740917-1390110</v>
          </cell>
          <cell r="D139" t="str">
            <v>충북 청주시 청원구 오창읍 양천6길 4-10 104호</v>
          </cell>
          <cell r="E139" t="str">
            <v>국민</v>
          </cell>
          <cell r="F139" t="str">
            <v>삼일용역</v>
          </cell>
          <cell r="G139" t="str">
            <v>722125-95-102456</v>
          </cell>
          <cell r="H139">
            <v>165000</v>
          </cell>
        </row>
        <row r="139">
          <cell r="J139" t="str">
            <v>삼일용역</v>
          </cell>
          <cell r="K139" t="str">
            <v>28116</v>
          </cell>
        </row>
        <row r="140">
          <cell r="A140" t="str">
            <v>유상철</v>
          </cell>
          <cell r="B140" t="str">
            <v>울타리공</v>
          </cell>
          <cell r="C140" t="str">
            <v>780418-1411311</v>
          </cell>
          <cell r="D140" t="str">
            <v>인청광역시 남동구 간석동 188-7 203호</v>
          </cell>
          <cell r="E140" t="str">
            <v>농협</v>
          </cell>
          <cell r="F140" t="str">
            <v>유상철</v>
          </cell>
          <cell r="G140" t="str">
            <v>3020703001141</v>
          </cell>
          <cell r="H140">
            <v>230000</v>
          </cell>
          <cell r="I140" t="str">
            <v>010-8997-4235</v>
          </cell>
        </row>
        <row r="140">
          <cell r="K140" t="str">
            <v>21545</v>
          </cell>
        </row>
        <row r="141">
          <cell r="A141" t="str">
            <v>박건진</v>
          </cell>
          <cell r="B141" t="str">
            <v>울타리공</v>
          </cell>
          <cell r="C141" t="str">
            <v>730926-1182618</v>
          </cell>
          <cell r="D141" t="str">
            <v>인천시 연수구 옥련동 642-139</v>
          </cell>
          <cell r="E141" t="str">
            <v>신한</v>
          </cell>
          <cell r="F141" t="str">
            <v>박건진</v>
          </cell>
          <cell r="G141" t="str">
            <v>110531618208</v>
          </cell>
          <cell r="H141">
            <v>200000</v>
          </cell>
          <cell r="I141" t="str">
            <v>010-2520-9629</v>
          </cell>
        </row>
        <row r="141">
          <cell r="K141" t="str">
            <v>21952</v>
          </cell>
        </row>
        <row r="142">
          <cell r="A142" t="str">
            <v>김도운</v>
          </cell>
          <cell r="B142" t="str">
            <v>울타리공</v>
          </cell>
          <cell r="C142" t="str">
            <v>980424-1042216</v>
          </cell>
          <cell r="D142" t="str">
            <v>경기도 부천시 삼적로 395번길8 502호</v>
          </cell>
        </row>
        <row r="142">
          <cell r="I142" t="str">
            <v>010-4856-8783</v>
          </cell>
        </row>
        <row r="142">
          <cell r="K142" t="str">
            <v>14473</v>
          </cell>
        </row>
        <row r="143">
          <cell r="A143" t="str">
            <v>최진영</v>
          </cell>
          <cell r="B143" t="str">
            <v>울타리공</v>
          </cell>
          <cell r="C143" t="str">
            <v>830808-1273513</v>
          </cell>
          <cell r="D143" t="str">
            <v>경기도 군포시 군포로 767번길 35 </v>
          </cell>
          <cell r="E143" t="str">
            <v>신한</v>
          </cell>
          <cell r="F143" t="str">
            <v>최진영</v>
          </cell>
          <cell r="G143" t="str">
            <v>110309789591</v>
          </cell>
          <cell r="H143">
            <v>165000</v>
          </cell>
          <cell r="I143" t="str">
            <v>010-2537-9954</v>
          </cell>
        </row>
        <row r="143">
          <cell r="K143" t="str">
            <v>15805</v>
          </cell>
        </row>
        <row r="150">
          <cell r="A150" t="str">
            <v>청주건설기계
(오근장지게차,공항지게차)</v>
          </cell>
          <cell r="B150" t="str">
            <v>지게차</v>
          </cell>
          <cell r="C150" t="str">
            <v>490-40-00058</v>
          </cell>
          <cell r="D150" t="str">
            <v>농협010-8574-3343-09</v>
          </cell>
          <cell r="E150" t="str">
            <v>농협</v>
          </cell>
        </row>
        <row r="150">
          <cell r="G150" t="str">
            <v>010-8574-3343-09</v>
          </cell>
          <cell r="H150">
            <v>90000</v>
          </cell>
          <cell r="I150" t="str">
            <v>010-8574-3343</v>
          </cell>
        </row>
        <row r="151">
          <cell r="A151" t="str">
            <v>김학형</v>
          </cell>
        </row>
        <row r="151">
          <cell r="C151" t="str">
            <v>680808-1386718</v>
          </cell>
          <cell r="D151" t="str">
            <v>충북 영동군 영동읍 영동시장1길 32 A동 202호</v>
          </cell>
          <cell r="E151" t="str">
            <v>농협</v>
          </cell>
          <cell r="F151" t="str">
            <v>이성</v>
          </cell>
          <cell r="G151" t="str">
            <v>351-1142-0210-73</v>
          </cell>
          <cell r="H151">
            <v>170000</v>
          </cell>
          <cell r="I151" t="str">
            <v>010-7430-9885</v>
          </cell>
          <cell r="J151" t="str">
            <v>명장인력</v>
          </cell>
          <cell r="K151" t="str">
            <v>29146</v>
          </cell>
        </row>
        <row r="152">
          <cell r="A152" t="str">
            <v>배권</v>
          </cell>
        </row>
        <row r="152">
          <cell r="C152" t="str">
            <v>661120-1386210</v>
          </cell>
          <cell r="D152" t="str">
            <v>충북 영동군 영동읍 상부용로 20 (지평더웰Ⅱ아파트) </v>
          </cell>
          <cell r="E152" t="str">
            <v>농협</v>
          </cell>
          <cell r="F152" t="str">
            <v>이성</v>
          </cell>
          <cell r="G152" t="str">
            <v>351-1142-0210-73</v>
          </cell>
          <cell r="H152">
            <v>150000</v>
          </cell>
          <cell r="I152" t="str">
            <v>010-9979-9238</v>
          </cell>
          <cell r="J152" t="str">
            <v>명장인력</v>
          </cell>
          <cell r="K152" t="str">
            <v>29148</v>
          </cell>
        </row>
        <row r="153">
          <cell r="A153" t="str">
            <v>이상찬</v>
          </cell>
        </row>
        <row r="153">
          <cell r="C153" t="str">
            <v>700201-1386132</v>
          </cell>
          <cell r="D153" t="str">
            <v>충북 영동군 영동읍 영동시장1길 18-3 </v>
          </cell>
          <cell r="E153" t="str">
            <v>농협</v>
          </cell>
          <cell r="F153" t="str">
            <v>이성</v>
          </cell>
          <cell r="G153" t="str">
            <v>351-1142-0210-73</v>
          </cell>
          <cell r="H153">
            <v>170000</v>
          </cell>
          <cell r="I153" t="str">
            <v>010-2804-4792</v>
          </cell>
          <cell r="J153" t="str">
            <v>명장인력</v>
          </cell>
          <cell r="K153" t="str">
            <v>29146</v>
          </cell>
        </row>
        <row r="154">
          <cell r="A154" t="str">
            <v>이효주</v>
          </cell>
        </row>
        <row r="154">
          <cell r="C154" t="str">
            <v>510217-1466413</v>
          </cell>
          <cell r="D154" t="str">
            <v>충북 영동군 영동읍 계산로1길 11 </v>
          </cell>
          <cell r="E154" t="str">
            <v>농협</v>
          </cell>
          <cell r="F154" t="str">
            <v>이성</v>
          </cell>
          <cell r="G154" t="str">
            <v>351-1142-0210-73</v>
          </cell>
          <cell r="H154">
            <v>160000</v>
          </cell>
          <cell r="I154" t="str">
            <v>010-3117-7949</v>
          </cell>
          <cell r="J154" t="str">
            <v>명장인력</v>
          </cell>
          <cell r="K154" t="str">
            <v>29145</v>
          </cell>
        </row>
        <row r="155">
          <cell r="A155" t="str">
            <v>최병길</v>
          </cell>
        </row>
        <row r="155">
          <cell r="C155" t="str">
            <v>511119-1460910</v>
          </cell>
          <cell r="D155" t="str">
            <v>대전광역시 중구 산성동 509-15</v>
          </cell>
          <cell r="E155" t="str">
            <v>농협</v>
          </cell>
          <cell r="F155" t="str">
            <v>최병길</v>
          </cell>
          <cell r="G155" t="str">
            <v>453029-52-022509</v>
          </cell>
          <cell r="H155">
            <v>150000</v>
          </cell>
        </row>
        <row r="155">
          <cell r="J155" t="str">
            <v>석공</v>
          </cell>
        </row>
        <row r="156">
          <cell r="A156" t="str">
            <v>이준우</v>
          </cell>
        </row>
        <row r="156">
          <cell r="C156" t="str">
            <v>520216-1408321</v>
          </cell>
          <cell r="D156" t="str">
            <v>대전광역시 중구 보문산로 157, 마동303호(문화동,동양맨션)</v>
          </cell>
          <cell r="E156" t="str">
            <v>농협</v>
          </cell>
          <cell r="F156" t="str">
            <v>이준우</v>
          </cell>
          <cell r="G156" t="str">
            <v>453029-51-013658</v>
          </cell>
          <cell r="H156">
            <v>150000</v>
          </cell>
        </row>
        <row r="156">
          <cell r="J156" t="str">
            <v>석공</v>
          </cell>
          <cell r="K156" t="str">
            <v>35014</v>
          </cell>
        </row>
        <row r="157">
          <cell r="A157" t="str">
            <v>이성돌</v>
          </cell>
        </row>
        <row r="157">
          <cell r="C157" t="str">
            <v>500414-1408219</v>
          </cell>
          <cell r="D157" t="str">
            <v>대전광역시 중구 대둔산로 414번길 75(산성동)</v>
          </cell>
          <cell r="E157" t="str">
            <v>농협</v>
          </cell>
          <cell r="F157" t="str">
            <v>이성돌</v>
          </cell>
          <cell r="G157" t="str">
            <v>453029-52-260357</v>
          </cell>
          <cell r="H157">
            <v>150000</v>
          </cell>
        </row>
        <row r="157">
          <cell r="J157" t="str">
            <v>석공</v>
          </cell>
          <cell r="K157" t="str">
            <v>35011</v>
          </cell>
        </row>
        <row r="158">
          <cell r="A158" t="str">
            <v>정태성</v>
          </cell>
        </row>
        <row r="158">
          <cell r="C158" t="str">
            <v>660501-1386134</v>
          </cell>
          <cell r="D158" t="str">
            <v>충북 영동군 영동읍 계산로 34-1</v>
          </cell>
          <cell r="E158" t="str">
            <v>농협</v>
          </cell>
          <cell r="F158" t="str">
            <v>정태성</v>
          </cell>
          <cell r="G158" t="str">
            <v>352-1006-9268-83</v>
          </cell>
          <cell r="H158">
            <v>150000</v>
          </cell>
          <cell r="I158" t="str">
            <v>010-5490-9056</v>
          </cell>
          <cell r="J158" t="str">
            <v>석공</v>
          </cell>
          <cell r="K158" t="str">
            <v>29144</v>
          </cell>
        </row>
        <row r="159">
          <cell r="A159" t="str">
            <v>배석득</v>
          </cell>
        </row>
        <row r="159">
          <cell r="C159" t="str">
            <v>501225-1386713</v>
          </cell>
          <cell r="D159" t="str">
            <v>충북 영동군 영동읍 부용7안길 2-13</v>
          </cell>
          <cell r="E159" t="str">
            <v>농협</v>
          </cell>
          <cell r="F159" t="str">
            <v>배석득</v>
          </cell>
          <cell r="G159" t="str">
            <v>356-1479-5477-73</v>
          </cell>
          <cell r="H159">
            <v>150000</v>
          </cell>
          <cell r="I159" t="str">
            <v>010-6580-1303</v>
          </cell>
          <cell r="J159" t="str">
            <v>석공</v>
          </cell>
          <cell r="K159" t="str">
            <v>29149</v>
          </cell>
        </row>
        <row r="160">
          <cell r="A160" t="str">
            <v>최석진</v>
          </cell>
        </row>
        <row r="160">
          <cell r="C160" t="str">
            <v>580324-1652410</v>
          </cell>
          <cell r="D160" t="str">
            <v>대전광역시 동구 동서대로 1579, 101동 1501호(홍도동,홍도@)</v>
          </cell>
          <cell r="E160" t="str">
            <v>하나</v>
          </cell>
          <cell r="F160" t="str">
            <v>최석진</v>
          </cell>
          <cell r="G160" t="str">
            <v>646-910748-77207</v>
          </cell>
          <cell r="H160">
            <v>150000</v>
          </cell>
        </row>
        <row r="160">
          <cell r="J160" t="str">
            <v>석공</v>
          </cell>
          <cell r="K160" t="str">
            <v>34557</v>
          </cell>
        </row>
        <row r="161">
          <cell r="A161" t="str">
            <v>권신홍</v>
          </cell>
        </row>
        <row r="161">
          <cell r="C161" t="str">
            <v>510315-1651218</v>
          </cell>
          <cell r="D161" t="str">
            <v>대전광역시 동구 가양동 149-30</v>
          </cell>
          <cell r="E161" t="str">
            <v>국민</v>
          </cell>
          <cell r="F161" t="str">
            <v>권신흥</v>
          </cell>
          <cell r="G161" t="str">
            <v>845901-22-004565</v>
          </cell>
          <cell r="H161">
            <v>150000</v>
          </cell>
          <cell r="I161" t="str">
            <v>010-4413-4583</v>
          </cell>
          <cell r="J161" t="str">
            <v>석공</v>
          </cell>
          <cell r="K161" t="str">
            <v>34506</v>
          </cell>
        </row>
        <row r="162">
          <cell r="A162" t="str">
            <v>조을순</v>
          </cell>
        </row>
        <row r="162">
          <cell r="C162" t="str">
            <v>560302-2400210</v>
          </cell>
          <cell r="D162" t="str">
            <v>대전광역시 동구 판암동 558-6 국민빌라 301호</v>
          </cell>
          <cell r="E162" t="str">
            <v>농협</v>
          </cell>
          <cell r="F162" t="str">
            <v>조을순</v>
          </cell>
          <cell r="G162" t="str">
            <v>352-0676-2630-53</v>
          </cell>
          <cell r="H162">
            <v>150000</v>
          </cell>
        </row>
        <row r="162">
          <cell r="J162" t="str">
            <v>석공</v>
          </cell>
          <cell r="K162" t="str">
            <v>34670</v>
          </cell>
          <cell r="L162" t="str">
            <v>대전광역시 동구 용운로 80, 309동 1201호(용운동,용방마을@)</v>
          </cell>
          <cell r="M162" t="str">
            <v>조을송</v>
          </cell>
        </row>
        <row r="163">
          <cell r="A163" t="str">
            <v>임종관</v>
          </cell>
        </row>
        <row r="163">
          <cell r="C163" t="str">
            <v>660123-1386716</v>
          </cell>
          <cell r="D163" t="str">
            <v>충북 영동군 양강면 국촌1길10</v>
          </cell>
          <cell r="E163" t="str">
            <v>농협</v>
          </cell>
          <cell r="F163" t="str">
            <v>임종관</v>
          </cell>
          <cell r="G163" t="str">
            <v>352-1734-5415-23</v>
          </cell>
          <cell r="H163">
            <v>150000</v>
          </cell>
          <cell r="I163" t="str">
            <v>010-5483-0500</v>
          </cell>
        </row>
        <row r="163">
          <cell r="K163" t="str">
            <v>29155</v>
          </cell>
        </row>
        <row r="164">
          <cell r="A164" t="str">
            <v>양희옥</v>
          </cell>
        </row>
        <row r="164">
          <cell r="C164" t="str">
            <v>640320-2386922</v>
          </cell>
          <cell r="D164" t="str">
            <v>충북 영동군 양강면 양정리116-6</v>
          </cell>
          <cell r="E164" t="str">
            <v>농협</v>
          </cell>
          <cell r="F164" t="str">
            <v>양희옥</v>
          </cell>
          <cell r="G164" t="str">
            <v>407023-56-010784</v>
          </cell>
          <cell r="H164">
            <v>130000</v>
          </cell>
          <cell r="I164" t="str">
            <v>010-3039-3737</v>
          </cell>
        </row>
        <row r="164">
          <cell r="K164" t="str">
            <v>29156</v>
          </cell>
        </row>
        <row r="165">
          <cell r="A165" t="str">
            <v>김충식</v>
          </cell>
        </row>
        <row r="165">
          <cell r="C165" t="str">
            <v>520618-1384416</v>
          </cell>
          <cell r="D165" t="str">
            <v>충북 청원군 북이면 석성리448-2</v>
          </cell>
          <cell r="E165" t="str">
            <v>농협</v>
          </cell>
          <cell r="F165" t="str">
            <v>김충식</v>
          </cell>
          <cell r="G165" t="str">
            <v>302-0971-3212-91</v>
          </cell>
          <cell r="H165">
            <v>150000</v>
          </cell>
          <cell r="I165" t="str">
            <v>010-5547-6459</v>
          </cell>
        </row>
        <row r="166">
          <cell r="A166" t="str">
            <v>한희열</v>
          </cell>
        </row>
        <row r="166">
          <cell r="C166" t="str">
            <v>590921-1709522</v>
          </cell>
          <cell r="D166" t="str">
            <v>충북 영동군 영동읍 상부용로 7-50, 101동1501호 (지평더웰@)</v>
          </cell>
          <cell r="E166" t="str">
            <v>농협</v>
          </cell>
          <cell r="F166" t="str">
            <v>한희열</v>
          </cell>
          <cell r="G166" t="str">
            <v>356-1123-9590-03</v>
          </cell>
          <cell r="H166">
            <v>150000</v>
          </cell>
          <cell r="I166" t="str">
            <v>010-3976-2700</v>
          </cell>
        </row>
        <row r="166">
          <cell r="K166" t="str">
            <v>29148</v>
          </cell>
        </row>
        <row r="167">
          <cell r="A167" t="str">
            <v>박래화</v>
          </cell>
        </row>
        <row r="167">
          <cell r="C167" t="str">
            <v>470117-1018911</v>
          </cell>
          <cell r="D167" t="str">
            <v>충북 영동군 영동읍 영산로7길 2, 가동 106호(양지연립)</v>
          </cell>
          <cell r="E167" t="str">
            <v>농협</v>
          </cell>
          <cell r="F167" t="str">
            <v>박래화</v>
          </cell>
          <cell r="G167" t="str">
            <v>302-0822-9170-11</v>
          </cell>
          <cell r="H167">
            <v>150000</v>
          </cell>
        </row>
        <row r="167">
          <cell r="K167" t="str">
            <v>29147</v>
          </cell>
        </row>
        <row r="168">
          <cell r="A168" t="str">
            <v>권영안</v>
          </cell>
        </row>
        <row r="168">
          <cell r="C168" t="str">
            <v>570815-1380728</v>
          </cell>
          <cell r="D168" t="str">
            <v>충북 청주시 상당구 중흥로 71 109/1402</v>
          </cell>
          <cell r="E168" t="str">
            <v>농협</v>
          </cell>
          <cell r="F168" t="str">
            <v>권영안</v>
          </cell>
          <cell r="G168" t="str">
            <v>401147-52-151337</v>
          </cell>
          <cell r="H168">
            <v>150000</v>
          </cell>
        </row>
        <row r="168">
          <cell r="K168" t="str">
            <v>28773</v>
          </cell>
        </row>
        <row r="169">
          <cell r="A169" t="str">
            <v>신용철</v>
          </cell>
        </row>
        <row r="169">
          <cell r="C169" t="str">
            <v>651220-1228344</v>
          </cell>
          <cell r="D169" t="str">
            <v>충북 영동군 황간면 신흥1길 8</v>
          </cell>
          <cell r="E169" t="str">
            <v>농협</v>
          </cell>
          <cell r="F169" t="str">
            <v>신용철</v>
          </cell>
          <cell r="G169" t="str">
            <v>356-1329-6202-53</v>
          </cell>
          <cell r="H169">
            <v>150000</v>
          </cell>
        </row>
        <row r="169">
          <cell r="K169" t="str">
            <v>29116</v>
          </cell>
        </row>
        <row r="170">
          <cell r="A170" t="str">
            <v>최영희</v>
          </cell>
        </row>
        <row r="170">
          <cell r="C170" t="str">
            <v>641012-2478918</v>
          </cell>
          <cell r="D170" t="str">
            <v>충북 청주시 흥덕구 수곡동 328 산남주공@ 103동 501호</v>
          </cell>
          <cell r="E170" t="str">
            <v>국민</v>
          </cell>
          <cell r="F170" t="str">
            <v>최영희</v>
          </cell>
          <cell r="G170" t="str">
            <v>709802-01-046029</v>
          </cell>
          <cell r="H170">
            <v>150000</v>
          </cell>
        </row>
        <row r="171">
          <cell r="A171" t="str">
            <v>김재억</v>
          </cell>
        </row>
        <row r="171">
          <cell r="C171" t="str">
            <v>600605-1386718</v>
          </cell>
          <cell r="D171" t="str">
            <v>충북 영동군 양강면 괴목리 411</v>
          </cell>
          <cell r="E171" t="str">
            <v>농협</v>
          </cell>
          <cell r="F171" t="str">
            <v>김재억</v>
          </cell>
          <cell r="G171" t="str">
            <v>356-1337-2458-73</v>
          </cell>
          <cell r="H171">
            <v>150000</v>
          </cell>
          <cell r="I171" t="str">
            <v>010-7415-9300</v>
          </cell>
        </row>
        <row r="171">
          <cell r="K171" t="str">
            <v>29155</v>
          </cell>
          <cell r="L171" t="str">
            <v>사용불가(압류)</v>
          </cell>
        </row>
        <row r="172">
          <cell r="A172" t="str">
            <v>박봉환</v>
          </cell>
          <cell r="B172" t="str">
            <v>보통인부</v>
          </cell>
          <cell r="C172" t="str">
            <v>600713-1182814</v>
          </cell>
          <cell r="D172" t="str">
            <v>경북 김천시 증산면황황2길31-6</v>
          </cell>
          <cell r="E172" t="str">
            <v>우체국</v>
          </cell>
          <cell r="F172" t="str">
            <v>박봉환</v>
          </cell>
          <cell r="G172" t="str">
            <v>312785-02-005538</v>
          </cell>
          <cell r="H172">
            <v>150000</v>
          </cell>
          <cell r="I172" t="str">
            <v>010-8803-3163</v>
          </cell>
        </row>
        <row r="172">
          <cell r="L172" t="str">
            <v>사용불가(사용직)</v>
          </cell>
        </row>
        <row r="173">
          <cell r="A173" t="str">
            <v>김기면</v>
          </cell>
          <cell r="B173" t="str">
            <v>보통인부</v>
          </cell>
          <cell r="C173" t="str">
            <v>601010-1386125</v>
          </cell>
          <cell r="D173" t="str">
            <v>청주시 서원구 구룡산로 275-13,408동306호</v>
          </cell>
          <cell r="E173" t="str">
            <v>농협</v>
          </cell>
          <cell r="F173" t="str">
            <v>김기면</v>
          </cell>
          <cell r="G173" t="str">
            <v>356-0677-4691-13</v>
          </cell>
          <cell r="H173">
            <v>150000</v>
          </cell>
        </row>
        <row r="173">
          <cell r="K173" t="str">
            <v>28683</v>
          </cell>
          <cell r="L173" t="str">
            <v>사용불가(사용직)</v>
          </cell>
        </row>
      </sheetData>
      <sheetData sheetId="17"/>
      <sheetData sheetId="18"/>
      <sheetData sheetId="19"/>
      <sheetData sheetId="20"/>
      <sheetData sheetId="2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공문 (노무비)"/>
      <sheetName val="청구서"/>
      <sheetName val="청구내역서"/>
      <sheetName val="청구서(계약)"/>
      <sheetName val="지급내역서"/>
      <sheetName val="25년04월"/>
      <sheetName val="일용직명단"/>
      <sheetName val="근로자목록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 t="str">
            <v>오정만</v>
          </cell>
          <cell r="B3" t="str">
            <v>직영인부</v>
          </cell>
          <cell r="C3" t="str">
            <v>520205-1057335</v>
          </cell>
          <cell r="D3" t="str">
            <v>충북 영동군 학산면 모산1길 16-14</v>
          </cell>
          <cell r="E3" t="str">
            <v>농협</v>
          </cell>
          <cell r="F3" t="str">
            <v>오정만</v>
          </cell>
          <cell r="G3" t="str">
            <v>302-0809-4379-11</v>
          </cell>
          <cell r="H3">
            <v>120000</v>
          </cell>
          <cell r="I3" t="str">
            <v>010-5334-6133</v>
          </cell>
        </row>
        <row r="3">
          <cell r="K3" t="str">
            <v>29164</v>
          </cell>
        </row>
        <row r="4">
          <cell r="A4" t="str">
            <v>금걸</v>
          </cell>
          <cell r="B4" t="str">
            <v>보통인부</v>
          </cell>
          <cell r="C4" t="str">
            <v>640415-1384716</v>
          </cell>
          <cell r="D4" t="str">
            <v>충북 옥천군 이원면 건진리 630-8</v>
          </cell>
          <cell r="E4" t="str">
            <v>국민</v>
          </cell>
          <cell r="F4" t="str">
            <v>금걸</v>
          </cell>
          <cell r="G4" t="str">
            <v> 405-21-0020-797</v>
          </cell>
          <cell r="H4">
            <v>160000</v>
          </cell>
          <cell r="I4" t="str">
            <v>010-9207-4425</v>
          </cell>
        </row>
        <row r="4">
          <cell r="K4" t="str">
            <v>29061</v>
          </cell>
        </row>
        <row r="5">
          <cell r="A5" t="str">
            <v>주도현</v>
          </cell>
          <cell r="B5" t="str">
            <v>보통인부</v>
          </cell>
          <cell r="C5" t="str">
            <v>990511-1384718</v>
          </cell>
          <cell r="D5" t="str">
            <v> 충북 옥천군 이원면 지탄6길 24</v>
          </cell>
          <cell r="E5" t="str">
            <v>농협</v>
          </cell>
          <cell r="F5" t="str">
            <v>주도현</v>
          </cell>
          <cell r="G5" t="str">
            <v> 351-1021-5063-63</v>
          </cell>
          <cell r="H5">
            <v>120000</v>
          </cell>
          <cell r="I5" t="str">
            <v>010-5402-6851</v>
          </cell>
        </row>
        <row r="5">
          <cell r="K5" t="str">
            <v>29062</v>
          </cell>
        </row>
        <row r="6">
          <cell r="A6" t="str">
            <v>채청기</v>
          </cell>
          <cell r="B6" t="str">
            <v>작업반장</v>
          </cell>
          <cell r="C6" t="str">
            <v>611117-1644319</v>
          </cell>
          <cell r="D6" t="str">
            <v> 충북 영동군 매천1길 11-10</v>
          </cell>
          <cell r="E6" t="str">
            <v>농협</v>
          </cell>
          <cell r="F6" t="str">
            <v>채청기</v>
          </cell>
          <cell r="G6" t="str">
            <v>403063-51-043152</v>
          </cell>
          <cell r="H6">
            <v>200000</v>
          </cell>
          <cell r="I6" t="str">
            <v>010-7357-9166</v>
          </cell>
        </row>
        <row r="7">
          <cell r="A7" t="str">
            <v>채성진</v>
          </cell>
          <cell r="B7" t="str">
            <v>보통인부</v>
          </cell>
          <cell r="C7" t="str">
            <v>930707-1386119</v>
          </cell>
          <cell r="D7" t="str">
            <v> 충북 영동군 영동읍 매천1길 11-10</v>
          </cell>
          <cell r="E7" t="str">
            <v>농협</v>
          </cell>
          <cell r="F7" t="str">
            <v>채성진</v>
          </cell>
          <cell r="G7" t="str">
            <v>356-0214-5208-83</v>
          </cell>
          <cell r="H7">
            <v>140000</v>
          </cell>
          <cell r="I7" t="str">
            <v>010-2842-9171</v>
          </cell>
        </row>
        <row r="7">
          <cell r="K7" t="str">
            <v>29150</v>
          </cell>
        </row>
        <row r="8">
          <cell r="A8" t="str">
            <v>이준호</v>
          </cell>
          <cell r="B8" t="str">
            <v>보통인부</v>
          </cell>
          <cell r="C8" t="str">
            <v>680526-1167726</v>
          </cell>
          <cell r="D8" t="str">
            <v> 충북 영동군 영동읍 성안길 20-7</v>
          </cell>
          <cell r="E8" t="str">
            <v>농협</v>
          </cell>
          <cell r="F8" t="str">
            <v>이준호</v>
          </cell>
          <cell r="G8" t="str">
            <v>356-0927-9268-73</v>
          </cell>
          <cell r="H8">
            <v>160000</v>
          </cell>
          <cell r="I8" t="str">
            <v>010-7324-3090</v>
          </cell>
        </row>
        <row r="8">
          <cell r="K8" t="str">
            <v>29149</v>
          </cell>
        </row>
        <row r="9">
          <cell r="A9" t="str">
            <v>박희석</v>
          </cell>
          <cell r="B9" t="str">
            <v>목공</v>
          </cell>
          <cell r="C9" t="str">
            <v>620320-1386717</v>
          </cell>
          <cell r="D9" t="str">
            <v> 충북 영동군 양강면 남전2안길 4-16</v>
          </cell>
          <cell r="E9" t="str">
            <v>농협</v>
          </cell>
          <cell r="F9" t="str">
            <v>박희석</v>
          </cell>
          <cell r="G9" t="str">
            <v>407023-52-023453</v>
          </cell>
          <cell r="H9">
            <v>180000</v>
          </cell>
          <cell r="I9" t="str">
            <v>010-3033-5024</v>
          </cell>
        </row>
        <row r="9">
          <cell r="K9" t="str">
            <v>29155</v>
          </cell>
        </row>
        <row r="10">
          <cell r="A10" t="str">
            <v>박희원</v>
          </cell>
          <cell r="B10" t="str">
            <v>목공</v>
          </cell>
          <cell r="C10" t="str">
            <v>591208-1386711</v>
          </cell>
          <cell r="D10" t="str">
            <v> 충북 영동군 양강면 남전2안길 4-17</v>
          </cell>
          <cell r="E10" t="str">
            <v>농협</v>
          </cell>
          <cell r="F10" t="str">
            <v>박희원</v>
          </cell>
          <cell r="G10" t="str">
            <v>352-1445-5223-63</v>
          </cell>
          <cell r="H10">
            <v>180000</v>
          </cell>
          <cell r="I10" t="str">
            <v>010-5461-8445</v>
          </cell>
        </row>
        <row r="10">
          <cell r="K10" t="str">
            <v>29155</v>
          </cell>
        </row>
        <row r="11">
          <cell r="A11" t="str">
            <v>김주열</v>
          </cell>
          <cell r="B11" t="str">
            <v>철근공</v>
          </cell>
          <cell r="C11" t="str">
            <v>661109-1384112</v>
          </cell>
          <cell r="D11" t="str">
            <v>충북 옥천군 옥천읍 관성로 29</v>
          </cell>
          <cell r="E11" t="str">
            <v>중소기업</v>
          </cell>
          <cell r="F11" t="str">
            <v>김주열</v>
          </cell>
          <cell r="G11" t="str">
            <v>010-5454-1383</v>
          </cell>
          <cell r="H11">
            <v>240000</v>
          </cell>
          <cell r="I11" t="str">
            <v>010-5454-1383</v>
          </cell>
        </row>
        <row r="11">
          <cell r="K11" t="str">
            <v>29039</v>
          </cell>
        </row>
        <row r="12">
          <cell r="A12" t="str">
            <v>김덕환</v>
          </cell>
          <cell r="B12" t="str">
            <v>철근공</v>
          </cell>
          <cell r="C12" t="str">
            <v>671203-1386930</v>
          </cell>
          <cell r="D12" t="str">
            <v>충북 옥천군 옥천읍 신기4길16,a동102</v>
          </cell>
          <cell r="E12" t="str">
            <v>농협</v>
          </cell>
          <cell r="F12" t="str">
            <v>김덕환</v>
          </cell>
          <cell r="G12" t="str">
            <v>356-0961-2797-13</v>
          </cell>
          <cell r="H12">
            <v>200000</v>
          </cell>
          <cell r="I12" t="str">
            <v>010-9422-5581</v>
          </cell>
        </row>
        <row r="13">
          <cell r="A13" t="str">
            <v>김동진1</v>
          </cell>
          <cell r="B13" t="str">
            <v>철근공</v>
          </cell>
          <cell r="C13" t="str">
            <v>740215-1384136</v>
          </cell>
          <cell r="D13" t="str">
            <v>충북 옥천군 옥천읍 성신로21-10</v>
          </cell>
          <cell r="E13" t="str">
            <v>농협</v>
          </cell>
        </row>
        <row r="13">
          <cell r="G13" t="str">
            <v>317-02-252767</v>
          </cell>
          <cell r="H13">
            <v>240000</v>
          </cell>
          <cell r="I13" t="str">
            <v>010-4569-4810</v>
          </cell>
        </row>
        <row r="13">
          <cell r="K13" t="str">
            <v>29048</v>
          </cell>
        </row>
        <row r="14">
          <cell r="A14" t="str">
            <v>이영철</v>
          </cell>
          <cell r="B14" t="str">
            <v>철근공</v>
          </cell>
          <cell r="C14" t="str">
            <v>650222-1384139</v>
          </cell>
          <cell r="D14" t="str">
            <v>충북 옥천군 옥천읍 가화3길18,101동105호</v>
          </cell>
          <cell r="E14" t="str">
            <v>농협</v>
          </cell>
          <cell r="F14" t="str">
            <v>이영철</v>
          </cell>
          <cell r="G14" t="str">
            <v>317-12-395296</v>
          </cell>
          <cell r="H14">
            <v>240000</v>
          </cell>
          <cell r="I14" t="str">
            <v>010-5405-3976</v>
          </cell>
        </row>
        <row r="14">
          <cell r="K14" t="str">
            <v>29034</v>
          </cell>
        </row>
        <row r="15">
          <cell r="A15" t="str">
            <v>박용옥</v>
          </cell>
          <cell r="B15" t="str">
            <v>철근공</v>
          </cell>
          <cell r="C15" t="str">
            <v>580304-1384211</v>
          </cell>
          <cell r="D15" t="str">
            <v>충북 옥천군 옥천읍 금구리18-2</v>
          </cell>
          <cell r="E15" t="str">
            <v>농협</v>
          </cell>
          <cell r="F15" t="str">
            <v>박용옥</v>
          </cell>
          <cell r="G15" t="str">
            <v>317-12-351368</v>
          </cell>
          <cell r="H15">
            <v>240000</v>
          </cell>
          <cell r="I15" t="str">
            <v>010-6438-1661</v>
          </cell>
        </row>
        <row r="15">
          <cell r="K15" t="str">
            <v>29046</v>
          </cell>
        </row>
        <row r="16">
          <cell r="A16" t="str">
            <v>박종복</v>
          </cell>
          <cell r="B16" t="str">
            <v>철근공</v>
          </cell>
          <cell r="C16" t="str">
            <v>561005-1384211</v>
          </cell>
          <cell r="D16" t="str">
            <v>충북 옥천군 옥천읍 동부로16,102동901</v>
          </cell>
          <cell r="E16" t="str">
            <v>농협</v>
          </cell>
          <cell r="F16" t="str">
            <v>박종복</v>
          </cell>
          <cell r="G16" t="str">
            <v>302-0299-7809-11</v>
          </cell>
          <cell r="H16">
            <v>240000</v>
          </cell>
          <cell r="I16" t="str">
            <v>010-5457-5297</v>
          </cell>
        </row>
        <row r="16">
          <cell r="K16" t="str">
            <v>29039</v>
          </cell>
        </row>
        <row r="17">
          <cell r="A17" t="str">
            <v>김일용</v>
          </cell>
          <cell r="B17" t="str">
            <v>철근공</v>
          </cell>
          <cell r="C17" t="str">
            <v>580211-1403112</v>
          </cell>
          <cell r="D17" t="str">
            <v>충북 옥천군 옥천읍 신기4길18,나동201호</v>
          </cell>
          <cell r="E17" t="str">
            <v>새마을금고</v>
          </cell>
          <cell r="F17" t="str">
            <v>김일용</v>
          </cell>
          <cell r="G17" t="str">
            <v>9003-2149-2059-6</v>
          </cell>
          <cell r="H17">
            <v>200000</v>
          </cell>
          <cell r="I17" t="str">
            <v>010-9439-5026</v>
          </cell>
        </row>
        <row r="17">
          <cell r="K17" t="str">
            <v>29049</v>
          </cell>
        </row>
        <row r="18">
          <cell r="A18" t="str">
            <v>김일호</v>
          </cell>
          <cell r="B18" t="str">
            <v>보통인부</v>
          </cell>
          <cell r="C18" t="str">
            <v>600413-1386324</v>
          </cell>
          <cell r="D18" t="str">
            <v>충북 영동군 황간면 마산리109</v>
          </cell>
          <cell r="E18" t="str">
            <v>농협</v>
          </cell>
          <cell r="F18" t="str">
            <v>김일호</v>
          </cell>
          <cell r="G18" t="str">
            <v>407089-52-142573</v>
          </cell>
          <cell r="H18">
            <v>130000</v>
          </cell>
          <cell r="I18" t="str">
            <v>010-3060-5145</v>
          </cell>
        </row>
        <row r="18">
          <cell r="K18" t="str">
            <v>29114</v>
          </cell>
        </row>
        <row r="19">
          <cell r="A19" t="str">
            <v>정재인</v>
          </cell>
          <cell r="B19" t="str">
            <v>목공</v>
          </cell>
          <cell r="C19" t="str">
            <v>580217-1384115</v>
          </cell>
          <cell r="D19" t="str">
            <v>충북 옥천군 옥천읍 성신로27B동101호</v>
          </cell>
          <cell r="E19" t="str">
            <v>농협</v>
          </cell>
          <cell r="F19" t="str">
            <v>정재인</v>
          </cell>
          <cell r="G19" t="str">
            <v>405010-51-123375</v>
          </cell>
          <cell r="H19">
            <v>200000</v>
          </cell>
          <cell r="I19" t="str">
            <v>010-5493-3436</v>
          </cell>
        </row>
        <row r="20">
          <cell r="A20" t="str">
            <v>정백교</v>
          </cell>
          <cell r="B20" t="str">
            <v>목공</v>
          </cell>
          <cell r="C20" t="str">
            <v>561220-1812524</v>
          </cell>
          <cell r="D20" t="str">
            <v>대전광역시 동구 대동 33-119</v>
          </cell>
          <cell r="E20" t="str">
            <v>국민</v>
          </cell>
          <cell r="F20" t="str">
            <v>정백교</v>
          </cell>
          <cell r="G20" t="str">
            <v>734402-01-012660</v>
          </cell>
          <cell r="H20">
            <v>200000</v>
          </cell>
          <cell r="I20" t="str">
            <v>010-5408-8423</v>
          </cell>
        </row>
        <row r="21">
          <cell r="A21" t="str">
            <v>공양록</v>
          </cell>
          <cell r="B21" t="str">
            <v>목공</v>
          </cell>
          <cell r="C21" t="str">
            <v>570505-1384112</v>
          </cell>
          <cell r="D21" t="str">
            <v>충북 옥천군 옥천읍 대천557-1   25</v>
          </cell>
          <cell r="E21" t="str">
            <v>국민</v>
          </cell>
          <cell r="F21" t="str">
            <v>공양록</v>
          </cell>
          <cell r="G21" t="str">
            <v>405-21-0588-793</v>
          </cell>
          <cell r="H21">
            <v>200000</v>
          </cell>
          <cell r="I21" t="str">
            <v>010-3456-5927</v>
          </cell>
        </row>
        <row r="22">
          <cell r="A22" t="str">
            <v>이정열</v>
          </cell>
          <cell r="B22" t="str">
            <v>목공</v>
          </cell>
          <cell r="C22" t="str">
            <v>590820-1384819</v>
          </cell>
          <cell r="D22" t="str">
            <v>충북 옥천군 옥천읍 중앙로2길24</v>
          </cell>
          <cell r="E22" t="str">
            <v>농협</v>
          </cell>
          <cell r="F22" t="str">
            <v>이정열</v>
          </cell>
          <cell r="G22" t="str">
            <v>356-1330-1383-03</v>
          </cell>
          <cell r="H22">
            <v>200000</v>
          </cell>
          <cell r="I22" t="str">
            <v>011-464-4388</v>
          </cell>
        </row>
        <row r="22">
          <cell r="K22" t="str">
            <v>29047</v>
          </cell>
        </row>
        <row r="23">
          <cell r="A23" t="str">
            <v>정경섭</v>
          </cell>
          <cell r="B23" t="str">
            <v>목공</v>
          </cell>
          <cell r="C23" t="str">
            <v>580319-1254218</v>
          </cell>
          <cell r="D23" t="str">
            <v>충북 옥천군 동이면 남곡리151</v>
          </cell>
          <cell r="E23" t="str">
            <v>농협</v>
          </cell>
          <cell r="F23" t="str">
            <v>정경섭</v>
          </cell>
          <cell r="G23" t="str">
            <v>173128-52-132419</v>
          </cell>
          <cell r="H23">
            <v>200000</v>
          </cell>
          <cell r="I23" t="str">
            <v>010-8808-1863</v>
          </cell>
        </row>
        <row r="23">
          <cell r="K23" t="str">
            <v>29021</v>
          </cell>
        </row>
        <row r="24">
          <cell r="A24" t="str">
            <v>이종선</v>
          </cell>
          <cell r="B24" t="str">
            <v>목공</v>
          </cell>
          <cell r="C24" t="str">
            <v>620315-1382711</v>
          </cell>
          <cell r="D24" t="str">
            <v>충북 보은군 수한면 차정리99-1</v>
          </cell>
          <cell r="E24" t="str">
            <v>농협</v>
          </cell>
          <cell r="F24" t="str">
            <v>이종선</v>
          </cell>
          <cell r="G24" t="str">
            <v>356-0638-7963-13</v>
          </cell>
          <cell r="H24">
            <v>200000</v>
          </cell>
          <cell r="I24" t="str">
            <v>010-3456-5927</v>
          </cell>
        </row>
        <row r="24">
          <cell r="K24" t="str">
            <v>28919</v>
          </cell>
        </row>
        <row r="25">
          <cell r="A25" t="str">
            <v>황인호</v>
          </cell>
          <cell r="B25" t="str">
            <v>목공</v>
          </cell>
          <cell r="C25" t="str">
            <v>570625-1384117</v>
          </cell>
          <cell r="D25" t="str">
            <v>대전 동구 자양35-14</v>
          </cell>
          <cell r="E25" t="str">
            <v>농협</v>
          </cell>
          <cell r="F25" t="str">
            <v>황인호</v>
          </cell>
          <cell r="G25" t="str">
            <v>356-1420-1868-53</v>
          </cell>
          <cell r="H25">
            <v>200000</v>
          </cell>
          <cell r="I25" t="str">
            <v>010-9874-7747</v>
          </cell>
        </row>
        <row r="26">
          <cell r="A26" t="str">
            <v>공양호</v>
          </cell>
          <cell r="B26" t="str">
            <v>목공</v>
          </cell>
          <cell r="C26" t="str">
            <v>620302-1384112</v>
          </cell>
          <cell r="D26" t="str">
            <v>충북 옥천군 옥천읍 장이1길1005호</v>
          </cell>
          <cell r="E26" t="str">
            <v>농협</v>
          </cell>
          <cell r="F26" t="str">
            <v>공양호</v>
          </cell>
          <cell r="G26" t="str">
            <v>356-1307-5702-93</v>
          </cell>
          <cell r="H26">
            <v>200000</v>
          </cell>
          <cell r="I26" t="str">
            <v>010-5450-2276</v>
          </cell>
        </row>
        <row r="27">
          <cell r="A27" t="str">
            <v>김홍성</v>
          </cell>
          <cell r="B27" t="str">
            <v>목공</v>
          </cell>
          <cell r="C27" t="str">
            <v>490418-1447611</v>
          </cell>
          <cell r="D27" t="str">
            <v>대전 대덕구 대덕대로1601번길40</v>
          </cell>
          <cell r="E27" t="str">
            <v>농협</v>
          </cell>
          <cell r="F27" t="str">
            <v>김홍성</v>
          </cell>
          <cell r="G27" t="str">
            <v>352-1448-3038-13</v>
          </cell>
          <cell r="H27">
            <v>200000</v>
          </cell>
          <cell r="I27" t="str">
            <v>010-5609-4913</v>
          </cell>
        </row>
        <row r="27">
          <cell r="K27" t="str">
            <v>34305</v>
          </cell>
        </row>
        <row r="28">
          <cell r="A28" t="str">
            <v>남상길</v>
          </cell>
          <cell r="B28" t="str">
            <v>목공</v>
          </cell>
          <cell r="C28" t="str">
            <v>550719-1805215</v>
          </cell>
          <cell r="D28" t="str">
            <v>충북 옥천군 옥천읍 서정1길5-40</v>
          </cell>
          <cell r="E28" t="str">
            <v>농협</v>
          </cell>
          <cell r="F28" t="str">
            <v>남상길</v>
          </cell>
          <cell r="G28" t="str">
            <v>356-1314-4411-13</v>
          </cell>
          <cell r="H28">
            <v>200000</v>
          </cell>
          <cell r="I28" t="str">
            <v>010-8826-8939</v>
          </cell>
        </row>
        <row r="28">
          <cell r="K28" t="str">
            <v>29025</v>
          </cell>
        </row>
        <row r="29">
          <cell r="A29" t="str">
            <v>최성환</v>
          </cell>
          <cell r="B29" t="str">
            <v>철근공</v>
          </cell>
          <cell r="C29" t="str">
            <v>660710-1386211</v>
          </cell>
          <cell r="D29" t="str">
            <v>충북 옥천군 옥천읍 삼양로2길 6-4</v>
          </cell>
          <cell r="E29" t="str">
            <v>중소기업</v>
          </cell>
          <cell r="F29" t="str">
            <v>최성환</v>
          </cell>
          <cell r="G29" t="str">
            <v>570-000536-02-026</v>
          </cell>
          <cell r="H29">
            <v>200000</v>
          </cell>
          <cell r="I29" t="str">
            <v>010-6641-6613</v>
          </cell>
        </row>
        <row r="29">
          <cell r="K29" t="str">
            <v>29032</v>
          </cell>
        </row>
        <row r="30">
          <cell r="A30" t="str">
            <v>진수영</v>
          </cell>
          <cell r="B30" t="str">
            <v>철근공</v>
          </cell>
          <cell r="C30" t="str">
            <v>550928-1384216</v>
          </cell>
          <cell r="D30" t="str">
            <v>충북 옥천군 동이면 무산리657</v>
          </cell>
          <cell r="E30" t="str">
            <v>신협</v>
          </cell>
          <cell r="F30" t="str">
            <v>진수영</v>
          </cell>
          <cell r="G30" t="str">
            <v>131-015-480063</v>
          </cell>
          <cell r="H30">
            <v>200000</v>
          </cell>
          <cell r="I30" t="str">
            <v>010-4352-2174</v>
          </cell>
        </row>
        <row r="31">
          <cell r="A31" t="str">
            <v>김종덕</v>
          </cell>
          <cell r="B31" t="str">
            <v>철근공</v>
          </cell>
          <cell r="C31" t="str">
            <v>551120-1449514</v>
          </cell>
          <cell r="D31" t="str">
            <v>대전 광역시 중구 유천동 340-51</v>
          </cell>
          <cell r="E31" t="str">
            <v>국민</v>
          </cell>
          <cell r="F31" t="str">
            <v>김종덕</v>
          </cell>
          <cell r="G31" t="str">
            <v>460001-04-016552</v>
          </cell>
          <cell r="H31">
            <v>200000</v>
          </cell>
          <cell r="I31" t="str">
            <v>010-3418-1669</v>
          </cell>
        </row>
        <row r="32">
          <cell r="A32" t="str">
            <v>김용근</v>
          </cell>
          <cell r="B32" t="str">
            <v>철근공</v>
          </cell>
          <cell r="C32" t="str">
            <v>491010-1403113</v>
          </cell>
          <cell r="D32" t="str">
            <v>충북 옥천군 동이면 무산리658</v>
          </cell>
          <cell r="E32" t="str">
            <v>국민</v>
          </cell>
          <cell r="F32" t="str">
            <v>김용근</v>
          </cell>
          <cell r="G32" t="str">
            <v>740902-93-109270</v>
          </cell>
          <cell r="H32">
            <v>200000</v>
          </cell>
          <cell r="I32" t="str">
            <v>010-5456-3529</v>
          </cell>
        </row>
        <row r="33">
          <cell r="A33" t="str">
            <v>윤진한</v>
          </cell>
          <cell r="B33" t="str">
            <v>석공</v>
          </cell>
          <cell r="C33" t="str">
            <v>760224-1386921</v>
          </cell>
          <cell r="D33" t="str">
            <v>충북 영동군 영동읍 계산리 197-2</v>
          </cell>
          <cell r="E33" t="str">
            <v>농협</v>
          </cell>
          <cell r="F33" t="str">
            <v>윤진한</v>
          </cell>
          <cell r="G33" t="str">
            <v>356-0991-0651-23</v>
          </cell>
          <cell r="H33">
            <v>250000</v>
          </cell>
          <cell r="I33" t="str">
            <v>010-7360-3345</v>
          </cell>
        </row>
        <row r="33">
          <cell r="K33" t="str">
            <v>29139</v>
          </cell>
        </row>
        <row r="34">
          <cell r="A34" t="str">
            <v>권오득</v>
          </cell>
          <cell r="B34" t="str">
            <v>보통인부</v>
          </cell>
          <cell r="C34" t="str">
            <v>640529-1386416</v>
          </cell>
          <cell r="D34" t="str">
            <v>충북영동군추풍령면추풍령로9길10-2</v>
          </cell>
          <cell r="E34" t="str">
            <v>농협</v>
          </cell>
          <cell r="F34" t="str">
            <v>권오득</v>
          </cell>
          <cell r="G34" t="str">
            <v>352-1857-0983-23</v>
          </cell>
          <cell r="H34">
            <v>150000</v>
          </cell>
          <cell r="I34" t="str">
            <v>010-9133-8928</v>
          </cell>
        </row>
        <row r="35">
          <cell r="A35" t="str">
            <v>손석래</v>
          </cell>
          <cell r="B35" t="str">
            <v>보통인부</v>
          </cell>
          <cell r="C35" t="str">
            <v>600404-1386121</v>
          </cell>
          <cell r="D35" t="str">
            <v>충북 영동군 영동읍 새심길18,1004호 조한드림플러스@</v>
          </cell>
          <cell r="E35" t="str">
            <v>농협</v>
          </cell>
          <cell r="F35" t="str">
            <v>손석래</v>
          </cell>
          <cell r="G35" t="str">
            <v>356-1493-9522-63</v>
          </cell>
          <cell r="H35">
            <v>160000</v>
          </cell>
          <cell r="I35" t="str">
            <v>043-744-5228</v>
          </cell>
        </row>
        <row r="35">
          <cell r="K35" t="str">
            <v>29142</v>
          </cell>
        </row>
        <row r="36">
          <cell r="A36" t="str">
            <v>조운규</v>
          </cell>
          <cell r="B36" t="str">
            <v>특별인부</v>
          </cell>
          <cell r="C36" t="str">
            <v>650305-1386131</v>
          </cell>
          <cell r="D36" t="str">
            <v>충북 영동군 영동읍 금동안길 60</v>
          </cell>
          <cell r="E36" t="str">
            <v>우체국</v>
          </cell>
          <cell r="F36" t="str">
            <v>조운규</v>
          </cell>
          <cell r="G36" t="str">
            <v>301515-02-022804</v>
          </cell>
          <cell r="H36">
            <v>170000</v>
          </cell>
          <cell r="I36" t="str">
            <v>010-8343-0468</v>
          </cell>
        </row>
        <row r="36">
          <cell r="K36" t="str">
            <v>29138</v>
          </cell>
        </row>
        <row r="37">
          <cell r="A37" t="str">
            <v>강희종</v>
          </cell>
          <cell r="B37" t="str">
            <v>단순노무자</v>
          </cell>
          <cell r="C37" t="str">
            <v>540612-1400325</v>
          </cell>
          <cell r="D37" t="str">
            <v>충북 영동군 추풍령면 추풍령로5안길8</v>
          </cell>
          <cell r="E37" t="str">
            <v>농협</v>
          </cell>
          <cell r="F37" t="str">
            <v>강희종</v>
          </cell>
          <cell r="G37" t="str">
            <v>351-1142-0210-73</v>
          </cell>
          <cell r="H37">
            <v>130000</v>
          </cell>
          <cell r="I37" t="str">
            <v>010-5028-0656</v>
          </cell>
          <cell r="J37" t="str">
            <v>명장인력</v>
          </cell>
          <cell r="K37" t="str">
            <v>29120</v>
          </cell>
        </row>
        <row r="38">
          <cell r="A38" t="str">
            <v>김기필</v>
          </cell>
          <cell r="B38" t="str">
            <v>단순노무자</v>
          </cell>
          <cell r="C38" t="str">
            <v>611022-1386251</v>
          </cell>
          <cell r="D38" t="str">
            <v>충북 영동군 용산면 금곡3길 19</v>
          </cell>
          <cell r="E38" t="str">
            <v>농협</v>
          </cell>
          <cell r="F38" t="str">
            <v>김기필</v>
          </cell>
          <cell r="G38" t="str">
            <v>351-1142-0210-73</v>
          </cell>
          <cell r="H38">
            <v>150000</v>
          </cell>
          <cell r="I38" t="str">
            <v>010-6428-8990</v>
          </cell>
          <cell r="J38" t="str">
            <v>명장인력</v>
          </cell>
          <cell r="K38" t="str">
            <v>29100</v>
          </cell>
        </row>
        <row r="39">
          <cell r="A39" t="str">
            <v>윤석률</v>
          </cell>
          <cell r="B39" t="str">
            <v>단순노무자</v>
          </cell>
          <cell r="C39" t="str">
            <v>681215-1384614</v>
          </cell>
          <cell r="D39" t="str">
            <v>충북 옥천군 청산면 효목1길 83</v>
          </cell>
          <cell r="E39" t="str">
            <v>농협</v>
          </cell>
          <cell r="F39" t="str">
            <v>윤석률</v>
          </cell>
          <cell r="G39" t="str">
            <v>351-1142-0210-73</v>
          </cell>
          <cell r="H39">
            <v>150000</v>
          </cell>
          <cell r="I39" t="str">
            <v>010-3425-9337</v>
          </cell>
          <cell r="J39" t="str">
            <v>명장인력</v>
          </cell>
          <cell r="K39" t="str">
            <v>29015</v>
          </cell>
        </row>
        <row r="40">
          <cell r="A40" t="str">
            <v>전근성</v>
          </cell>
          <cell r="B40" t="str">
            <v>단순노무자</v>
          </cell>
          <cell r="C40" t="str">
            <v>721105-1386912</v>
          </cell>
          <cell r="D40" t="str">
            <v>충북 영동군 학산면 모정길 78</v>
          </cell>
          <cell r="E40" t="str">
            <v>농협</v>
          </cell>
          <cell r="F40" t="str">
            <v>전근성</v>
          </cell>
          <cell r="G40" t="str">
            <v>351-1142-0210-73</v>
          </cell>
          <cell r="H40">
            <v>150000</v>
          </cell>
          <cell r="I40" t="str">
            <v>010-3405-4114</v>
          </cell>
          <cell r="J40" t="str">
            <v>명장인력</v>
          </cell>
          <cell r="K40" t="str">
            <v>29165</v>
          </cell>
        </row>
        <row r="41">
          <cell r="A41" t="str">
            <v>김병호</v>
          </cell>
          <cell r="B41" t="str">
            <v>철근공</v>
          </cell>
          <cell r="C41" t="str">
            <v>921202-1058619</v>
          </cell>
          <cell r="D41" t="str">
            <v>충북 옥천군 옥천읍 관성로 29</v>
          </cell>
          <cell r="E41" t="str">
            <v>우체국</v>
          </cell>
          <cell r="F41" t="str">
            <v>김병호</v>
          </cell>
          <cell r="G41" t="str">
            <v>300111-02-297282</v>
          </cell>
          <cell r="H41">
            <v>200000</v>
          </cell>
          <cell r="I41" t="str">
            <v>010-4904-9092</v>
          </cell>
        </row>
        <row r="41">
          <cell r="K41" t="str">
            <v>29039</v>
          </cell>
        </row>
        <row r="42">
          <cell r="A42" t="str">
            <v>최동섭</v>
          </cell>
          <cell r="B42" t="str">
            <v>특별인부</v>
          </cell>
          <cell r="C42" t="str">
            <v>670211-1386119</v>
          </cell>
          <cell r="D42" t="str">
            <v>충북 영동군 영동읍 부용7안길7-1</v>
          </cell>
          <cell r="E42" t="str">
            <v>농협</v>
          </cell>
          <cell r="F42" t="str">
            <v>최동섭</v>
          </cell>
          <cell r="G42" t="str">
            <v>173173-52-042958</v>
          </cell>
          <cell r="H42">
            <v>170000</v>
          </cell>
          <cell r="I42" t="str">
            <v>010-4114-2902</v>
          </cell>
        </row>
        <row r="42">
          <cell r="K42" t="str">
            <v>29149</v>
          </cell>
        </row>
        <row r="43">
          <cell r="A43" t="str">
            <v>김영환</v>
          </cell>
          <cell r="B43" t="str">
            <v>보통인부</v>
          </cell>
          <cell r="C43" t="str">
            <v>600925-1386115</v>
          </cell>
          <cell r="D43" t="str">
            <v>충북 영동군 영동읍 계산리 426-1</v>
          </cell>
          <cell r="E43" t="str">
            <v>농협</v>
          </cell>
          <cell r="F43" t="str">
            <v>김영환</v>
          </cell>
          <cell r="G43" t="str">
            <v>302-1601-4630-21</v>
          </cell>
          <cell r="H43">
            <v>130000</v>
          </cell>
        </row>
        <row r="43">
          <cell r="K43" t="str">
            <v>29138</v>
          </cell>
        </row>
        <row r="44">
          <cell r="A44" t="str">
            <v>김명숙</v>
          </cell>
          <cell r="B44" t="str">
            <v>보통인부</v>
          </cell>
          <cell r="C44" t="str">
            <v>660125-2524919</v>
          </cell>
          <cell r="D44" t="str">
            <v>대전 동구 판암동 328방주아파트101-604</v>
          </cell>
          <cell r="E44" t="str">
            <v>농협</v>
          </cell>
          <cell r="F44" t="str">
            <v>김명숙</v>
          </cell>
          <cell r="G44" t="str">
            <v>302-0957-7396-11</v>
          </cell>
          <cell r="H44">
            <v>150000</v>
          </cell>
        </row>
        <row r="45">
          <cell r="A45" t="str">
            <v>이홍성</v>
          </cell>
          <cell r="B45" t="str">
            <v>목공</v>
          </cell>
          <cell r="C45" t="str">
            <v>510520-1384216</v>
          </cell>
          <cell r="D45" t="str">
            <v>충북 옥천 옥천읍 미암리49-1</v>
          </cell>
          <cell r="E45" t="str">
            <v>농협</v>
          </cell>
          <cell r="F45" t="str">
            <v>이홍성</v>
          </cell>
          <cell r="G45" t="str">
            <v>356-1306-8954-13</v>
          </cell>
          <cell r="H45">
            <v>200000</v>
          </cell>
          <cell r="I45" t="str">
            <v>010-5100-7490</v>
          </cell>
        </row>
        <row r="46">
          <cell r="A46" t="str">
            <v>김장곤</v>
          </cell>
          <cell r="B46" t="str">
            <v>목공</v>
          </cell>
          <cell r="C46" t="str">
            <v>611211-1458428</v>
          </cell>
          <cell r="D46" t="str">
            <v>대전광역시 중구 산성동 304-18</v>
          </cell>
          <cell r="E46" t="str">
            <v>농협</v>
          </cell>
          <cell r="F46" t="str">
            <v>김장곤</v>
          </cell>
          <cell r="G46" t="str">
            <v>356-1483-5978-13</v>
          </cell>
          <cell r="H46">
            <v>200000</v>
          </cell>
          <cell r="I46" t="str">
            <v>010-4830-2110</v>
          </cell>
        </row>
        <row r="46">
          <cell r="K46" t="str">
            <v>35054</v>
          </cell>
        </row>
        <row r="47">
          <cell r="A47" t="str">
            <v>김효식</v>
          </cell>
          <cell r="B47" t="str">
            <v>목공</v>
          </cell>
          <cell r="C47" t="str">
            <v>630220-1384116</v>
          </cell>
          <cell r="D47" t="str">
            <v>충북 옥천 옥천읍 송신길 89-1</v>
          </cell>
          <cell r="E47" t="str">
            <v>농협</v>
          </cell>
          <cell r="F47" t="str">
            <v>김효식</v>
          </cell>
          <cell r="G47" t="str">
            <v>356-1306-7504-13</v>
          </cell>
          <cell r="H47">
            <v>200000</v>
          </cell>
          <cell r="I47" t="str">
            <v>010-3448-1889</v>
          </cell>
        </row>
        <row r="48">
          <cell r="A48" t="str">
            <v>김정자</v>
          </cell>
          <cell r="B48" t="str">
            <v>목공</v>
          </cell>
          <cell r="C48" t="str">
            <v>600225-2408313</v>
          </cell>
          <cell r="D48" t="str">
            <v>대전 동구 판암동236주공 508-1302</v>
          </cell>
          <cell r="E48" t="str">
            <v>농협</v>
          </cell>
          <cell r="F48" t="str">
            <v>김정자</v>
          </cell>
        </row>
        <row r="48">
          <cell r="I48" t="str">
            <v>010-5402-7460</v>
          </cell>
        </row>
        <row r="49">
          <cell r="A49" t="str">
            <v>이순희</v>
          </cell>
          <cell r="B49" t="str">
            <v>목공</v>
          </cell>
          <cell r="C49" t="str">
            <v>610808-2379713</v>
          </cell>
          <cell r="D49" t="str">
            <v>충북 옥천 옥천읍 마암리22-4은혜연립B동101</v>
          </cell>
          <cell r="E49" t="str">
            <v>농협</v>
          </cell>
          <cell r="F49" t="str">
            <v>이순희</v>
          </cell>
        </row>
        <row r="49">
          <cell r="I49" t="str">
            <v>010-9138-3436</v>
          </cell>
        </row>
        <row r="50">
          <cell r="A50" t="str">
            <v>김태식</v>
          </cell>
          <cell r="B50" t="str">
            <v>목공</v>
          </cell>
          <cell r="C50" t="str">
            <v>551215-1384133</v>
          </cell>
          <cell r="D50" t="str">
            <v>충북옥천 옥천읍문정리 62-1</v>
          </cell>
          <cell r="E50" t="str">
            <v>농협</v>
          </cell>
          <cell r="F50" t="str">
            <v>김태식</v>
          </cell>
          <cell r="G50" t="str">
            <v>302-5458-3411-01</v>
          </cell>
          <cell r="H50">
            <v>200000</v>
          </cell>
          <cell r="I50" t="str">
            <v>010-5458-3411</v>
          </cell>
        </row>
        <row r="51">
          <cell r="A51" t="str">
            <v>유현봉</v>
          </cell>
          <cell r="B51" t="str">
            <v>목공</v>
          </cell>
          <cell r="C51" t="str">
            <v>531210-1384312</v>
          </cell>
          <cell r="D51" t="str">
            <v>충북 옥천 옥천읍 양수로6길4</v>
          </cell>
          <cell r="E51" t="str">
            <v>국민</v>
          </cell>
          <cell r="F51" t="str">
            <v>유현봉</v>
          </cell>
          <cell r="G51" t="str">
            <v>405-24-0081-770</v>
          </cell>
          <cell r="H51">
            <v>200000</v>
          </cell>
          <cell r="I51" t="str">
            <v>010-5427-7937</v>
          </cell>
        </row>
        <row r="52">
          <cell r="A52" t="str">
            <v>신기창</v>
          </cell>
          <cell r="B52" t="str">
            <v>목공</v>
          </cell>
          <cell r="C52" t="str">
            <v>611028-1411611</v>
          </cell>
          <cell r="D52" t="str">
            <v>충북 옥천 옥천읍 성암2길30-1</v>
          </cell>
          <cell r="E52" t="str">
            <v>농협</v>
          </cell>
          <cell r="F52" t="str">
            <v>신기창</v>
          </cell>
          <cell r="G52" t="str">
            <v>356-1479-8602-73</v>
          </cell>
          <cell r="H52">
            <v>200000</v>
          </cell>
          <cell r="I52" t="str">
            <v>010-3893-7198</v>
          </cell>
        </row>
        <row r="53">
          <cell r="A53" t="str">
            <v>김충재</v>
          </cell>
          <cell r="B53" t="str">
            <v>목공</v>
          </cell>
          <cell r="C53" t="str">
            <v>590114-1384121</v>
          </cell>
          <cell r="D53" t="str">
            <v>충북 옥천 옥천읍 금구천길15나동103호</v>
          </cell>
          <cell r="E53" t="str">
            <v>농협</v>
          </cell>
          <cell r="F53" t="str">
            <v>김충재</v>
          </cell>
          <cell r="G53" t="str">
            <v>356-1488-3009-73</v>
          </cell>
          <cell r="H53">
            <v>200000</v>
          </cell>
          <cell r="I53" t="str">
            <v>010-5465-8302</v>
          </cell>
        </row>
        <row r="54">
          <cell r="A54" t="str">
            <v>김정식</v>
          </cell>
          <cell r="B54" t="str">
            <v>목공</v>
          </cell>
          <cell r="C54" t="str">
            <v>760110-1384826</v>
          </cell>
          <cell r="D54" t="str">
            <v>충북 옥천 옥천읍가화3길23</v>
          </cell>
          <cell r="E54" t="str">
            <v>농협</v>
          </cell>
          <cell r="F54" t="str">
            <v>김정식</v>
          </cell>
          <cell r="G54" t="str">
            <v>302-0953-8269-11</v>
          </cell>
          <cell r="H54">
            <v>200000</v>
          </cell>
          <cell r="I54" t="str">
            <v>010-6252-2437</v>
          </cell>
        </row>
        <row r="55">
          <cell r="A55" t="str">
            <v>소세영</v>
          </cell>
          <cell r="B55" t="str">
            <v>철근공</v>
          </cell>
          <cell r="C55" t="str">
            <v>661110-1403017</v>
          </cell>
          <cell r="D55" t="str">
            <v>대전 동구 번동 2길 25(천동)</v>
          </cell>
          <cell r="E55" t="str">
            <v>농협</v>
          </cell>
          <cell r="F55" t="str">
            <v>소세영</v>
          </cell>
          <cell r="G55" t="str">
            <v>351-0883-3616-63</v>
          </cell>
          <cell r="H55">
            <v>200000</v>
          </cell>
          <cell r="I55" t="str">
            <v>010-8859-2729</v>
          </cell>
          <cell r="J55" t="str">
            <v>010-5454-1383</v>
          </cell>
          <cell r="K55" t="str">
            <v>34683</v>
          </cell>
        </row>
        <row r="56">
          <cell r="A56" t="str">
            <v>이영훈</v>
          </cell>
          <cell r="B56" t="str">
            <v>철근공</v>
          </cell>
          <cell r="C56" t="str">
            <v>941126-1055311</v>
          </cell>
          <cell r="D56" t="str">
            <v>서울 영등포구 도신로29길28</v>
          </cell>
          <cell r="E56" t="str">
            <v>중소기업</v>
          </cell>
          <cell r="F56" t="str">
            <v>이영훈</v>
          </cell>
          <cell r="G56" t="str">
            <v>570-020656-01-010</v>
          </cell>
          <cell r="H56">
            <v>200000</v>
          </cell>
          <cell r="I56" t="str">
            <v>010-9358-8464</v>
          </cell>
          <cell r="J56" t="str">
            <v>010-5454-1383</v>
          </cell>
          <cell r="K56" t="str">
            <v>07365</v>
          </cell>
        </row>
        <row r="57">
          <cell r="A57" t="str">
            <v>박길환</v>
          </cell>
          <cell r="B57" t="str">
            <v>철근공</v>
          </cell>
          <cell r="C57" t="str">
            <v>671015-1920528</v>
          </cell>
          <cell r="D57" t="str">
            <v>충북 옥천 옥천읍 중앙로6길8</v>
          </cell>
          <cell r="E57" t="str">
            <v>중소기업</v>
          </cell>
          <cell r="F57" t="str">
            <v>박길환</v>
          </cell>
          <cell r="G57" t="str">
            <v>570-020656-01-010</v>
          </cell>
          <cell r="H57">
            <v>200000</v>
          </cell>
          <cell r="I57" t="str">
            <v>010-4486-7508</v>
          </cell>
          <cell r="J57" t="str">
            <v>010-5454-1383</v>
          </cell>
        </row>
        <row r="58">
          <cell r="A58" t="str">
            <v>원용길</v>
          </cell>
          <cell r="B58" t="str">
            <v>철근공</v>
          </cell>
          <cell r="C58" t="str">
            <v>640220-5141993</v>
          </cell>
          <cell r="D58" t="str">
            <v>재외동포(F-4)</v>
          </cell>
          <cell r="E58" t="str">
            <v>중소기업</v>
          </cell>
          <cell r="F58" t="str">
            <v>원용길</v>
          </cell>
          <cell r="G58" t="str">
            <v>570-020656-01-010</v>
          </cell>
          <cell r="H58">
            <v>200000</v>
          </cell>
          <cell r="I58" t="str">
            <v>010-2293-0638</v>
          </cell>
          <cell r="J58" t="str">
            <v>010-5454-1383</v>
          </cell>
        </row>
        <row r="59">
          <cell r="A59" t="str">
            <v>조갑성</v>
          </cell>
          <cell r="B59" t="str">
            <v>목공</v>
          </cell>
          <cell r="C59" t="str">
            <v>540619-1384810</v>
          </cell>
          <cell r="D59" t="str">
            <v>충북 옥천 옥천읍 문장로2길9</v>
          </cell>
          <cell r="E59" t="str">
            <v>우체국</v>
          </cell>
          <cell r="F59" t="str">
            <v>조갑성</v>
          </cell>
          <cell r="G59" t="str">
            <v>102434-02-170588</v>
          </cell>
          <cell r="H59">
            <v>200000</v>
          </cell>
          <cell r="I59" t="str">
            <v>010-3456-5927</v>
          </cell>
        </row>
        <row r="60">
          <cell r="A60" t="str">
            <v>박준용</v>
          </cell>
          <cell r="B60" t="str">
            <v>보통인부</v>
          </cell>
          <cell r="C60" t="str">
            <v>571003-1386215</v>
          </cell>
          <cell r="D60" t="str">
            <v>충북 영동군 영동읍 중앙로1길18</v>
          </cell>
          <cell r="E60" t="str">
            <v>농협</v>
          </cell>
          <cell r="F60" t="str">
            <v>박준용</v>
          </cell>
          <cell r="G60" t="str">
            <v>407034-52-068141</v>
          </cell>
          <cell r="H60">
            <v>150000</v>
          </cell>
        </row>
        <row r="60">
          <cell r="K60" t="str">
            <v>29145</v>
          </cell>
        </row>
        <row r="61">
          <cell r="A61" t="str">
            <v>백경훈</v>
          </cell>
          <cell r="B61" t="str">
            <v>단순노무자</v>
          </cell>
          <cell r="C61" t="str">
            <v>850202-1386312</v>
          </cell>
          <cell r="D61" t="str">
            <v>충북 영동군 황간면 남성동3길27</v>
          </cell>
        </row>
        <row r="61">
          <cell r="F61" t="str">
            <v>백경훈</v>
          </cell>
        </row>
        <row r="61">
          <cell r="H61">
            <v>170000</v>
          </cell>
        </row>
        <row r="61">
          <cell r="K61" t="str">
            <v>29115</v>
          </cell>
        </row>
        <row r="62">
          <cell r="A62" t="str">
            <v>이진권</v>
          </cell>
          <cell r="B62" t="str">
            <v>단순노무자</v>
          </cell>
          <cell r="C62" t="str">
            <v>610210-1238818</v>
          </cell>
          <cell r="D62" t="str">
            <v>경기도 연천군 전곡읍 전곡리 324-33세림빌라7동301호</v>
          </cell>
          <cell r="E62" t="str">
            <v>농협</v>
          </cell>
          <cell r="F62" t="str">
            <v>이진권</v>
          </cell>
          <cell r="G62" t="str">
            <v>356-0129-1298-13</v>
          </cell>
          <cell r="H62">
            <v>170000</v>
          </cell>
        </row>
        <row r="63">
          <cell r="B63" t="str">
            <v>단순노무자</v>
          </cell>
          <cell r="C63" t="str">
            <v>760715-1386710</v>
          </cell>
          <cell r="D63" t="str">
            <v>충북 영동군 영동읍금동로1길6,202호(혜성빌라)</v>
          </cell>
          <cell r="E63" t="str">
            <v>우체국</v>
          </cell>
        </row>
        <row r="63">
          <cell r="G63" t="str">
            <v>301515-02-072801</v>
          </cell>
          <cell r="H63">
            <v>160000</v>
          </cell>
        </row>
        <row r="64">
          <cell r="A64" t="str">
            <v>정광일</v>
          </cell>
          <cell r="B64" t="str">
            <v>철근공</v>
          </cell>
          <cell r="C64" t="str">
            <v>600220-1041824</v>
          </cell>
          <cell r="D64" t="str">
            <v>충북 옥천군 옥천읍 동부로16 101동301호(하늘빛아파트)</v>
          </cell>
          <cell r="E64" t="str">
            <v>농협</v>
          </cell>
          <cell r="F64" t="str">
            <v>정광일</v>
          </cell>
          <cell r="G64" t="str">
            <v>351-0883-3616-63</v>
          </cell>
          <cell r="H64">
            <v>200000</v>
          </cell>
        </row>
        <row r="64">
          <cell r="K64" t="str">
            <v>29039</v>
          </cell>
        </row>
        <row r="65">
          <cell r="A65" t="str">
            <v>이윤건</v>
          </cell>
          <cell r="B65" t="str">
            <v>철근공</v>
          </cell>
          <cell r="C65" t="str">
            <v>630822-1229912</v>
          </cell>
          <cell r="D65" t="str">
            <v>충북 옥천군 군서면 성왕로 489-16</v>
          </cell>
          <cell r="E65" t="str">
            <v>농협</v>
          </cell>
          <cell r="F65" t="str">
            <v>이윤건</v>
          </cell>
          <cell r="G65" t="str">
            <v>351-0883-3616-63</v>
          </cell>
          <cell r="H65">
            <v>200000</v>
          </cell>
        </row>
        <row r="65">
          <cell r="K65" t="str">
            <v>29059</v>
          </cell>
        </row>
        <row r="66">
          <cell r="A66" t="str">
            <v>박래일</v>
          </cell>
          <cell r="B66" t="str">
            <v>보통인부</v>
          </cell>
          <cell r="C66" t="str">
            <v>590108-1386126</v>
          </cell>
          <cell r="D66" t="str">
            <v>충북 영동군 영동읍 양산로7길 2가동106호(양지연립)</v>
          </cell>
          <cell r="E66" t="str">
            <v>농협</v>
          </cell>
          <cell r="F66" t="str">
            <v>박래일</v>
          </cell>
          <cell r="G66" t="str">
            <v>774-02-269271</v>
          </cell>
          <cell r="H66">
            <v>170000</v>
          </cell>
          <cell r="I66" t="str">
            <v>010-9405-6479</v>
          </cell>
        </row>
        <row r="67">
          <cell r="A67" t="str">
            <v>이정근</v>
          </cell>
          <cell r="B67" t="str">
            <v>보통인부</v>
          </cell>
          <cell r="C67" t="str">
            <v>590825-1386143</v>
          </cell>
          <cell r="D67" t="str">
            <v>충북 영동군 영동읍 계산리280</v>
          </cell>
          <cell r="E67" t="str">
            <v>우체국</v>
          </cell>
          <cell r="F67" t="str">
            <v>이정근</v>
          </cell>
          <cell r="G67" t="str">
            <v>300160-02-240447</v>
          </cell>
          <cell r="H67">
            <v>160000</v>
          </cell>
        </row>
        <row r="67">
          <cell r="K67" t="str">
            <v>29139</v>
          </cell>
        </row>
        <row r="68">
          <cell r="A68" t="str">
            <v>육종필</v>
          </cell>
          <cell r="B68" t="str">
            <v>철근공</v>
          </cell>
          <cell r="C68" t="str">
            <v>681020-1384919</v>
          </cell>
          <cell r="D68" t="str">
            <v>충북 옥천군 옥천읍 장야리 313 장야1주공106-304</v>
          </cell>
          <cell r="E68" t="str">
            <v>중소기업</v>
          </cell>
          <cell r="F68" t="str">
            <v>육종필</v>
          </cell>
          <cell r="G68" t="str">
            <v>570-007217-02-013</v>
          </cell>
          <cell r="H68">
            <v>200000</v>
          </cell>
          <cell r="I68" t="str">
            <v>010-6800-2394</v>
          </cell>
        </row>
        <row r="68">
          <cell r="K68" t="str">
            <v>29045</v>
          </cell>
        </row>
        <row r="69">
          <cell r="A69" t="str">
            <v>조기혁</v>
          </cell>
          <cell r="B69" t="str">
            <v>목공</v>
          </cell>
          <cell r="C69" t="str">
            <v>630523-1402713</v>
          </cell>
          <cell r="D69" t="str">
            <v>대전광역시 동구 우암로326번길57-1(가양동)</v>
          </cell>
          <cell r="E69" t="str">
            <v>농협</v>
          </cell>
          <cell r="F69" t="str">
            <v>조기혁</v>
          </cell>
          <cell r="G69" t="str">
            <v>356-1497-0677-43</v>
          </cell>
          <cell r="H69">
            <v>200000</v>
          </cell>
          <cell r="I69" t="str">
            <v>010-8623-6218</v>
          </cell>
        </row>
        <row r="69">
          <cell r="K69" t="str">
            <v>34506</v>
          </cell>
        </row>
        <row r="70">
          <cell r="A70" t="str">
            <v>정일흥</v>
          </cell>
          <cell r="B70" t="str">
            <v>목공</v>
          </cell>
          <cell r="C70" t="str">
            <v>600605-1384810</v>
          </cell>
          <cell r="D70" t="str">
            <v>충북 옥천군 교서면 원전2길86-9</v>
          </cell>
          <cell r="E70" t="str">
            <v>농협</v>
          </cell>
          <cell r="F70" t="str">
            <v>정일흥</v>
          </cell>
          <cell r="G70" t="str">
            <v>352-1559-7324-93</v>
          </cell>
          <cell r="H70">
            <v>200000</v>
          </cell>
          <cell r="I70" t="str">
            <v>010-8843-0512</v>
          </cell>
        </row>
        <row r="71">
          <cell r="A71" t="str">
            <v>곽태</v>
          </cell>
          <cell r="B71" t="str">
            <v>목공</v>
          </cell>
          <cell r="C71" t="str">
            <v>551001-1448815</v>
          </cell>
          <cell r="D71" t="str">
            <v>충북 옥천군 옥천읍 중앙로1길 6-4602호</v>
          </cell>
          <cell r="E71" t="str">
            <v>농협</v>
          </cell>
          <cell r="F71" t="str">
            <v>곽태</v>
          </cell>
          <cell r="G71" t="str">
            <v>356-1434-8325-93</v>
          </cell>
          <cell r="H71">
            <v>200000</v>
          </cell>
          <cell r="I71" t="str">
            <v>0106423-3895</v>
          </cell>
        </row>
        <row r="71">
          <cell r="K71" t="str">
            <v>29037</v>
          </cell>
        </row>
        <row r="72">
          <cell r="A72" t="str">
            <v>박세호</v>
          </cell>
          <cell r="B72" t="str">
            <v>보통인부</v>
          </cell>
          <cell r="C72" t="str">
            <v>641015-1386715</v>
          </cell>
          <cell r="D72" t="str">
            <v>충북 영동군 영동읍 동정로 47,103동 1303호</v>
          </cell>
          <cell r="E72" t="str">
            <v>농협</v>
          </cell>
          <cell r="F72" t="str">
            <v>박세호</v>
          </cell>
          <cell r="G72" t="str">
            <v>356-1193-1604-23</v>
          </cell>
          <cell r="H72">
            <v>160000</v>
          </cell>
          <cell r="I72" t="str">
            <v>010-3896-8077</v>
          </cell>
        </row>
        <row r="72">
          <cell r="K72" t="str">
            <v>29140</v>
          </cell>
        </row>
        <row r="73">
          <cell r="A73" t="str">
            <v>정홍길</v>
          </cell>
          <cell r="B73" t="str">
            <v>목공</v>
          </cell>
          <cell r="C73" t="str">
            <v>821112-1384119</v>
          </cell>
          <cell r="D73" t="str">
            <v>충북 옥천군 옥천읍 대천길 159</v>
          </cell>
          <cell r="E73" t="str">
            <v>농협</v>
          </cell>
          <cell r="F73" t="str">
            <v>정홍길</v>
          </cell>
          <cell r="G73" t="str">
            <v>302-8622-0879-11</v>
          </cell>
          <cell r="H73">
            <v>200000</v>
          </cell>
          <cell r="I73" t="str">
            <v>010-8622-0879</v>
          </cell>
        </row>
        <row r="73">
          <cell r="K73" t="str">
            <v>29052</v>
          </cell>
        </row>
        <row r="74">
          <cell r="A74" t="str">
            <v>백정숙</v>
          </cell>
          <cell r="B74" t="str">
            <v>목공</v>
          </cell>
          <cell r="C74" t="str">
            <v>550420-2789718</v>
          </cell>
          <cell r="D74" t="str">
            <v>충북 옥천군 옥천읍 대천길 549</v>
          </cell>
          <cell r="E74" t="str">
            <v>새마을금고</v>
          </cell>
          <cell r="F74" t="str">
            <v>백정숙</v>
          </cell>
          <cell r="G74" t="str">
            <v>4614-09-003672-7</v>
          </cell>
          <cell r="H74">
            <v>150000</v>
          </cell>
          <cell r="I74" t="str">
            <v>010-8843-</v>
          </cell>
        </row>
        <row r="75">
          <cell r="A75" t="str">
            <v>배태봉</v>
          </cell>
          <cell r="B75" t="str">
            <v>목공</v>
          </cell>
          <cell r="C75" t="str">
            <v>610303-1386748</v>
          </cell>
          <cell r="D75" t="str">
            <v>충북 영동군 영동읍 당곡로14-1</v>
          </cell>
          <cell r="E75" t="str">
            <v>우체국</v>
          </cell>
          <cell r="F75" t="str">
            <v>배태봉</v>
          </cell>
          <cell r="G75" t="str">
            <v>300160-02-231942</v>
          </cell>
          <cell r="H75">
            <v>200000</v>
          </cell>
        </row>
        <row r="75">
          <cell r="K75" t="str">
            <v>29128</v>
          </cell>
        </row>
        <row r="76">
          <cell r="A76" t="str">
            <v>박재영</v>
          </cell>
          <cell r="B76" t="str">
            <v>굴삭기기사</v>
          </cell>
          <cell r="C76" t="str">
            <v>720815-1386721</v>
          </cell>
          <cell r="D76" t="str">
            <v>충북 옥천군 옥천읍 문장로2길 10, 304동 503호</v>
          </cell>
        </row>
        <row r="76">
          <cell r="F76" t="str">
            <v>박재영</v>
          </cell>
        </row>
        <row r="76">
          <cell r="H76">
            <v>150000</v>
          </cell>
        </row>
        <row r="76">
          <cell r="K76" t="str">
            <v>29040</v>
          </cell>
        </row>
        <row r="77">
          <cell r="A77" t="str">
            <v>이관우</v>
          </cell>
          <cell r="B77" t="str">
            <v>철근공</v>
          </cell>
          <cell r="C77" t="str">
            <v>590920-1383021</v>
          </cell>
          <cell r="D77" t="str">
            <v>충북 보은군 보은읍 중초2길 20</v>
          </cell>
          <cell r="E77" t="str">
            <v>농협</v>
          </cell>
          <cell r="F77" t="str">
            <v>이관우</v>
          </cell>
          <cell r="G77" t="str">
            <v>118012-00-9732</v>
          </cell>
          <cell r="H77">
            <v>300000</v>
          </cell>
          <cell r="I77" t="str">
            <v>010-5464-3462</v>
          </cell>
        </row>
        <row r="77">
          <cell r="K77" t="str">
            <v>28917</v>
          </cell>
        </row>
        <row r="78">
          <cell r="A78" t="str">
            <v>주문식</v>
          </cell>
          <cell r="B78" t="str">
            <v>목공</v>
          </cell>
          <cell r="C78" t="str">
            <v>650310-1392622</v>
          </cell>
          <cell r="D78" t="str">
            <v>청주시 상당구 영운천로 187번길 7-5</v>
          </cell>
          <cell r="E78" t="str">
            <v>농협</v>
          </cell>
          <cell r="F78" t="str">
            <v>주하정</v>
          </cell>
          <cell r="G78" t="str">
            <v>356-1247-9282-33</v>
          </cell>
          <cell r="H78">
            <v>280000</v>
          </cell>
        </row>
        <row r="78">
          <cell r="K78" t="str">
            <v>28750</v>
          </cell>
        </row>
        <row r="79">
          <cell r="A79" t="str">
            <v>최동수</v>
          </cell>
          <cell r="B79" t="str">
            <v>목공</v>
          </cell>
          <cell r="C79" t="str">
            <v>600824-1392617</v>
          </cell>
          <cell r="D79" t="str">
            <v>충북 청주시 흥덕구 수곡동 34-23돌체빌라 나동102호</v>
          </cell>
          <cell r="E79" t="str">
            <v>신한</v>
          </cell>
          <cell r="F79" t="str">
            <v>최동수</v>
          </cell>
          <cell r="G79" t="str">
            <v>110-016-451351</v>
          </cell>
          <cell r="H79">
            <v>280000</v>
          </cell>
        </row>
        <row r="80">
          <cell r="A80" t="str">
            <v>박종우</v>
          </cell>
          <cell r="B80" t="str">
            <v>목공</v>
          </cell>
          <cell r="C80" t="str">
            <v>620125-1350833</v>
          </cell>
          <cell r="D80" t="str">
            <v>충북 청주시 상당구 용정로 38번길 27-23,204호(용정동)</v>
          </cell>
          <cell r="E80" t="str">
            <v>농협</v>
          </cell>
          <cell r="F80" t="str">
            <v>박종우</v>
          </cell>
          <cell r="G80" t="str">
            <v>401050-51-041386</v>
          </cell>
          <cell r="H80">
            <v>280000</v>
          </cell>
        </row>
        <row r="81">
          <cell r="A81" t="str">
            <v>김용국</v>
          </cell>
          <cell r="B81" t="str">
            <v>철근공</v>
          </cell>
          <cell r="C81" t="str">
            <v>590215-1455931</v>
          </cell>
          <cell r="D81" t="str">
            <v>충북 청주시 청원구 주성로216,101동 904호(율량동,재원@)</v>
          </cell>
          <cell r="E81" t="str">
            <v>농협</v>
          </cell>
          <cell r="F81" t="str">
            <v>김용국</v>
          </cell>
          <cell r="G81" t="str">
            <v>237097-56-122641</v>
          </cell>
          <cell r="H81">
            <v>250000</v>
          </cell>
        </row>
        <row r="82">
          <cell r="A82" t="str">
            <v>김진태</v>
          </cell>
          <cell r="B82" t="str">
            <v>철근공</v>
          </cell>
          <cell r="C82" t="str">
            <v>590227-1390025</v>
          </cell>
          <cell r="D82" t="str">
            <v>충북 청주시청원구 새터로125번길 13-1.102호</v>
          </cell>
          <cell r="E82" t="str">
            <v>신한</v>
          </cell>
          <cell r="F82" t="str">
            <v>김진태</v>
          </cell>
          <cell r="G82" t="str">
            <v>110-350-519515</v>
          </cell>
          <cell r="H82">
            <v>250000</v>
          </cell>
        </row>
        <row r="83">
          <cell r="A83" t="str">
            <v>이원우</v>
          </cell>
          <cell r="B83" t="str">
            <v>철근공</v>
          </cell>
          <cell r="C83" t="str">
            <v>650901-1351416</v>
          </cell>
          <cell r="D83" t="str">
            <v>충북 청주시 상당구 새터로73번길 17-1,(내덕동)</v>
          </cell>
          <cell r="E83" t="str">
            <v>농협</v>
          </cell>
          <cell r="F83" t="str">
            <v>이원우</v>
          </cell>
          <cell r="G83" t="str">
            <v>356-0421-8806-83</v>
          </cell>
          <cell r="H83">
            <v>270000</v>
          </cell>
        </row>
        <row r="84">
          <cell r="A84" t="str">
            <v>우성식</v>
          </cell>
          <cell r="B84" t="str">
            <v>철근공</v>
          </cell>
          <cell r="C84" t="str">
            <v>630108-1382116</v>
          </cell>
          <cell r="D84" t="str">
            <v>충북 청주시 흥덕구 신율로145번길 24-5,101호(복대동)</v>
          </cell>
          <cell r="E84" t="str">
            <v>농협</v>
          </cell>
          <cell r="F84" t="str">
            <v>우성식</v>
          </cell>
          <cell r="G84" t="str">
            <v>211042-52-114865</v>
          </cell>
          <cell r="H84">
            <v>240000</v>
          </cell>
        </row>
        <row r="85">
          <cell r="A85" t="str">
            <v>음희진</v>
          </cell>
          <cell r="B85" t="str">
            <v>목공</v>
          </cell>
          <cell r="C85" t="str">
            <v>591220-1392335</v>
          </cell>
          <cell r="D85" t="str">
            <v>청주시 흥덕구 장구봉로101번길27, 사랑동405호 (복대동,형석@)</v>
          </cell>
          <cell r="E85" t="str">
            <v>농협</v>
          </cell>
          <cell r="F85" t="str">
            <v>음희진</v>
          </cell>
          <cell r="G85" t="str">
            <v>401149-56-096884</v>
          </cell>
          <cell r="H85">
            <v>250000</v>
          </cell>
        </row>
        <row r="85">
          <cell r="K85" t="str">
            <v>28607</v>
          </cell>
        </row>
        <row r="86">
          <cell r="A86" t="str">
            <v>지창기</v>
          </cell>
          <cell r="B86" t="str">
            <v>울타리공</v>
          </cell>
          <cell r="C86" t="str">
            <v>681022-1446910</v>
          </cell>
          <cell r="D86" t="str">
            <v>대전광역시 중구 대흥동 현대@ 7동 1101호</v>
          </cell>
        </row>
        <row r="86">
          <cell r="F86" t="str">
            <v>지창기</v>
          </cell>
        </row>
        <row r="86">
          <cell r="H86">
            <v>250000</v>
          </cell>
        </row>
        <row r="86">
          <cell r="K86" t="str">
            <v>34929</v>
          </cell>
        </row>
        <row r="87">
          <cell r="A87" t="str">
            <v>김재수</v>
          </cell>
          <cell r="B87" t="str">
            <v>울타리공</v>
          </cell>
          <cell r="C87" t="str">
            <v>660202-1400210</v>
          </cell>
          <cell r="D87" t="str">
            <v>전북 무주군 부남면 유동길 7-4</v>
          </cell>
        </row>
        <row r="87">
          <cell r="F87" t="str">
            <v>김재수</v>
          </cell>
        </row>
        <row r="87">
          <cell r="H87">
            <v>250000</v>
          </cell>
        </row>
        <row r="87">
          <cell r="K87" t="str">
            <v>55501</v>
          </cell>
        </row>
        <row r="88">
          <cell r="A88" t="str">
            <v>김동진</v>
          </cell>
          <cell r="B88" t="str">
            <v>울타리공</v>
          </cell>
          <cell r="C88" t="str">
            <v>980615-1094810</v>
          </cell>
          <cell r="D88" t="str">
            <v>전북 전주시  덕진구 명주5길 41</v>
          </cell>
          <cell r="E88" t="str">
            <v>우리</v>
          </cell>
          <cell r="F88" t="str">
            <v>김동진</v>
          </cell>
          <cell r="G88" t="str">
            <v>1002763162620</v>
          </cell>
          <cell r="H88">
            <v>155000</v>
          </cell>
          <cell r="I88" t="str">
            <v>010-5738-4795</v>
          </cell>
        </row>
        <row r="88">
          <cell r="K88" t="str">
            <v>54918</v>
          </cell>
        </row>
        <row r="89">
          <cell r="A89" t="str">
            <v>이종호</v>
          </cell>
          <cell r="B89" t="str">
            <v>울타리공</v>
          </cell>
          <cell r="C89" t="str">
            <v>740211-1149313</v>
          </cell>
          <cell r="D89" t="str">
            <v>인천시 연수구 옥련동 642-1</v>
          </cell>
          <cell r="E89" t="str">
            <v>기업</v>
          </cell>
          <cell r="F89" t="str">
            <v>이종호</v>
          </cell>
          <cell r="G89" t="str">
            <v>1064340831</v>
          </cell>
          <cell r="H89">
            <v>155000</v>
          </cell>
          <cell r="I89" t="str">
            <v>010-6434-0831</v>
          </cell>
        </row>
        <row r="89">
          <cell r="K89" t="str">
            <v>21952</v>
          </cell>
        </row>
        <row r="90">
          <cell r="A90" t="str">
            <v>청주건설기계
(오근장지게차,공항지게차)</v>
          </cell>
          <cell r="B90" t="str">
            <v>지게차</v>
          </cell>
          <cell r="C90" t="str">
            <v>490-40-00058</v>
          </cell>
          <cell r="D90" t="str">
            <v>농협010-8574-3343-09</v>
          </cell>
          <cell r="E90" t="str">
            <v>농협</v>
          </cell>
        </row>
        <row r="90">
          <cell r="G90" t="str">
            <v>010-8574-3343-09</v>
          </cell>
          <cell r="H90">
            <v>90000</v>
          </cell>
          <cell r="I90" t="str">
            <v>010-8574-3343</v>
          </cell>
        </row>
        <row r="91">
          <cell r="A91" t="str">
            <v>유상철</v>
          </cell>
          <cell r="B91" t="str">
            <v>울타리공</v>
          </cell>
          <cell r="C91" t="str">
            <v>780418-1411311</v>
          </cell>
          <cell r="D91" t="str">
            <v>인청광역시 남동구 간석동 188-7 203호</v>
          </cell>
          <cell r="E91" t="str">
            <v>농협</v>
          </cell>
          <cell r="F91" t="str">
            <v>유상철</v>
          </cell>
          <cell r="G91" t="str">
            <v>3020703001141</v>
          </cell>
          <cell r="H91">
            <v>180000</v>
          </cell>
          <cell r="I91" t="str">
            <v>010-8997-4235</v>
          </cell>
        </row>
        <row r="91">
          <cell r="K91" t="str">
            <v>21952</v>
          </cell>
        </row>
        <row r="92">
          <cell r="A92" t="str">
            <v>박건진</v>
          </cell>
          <cell r="B92" t="str">
            <v>울타리공</v>
          </cell>
          <cell r="C92" t="str">
            <v>730926-1182618</v>
          </cell>
          <cell r="D92" t="str">
            <v>인천시 연수구 옥련동 642-139</v>
          </cell>
          <cell r="E92" t="str">
            <v>신한</v>
          </cell>
          <cell r="F92" t="str">
            <v>박건진</v>
          </cell>
          <cell r="G92" t="str">
            <v>110531618208</v>
          </cell>
          <cell r="H92">
            <v>150000</v>
          </cell>
          <cell r="I92" t="str">
            <v>010-2520-9629</v>
          </cell>
        </row>
        <row r="92">
          <cell r="K92" t="str">
            <v>14473</v>
          </cell>
        </row>
        <row r="93">
          <cell r="A93" t="str">
            <v>김도운</v>
          </cell>
          <cell r="B93" t="str">
            <v>울타리공</v>
          </cell>
          <cell r="C93" t="str">
            <v>980424-1042216</v>
          </cell>
          <cell r="D93" t="str">
            <v>경기도 부천시 삼적로 395번길8 502호</v>
          </cell>
          <cell r="E93" t="str">
            <v>카카오뱅크</v>
          </cell>
          <cell r="F93" t="str">
            <v>김도운</v>
          </cell>
          <cell r="G93" t="str">
            <v>3333-16-5110770</v>
          </cell>
          <cell r="H93">
            <v>140000</v>
          </cell>
          <cell r="I93" t="str">
            <v>010-4856-8783</v>
          </cell>
        </row>
        <row r="93">
          <cell r="K93" t="str">
            <v>15805</v>
          </cell>
        </row>
        <row r="94">
          <cell r="A94" t="str">
            <v>최진영</v>
          </cell>
          <cell r="B94" t="str">
            <v>울타리공</v>
          </cell>
          <cell r="C94" t="str">
            <v>830808-1273513</v>
          </cell>
          <cell r="D94" t="str">
            <v>경기도 군포시 군포로 767번길 35 </v>
          </cell>
          <cell r="E94" t="str">
            <v>신한</v>
          </cell>
          <cell r="F94" t="str">
            <v>최진영</v>
          </cell>
          <cell r="G94" t="str">
            <v>110309789591</v>
          </cell>
          <cell r="H94">
            <v>165000</v>
          </cell>
          <cell r="I94" t="str">
            <v>010-2537-9954</v>
          </cell>
        </row>
        <row r="94">
          <cell r="K94" t="str">
            <v>15805</v>
          </cell>
        </row>
        <row r="95">
          <cell r="A95" t="str">
            <v>조영준</v>
          </cell>
          <cell r="B95" t="str">
            <v>울타리공</v>
          </cell>
          <cell r="C95" t="str">
            <v>890115-1673921</v>
          </cell>
          <cell r="D95" t="str">
            <v>대구광역시 달서구 상화로373.202동214호</v>
          </cell>
          <cell r="E95" t="str">
            <v>대구</v>
          </cell>
          <cell r="F95" t="str">
            <v>조영준</v>
          </cell>
          <cell r="G95" t="str">
            <v>508116402427</v>
          </cell>
          <cell r="H95">
            <v>135000</v>
          </cell>
          <cell r="I95" t="str">
            <v>010-2523-2611</v>
          </cell>
        </row>
        <row r="96">
          <cell r="A96" t="str">
            <v>정해용</v>
          </cell>
          <cell r="B96" t="str">
            <v>울타리공</v>
          </cell>
          <cell r="C96" t="str">
            <v>880309-1144517</v>
          </cell>
          <cell r="D96" t="str">
            <v>인천광역시시 미추홀구 도화동 6-26</v>
          </cell>
          <cell r="E96" t="str">
            <v>국민</v>
          </cell>
          <cell r="F96" t="str">
            <v>정해용</v>
          </cell>
          <cell r="G96" t="str">
            <v>722125-95-102456</v>
          </cell>
          <cell r="H96">
            <v>165000</v>
          </cell>
        </row>
        <row r="97">
          <cell r="A97" t="str">
            <v>박동호</v>
          </cell>
          <cell r="B97" t="str">
            <v>울타리공</v>
          </cell>
          <cell r="C97" t="str">
            <v>740123-1150216</v>
          </cell>
          <cell r="D97" t="str">
            <v>인천광역시 연수구 학나래로34, 101동501호</v>
          </cell>
          <cell r="E97" t="str">
            <v>신한</v>
          </cell>
          <cell r="F97" t="str">
            <v>박동호</v>
          </cell>
          <cell r="G97" t="str">
            <v>110388363575</v>
          </cell>
          <cell r="H97">
            <v>250000</v>
          </cell>
        </row>
        <row r="97">
          <cell r="K97">
            <v>21911</v>
          </cell>
        </row>
        <row r="98">
          <cell r="A98" t="str">
            <v>이동헌</v>
          </cell>
          <cell r="B98" t="str">
            <v>울타리공</v>
          </cell>
          <cell r="C98" t="str">
            <v>900614-1674812</v>
          </cell>
          <cell r="D98" t="str">
            <v>인천광역시 부평구 부평대로 95</v>
          </cell>
          <cell r="E98" t="str">
            <v>새마을금고</v>
          </cell>
          <cell r="F98" t="str">
            <v>이동헌</v>
          </cell>
          <cell r="G98" t="str">
            <v>9002172373929</v>
          </cell>
          <cell r="H98">
            <v>230000</v>
          </cell>
          <cell r="I98" t="str">
            <v>010-4682-4812</v>
          </cell>
        </row>
        <row r="98">
          <cell r="K98" t="str">
            <v>21379</v>
          </cell>
        </row>
        <row r="99">
          <cell r="A99" t="str">
            <v>김경윤</v>
          </cell>
          <cell r="B99" t="str">
            <v>울타리공</v>
          </cell>
          <cell r="C99">
            <v>19981119</v>
          </cell>
        </row>
        <row r="99">
          <cell r="E99" t="str">
            <v>국민</v>
          </cell>
          <cell r="F99" t="str">
            <v>김경윤</v>
          </cell>
          <cell r="G99" t="str">
            <v>722125-95-102456</v>
          </cell>
          <cell r="H99">
            <v>165000</v>
          </cell>
        </row>
        <row r="100">
          <cell r="A100" t="str">
            <v>지봉수</v>
          </cell>
        </row>
        <row r="100">
          <cell r="C100" t="str">
            <v>871003-</v>
          </cell>
          <cell r="D100" t="str">
            <v>충북 증평군 도안면 탑골길 1-22</v>
          </cell>
        </row>
        <row r="100">
          <cell r="K100" t="str">
            <v>27901</v>
          </cell>
        </row>
        <row r="101">
          <cell r="A101" t="str">
            <v>이기영</v>
          </cell>
        </row>
        <row r="101">
          <cell r="C101" t="str">
            <v>580824-1390815</v>
          </cell>
          <cell r="D101" t="str">
            <v>충청북도 증평군 도안면 탑골길 1-22</v>
          </cell>
          <cell r="E101" t="str">
            <v>국민</v>
          </cell>
          <cell r="F101" t="str">
            <v>삼일용역</v>
          </cell>
          <cell r="G101" t="str">
            <v>722125-95-102456</v>
          </cell>
          <cell r="H101">
            <v>165000</v>
          </cell>
          <cell r="I101" t="str">
            <v>010-9345-3633</v>
          </cell>
          <cell r="J101" t="str">
            <v>삼일용역</v>
          </cell>
          <cell r="K101" t="str">
            <v>27901</v>
          </cell>
        </row>
        <row r="102">
          <cell r="A102" t="str">
            <v>조남부</v>
          </cell>
        </row>
        <row r="102">
          <cell r="C102" t="str">
            <v>600417-1458432</v>
          </cell>
          <cell r="D102" t="str">
            <v>충북 청원군 낭성면 관정길 180-1</v>
          </cell>
          <cell r="E102" t="str">
            <v>국민</v>
          </cell>
          <cell r="F102" t="str">
            <v>삼일용역</v>
          </cell>
          <cell r="G102" t="str">
            <v>722125-95-102456</v>
          </cell>
          <cell r="H102">
            <v>165000</v>
          </cell>
        </row>
        <row r="102">
          <cell r="J102" t="str">
            <v>삼일용역</v>
          </cell>
          <cell r="K102" t="str">
            <v>28194</v>
          </cell>
        </row>
        <row r="103">
          <cell r="A103" t="str">
            <v>임종길</v>
          </cell>
        </row>
        <row r="103">
          <cell r="C103" t="str">
            <v>611204-1346019</v>
          </cell>
          <cell r="D103" t="str">
            <v>경상남도 고성군 거류면 화당2길 21-10</v>
          </cell>
          <cell r="E103" t="str">
            <v>국민</v>
          </cell>
          <cell r="F103" t="str">
            <v>삼일용역</v>
          </cell>
          <cell r="G103" t="str">
            <v>722125-95-102456</v>
          </cell>
          <cell r="H103">
            <v>175000</v>
          </cell>
        </row>
        <row r="103">
          <cell r="J103" t="str">
            <v>삼일용역</v>
          </cell>
          <cell r="K103" t="str">
            <v>52926</v>
          </cell>
        </row>
        <row r="104">
          <cell r="A104" t="str">
            <v>윤덕근</v>
          </cell>
        </row>
        <row r="104">
          <cell r="C104" t="str">
            <v>620209-1390912</v>
          </cell>
          <cell r="D104" t="str">
            <v>충청북도 증평군 증평읍 송산로4길 14,305동</v>
          </cell>
          <cell r="E104" t="str">
            <v>국민</v>
          </cell>
          <cell r="F104" t="str">
            <v>삼일용역</v>
          </cell>
          <cell r="G104" t="str">
            <v>722125-95-102456</v>
          </cell>
          <cell r="H104">
            <v>170000</v>
          </cell>
          <cell r="I104" t="str">
            <v>010-5498-6461</v>
          </cell>
          <cell r="J104" t="str">
            <v>삼일용역</v>
          </cell>
          <cell r="K104" t="str">
            <v>27917</v>
          </cell>
        </row>
        <row r="105">
          <cell r="A105" t="str">
            <v>김상만</v>
          </cell>
        </row>
        <row r="105">
          <cell r="C105" t="str">
            <v>730115-1781625</v>
          </cell>
          <cell r="D105" t="str">
            <v>울산광역시 동구 대송3길 63</v>
          </cell>
          <cell r="E105" t="str">
            <v>국민</v>
          </cell>
          <cell r="F105" t="str">
            <v>삼일용역</v>
          </cell>
          <cell r="G105" t="str">
            <v>722125-95-102456</v>
          </cell>
          <cell r="H105">
            <v>175000</v>
          </cell>
          <cell r="I105" t="str">
            <v>010-5498-6461</v>
          </cell>
          <cell r="J105" t="str">
            <v>삼일용역</v>
          </cell>
          <cell r="K105" t="str">
            <v>44062</v>
          </cell>
        </row>
        <row r="106">
          <cell r="A106" t="str">
            <v>이주은</v>
          </cell>
        </row>
        <row r="106">
          <cell r="C106" t="str">
            <v>930109-2409915</v>
          </cell>
          <cell r="D106" t="str">
            <v>대전광역시 서구 도솔로 324-5(괴정동)</v>
          </cell>
          <cell r="E106" t="str">
            <v>국민</v>
          </cell>
          <cell r="F106" t="str">
            <v>삼일용역</v>
          </cell>
          <cell r="G106" t="str">
            <v>722125-95-102456</v>
          </cell>
          <cell r="H106">
            <v>130000</v>
          </cell>
        </row>
        <row r="106">
          <cell r="J106" t="str">
            <v>삼일용역</v>
          </cell>
          <cell r="K106" t="str">
            <v>35295</v>
          </cell>
        </row>
        <row r="107">
          <cell r="A107" t="str">
            <v>김정태</v>
          </cell>
          <cell r="B107" t="str">
            <v>삼일용역</v>
          </cell>
          <cell r="C107" t="str">
            <v>650104-1380821</v>
          </cell>
          <cell r="D107" t="str">
            <v>충청북도 청주시 청원구 오창읍 여천2길 22-5</v>
          </cell>
          <cell r="E107" t="str">
            <v>국민</v>
          </cell>
          <cell r="F107" t="str">
            <v>삼일용역</v>
          </cell>
          <cell r="G107" t="str">
            <v>722125-95-102456</v>
          </cell>
          <cell r="H107">
            <v>175000</v>
          </cell>
        </row>
        <row r="107">
          <cell r="J107" t="str">
            <v>삼일용역</v>
          </cell>
          <cell r="K107" t="str">
            <v>28127</v>
          </cell>
        </row>
        <row r="108">
          <cell r="A108" t="str">
            <v>윤희주</v>
          </cell>
          <cell r="B108" t="str">
            <v>삼일용역</v>
          </cell>
          <cell r="C108" t="str">
            <v>520112-1621913</v>
          </cell>
          <cell r="D108" t="str">
            <v>충북 증평군 증평읍 쇠마루1길 45</v>
          </cell>
          <cell r="E108" t="str">
            <v>국민</v>
          </cell>
          <cell r="F108" t="str">
            <v>삼일용역</v>
          </cell>
          <cell r="G108" t="str">
            <v>722125-95-102456</v>
          </cell>
          <cell r="H108">
            <v>175000</v>
          </cell>
        </row>
        <row r="108">
          <cell r="J108" t="str">
            <v>삼일용역</v>
          </cell>
          <cell r="K108" t="str">
            <v>27913</v>
          </cell>
        </row>
        <row r="109">
          <cell r="A109" t="str">
            <v>최성학</v>
          </cell>
          <cell r="B109" t="str">
            <v>삼일용역</v>
          </cell>
          <cell r="C109" t="str">
            <v>630111-1268111</v>
          </cell>
          <cell r="D109" t="str">
            <v>충북 음성군 설성로 2</v>
          </cell>
          <cell r="E109" t="str">
            <v>국민</v>
          </cell>
          <cell r="F109" t="str">
            <v>삼일용역</v>
          </cell>
          <cell r="G109" t="str">
            <v>722125-95-102456</v>
          </cell>
          <cell r="H109">
            <v>165000</v>
          </cell>
        </row>
        <row r="109">
          <cell r="J109" t="str">
            <v>삼일용역</v>
          </cell>
          <cell r="K109" t="str">
            <v>21952</v>
          </cell>
        </row>
        <row r="110">
          <cell r="A110" t="str">
            <v>정복용</v>
          </cell>
          <cell r="B110" t="str">
            <v>삼일용역</v>
          </cell>
          <cell r="C110" t="str">
            <v>651210-1337113</v>
          </cell>
          <cell r="D110" t="str">
            <v>강원도 화천군 간동면 오음리 오동나무길8-9</v>
          </cell>
          <cell r="E110" t="str">
            <v>국민</v>
          </cell>
          <cell r="F110" t="str">
            <v>삼일용역</v>
          </cell>
          <cell r="G110" t="str">
            <v>722125-95-102456</v>
          </cell>
          <cell r="H110">
            <v>180000</v>
          </cell>
        </row>
        <row r="110">
          <cell r="J110" t="str">
            <v>삼일용역</v>
          </cell>
          <cell r="K110" t="str">
            <v>24137</v>
          </cell>
        </row>
        <row r="111">
          <cell r="A111" t="str">
            <v>정인섭</v>
          </cell>
          <cell r="B111" t="str">
            <v>삼일용역</v>
          </cell>
          <cell r="C111" t="str">
            <v>610720-1452816</v>
          </cell>
          <cell r="D111" t="str">
            <v>충북 증평군 증평읍 삼보로1길 21, 104동110호</v>
          </cell>
          <cell r="E111" t="str">
            <v>국민</v>
          </cell>
          <cell r="F111" t="str">
            <v>삼일용역</v>
          </cell>
          <cell r="G111" t="str">
            <v>722125-95-102456</v>
          </cell>
          <cell r="H111">
            <v>165000</v>
          </cell>
        </row>
        <row r="111">
          <cell r="J111" t="str">
            <v>삼일용역</v>
          </cell>
          <cell r="K111" t="str">
            <v>27928</v>
          </cell>
        </row>
        <row r="112">
          <cell r="A112" t="str">
            <v>연제선</v>
          </cell>
          <cell r="B112" t="str">
            <v>삼일용역</v>
          </cell>
          <cell r="C112" t="str">
            <v>880417-1390814</v>
          </cell>
          <cell r="D112" t="str">
            <v>충북 증평군 증평읍 송산로 53 휴먼시아@</v>
          </cell>
          <cell r="E112" t="str">
            <v>국민</v>
          </cell>
          <cell r="F112" t="str">
            <v>삼일용역</v>
          </cell>
          <cell r="G112" t="str">
            <v>722125-95-102456</v>
          </cell>
          <cell r="H112">
            <v>175000</v>
          </cell>
        </row>
        <row r="112">
          <cell r="J112" t="str">
            <v>삼일용역</v>
          </cell>
          <cell r="K112" t="str">
            <v>27918</v>
          </cell>
        </row>
        <row r="113">
          <cell r="A113" t="str">
            <v>이기범</v>
          </cell>
          <cell r="B113" t="str">
            <v>삼일용역</v>
          </cell>
          <cell r="C113" t="str">
            <v>840608-1227411</v>
          </cell>
          <cell r="D113" t="str">
            <v>경기도 평택시 세교동 560, 향촌현대아파트</v>
          </cell>
          <cell r="E113" t="str">
            <v>국민</v>
          </cell>
          <cell r="F113" t="str">
            <v>삼일용역</v>
          </cell>
          <cell r="G113" t="str">
            <v>722125-95-102456</v>
          </cell>
          <cell r="H113">
            <v>165000</v>
          </cell>
        </row>
        <row r="113">
          <cell r="J113" t="str">
            <v>삼일용역</v>
          </cell>
          <cell r="K113" t="str">
            <v>17832</v>
          </cell>
        </row>
        <row r="114">
          <cell r="A114" t="str">
            <v>신기호</v>
          </cell>
          <cell r="B114" t="str">
            <v>삼일용역</v>
          </cell>
          <cell r="C114" t="str">
            <v>740917-1390110</v>
          </cell>
          <cell r="D114" t="str">
            <v>충북 청주시 청원구 오창읍 양천6길 4-10 104호</v>
          </cell>
          <cell r="E114" t="str">
            <v>국민</v>
          </cell>
          <cell r="F114" t="str">
            <v>삼일용역</v>
          </cell>
          <cell r="G114" t="str">
            <v>722125-95-102456</v>
          </cell>
          <cell r="H114">
            <v>165000</v>
          </cell>
        </row>
        <row r="114">
          <cell r="J114" t="str">
            <v>삼일용역</v>
          </cell>
          <cell r="K114" t="str">
            <v>28116</v>
          </cell>
        </row>
        <row r="115">
          <cell r="A115" t="str">
            <v>한승태</v>
          </cell>
          <cell r="B115" t="str">
            <v>삼일용역</v>
          </cell>
          <cell r="C115" t="str">
            <v>560216-1390811</v>
          </cell>
          <cell r="D115" t="str">
            <v>충북 증평군 도안면 백암길 31-10</v>
          </cell>
          <cell r="E115" t="str">
            <v>국민</v>
          </cell>
          <cell r="F115" t="str">
            <v>삼일용역</v>
          </cell>
          <cell r="G115" t="str">
            <v>722125-95-102456</v>
          </cell>
          <cell r="H115">
            <v>175000</v>
          </cell>
        </row>
        <row r="116">
          <cell r="A116" t="str">
            <v>한만선</v>
          </cell>
          <cell r="B116" t="str">
            <v>삼일용역</v>
          </cell>
          <cell r="C116" t="str">
            <v>600709-1398411</v>
          </cell>
          <cell r="D116" t="str">
            <v>대전광영시유성구유성대로668번길64 301호</v>
          </cell>
          <cell r="E116" t="str">
            <v>국민</v>
          </cell>
          <cell r="F116" t="str">
            <v>삼일용역</v>
          </cell>
          <cell r="G116" t="str">
            <v>722125-95-102456</v>
          </cell>
          <cell r="H116">
            <v>165000</v>
          </cell>
        </row>
        <row r="117">
          <cell r="A117" t="str">
            <v>정수용</v>
          </cell>
          <cell r="B117" t="str">
            <v>삼일용역</v>
          </cell>
          <cell r="C117" t="str">
            <v>610528-1390511</v>
          </cell>
          <cell r="D117" t="str">
            <v>충청북도 증평군 증평읍 광장로 534 (서호e타운아파트)</v>
          </cell>
          <cell r="E117" t="str">
            <v>국민</v>
          </cell>
          <cell r="F117" t="str">
            <v>삼일용역</v>
          </cell>
          <cell r="G117" t="str">
            <v>722125-95-102456</v>
          </cell>
          <cell r="H117">
            <v>165000</v>
          </cell>
        </row>
        <row r="117">
          <cell r="K117">
            <v>27909</v>
          </cell>
        </row>
        <row r="118">
          <cell r="A118" t="str">
            <v>한상원</v>
          </cell>
          <cell r="B118" t="str">
            <v>삼일용역</v>
          </cell>
          <cell r="C118" t="str">
            <v>700225-1390926</v>
          </cell>
          <cell r="D118" t="str">
            <v>충청북도 괴산군 사리면 방축리 768-130</v>
          </cell>
          <cell r="E118" t="str">
            <v>국민</v>
          </cell>
          <cell r="F118" t="str">
            <v>삼일용역</v>
          </cell>
          <cell r="G118" t="str">
            <v>722125-95-102456</v>
          </cell>
          <cell r="H118">
            <v>175000</v>
          </cell>
        </row>
        <row r="119">
          <cell r="A119" t="str">
            <v>정문기</v>
          </cell>
          <cell r="B119" t="str">
            <v>삼일용역</v>
          </cell>
          <cell r="C119" t="str">
            <v>670101-1926014</v>
          </cell>
          <cell r="D119" t="str">
            <v>경기도 김포시 대곶면 대곶서로 234번길 52-16</v>
          </cell>
          <cell r="E119" t="str">
            <v>국민</v>
          </cell>
          <cell r="F119" t="str">
            <v>삼일용역</v>
          </cell>
          <cell r="G119" t="str">
            <v>722125-95-102456</v>
          </cell>
          <cell r="H119">
            <v>165000</v>
          </cell>
        </row>
        <row r="120">
          <cell r="A120" t="str">
            <v>최영수</v>
          </cell>
          <cell r="B120" t="str">
            <v>삼일용역</v>
          </cell>
          <cell r="C120" t="str">
            <v>770131-1390916</v>
          </cell>
          <cell r="D120" t="str">
            <v>증평군 증평읍 충청대로 1746,105동 102호 </v>
          </cell>
          <cell r="E120" t="str">
            <v>국민</v>
          </cell>
          <cell r="F120" t="str">
            <v>삼일용역</v>
          </cell>
          <cell r="G120" t="str">
            <v>722125-95-102456</v>
          </cell>
          <cell r="H120">
            <v>175000</v>
          </cell>
        </row>
        <row r="121">
          <cell r="A121" t="str">
            <v>이권희</v>
          </cell>
          <cell r="B121" t="str">
            <v>삼일용역</v>
          </cell>
          <cell r="C121" t="str">
            <v>600920-1390816</v>
          </cell>
          <cell r="D121" t="str">
            <v>충북 증평군 도안면 도당리 131</v>
          </cell>
          <cell r="E121" t="str">
            <v>국민</v>
          </cell>
          <cell r="F121" t="str">
            <v>삼일용역</v>
          </cell>
          <cell r="G121" t="str">
            <v>722125-95-102456</v>
          </cell>
          <cell r="H121">
            <v>165000</v>
          </cell>
        </row>
        <row r="121">
          <cell r="K121">
            <v>27906</v>
          </cell>
        </row>
        <row r="122">
          <cell r="A122" t="str">
            <v>연영수</v>
          </cell>
          <cell r="B122" t="str">
            <v>삼일용역</v>
          </cell>
          <cell r="C122" t="str">
            <v>610228-1390814</v>
          </cell>
          <cell r="D122" t="str">
            <v>충북 증평군 증평읍 진지내1길 21, 3호</v>
          </cell>
          <cell r="E122" t="str">
            <v>국민</v>
          </cell>
          <cell r="F122" t="str">
            <v>삼일용역</v>
          </cell>
          <cell r="G122" t="str">
            <v>722125-95-102456</v>
          </cell>
          <cell r="H122">
            <v>165000</v>
          </cell>
        </row>
        <row r="122">
          <cell r="K122" t="str">
            <v>27933</v>
          </cell>
        </row>
        <row r="123">
          <cell r="A123" t="str">
            <v>정규성</v>
          </cell>
          <cell r="B123" t="str">
            <v>삼일용역</v>
          </cell>
          <cell r="C123" t="str">
            <v>721023-1904418</v>
          </cell>
          <cell r="D123" t="str">
            <v>울산광역시 울주군 삼남면 서향교1길 59-9</v>
          </cell>
          <cell r="E123" t="str">
            <v>국민</v>
          </cell>
          <cell r="F123" t="str">
            <v>삼일용역</v>
          </cell>
          <cell r="G123" t="str">
            <v>722125-95-102456</v>
          </cell>
          <cell r="H123">
            <v>175000</v>
          </cell>
        </row>
        <row r="123">
          <cell r="K123">
            <v>44950</v>
          </cell>
        </row>
        <row r="124">
          <cell r="A124" t="str">
            <v>이승태</v>
          </cell>
          <cell r="B124" t="str">
            <v>삼일용역</v>
          </cell>
          <cell r="C124" t="str">
            <v>760221-1537211</v>
          </cell>
          <cell r="D124" t="str">
            <v>충북 청주시 청원구 오창읍 양청2길29-38</v>
          </cell>
          <cell r="E124" t="str">
            <v>국민</v>
          </cell>
          <cell r="F124" t="str">
            <v>삼일용역</v>
          </cell>
          <cell r="G124" t="str">
            <v>722125-95-102456</v>
          </cell>
          <cell r="H124">
            <v>165000</v>
          </cell>
        </row>
        <row r="124">
          <cell r="K124">
            <v>28115</v>
          </cell>
        </row>
        <row r="125">
          <cell r="A125" t="str">
            <v>이성길</v>
          </cell>
          <cell r="B125" t="str">
            <v>삼일용역</v>
          </cell>
          <cell r="C125" t="str">
            <v>651105-1046117</v>
          </cell>
          <cell r="D125" t="str">
            <v>경기도 안성시 원곡면 강문길 31</v>
          </cell>
          <cell r="E125" t="str">
            <v>국민</v>
          </cell>
          <cell r="F125" t="str">
            <v>삼일용역</v>
          </cell>
          <cell r="G125" t="str">
            <v>722125-95-102456</v>
          </cell>
          <cell r="H125">
            <v>180000</v>
          </cell>
        </row>
        <row r="125">
          <cell r="K125" t="str">
            <v>17555</v>
          </cell>
        </row>
        <row r="126">
          <cell r="A126" t="str">
            <v>김경선</v>
          </cell>
          <cell r="B126" t="str">
            <v>삼일용역</v>
          </cell>
          <cell r="C126" t="str">
            <v>590703-1047120</v>
          </cell>
          <cell r="D126" t="str">
            <v>경기도 화성시 떡전골로 82, 7동 725호</v>
          </cell>
          <cell r="E126" t="str">
            <v>국민</v>
          </cell>
          <cell r="F126" t="str">
            <v>삼일용역</v>
          </cell>
          <cell r="G126" t="str">
            <v>722125-95-102456</v>
          </cell>
          <cell r="H126">
            <v>185000</v>
          </cell>
        </row>
        <row r="126">
          <cell r="K126">
            <v>18412</v>
          </cell>
        </row>
        <row r="127">
          <cell r="A127" t="str">
            <v>김주현</v>
          </cell>
          <cell r="B127" t="str">
            <v>삼일용역</v>
          </cell>
          <cell r="C127" t="str">
            <v>790210-1388411</v>
          </cell>
          <cell r="D127" t="str">
            <v>충북 증평군 증평읍 초중12길 50, 203호</v>
          </cell>
          <cell r="E127" t="str">
            <v>국민</v>
          </cell>
          <cell r="F127" t="str">
            <v>삼일용역</v>
          </cell>
          <cell r="G127" t="str">
            <v>722125-95-102456</v>
          </cell>
          <cell r="H127">
            <v>185000</v>
          </cell>
        </row>
        <row r="127">
          <cell r="K127">
            <v>27939</v>
          </cell>
        </row>
        <row r="128">
          <cell r="A128" t="str">
            <v>김경민</v>
          </cell>
          <cell r="B128" t="str">
            <v>삼일용역</v>
          </cell>
          <cell r="C128" t="str">
            <v>790618-1381016</v>
          </cell>
          <cell r="D128" t="str">
            <v>충북 청주시 청원구 내수읍 은곡묵방길28, 102동 510호</v>
          </cell>
          <cell r="E128" t="str">
            <v>국민</v>
          </cell>
          <cell r="F128" t="str">
            <v>삼일용역</v>
          </cell>
          <cell r="G128" t="str">
            <v>722125-95-102456</v>
          </cell>
          <cell r="H128">
            <v>165000</v>
          </cell>
        </row>
        <row r="128">
          <cell r="K128">
            <v>28151</v>
          </cell>
        </row>
        <row r="135">
          <cell r="A135" t="str">
            <v>이강윤</v>
          </cell>
        </row>
        <row r="135">
          <cell r="C135" t="str">
            <v>580301-1524520</v>
          </cell>
          <cell r="D135" t="str">
            <v>충북 영동군 영동읍 영산로6길 18-6</v>
          </cell>
          <cell r="E135" t="str">
            <v>농협</v>
          </cell>
          <cell r="F135" t="str">
            <v>이강윤</v>
          </cell>
          <cell r="G135" t="str">
            <v>407012-52-107196</v>
          </cell>
          <cell r="H135">
            <v>270000</v>
          </cell>
          <cell r="I135" t="str">
            <v>010-4420-0758</v>
          </cell>
        </row>
        <row r="135">
          <cell r="K135">
            <v>29147</v>
          </cell>
        </row>
        <row r="136">
          <cell r="A136" t="str">
            <v>곽정관</v>
          </cell>
        </row>
        <row r="136">
          <cell r="C136" t="str">
            <v>530112-1117421</v>
          </cell>
          <cell r="D136" t="str">
            <v>충북 영동군 영동읍 금동로3길 5-9</v>
          </cell>
          <cell r="E136" t="str">
            <v>농협</v>
          </cell>
          <cell r="F136" t="str">
            <v>곽정관</v>
          </cell>
          <cell r="G136" t="str">
            <v>319-12-247113</v>
          </cell>
          <cell r="H136">
            <v>240000</v>
          </cell>
          <cell r="I136" t="str">
            <v>010-5255-9807</v>
          </cell>
        </row>
        <row r="136">
          <cell r="K136" t="str">
            <v>29138</v>
          </cell>
        </row>
        <row r="137">
          <cell r="A137" t="str">
            <v>조원제</v>
          </cell>
        </row>
        <row r="137">
          <cell r="C137" t="str">
            <v>641120-1386124</v>
          </cell>
          <cell r="D137" t="str">
            <v>충북 영동군 영동읍 부용6길 20-39</v>
          </cell>
          <cell r="E137" t="str">
            <v>농협</v>
          </cell>
          <cell r="F137" t="str">
            <v>조원제</v>
          </cell>
          <cell r="G137" t="str">
            <v>319-12-230641</v>
          </cell>
          <cell r="H137">
            <v>250000</v>
          </cell>
        </row>
        <row r="137">
          <cell r="K137">
            <v>29149</v>
          </cell>
        </row>
        <row r="138">
          <cell r="A138" t="str">
            <v>최승열</v>
          </cell>
          <cell r="B138" t="str">
            <v>보통인부</v>
          </cell>
          <cell r="C138" t="str">
            <v>620724-1648219</v>
          </cell>
          <cell r="D138" t="str">
            <v>충북 영동군 영동읍 부용7길 12,가동 201호(남경빌라)</v>
          </cell>
        </row>
        <row r="138">
          <cell r="F138" t="str">
            <v>최승열</v>
          </cell>
          <cell r="G138" t="str">
            <v>상용직</v>
          </cell>
        </row>
        <row r="138">
          <cell r="I138">
            <v>1054644595</v>
          </cell>
        </row>
        <row r="138">
          <cell r="K138" t="str">
            <v>29147</v>
          </cell>
        </row>
        <row r="139">
          <cell r="A139" t="str">
            <v>박장현</v>
          </cell>
          <cell r="B139" t="str">
            <v>보통인부</v>
          </cell>
          <cell r="C139" t="str">
            <v>690615-1386125</v>
          </cell>
          <cell r="D139" t="str">
            <v>충북 영동군 영동읍 부용7안길 25</v>
          </cell>
        </row>
        <row r="139">
          <cell r="F139" t="str">
            <v>박장현</v>
          </cell>
          <cell r="G139" t="str">
            <v>상용직</v>
          </cell>
        </row>
        <row r="139">
          <cell r="I139" t="str">
            <v>010-9405-6479</v>
          </cell>
        </row>
        <row r="139">
          <cell r="K139" t="str">
            <v>29157</v>
          </cell>
        </row>
        <row r="140">
          <cell r="A140" t="str">
            <v>박래일</v>
          </cell>
        </row>
        <row r="140">
          <cell r="C140" t="str">
            <v>590108-1386126</v>
          </cell>
          <cell r="D140" t="str">
            <v>충북 영동군 영동읍 영산로7길 2, 가동 106호 (양지연립)</v>
          </cell>
          <cell r="E140" t="str">
            <v>농협</v>
          </cell>
          <cell r="F140" t="str">
            <v>박래일</v>
          </cell>
          <cell r="G140" t="str">
            <v>356-0895-8530-93</v>
          </cell>
          <cell r="H140">
            <v>150000</v>
          </cell>
          <cell r="I140" t="str">
            <v>010-4650-3480</v>
          </cell>
        </row>
        <row r="140">
          <cell r="K140" t="str">
            <v>29155</v>
          </cell>
        </row>
        <row r="141">
          <cell r="A141" t="str">
            <v>박범해</v>
          </cell>
        </row>
        <row r="141">
          <cell r="C141" t="str">
            <v>660105-1386714</v>
          </cell>
          <cell r="D141" t="str">
            <v>충북 영동군 양강면 남전2안길 4-17 (남전리 272)</v>
          </cell>
          <cell r="E141" t="str">
            <v>농협</v>
          </cell>
          <cell r="F141" t="str">
            <v>박범해</v>
          </cell>
          <cell r="G141" t="str">
            <v>356-1071-0591-83</v>
          </cell>
          <cell r="H141">
            <v>150000</v>
          </cell>
          <cell r="I141" t="str">
            <v>010-6356-5898</v>
          </cell>
        </row>
        <row r="141">
          <cell r="K141" t="str">
            <v>29155</v>
          </cell>
        </row>
        <row r="142">
          <cell r="A142" t="str">
            <v>이명철</v>
          </cell>
        </row>
        <row r="142">
          <cell r="C142" t="str">
            <v>000329-3691911</v>
          </cell>
          <cell r="D142" t="str">
            <v>충북 제천시 제천북로1길 75 (왕암동)</v>
          </cell>
          <cell r="E142" t="str">
            <v>농협</v>
          </cell>
          <cell r="F142" t="str">
            <v>이명철</v>
          </cell>
          <cell r="G142" t="str">
            <v>302-1531-6143-71</v>
          </cell>
          <cell r="H142">
            <v>150000</v>
          </cell>
          <cell r="I142" t="str">
            <v>010-5301-8775</v>
          </cell>
        </row>
        <row r="142">
          <cell r="K142" t="str">
            <v>29129</v>
          </cell>
        </row>
        <row r="143">
          <cell r="A143" t="str">
            <v>배진식</v>
          </cell>
        </row>
        <row r="143">
          <cell r="C143" t="str">
            <v>540910-1386711</v>
          </cell>
          <cell r="D143" t="str">
            <v>충북 영동군 양강면 국촌길16-11</v>
          </cell>
          <cell r="E143" t="str">
            <v>농협</v>
          </cell>
          <cell r="F143" t="str">
            <v>배진식</v>
          </cell>
          <cell r="G143" t="str">
            <v>069-01-106491</v>
          </cell>
          <cell r="H143">
            <v>150000</v>
          </cell>
          <cell r="I143" t="str">
            <v>010-4476-3636</v>
          </cell>
        </row>
        <row r="143">
          <cell r="K143" t="str">
            <v>29157</v>
          </cell>
        </row>
        <row r="144">
          <cell r="A144" t="str">
            <v>박헌태</v>
          </cell>
        </row>
        <row r="144">
          <cell r="C144" t="str">
            <v>551120-1455311</v>
          </cell>
          <cell r="D144" t="str">
            <v>충북 영동군 영동읍 눈어치2로 22</v>
          </cell>
          <cell r="E144" t="str">
            <v>농협</v>
          </cell>
          <cell r="F144" t="str">
            <v>박헌태</v>
          </cell>
          <cell r="G144" t="str">
            <v>356-0142-0083-23</v>
          </cell>
          <cell r="H144">
            <v>150000</v>
          </cell>
          <cell r="I144" t="str">
            <v>010-5450-0950</v>
          </cell>
        </row>
        <row r="144">
          <cell r="K144" t="str">
            <v>29140</v>
          </cell>
        </row>
        <row r="145">
          <cell r="A145" t="str">
            <v>민백규</v>
          </cell>
        </row>
        <row r="145">
          <cell r="C145" t="str">
            <v>600810-1386721</v>
          </cell>
          <cell r="D145" t="str">
            <v>충북 영동군 양강면 내만길 178-2</v>
          </cell>
          <cell r="E145" t="str">
            <v>농협</v>
          </cell>
          <cell r="F145" t="str">
            <v>민백규</v>
          </cell>
          <cell r="G145" t="str">
            <v>453060-52-207611</v>
          </cell>
          <cell r="H145">
            <v>150000</v>
          </cell>
          <cell r="I145" t="str">
            <v>010-7107-2693</v>
          </cell>
        </row>
        <row r="145">
          <cell r="K145" t="str">
            <v>37274</v>
          </cell>
        </row>
        <row r="146">
          <cell r="A146" t="str">
            <v>민헌기</v>
          </cell>
        </row>
        <row r="146">
          <cell r="C146" t="str">
            <v>601219-1386711</v>
          </cell>
          <cell r="D146" t="str">
            <v>충북 영동군 양강면 내만길 173 (만계리 156-4)</v>
          </cell>
          <cell r="E146" t="str">
            <v>농협</v>
          </cell>
          <cell r="F146" t="str">
            <v>민헌기</v>
          </cell>
          <cell r="G146" t="str">
            <v>352-0293-9952-13</v>
          </cell>
          <cell r="H146">
            <v>150000</v>
          </cell>
          <cell r="I146" t="str">
            <v>010-5338-5196</v>
          </cell>
        </row>
        <row r="146">
          <cell r="K146" t="str">
            <v>27116</v>
          </cell>
        </row>
        <row r="147">
          <cell r="A147" t="str">
            <v>박상복</v>
          </cell>
        </row>
        <row r="147">
          <cell r="C147" t="str">
            <v>800702-1386911</v>
          </cell>
          <cell r="D147" t="str">
            <v>충북 영동군 영동읍 동정리143</v>
          </cell>
          <cell r="E147" t="str">
            <v>중소기업</v>
          </cell>
          <cell r="F147" t="str">
            <v>박상복</v>
          </cell>
          <cell r="G147" t="str">
            <v>186-041383-01-012</v>
          </cell>
          <cell r="H147">
            <v>150000</v>
          </cell>
          <cell r="I147" t="str">
            <v>010-8597-4428</v>
          </cell>
        </row>
        <row r="147">
          <cell r="K147" t="str">
            <v>29140</v>
          </cell>
        </row>
        <row r="148">
          <cell r="A148" t="str">
            <v>황동주</v>
          </cell>
        </row>
        <row r="148">
          <cell r="C148" t="str">
            <v>571013-1805110</v>
          </cell>
          <cell r="D148" t="str">
            <v>경상북도 상주시 모동면 수봉리 546 </v>
          </cell>
          <cell r="E148" t="str">
            <v>우체국</v>
          </cell>
          <cell r="F148" t="str">
            <v>황동주</v>
          </cell>
          <cell r="G148" t="str">
            <v>701029-02-013954</v>
          </cell>
          <cell r="H148">
            <v>150000</v>
          </cell>
          <cell r="I148" t="str">
            <v>010-3432-0395</v>
          </cell>
        </row>
        <row r="148">
          <cell r="K148" t="str">
            <v>10501</v>
          </cell>
        </row>
        <row r="149">
          <cell r="A149" t="str">
            <v>이병문</v>
          </cell>
        </row>
        <row r="149">
          <cell r="C149" t="str">
            <v>570919-1401027</v>
          </cell>
          <cell r="D149" t="str">
            <v>충북 영동군 영동읍 동정리 143</v>
          </cell>
          <cell r="E149" t="str">
            <v>농협</v>
          </cell>
          <cell r="F149" t="str">
            <v>이병문</v>
          </cell>
          <cell r="G149" t="str">
            <v>302-0987-1761-21</v>
          </cell>
          <cell r="H149">
            <v>150000</v>
          </cell>
          <cell r="I149" t="str">
            <v>010-8975-6129</v>
          </cell>
        </row>
        <row r="149">
          <cell r="K149" t="str">
            <v>34516</v>
          </cell>
        </row>
        <row r="150">
          <cell r="A150" t="str">
            <v>정찬옥</v>
          </cell>
        </row>
        <row r="150">
          <cell r="C150" t="str">
            <v>610512-2328134</v>
          </cell>
          <cell r="D150" t="str">
            <v>대전광역시 동구 백룡로 35-10</v>
          </cell>
          <cell r="E150" t="str">
            <v>새마을</v>
          </cell>
          <cell r="F150" t="str">
            <v>정찬옥</v>
          </cell>
          <cell r="G150" t="str">
            <v>9002-1563-1485-9</v>
          </cell>
          <cell r="H150">
            <v>220000</v>
          </cell>
        </row>
        <row r="150">
          <cell r="K150" t="str">
            <v>29155</v>
          </cell>
        </row>
        <row r="151">
          <cell r="A151" t="str">
            <v>이창우</v>
          </cell>
        </row>
        <row r="151">
          <cell r="C151" t="str">
            <v>670620-1387124</v>
          </cell>
          <cell r="D151" t="str">
            <v>충북 영동군 심천면 지계길 113</v>
          </cell>
          <cell r="E151" t="str">
            <v>농협</v>
          </cell>
          <cell r="F151" t="str">
            <v>이창우</v>
          </cell>
          <cell r="G151" t="str">
            <v>4070-52-014063</v>
          </cell>
          <cell r="H151">
            <v>150000</v>
          </cell>
        </row>
        <row r="151">
          <cell r="K151" t="str">
            <v>29101</v>
          </cell>
        </row>
        <row r="152">
          <cell r="A152" t="str">
            <v>김환배</v>
          </cell>
        </row>
        <row r="152">
          <cell r="C152" t="str">
            <v>530810-1057646</v>
          </cell>
          <cell r="D152" t="str">
            <v>충북 영동군 양강면 남전2안길 4-20</v>
          </cell>
          <cell r="E152" t="str">
            <v>농협</v>
          </cell>
          <cell r="F152" t="str">
            <v>김환배</v>
          </cell>
          <cell r="G152" t="str">
            <v>352-0532-0302-03</v>
          </cell>
          <cell r="H152">
            <v>180000</v>
          </cell>
        </row>
        <row r="152">
          <cell r="K152" t="str">
            <v>29139</v>
          </cell>
        </row>
        <row r="153">
          <cell r="A153" t="str">
            <v>엄종섭</v>
          </cell>
        </row>
        <row r="153">
          <cell r="C153" t="str">
            <v>660719-1522231</v>
          </cell>
          <cell r="D153" t="str">
            <v>충북 영동군 용산면 율리4길 18-8</v>
          </cell>
          <cell r="E153" t="str">
            <v>농협</v>
          </cell>
          <cell r="F153" t="str">
            <v>엄종섭</v>
          </cell>
          <cell r="G153" t="str">
            <v>352-0772-2516-93</v>
          </cell>
          <cell r="H153">
            <v>150000</v>
          </cell>
          <cell r="I153" t="str">
            <v>010-2031-1002</v>
          </cell>
        </row>
        <row r="153">
          <cell r="K153" t="str">
            <v>29165</v>
          </cell>
        </row>
        <row r="154">
          <cell r="A154" t="str">
            <v>정구목</v>
          </cell>
        </row>
        <row r="154">
          <cell r="C154" t="str">
            <v>601005-1386727</v>
          </cell>
          <cell r="D154" t="str">
            <v>충북 영동군 영동읍 구교로 32-7, 307호 (대성@)</v>
          </cell>
          <cell r="E154" t="str">
            <v>농협</v>
          </cell>
          <cell r="F154" t="str">
            <v>정구목</v>
          </cell>
          <cell r="G154" t="str">
            <v>301-0283-3279-11</v>
          </cell>
          <cell r="H154">
            <v>150000</v>
          </cell>
        </row>
        <row r="154">
          <cell r="K154" t="str">
            <v>29155</v>
          </cell>
        </row>
        <row r="155">
          <cell r="A155" t="str">
            <v>전근정</v>
          </cell>
        </row>
        <row r="155">
          <cell r="C155" t="str">
            <v>721105-1386912</v>
          </cell>
          <cell r="D155" t="str">
            <v>충북 영동군 학산면 모정길 78 (황산리 843)</v>
          </cell>
          <cell r="E155" t="str">
            <v>농협</v>
          </cell>
          <cell r="F155" t="str">
            <v>전근정</v>
          </cell>
          <cell r="G155" t="str">
            <v>237824-52-034278</v>
          </cell>
          <cell r="H155">
            <v>150000</v>
          </cell>
          <cell r="I155" t="str">
            <v>010-4754-1141</v>
          </cell>
        </row>
        <row r="155">
          <cell r="K155" t="str">
            <v>29165</v>
          </cell>
        </row>
        <row r="156">
          <cell r="A156" t="str">
            <v>장갑진</v>
          </cell>
        </row>
        <row r="156">
          <cell r="C156" t="str">
            <v>610210-1386710</v>
          </cell>
          <cell r="D156" t="str">
            <v>충북 영동군 양강면 신기1길 21</v>
          </cell>
          <cell r="E156" t="str">
            <v>농협</v>
          </cell>
          <cell r="F156" t="str">
            <v>장갑진</v>
          </cell>
          <cell r="G156" t="str">
            <v>407023-51-026910</v>
          </cell>
          <cell r="H156">
            <v>150000</v>
          </cell>
        </row>
        <row r="156">
          <cell r="K156" t="str">
            <v>29146</v>
          </cell>
        </row>
        <row r="157">
          <cell r="A157" t="str">
            <v>박성안</v>
          </cell>
        </row>
        <row r="157">
          <cell r="C157" t="str">
            <v>570827-1386125</v>
          </cell>
          <cell r="D157" t="str">
            <v>충북 충북 영동군 영동읍 가리 755-2</v>
          </cell>
          <cell r="E157" t="str">
            <v>농협</v>
          </cell>
          <cell r="F157" t="str">
            <v>박성안</v>
          </cell>
          <cell r="G157" t="str">
            <v>407012-52-048265</v>
          </cell>
          <cell r="H157">
            <v>205000</v>
          </cell>
        </row>
        <row r="157">
          <cell r="K157" t="str">
            <v>29141</v>
          </cell>
        </row>
        <row r="158">
          <cell r="A158" t="str">
            <v>김이수</v>
          </cell>
        </row>
        <row r="158">
          <cell r="C158" t="str">
            <v>500226-1386711</v>
          </cell>
          <cell r="D158" t="str">
            <v>충북 영동군 영동읍 영동천1길 32-1</v>
          </cell>
          <cell r="E158" t="str">
            <v>농협</v>
          </cell>
          <cell r="F158" t="str">
            <v>김이수</v>
          </cell>
          <cell r="G158" t="str">
            <v>356-0817-4633-33</v>
          </cell>
          <cell r="H158">
            <v>160000</v>
          </cell>
          <cell r="I158" t="str">
            <v>010-5485-1909</v>
          </cell>
        </row>
        <row r="158">
          <cell r="K158" t="str">
            <v>29141</v>
          </cell>
        </row>
        <row r="159">
          <cell r="A159" t="str">
            <v>김양수</v>
          </cell>
        </row>
        <row r="159">
          <cell r="C159" t="str">
            <v>610205-2400329</v>
          </cell>
          <cell r="D159" t="str">
            <v>충북 영동군 영동읍 회동로 156-20</v>
          </cell>
          <cell r="E159" t="str">
            <v>농협</v>
          </cell>
          <cell r="F159" t="str">
            <v>김양수</v>
          </cell>
          <cell r="G159" t="str">
            <v>356-1603-8569-73</v>
          </cell>
          <cell r="H159">
            <v>150000</v>
          </cell>
          <cell r="I159" t="str">
            <v>010-4034-9739</v>
          </cell>
        </row>
        <row r="159">
          <cell r="K159" t="str">
            <v>34513</v>
          </cell>
        </row>
        <row r="160">
          <cell r="A160" t="str">
            <v>최순자</v>
          </cell>
        </row>
        <row r="160">
          <cell r="C160" t="str">
            <v>610604-2382923</v>
          </cell>
          <cell r="D160" t="str">
            <v>대전광역시 동구 충정로 136, 1102동 2006호 (가양동, 대주파크빌)</v>
          </cell>
          <cell r="E160" t="str">
            <v>농협</v>
          </cell>
          <cell r="F160" t="str">
            <v>최순자</v>
          </cell>
          <cell r="G160" t="str">
            <v>356-1585-3805-03</v>
          </cell>
          <cell r="H160">
            <v>150000</v>
          </cell>
          <cell r="I160" t="str">
            <v>010-5093-9072</v>
          </cell>
        </row>
        <row r="160">
          <cell r="K160" t="str">
            <v>03419</v>
          </cell>
        </row>
        <row r="161">
          <cell r="A161" t="str">
            <v>최순옥</v>
          </cell>
        </row>
        <row r="161">
          <cell r="C161" t="str">
            <v>661110-2382929</v>
          </cell>
          <cell r="D161" t="str">
            <v>대전광역시 동구 성동로7번길 58-11, 1동 107호 (자양동, 임광아파트)</v>
          </cell>
          <cell r="E161" t="str">
            <v>농협</v>
          </cell>
          <cell r="F161" t="str">
            <v>최순옥</v>
          </cell>
          <cell r="G161" t="str">
            <v>352-2099-8874-83</v>
          </cell>
          <cell r="H161">
            <v>150000</v>
          </cell>
          <cell r="I161" t="str">
            <v>010-8770-7249</v>
          </cell>
        </row>
        <row r="161">
          <cell r="K161" t="str">
            <v>29155</v>
          </cell>
        </row>
        <row r="162">
          <cell r="A162" t="str">
            <v>하재주</v>
          </cell>
        </row>
        <row r="162">
          <cell r="C162" t="str">
            <v>571020-1481929</v>
          </cell>
          <cell r="D162" t="str">
            <v>서울특별시 은평구 연서로3나길 11-33 지층-2 (역촌동)</v>
          </cell>
          <cell r="E162" t="str">
            <v>농협</v>
          </cell>
          <cell r="F162" t="str">
            <v>하재주</v>
          </cell>
          <cell r="G162" t="str">
            <v>356-0367-2587-73</v>
          </cell>
          <cell r="H162">
            <v>150000</v>
          </cell>
        </row>
        <row r="162">
          <cell r="K162" t="str">
            <v>03419</v>
          </cell>
        </row>
        <row r="163">
          <cell r="A163" t="str">
            <v>전덕하</v>
          </cell>
        </row>
        <row r="163">
          <cell r="C163" t="str">
            <v>491107-1448813</v>
          </cell>
          <cell r="D163" t="str">
            <v>충북 영동군 양강면 국촌1길 6-6</v>
          </cell>
          <cell r="E163" t="str">
            <v>농협</v>
          </cell>
          <cell r="F163" t="str">
            <v>전덕하</v>
          </cell>
          <cell r="G163" t="str">
            <v>356-0791-8136-43</v>
          </cell>
          <cell r="H163">
            <v>150000</v>
          </cell>
        </row>
        <row r="163">
          <cell r="K163" t="str">
            <v>29156</v>
          </cell>
        </row>
        <row r="164">
          <cell r="A164" t="str">
            <v>김경옥</v>
          </cell>
        </row>
        <row r="164">
          <cell r="C164" t="str">
            <v>650424-2785412</v>
          </cell>
          <cell r="D164" t="str">
            <v>충북 영동군 영동읍 동정로 47, 103동 304호(영동가마실휴먼시아)</v>
          </cell>
        </row>
        <row r="164">
          <cell r="H164">
            <v>150000</v>
          </cell>
          <cell r="I164" t="str">
            <v>010-5483-0500</v>
          </cell>
        </row>
        <row r="164">
          <cell r="K164" t="str">
            <v>29156</v>
          </cell>
        </row>
        <row r="165">
          <cell r="A165" t="str">
            <v>임종관</v>
          </cell>
        </row>
        <row r="165">
          <cell r="C165" t="str">
            <v>660123-1386716</v>
          </cell>
          <cell r="D165" t="str">
            <v>충북 영동군 양강면 국촌1길10</v>
          </cell>
          <cell r="E165" t="str">
            <v>농협</v>
          </cell>
          <cell r="F165" t="str">
            <v>임종관</v>
          </cell>
          <cell r="G165" t="str">
            <v>352-1734-5415-23</v>
          </cell>
          <cell r="H165">
            <v>150000</v>
          </cell>
          <cell r="I165" t="str">
            <v>010-3039-3737</v>
          </cell>
        </row>
        <row r="165">
          <cell r="K165">
            <v>29142</v>
          </cell>
        </row>
        <row r="166">
          <cell r="A166" t="str">
            <v>양희옥</v>
          </cell>
        </row>
        <row r="166">
          <cell r="C166" t="str">
            <v>640320-2386922</v>
          </cell>
          <cell r="D166" t="str">
            <v>충북 영동군 양강면 양정리116-6</v>
          </cell>
          <cell r="E166" t="str">
            <v>농협</v>
          </cell>
          <cell r="F166" t="str">
            <v>양희옥</v>
          </cell>
          <cell r="G166" t="str">
            <v>407023-56-010784</v>
          </cell>
          <cell r="H166">
            <v>150000</v>
          </cell>
          <cell r="I166" t="str">
            <v>010-8982-1150</v>
          </cell>
        </row>
        <row r="166">
          <cell r="K166" t="str">
            <v>370811</v>
          </cell>
        </row>
        <row r="167">
          <cell r="A167" t="str">
            <v>박창선</v>
          </cell>
        </row>
        <row r="167">
          <cell r="C167" t="str">
            <v>940629-1386117</v>
          </cell>
          <cell r="D167" t="str">
            <v>충북 영동군 영동읍 새심길 18, 607호(조한드림플러스아파트)</v>
          </cell>
          <cell r="E167" t="str">
            <v>농협</v>
          </cell>
          <cell r="F167" t="str">
            <v>박창선</v>
          </cell>
          <cell r="G167" t="str">
            <v>302-8982-1150-11</v>
          </cell>
          <cell r="H167">
            <v>170000</v>
          </cell>
          <cell r="I167" t="str">
            <v>010-8982-1150</v>
          </cell>
        </row>
        <row r="167">
          <cell r="K167">
            <v>29142</v>
          </cell>
        </row>
        <row r="168">
          <cell r="A168" t="str">
            <v>도창문</v>
          </cell>
        </row>
        <row r="168">
          <cell r="C168" t="str">
            <v>651025-1652425</v>
          </cell>
          <cell r="D168" t="str">
            <v>대전광역시 동구 우암로 61-12 (삼성동)</v>
          </cell>
          <cell r="E168" t="str">
            <v>농협</v>
          </cell>
          <cell r="F168" t="str">
            <v>도창문</v>
          </cell>
          <cell r="G168" t="str">
            <v>352-0058-0889-83</v>
          </cell>
          <cell r="H168">
            <v>250000</v>
          </cell>
          <cell r="I168" t="str">
            <v>010-8380-1900</v>
          </cell>
        </row>
        <row r="168">
          <cell r="K168" t="str">
            <v>34619</v>
          </cell>
        </row>
        <row r="169">
          <cell r="A169" t="str">
            <v>김경희</v>
          </cell>
        </row>
        <row r="169">
          <cell r="C169" t="str">
            <v>761205-2386722</v>
          </cell>
          <cell r="D169" t="str">
            <v>서울특별시 은평구 은평로21가길 15-9, 201호</v>
          </cell>
          <cell r="E169" t="str">
            <v>농협</v>
          </cell>
          <cell r="F169" t="str">
            <v>김경희</v>
          </cell>
          <cell r="G169" t="str">
            <v>356-1415-1420-63</v>
          </cell>
          <cell r="H169">
            <v>150000</v>
          </cell>
        </row>
        <row r="169">
          <cell r="K169" t="str">
            <v>03381</v>
          </cell>
        </row>
        <row r="170">
          <cell r="A170" t="str">
            <v>김경순</v>
          </cell>
        </row>
        <row r="170">
          <cell r="C170" t="str">
            <v>621004-2069619</v>
          </cell>
          <cell r="D170" t="str">
            <v>충북 영동군 용산면 상용길 20-24</v>
          </cell>
        </row>
        <row r="170">
          <cell r="H170">
            <v>150000</v>
          </cell>
        </row>
        <row r="170">
          <cell r="K170">
            <v>29111</v>
          </cell>
        </row>
        <row r="171">
          <cell r="A171" t="str">
            <v>김판수</v>
          </cell>
        </row>
        <row r="171">
          <cell r="C171" t="str">
            <v>720402-1798516</v>
          </cell>
          <cell r="D171" t="str">
            <v>경북 칠곡군 북삼읍 인강9길 10, 101동 1212호(로얄아파트)</v>
          </cell>
          <cell r="E171" t="str">
            <v>농협</v>
          </cell>
          <cell r="F171" t="str">
            <v>김판수</v>
          </cell>
          <cell r="G171" t="str">
            <v>735089-56-010696</v>
          </cell>
          <cell r="H171">
            <v>150000</v>
          </cell>
          <cell r="I171" t="str">
            <v>010-7520-7708</v>
          </cell>
        </row>
        <row r="171">
          <cell r="K171">
            <v>39810</v>
          </cell>
        </row>
        <row r="182">
          <cell r="A182" t="str">
            <v>김재국</v>
          </cell>
        </row>
        <row r="182">
          <cell r="C182" t="str">
            <v>790911-1386312</v>
          </cell>
          <cell r="D182" t="str">
            <v>충북 영동군 황간면 서송원길 42</v>
          </cell>
          <cell r="E182" t="str">
            <v>농협</v>
          </cell>
          <cell r="F182" t="str">
            <v>김재국</v>
          </cell>
          <cell r="G182" t="str">
            <v>407089-52-145147</v>
          </cell>
          <cell r="H182">
            <v>150000</v>
          </cell>
        </row>
        <row r="182">
          <cell r="K182" t="str">
            <v>29113</v>
          </cell>
        </row>
        <row r="183">
          <cell r="A183" t="str">
            <v>김순자</v>
          </cell>
        </row>
        <row r="183">
          <cell r="C183" t="str">
            <v>630203-2386318</v>
          </cell>
          <cell r="D183" t="str">
            <v>충북 영동군 황간면 황간동로 156</v>
          </cell>
          <cell r="E183" t="str">
            <v>농협</v>
          </cell>
          <cell r="F183" t="str">
            <v>김순자</v>
          </cell>
          <cell r="G183" t="str">
            <v>352-1071-9542-13</v>
          </cell>
          <cell r="H183">
            <v>150000</v>
          </cell>
        </row>
        <row r="183">
          <cell r="K183">
            <v>29115</v>
          </cell>
        </row>
        <row r="184">
          <cell r="A184" t="str">
            <v>김필규</v>
          </cell>
        </row>
        <row r="184">
          <cell r="C184" t="str">
            <v>591014-1800411</v>
          </cell>
          <cell r="D184" t="str">
            <v>경기도 평택시 진위면 하북2길 87-14</v>
          </cell>
          <cell r="E184" t="str">
            <v>농협</v>
          </cell>
          <cell r="F184" t="str">
            <v>김필규</v>
          </cell>
          <cell r="G184" t="str">
            <v>207087-56-023088</v>
          </cell>
          <cell r="H184">
            <v>150000</v>
          </cell>
        </row>
        <row r="184">
          <cell r="K184">
            <v>17706</v>
          </cell>
        </row>
        <row r="185">
          <cell r="A185" t="str">
            <v>김정국</v>
          </cell>
        </row>
        <row r="185">
          <cell r="C185" t="str">
            <v>560125-1800011</v>
          </cell>
          <cell r="D185" t="str">
            <v>충북 영동군 영동읍 부용4안길 14</v>
          </cell>
        </row>
        <row r="185">
          <cell r="H185">
            <v>150000</v>
          </cell>
        </row>
        <row r="185">
          <cell r="K185">
            <v>29149</v>
          </cell>
        </row>
        <row r="186">
          <cell r="A186" t="str">
            <v>황규석</v>
          </cell>
        </row>
        <row r="186">
          <cell r="C186" t="str">
            <v>490122-1124112</v>
          </cell>
          <cell r="D186" t="str">
            <v>충북 영동군 영동읍 오정길 222-5</v>
          </cell>
          <cell r="E186" t="str">
            <v>농협</v>
          </cell>
          <cell r="F186" t="str">
            <v>황규석</v>
          </cell>
          <cell r="G186" t="str">
            <v>404015-56-040444</v>
          </cell>
          <cell r="H186">
            <v>250000</v>
          </cell>
        </row>
        <row r="186">
          <cell r="K186">
            <v>29129</v>
          </cell>
        </row>
        <row r="187">
          <cell r="A187" t="str">
            <v>황대영</v>
          </cell>
        </row>
        <row r="187">
          <cell r="C187" t="str">
            <v>570315-1386147</v>
          </cell>
          <cell r="D187" t="str">
            <v>충북 영동군 영동읍 오정길 103</v>
          </cell>
          <cell r="E187" t="str">
            <v>농협</v>
          </cell>
          <cell r="F187" t="str">
            <v>황대영</v>
          </cell>
          <cell r="G187" t="str">
            <v>352-1743-8534-13</v>
          </cell>
          <cell r="H187">
            <v>200000</v>
          </cell>
        </row>
        <row r="187">
          <cell r="K187">
            <v>29129</v>
          </cell>
        </row>
        <row r="188">
          <cell r="A188" t="str">
            <v>박종섭</v>
          </cell>
        </row>
        <row r="188">
          <cell r="C188" t="str">
            <v>550816-1386117</v>
          </cell>
          <cell r="D188" t="str">
            <v>충북 영동군 영동읍 영산로 63</v>
          </cell>
          <cell r="E188" t="str">
            <v>농협</v>
          </cell>
          <cell r="F188" t="str">
            <v>박종섭</v>
          </cell>
          <cell r="G188" t="str">
            <v>352-1743-8668-53</v>
          </cell>
          <cell r="H188">
            <v>200000</v>
          </cell>
        </row>
        <row r="188">
          <cell r="K188">
            <v>29147</v>
          </cell>
        </row>
        <row r="189">
          <cell r="A189" t="str">
            <v>장영석</v>
          </cell>
        </row>
        <row r="189">
          <cell r="C189" t="str">
            <v>611022-1386119</v>
          </cell>
          <cell r="D189" t="str">
            <v>충북 영동군 영동읍 영동황간로 27, 801호(금강타운)</v>
          </cell>
          <cell r="E189" t="str">
            <v>농협</v>
          </cell>
          <cell r="F189" t="str">
            <v>장영석</v>
          </cell>
          <cell r="G189" t="str">
            <v>356-1027-4314-93</v>
          </cell>
          <cell r="H189">
            <v>150000</v>
          </cell>
        </row>
        <row r="189">
          <cell r="K189">
            <v>29150</v>
          </cell>
        </row>
        <row r="190">
          <cell r="A190" t="str">
            <v>이수환</v>
          </cell>
        </row>
        <row r="190">
          <cell r="C190" t="str">
            <v>960921-1351118</v>
          </cell>
          <cell r="D190" t="str">
            <v>충북 청주시 상당구 용정로 25,107동 1902호(용정동 ,청주용정 한라비발디)</v>
          </cell>
          <cell r="E190" t="str">
            <v>새마을금고</v>
          </cell>
          <cell r="F190" t="str">
            <v>이수환</v>
          </cell>
          <cell r="G190" t="str">
            <v>9003-2377-6890-0</v>
          </cell>
          <cell r="H190">
            <v>150000</v>
          </cell>
          <cell r="I190" t="str">
            <v>010-6431-7735</v>
          </cell>
        </row>
        <row r="190">
          <cell r="K190">
            <v>28748</v>
          </cell>
        </row>
        <row r="191">
          <cell r="A191" t="str">
            <v>우두환</v>
          </cell>
        </row>
        <row r="191">
          <cell r="C191" t="str">
            <v>700521-1380113</v>
          </cell>
          <cell r="D191" t="str">
            <v>충북 청주시 상당구 문의면 등동1길 47-15</v>
          </cell>
          <cell r="E191" t="str">
            <v>농협</v>
          </cell>
          <cell r="F191" t="str">
            <v>우두환</v>
          </cell>
          <cell r="G191" t="str">
            <v>401149-56-092984</v>
          </cell>
          <cell r="H191">
            <v>230000</v>
          </cell>
          <cell r="I191" t="str">
            <v>010-5626-7201</v>
          </cell>
        </row>
        <row r="191">
          <cell r="K191">
            <v>28206</v>
          </cell>
        </row>
        <row r="195">
          <cell r="A195" t="str">
            <v>곽문영</v>
          </cell>
        </row>
        <row r="195">
          <cell r="C195" t="str">
            <v>530510-1069114</v>
          </cell>
          <cell r="D195" t="str">
            <v>충북 영동군 양강면 남전3길 99</v>
          </cell>
        </row>
        <row r="195">
          <cell r="H195">
            <v>150000</v>
          </cell>
          <cell r="I195" t="str">
            <v>010-4355-5173</v>
          </cell>
          <cell r="J195" t="str">
            <v>개미인력</v>
          </cell>
          <cell r="K195" t="str">
            <v>29157</v>
          </cell>
        </row>
        <row r="196">
          <cell r="A196" t="str">
            <v>김연부</v>
          </cell>
        </row>
        <row r="196">
          <cell r="C196" t="str">
            <v>700302-1380011</v>
          </cell>
          <cell r="D196" t="str">
            <v>충북 옥천군 옥천읍 성암응천길 41-10, 1동 410호(근로자복지@)</v>
          </cell>
        </row>
        <row r="196">
          <cell r="H196">
            <v>150000</v>
          </cell>
          <cell r="I196" t="str">
            <v>010-9354-5882</v>
          </cell>
          <cell r="J196" t="str">
            <v>개미인력</v>
          </cell>
          <cell r="K196" t="str">
            <v>29050</v>
          </cell>
        </row>
        <row r="197">
          <cell r="A197" t="str">
            <v>장웅진</v>
          </cell>
        </row>
        <row r="197">
          <cell r="C197" t="str">
            <v>541215-1386718</v>
          </cell>
          <cell r="D197" t="str">
            <v>대전광역시 중구 모암로42번길 11,103동 103호</v>
          </cell>
        </row>
        <row r="197">
          <cell r="H197">
            <v>150000</v>
          </cell>
        </row>
        <row r="197">
          <cell r="J197" t="str">
            <v>개미인력</v>
          </cell>
          <cell r="K197" t="str">
            <v>35070</v>
          </cell>
        </row>
        <row r="198">
          <cell r="A198" t="str">
            <v>이성희</v>
          </cell>
        </row>
        <row r="198">
          <cell r="C198" t="str">
            <v>570508-1024611</v>
          </cell>
          <cell r="D198" t="str">
            <v>서울특별시 성북구 정릉로32길 7</v>
          </cell>
        </row>
        <row r="198">
          <cell r="H198">
            <v>150000</v>
          </cell>
        </row>
        <row r="198">
          <cell r="J198" t="str">
            <v>개미인력</v>
          </cell>
          <cell r="K198" t="str">
            <v>02816</v>
          </cell>
        </row>
        <row r="199">
          <cell r="A199" t="str">
            <v>박현태</v>
          </cell>
        </row>
        <row r="199">
          <cell r="C199" t="str">
            <v>581015-1109020</v>
          </cell>
          <cell r="D199" t="str">
            <v>전라북도 장수군 장수읍 장수북동길 16-9</v>
          </cell>
        </row>
        <row r="199">
          <cell r="H199">
            <v>150000</v>
          </cell>
        </row>
        <row r="199">
          <cell r="J199" t="str">
            <v>개미인력</v>
          </cell>
          <cell r="K199" t="str">
            <v>55632</v>
          </cell>
        </row>
        <row r="200">
          <cell r="A200" t="str">
            <v>장공섭</v>
          </cell>
        </row>
        <row r="200">
          <cell r="C200" t="str">
            <v>620729-1800210</v>
          </cell>
          <cell r="D200" t="str">
            <v>경상북도 구미시 형곡로8길 12, 103호</v>
          </cell>
        </row>
        <row r="200">
          <cell r="H200">
            <v>150000</v>
          </cell>
        </row>
        <row r="200">
          <cell r="J200" t="str">
            <v>개미인력</v>
          </cell>
          <cell r="K200" t="str">
            <v>39291</v>
          </cell>
        </row>
        <row r="201">
          <cell r="A201" t="str">
            <v>유영길</v>
          </cell>
        </row>
        <row r="201">
          <cell r="C201" t="str">
            <v>720307-1384520</v>
          </cell>
          <cell r="D201" t="str">
            <v>충북 옥천군 청성면 화성2길 39-22</v>
          </cell>
        </row>
        <row r="201">
          <cell r="H201">
            <v>150000</v>
          </cell>
        </row>
        <row r="201">
          <cell r="J201" t="str">
            <v>개미인력</v>
          </cell>
          <cell r="K201" t="str">
            <v>29017</v>
          </cell>
        </row>
        <row r="205">
          <cell r="A205" t="str">
            <v>이용</v>
          </cell>
        </row>
        <row r="205">
          <cell r="C205" t="str">
            <v>010820-3386115</v>
          </cell>
          <cell r="D205" t="str">
            <v>충북 영동군 영동읍 영산로6길 16-11, 102동 401호(j클래식)</v>
          </cell>
          <cell r="E205" t="str">
            <v>농협</v>
          </cell>
          <cell r="F205" t="str">
            <v>이성</v>
          </cell>
          <cell r="G205" t="str">
            <v>351-1142-0210-73</v>
          </cell>
          <cell r="H205">
            <v>160000</v>
          </cell>
          <cell r="I205" t="str">
            <v>010-4056-7141</v>
          </cell>
          <cell r="J205" t="str">
            <v>명장인력</v>
          </cell>
          <cell r="K205" t="str">
            <v>29147</v>
          </cell>
        </row>
        <row r="206">
          <cell r="A206" t="str">
            <v>김학형</v>
          </cell>
        </row>
        <row r="206">
          <cell r="C206" t="str">
            <v>680808-1386718</v>
          </cell>
          <cell r="D206" t="str">
            <v>충북 영동군 영동읍 영동시장1길 32 A동 202호</v>
          </cell>
          <cell r="E206" t="str">
            <v>농협</v>
          </cell>
          <cell r="F206" t="str">
            <v>이성</v>
          </cell>
          <cell r="G206" t="str">
            <v>351-1142-0210-73</v>
          </cell>
          <cell r="H206">
            <v>170000</v>
          </cell>
          <cell r="I206" t="str">
            <v>010-9979-9238</v>
          </cell>
          <cell r="J206" t="str">
            <v>명장인력</v>
          </cell>
          <cell r="K206" t="str">
            <v>29145</v>
          </cell>
        </row>
        <row r="207">
          <cell r="A207" t="str">
            <v>배권</v>
          </cell>
        </row>
        <row r="207">
          <cell r="C207" t="str">
            <v>661120-1386210</v>
          </cell>
          <cell r="D207" t="str">
            <v>충북 영동군 영동읍 상부용로 20 (지평더웰Ⅱ아파트) </v>
          </cell>
          <cell r="E207" t="str">
            <v>농협</v>
          </cell>
          <cell r="F207" t="str">
            <v>이성</v>
          </cell>
          <cell r="G207" t="str">
            <v>351-1142-0210-73</v>
          </cell>
          <cell r="H207">
            <v>150000</v>
          </cell>
          <cell r="I207" t="str">
            <v>010-2804-4792</v>
          </cell>
          <cell r="J207" t="str">
            <v>명장인력</v>
          </cell>
          <cell r="K207" t="str">
            <v>29145</v>
          </cell>
        </row>
        <row r="208">
          <cell r="A208" t="str">
            <v>이상찬</v>
          </cell>
        </row>
        <row r="208">
          <cell r="C208" t="str">
            <v>700201-1386132</v>
          </cell>
          <cell r="D208" t="str">
            <v>충북 영동군 영동읍 영동시장1길 18-3 </v>
          </cell>
          <cell r="E208" t="str">
            <v>농협</v>
          </cell>
          <cell r="F208" t="str">
            <v>이성</v>
          </cell>
          <cell r="G208" t="str">
            <v>351-1142-0210-73</v>
          </cell>
          <cell r="H208">
            <v>170000</v>
          </cell>
          <cell r="I208" t="str">
            <v>010-3117-7949</v>
          </cell>
          <cell r="J208" t="str">
            <v>석공</v>
          </cell>
          <cell r="K208" t="str">
            <v>35014</v>
          </cell>
        </row>
        <row r="209">
          <cell r="A209" t="str">
            <v>이효주</v>
          </cell>
        </row>
        <row r="209">
          <cell r="C209" t="str">
            <v>510217-1466413</v>
          </cell>
          <cell r="D209" t="str">
            <v>충북 영동군 영동읍 계산로1길 11 </v>
          </cell>
          <cell r="E209" t="str">
            <v>농협</v>
          </cell>
          <cell r="F209" t="str">
            <v>이성</v>
          </cell>
          <cell r="G209" t="str">
            <v>351-1142-0210-73</v>
          </cell>
          <cell r="H209">
            <v>160000</v>
          </cell>
        </row>
        <row r="209">
          <cell r="J209" t="str">
            <v>석공</v>
          </cell>
          <cell r="K209" t="str">
            <v>35011</v>
          </cell>
        </row>
        <row r="210">
          <cell r="A210" t="str">
            <v>최병길</v>
          </cell>
        </row>
        <row r="210">
          <cell r="C210" t="str">
            <v>511119-1460910</v>
          </cell>
          <cell r="D210" t="str">
            <v>대전광역시 중구 산성동 509-15</v>
          </cell>
          <cell r="E210" t="str">
            <v>농협</v>
          </cell>
          <cell r="F210" t="str">
            <v>최병길</v>
          </cell>
          <cell r="G210" t="str">
            <v>453029-52-022509</v>
          </cell>
          <cell r="H210">
            <v>150000</v>
          </cell>
        </row>
        <row r="210">
          <cell r="J210" t="str">
            <v>석공</v>
          </cell>
          <cell r="K210" t="str">
            <v>29144</v>
          </cell>
        </row>
        <row r="211">
          <cell r="A211" t="str">
            <v>이준우</v>
          </cell>
        </row>
        <row r="211">
          <cell r="C211" t="str">
            <v>520216-1408321</v>
          </cell>
          <cell r="D211" t="str">
            <v>대전광역시 중구 보문산로 157, 마동303호(문화동,동양맨션)</v>
          </cell>
          <cell r="E211" t="str">
            <v>농협</v>
          </cell>
          <cell r="F211" t="str">
            <v>이준우</v>
          </cell>
          <cell r="G211" t="str">
            <v>453029-51-013658</v>
          </cell>
          <cell r="H211">
            <v>150000</v>
          </cell>
        </row>
        <row r="211">
          <cell r="J211" t="str">
            <v>석공</v>
          </cell>
          <cell r="K211" t="str">
            <v>29149</v>
          </cell>
        </row>
        <row r="212">
          <cell r="A212" t="str">
            <v>이성돌</v>
          </cell>
        </row>
        <row r="212">
          <cell r="C212" t="str">
            <v>500414-1408219</v>
          </cell>
          <cell r="D212" t="str">
            <v>대전광역시 중구 대둔산로 414번길 75(산성동)</v>
          </cell>
          <cell r="E212" t="str">
            <v>농협</v>
          </cell>
          <cell r="F212" t="str">
            <v>이성돌</v>
          </cell>
          <cell r="G212" t="str">
            <v>453029-52-260357</v>
          </cell>
          <cell r="H212">
            <v>150000</v>
          </cell>
          <cell r="I212" t="str">
            <v>010-5490-9056</v>
          </cell>
          <cell r="J212" t="str">
            <v>석공</v>
          </cell>
          <cell r="K212" t="str">
            <v>34557</v>
          </cell>
        </row>
        <row r="213">
          <cell r="A213" t="str">
            <v>정태성</v>
          </cell>
        </row>
        <row r="213">
          <cell r="C213" t="str">
            <v>660501-1386134</v>
          </cell>
          <cell r="D213" t="str">
            <v>충북 영동군 영동읍 계산로 34-1</v>
          </cell>
          <cell r="E213" t="str">
            <v>농협</v>
          </cell>
          <cell r="F213" t="str">
            <v>정태성</v>
          </cell>
          <cell r="G213" t="str">
            <v>352-1006-9268-83</v>
          </cell>
          <cell r="H213">
            <v>150000</v>
          </cell>
          <cell r="I213" t="str">
            <v>010-6580-1303</v>
          </cell>
          <cell r="J213" t="str">
            <v>석공</v>
          </cell>
          <cell r="K213" t="str">
            <v>34506</v>
          </cell>
        </row>
        <row r="214">
          <cell r="A214" t="str">
            <v>배석득</v>
          </cell>
        </row>
        <row r="214">
          <cell r="C214" t="str">
            <v>501225-1386713</v>
          </cell>
          <cell r="D214" t="str">
            <v>충북 영동군 영동읍 부용7안길 2-13</v>
          </cell>
          <cell r="E214" t="str">
            <v>농협</v>
          </cell>
          <cell r="F214" t="str">
            <v>배석득</v>
          </cell>
          <cell r="G214" t="str">
            <v>356-1479-5477-73</v>
          </cell>
          <cell r="H214">
            <v>150000</v>
          </cell>
        </row>
        <row r="214">
          <cell r="J214" t="str">
            <v>석공</v>
          </cell>
          <cell r="K214" t="str">
            <v>34670</v>
          </cell>
        </row>
        <row r="215">
          <cell r="A215" t="str">
            <v>최석진</v>
          </cell>
        </row>
        <row r="215">
          <cell r="C215" t="str">
            <v>580324-1652410</v>
          </cell>
          <cell r="D215" t="str">
            <v>대전광역시 동구 동서대로 1579, 101동 1501호(홍도동,홍도@)</v>
          </cell>
          <cell r="E215" t="str">
            <v>하나</v>
          </cell>
          <cell r="F215" t="str">
            <v>최석진</v>
          </cell>
          <cell r="G215" t="str">
            <v>646-910748-77207</v>
          </cell>
          <cell r="H215">
            <v>150000</v>
          </cell>
          <cell r="I215" t="str">
            <v>010-4413-4583</v>
          </cell>
          <cell r="J215" t="str">
            <v>석공</v>
          </cell>
          <cell r="K215" t="str">
            <v>29155</v>
          </cell>
        </row>
        <row r="216">
          <cell r="A216" t="str">
            <v>권신홍</v>
          </cell>
        </row>
        <row r="216">
          <cell r="C216" t="str">
            <v>510315-1651218</v>
          </cell>
          <cell r="D216" t="str">
            <v>대전광역시 동구 가양동 149-30</v>
          </cell>
          <cell r="E216" t="str">
            <v>국민</v>
          </cell>
          <cell r="F216" t="str">
            <v>권신흥</v>
          </cell>
          <cell r="G216" t="str">
            <v>845901-22-004565</v>
          </cell>
          <cell r="H216">
            <v>150000</v>
          </cell>
        </row>
        <row r="216">
          <cell r="K216" t="str">
            <v>29147</v>
          </cell>
        </row>
        <row r="217">
          <cell r="A217" t="str">
            <v>조을순</v>
          </cell>
        </row>
        <row r="217">
          <cell r="C217" t="str">
            <v>560302-2400210</v>
          </cell>
          <cell r="D217" t="str">
            <v>대전광역시 동구 판암동 558-6 국민빌라 301호</v>
          </cell>
          <cell r="E217" t="str">
            <v>농협</v>
          </cell>
          <cell r="F217" t="str">
            <v>조을순</v>
          </cell>
          <cell r="G217" t="str">
            <v>352-0676-2630-53</v>
          </cell>
          <cell r="H217">
            <v>150000</v>
          </cell>
          <cell r="I217" t="str">
            <v>010-3976-2700</v>
          </cell>
        </row>
        <row r="217">
          <cell r="K217" t="str">
            <v>28773</v>
          </cell>
        </row>
        <row r="218">
          <cell r="A218" t="str">
            <v>한희열</v>
          </cell>
        </row>
        <row r="218">
          <cell r="C218" t="str">
            <v>590921-1709522</v>
          </cell>
          <cell r="D218" t="str">
            <v>충북 영동군 영동읍 상부용로 7-50, 101동1501호 (지평더웰@)</v>
          </cell>
          <cell r="E218" t="str">
            <v>농협</v>
          </cell>
          <cell r="F218" t="str">
            <v>한희열</v>
          </cell>
          <cell r="G218" t="str">
            <v>356-1123-9590-03</v>
          </cell>
          <cell r="H218">
            <v>150000</v>
          </cell>
        </row>
        <row r="218">
          <cell r="K218" t="str">
            <v>29116</v>
          </cell>
        </row>
        <row r="219">
          <cell r="A219" t="str">
            <v>박래화</v>
          </cell>
        </row>
        <row r="219">
          <cell r="C219" t="str">
            <v>470117-1018911</v>
          </cell>
          <cell r="D219" t="str">
            <v>충북 영동군 영동읍 영산로7길 2, 가동 106호(양지연립)</v>
          </cell>
          <cell r="E219" t="str">
            <v>농협</v>
          </cell>
          <cell r="F219" t="str">
            <v>박래화</v>
          </cell>
          <cell r="G219" t="str">
            <v>302-0822-9170-11</v>
          </cell>
          <cell r="H219">
            <v>150000</v>
          </cell>
        </row>
        <row r="219">
          <cell r="K219" t="str">
            <v>29155</v>
          </cell>
        </row>
        <row r="220">
          <cell r="A220" t="str">
            <v>권영안</v>
          </cell>
        </row>
        <row r="220">
          <cell r="C220" t="str">
            <v>570815-1380728</v>
          </cell>
          <cell r="D220" t="str">
            <v>충북 청주시 상당구 중흥로 71 109/1402</v>
          </cell>
          <cell r="E220" t="str">
            <v>농협</v>
          </cell>
          <cell r="F220" t="str">
            <v>권영안</v>
          </cell>
          <cell r="G220" t="str">
            <v>401147-52-151337</v>
          </cell>
          <cell r="H220">
            <v>150000</v>
          </cell>
        </row>
        <row r="220">
          <cell r="K220" t="str">
            <v>29155</v>
          </cell>
        </row>
        <row r="221">
          <cell r="A221" t="str">
            <v>최영희</v>
          </cell>
        </row>
        <row r="221">
          <cell r="C221" t="str">
            <v>641012-2478918</v>
          </cell>
          <cell r="D221" t="str">
            <v>충북 청주시 흥덕구 수곡동 328 산남주공@ 103동 501호</v>
          </cell>
          <cell r="E221" t="str">
            <v>국민</v>
          </cell>
          <cell r="F221" t="str">
            <v>최영희</v>
          </cell>
          <cell r="G221" t="str">
            <v>709802-01-046029</v>
          </cell>
          <cell r="H221">
            <v>150000</v>
          </cell>
          <cell r="I221" t="str">
            <v>010-7415-9300</v>
          </cell>
        </row>
        <row r="221">
          <cell r="K221" t="str">
            <v>21088</v>
          </cell>
        </row>
        <row r="222">
          <cell r="A222" t="str">
            <v>김재억</v>
          </cell>
        </row>
        <row r="222">
          <cell r="C222" t="str">
            <v>600605-1386718</v>
          </cell>
          <cell r="D222" t="str">
            <v>충북 영동군 양강면 괴목리 411</v>
          </cell>
          <cell r="E222" t="str">
            <v>농협</v>
          </cell>
          <cell r="F222" t="str">
            <v>김재억</v>
          </cell>
          <cell r="G222" t="str">
            <v>356-1337-2458-73</v>
          </cell>
          <cell r="H222">
            <v>150000</v>
          </cell>
        </row>
        <row r="222">
          <cell r="K222" t="str">
            <v>29116</v>
          </cell>
        </row>
        <row r="223">
          <cell r="A223" t="str">
            <v>박원회</v>
          </cell>
        </row>
        <row r="223">
          <cell r="C223" t="str">
            <v>600124-1386123</v>
          </cell>
          <cell r="D223" t="str">
            <v>인천시 계양구 계산로112번길 26</v>
          </cell>
          <cell r="E223" t="str">
            <v>농협</v>
          </cell>
          <cell r="F223" t="str">
            <v>박원회</v>
          </cell>
          <cell r="G223" t="str">
            <v>312-0171-3781-31</v>
          </cell>
          <cell r="H223">
            <v>150000</v>
          </cell>
        </row>
        <row r="223">
          <cell r="K223" t="str">
            <v>57958</v>
          </cell>
        </row>
        <row r="224">
          <cell r="A224" t="str">
            <v>신용철</v>
          </cell>
        </row>
        <row r="224">
          <cell r="C224" t="str">
            <v>651220-1228344</v>
          </cell>
          <cell r="D224" t="str">
            <v>충북 영동군 황간면 신흥1길 8</v>
          </cell>
          <cell r="E224" t="str">
            <v>농협</v>
          </cell>
          <cell r="F224" t="str">
            <v>신용철</v>
          </cell>
          <cell r="G224" t="str">
            <v>356-1329-6202-53</v>
          </cell>
          <cell r="H224">
            <v>150000</v>
          </cell>
          <cell r="I224" t="str">
            <v>010-3900-0965</v>
          </cell>
        </row>
        <row r="224">
          <cell r="K224" t="str">
            <v>28683</v>
          </cell>
        </row>
        <row r="225">
          <cell r="A225" t="str">
            <v>손경윤</v>
          </cell>
        </row>
        <row r="225">
          <cell r="C225" t="str">
            <v>780528-1386217</v>
          </cell>
          <cell r="D225" t="str">
            <v>전라남도 순천시 우석로 105, 2층(남정동)</v>
          </cell>
        </row>
        <row r="225">
          <cell r="H225">
            <v>150000</v>
          </cell>
          <cell r="I225" t="str">
            <v>010-8803-3163</v>
          </cell>
        </row>
        <row r="225">
          <cell r="K225" t="str">
            <v>28683</v>
          </cell>
        </row>
        <row r="226">
          <cell r="A226" t="str">
            <v>김정우</v>
          </cell>
        </row>
        <row r="226">
          <cell r="C226" t="str">
            <v>960116-1386119</v>
          </cell>
          <cell r="D226" t="str">
            <v>충북 영동군 영동읍 회동로 162</v>
          </cell>
          <cell r="E226" t="str">
            <v>농협</v>
          </cell>
          <cell r="F226" t="str">
            <v>김정우</v>
          </cell>
          <cell r="G226" t="str">
            <v>407013-52-111897</v>
          </cell>
          <cell r="H226">
            <v>150000</v>
          </cell>
        </row>
        <row r="226">
          <cell r="K226" t="str">
            <v>34509</v>
          </cell>
        </row>
        <row r="227">
          <cell r="A227" t="str">
            <v>성명식</v>
          </cell>
        </row>
        <row r="227">
          <cell r="C227" t="str">
            <v>590801-1386129</v>
          </cell>
          <cell r="D227" t="str">
            <v>경기도 고양시 덕양구 화신로298</v>
          </cell>
          <cell r="E227" t="str">
            <v>농협</v>
          </cell>
          <cell r="F227" t="str">
            <v>성명식</v>
          </cell>
          <cell r="G227" t="str">
            <v>049-02-203321</v>
          </cell>
          <cell r="H227">
            <v>150000</v>
          </cell>
          <cell r="I227" t="str">
            <v>010-8975-6129</v>
          </cell>
        </row>
        <row r="227">
          <cell r="K227" t="str">
            <v>29104</v>
          </cell>
        </row>
        <row r="228">
          <cell r="A228" t="str">
            <v>박봉환</v>
          </cell>
        </row>
        <row r="228">
          <cell r="C228" t="str">
            <v>600713-1182814</v>
          </cell>
          <cell r="D228" t="str">
            <v>경북 김천시 증산면황황2길31-6</v>
          </cell>
          <cell r="E228" t="str">
            <v>우체국</v>
          </cell>
          <cell r="F228" t="str">
            <v>박봉환</v>
          </cell>
          <cell r="G228" t="str">
            <v>312785-02-005538</v>
          </cell>
          <cell r="H228">
            <v>150000</v>
          </cell>
        </row>
        <row r="228">
          <cell r="K228" t="str">
            <v>29148</v>
          </cell>
        </row>
        <row r="229">
          <cell r="A229" t="str">
            <v>김기면</v>
          </cell>
        </row>
        <row r="229">
          <cell r="C229" t="str">
            <v>601010-1386125</v>
          </cell>
          <cell r="D229" t="str">
            <v>청주시 서원구 구룡산로 275-13,408동306호</v>
          </cell>
          <cell r="E229" t="str">
            <v>농협</v>
          </cell>
          <cell r="F229" t="str">
            <v>김기면</v>
          </cell>
          <cell r="G229" t="str">
            <v>356-0677-4691-13</v>
          </cell>
          <cell r="H229">
            <v>150000</v>
          </cell>
          <cell r="I229" t="str">
            <v>010-5547-6459</v>
          </cell>
        </row>
        <row r="229">
          <cell r="K229" t="str">
            <v>29140</v>
          </cell>
        </row>
        <row r="230">
          <cell r="A230" t="str">
            <v>김충식</v>
          </cell>
        </row>
        <row r="230">
          <cell r="C230" t="str">
            <v>520618-1384416</v>
          </cell>
          <cell r="D230" t="str">
            <v>충북 청원군 북이면 석성리448-2</v>
          </cell>
          <cell r="E230" t="str">
            <v>농협</v>
          </cell>
          <cell r="F230" t="str">
            <v>김충식</v>
          </cell>
          <cell r="G230" t="str">
            <v>302-0971-3212-91</v>
          </cell>
          <cell r="H230">
            <v>150000</v>
          </cell>
          <cell r="I230" t="str">
            <v>010-5547-6459</v>
          </cell>
        </row>
        <row r="231">
          <cell r="A231" t="str">
            <v>장신진</v>
          </cell>
        </row>
        <row r="231">
          <cell r="C231" t="str">
            <v>620908-1386710</v>
          </cell>
          <cell r="D231" t="str">
            <v>충북 영동군 영동읍 동정로 39-27, 현대아파트 101동 1501호</v>
          </cell>
          <cell r="E231" t="str">
            <v>농협</v>
          </cell>
          <cell r="F231" t="str">
            <v>장신진</v>
          </cell>
          <cell r="G231" t="str">
            <v>356-1353-2371-93</v>
          </cell>
          <cell r="H231">
            <v>150000</v>
          </cell>
          <cell r="I231" t="str">
            <v>010-8450-8819</v>
          </cell>
        </row>
        <row r="235">
          <cell r="A235" t="str">
            <v>김동식</v>
          </cell>
        </row>
        <row r="235">
          <cell r="C235" t="str">
            <v>740416-1468915</v>
          </cell>
          <cell r="D235" t="str">
            <v>청주시 상당구 영운천로 159, 202호 (용정동)</v>
          </cell>
          <cell r="E235" t="str">
            <v>기업</v>
          </cell>
          <cell r="F235" t="str">
            <v>서만석</v>
          </cell>
          <cell r="G235" t="str">
            <v>293-020381-03-026</v>
          </cell>
          <cell r="H235">
            <v>180000</v>
          </cell>
        </row>
        <row r="236">
          <cell r="A236" t="str">
            <v>박문교</v>
          </cell>
        </row>
        <row r="236">
          <cell r="C236" t="str">
            <v>700724-1380511</v>
          </cell>
          <cell r="D236" t="str">
            <v>청주시 흥덕구 월명로 125, 가동 206호(봉명동,신흥@)</v>
          </cell>
          <cell r="E236" t="str">
            <v>기업</v>
          </cell>
          <cell r="F236" t="str">
            <v>서만석</v>
          </cell>
          <cell r="G236" t="str">
            <v>293-020381-03-026</v>
          </cell>
          <cell r="H236">
            <v>180000</v>
          </cell>
        </row>
        <row r="237">
          <cell r="A237" t="str">
            <v>안준범</v>
          </cell>
        </row>
        <row r="237">
          <cell r="C237" t="str">
            <v>681028-1820716</v>
          </cell>
          <cell r="D237" t="str">
            <v>경상남도 창원시 동읍 용잠리 419 신안@ 1-1505</v>
          </cell>
          <cell r="E237" t="str">
            <v>기업</v>
          </cell>
          <cell r="F237" t="str">
            <v>서만석</v>
          </cell>
          <cell r="G237" t="str">
            <v>293-020381-03-026</v>
          </cell>
          <cell r="H237">
            <v>180000</v>
          </cell>
        </row>
        <row r="238">
          <cell r="A238" t="str">
            <v>엄태섭</v>
          </cell>
        </row>
        <row r="238">
          <cell r="C238" t="str">
            <v>651117-1388314</v>
          </cell>
          <cell r="D238" t="str">
            <v>충북 진천군 덕산면 인산리 182-21</v>
          </cell>
          <cell r="E238" t="str">
            <v>기업</v>
          </cell>
          <cell r="F238" t="str">
            <v>서만석</v>
          </cell>
          <cell r="G238" t="str">
            <v>293-020381-03-026</v>
          </cell>
          <cell r="H238">
            <v>180000</v>
          </cell>
        </row>
        <row r="239">
          <cell r="A239" t="str">
            <v>황우하</v>
          </cell>
        </row>
        <row r="239">
          <cell r="C239" t="str">
            <v>870101-1384313</v>
          </cell>
          <cell r="D239" t="str">
            <v>충청북도 옥천군 안남면 도농리 538</v>
          </cell>
          <cell r="E239" t="str">
            <v>기업</v>
          </cell>
          <cell r="F239" t="str">
            <v>서만석</v>
          </cell>
          <cell r="G239" t="str">
            <v>293-020381-03-026</v>
          </cell>
          <cell r="H239">
            <v>180000</v>
          </cell>
        </row>
        <row r="240">
          <cell r="A240" t="str">
            <v>김흥식</v>
          </cell>
        </row>
        <row r="240">
          <cell r="C240" t="str">
            <v>690227-1382111</v>
          </cell>
          <cell r="D240" t="str">
            <v>청주시 서원구 모충로 61, 205-501 (모충동 주공2단지)</v>
          </cell>
          <cell r="E240" t="str">
            <v>기업</v>
          </cell>
          <cell r="F240" t="str">
            <v>서만석</v>
          </cell>
          <cell r="G240" t="str">
            <v>293-020381-03-026</v>
          </cell>
          <cell r="H240">
            <v>180000</v>
          </cell>
        </row>
        <row r="241">
          <cell r="A241" t="str">
            <v>김춘상</v>
          </cell>
        </row>
        <row r="241">
          <cell r="C241" t="str">
            <v>671115-1380612</v>
          </cell>
          <cell r="D241" t="str">
            <v>청주시 상당구 영운동 168-24 19/4</v>
          </cell>
          <cell r="E241" t="str">
            <v>기업</v>
          </cell>
          <cell r="F241" t="str">
            <v>서만석</v>
          </cell>
          <cell r="G241" t="str">
            <v>293-020381-03-026</v>
          </cell>
          <cell r="H241">
            <v>180000</v>
          </cell>
        </row>
        <row r="242">
          <cell r="A242" t="str">
            <v>김주웅</v>
          </cell>
        </row>
        <row r="242">
          <cell r="C242" t="str">
            <v>600405-1397114</v>
          </cell>
          <cell r="D242" t="str">
            <v>청주시 서원구 1순환로 1137번길 130,325-1306 (분평동 분평주공@)</v>
          </cell>
          <cell r="E242" t="str">
            <v>기업</v>
          </cell>
          <cell r="F242" t="str">
            <v>서만석</v>
          </cell>
          <cell r="G242" t="str">
            <v>293-020381-03-026</v>
          </cell>
          <cell r="H242">
            <v>180000</v>
          </cell>
        </row>
        <row r="243">
          <cell r="A243" t="str">
            <v>마상조</v>
          </cell>
        </row>
        <row r="243">
          <cell r="C243" t="str">
            <v>590619-1380817</v>
          </cell>
          <cell r="D243" t="str">
            <v>청주시 흥덕구 봉명로 209번길 17, 105호 (봉명동,그린빌라2차)</v>
          </cell>
          <cell r="E243" t="str">
            <v>기업</v>
          </cell>
          <cell r="F243" t="str">
            <v>서만석</v>
          </cell>
          <cell r="G243" t="str">
            <v>293-020381-03-026</v>
          </cell>
          <cell r="H243">
            <v>180000</v>
          </cell>
        </row>
        <row r="244">
          <cell r="A244" t="str">
            <v>임익기</v>
          </cell>
        </row>
        <row r="244">
          <cell r="C244" t="str">
            <v>650114-1037815</v>
          </cell>
          <cell r="D244" t="str">
            <v>청주시 상당구 가덕면 국전길 110-43</v>
          </cell>
          <cell r="E244" t="str">
            <v>기업</v>
          </cell>
          <cell r="F244" t="str">
            <v>서만석</v>
          </cell>
          <cell r="G244" t="str">
            <v>293-020381-03-026</v>
          </cell>
          <cell r="H244">
            <v>180000</v>
          </cell>
        </row>
        <row r="245">
          <cell r="A245" t="str">
            <v>안기남</v>
          </cell>
        </row>
        <row r="245">
          <cell r="C245" t="str">
            <v>630117-1644712</v>
          </cell>
          <cell r="D245" t="str">
            <v>청주시 상당구 남사로 80번길 9, 4층 402호 (남주동)</v>
          </cell>
          <cell r="E245" t="str">
            <v>기업</v>
          </cell>
          <cell r="F245" t="str">
            <v>서만석</v>
          </cell>
          <cell r="G245" t="str">
            <v>293-020381-03-026</v>
          </cell>
          <cell r="H245">
            <v>180000</v>
          </cell>
        </row>
      </sheetData>
      <sheetData sheetId="7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지출결의서"/>
      <sheetName val="청구리스트"/>
      <sheetName val=" 노무비"/>
      <sheetName val="7월-형틀"/>
      <sheetName val="직영노임"/>
      <sheetName val="외주비"/>
      <sheetName val="자재비"/>
      <sheetName val="중기비"/>
      <sheetName val="장비출력"/>
      <sheetName val="경비"/>
      <sheetName val="경비사용(법카)"/>
      <sheetName val="업체계좌"/>
      <sheetName val="Sheet1"/>
      <sheetName val="Sheet2"/>
      <sheetName val="대정-2"/>
      <sheetName val="직영노임 (22-공-경계~~~)"/>
      <sheetName val="일용직명단"/>
      <sheetName val="현장관련업체"/>
      <sheetName val="특고직"/>
      <sheetName val="24년4대보험요율"/>
      <sheetName val="월별노무비현황"/>
      <sheetName val="월별노무비현황 (2)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A3" t="str">
            <v>오정만</v>
          </cell>
          <cell r="B3" t="str">
            <v>직영인부</v>
          </cell>
          <cell r="C3" t="str">
            <v>520205-1057335</v>
          </cell>
          <cell r="D3" t="str">
            <v>충북 영동군 학산면 모산1길 16-14</v>
          </cell>
          <cell r="E3" t="str">
            <v>농협</v>
          </cell>
          <cell r="F3" t="str">
            <v>오정만</v>
          </cell>
          <cell r="G3" t="str">
            <v>302-0809-4379-11</v>
          </cell>
          <cell r="H3">
            <v>120000</v>
          </cell>
          <cell r="I3" t="str">
            <v>010-5334-6133</v>
          </cell>
        </row>
        <row r="4">
          <cell r="A4" t="str">
            <v>금걸</v>
          </cell>
          <cell r="B4" t="str">
            <v>보통인부</v>
          </cell>
          <cell r="C4" t="str">
            <v>640415-1384716</v>
          </cell>
          <cell r="D4" t="str">
            <v>충북 옥천군 이원면 건진리 630-8</v>
          </cell>
          <cell r="E4" t="str">
            <v>국민</v>
          </cell>
          <cell r="F4" t="str">
            <v>금걸</v>
          </cell>
          <cell r="G4" t="str">
            <v> 405-21-0020-797</v>
          </cell>
          <cell r="H4">
            <v>160000</v>
          </cell>
          <cell r="I4" t="str">
            <v>010-9207-4425</v>
          </cell>
        </row>
        <row r="5">
          <cell r="A5" t="str">
            <v>주도현</v>
          </cell>
          <cell r="B5" t="str">
            <v>보통인부</v>
          </cell>
          <cell r="C5" t="str">
            <v>990511-1384718</v>
          </cell>
          <cell r="D5" t="str">
            <v> 충북 옥천군 이원면 지탄6길 24</v>
          </cell>
          <cell r="E5" t="str">
            <v>농협</v>
          </cell>
          <cell r="F5" t="str">
            <v>주도현</v>
          </cell>
          <cell r="G5" t="str">
            <v> 351-1021-5063-63</v>
          </cell>
          <cell r="H5">
            <v>120000</v>
          </cell>
          <cell r="I5" t="str">
            <v>010-5402-6851</v>
          </cell>
        </row>
        <row r="6">
          <cell r="A6" t="str">
            <v>채청기</v>
          </cell>
          <cell r="B6" t="str">
            <v>작업반장</v>
          </cell>
          <cell r="C6" t="str">
            <v>611117-1644319</v>
          </cell>
          <cell r="D6" t="str">
            <v> 충북 영동군 매천1길 11-10</v>
          </cell>
          <cell r="E6" t="str">
            <v>농협</v>
          </cell>
          <cell r="F6" t="str">
            <v>채청기</v>
          </cell>
          <cell r="G6" t="str">
            <v>403063-51-043152</v>
          </cell>
          <cell r="H6">
            <v>200000</v>
          </cell>
          <cell r="I6" t="str">
            <v>010-7357-9166</v>
          </cell>
        </row>
        <row r="7">
          <cell r="A7" t="str">
            <v>채성진</v>
          </cell>
          <cell r="B7" t="str">
            <v>보통인부</v>
          </cell>
          <cell r="C7" t="str">
            <v>930707-1386119</v>
          </cell>
          <cell r="D7" t="str">
            <v> 충북 영동군 영동읍 매천1길 11-10</v>
          </cell>
          <cell r="E7" t="str">
            <v>농협</v>
          </cell>
          <cell r="F7" t="str">
            <v>채성진</v>
          </cell>
          <cell r="G7" t="str">
            <v>356-0214-5208-83</v>
          </cell>
          <cell r="H7">
            <v>140000</v>
          </cell>
          <cell r="I7" t="str">
            <v>010-2842-9171</v>
          </cell>
        </row>
        <row r="8">
          <cell r="A8" t="str">
            <v>이준호</v>
          </cell>
          <cell r="B8" t="str">
            <v>보통인부</v>
          </cell>
          <cell r="C8" t="str">
            <v>680526-1167726</v>
          </cell>
          <cell r="D8" t="str">
            <v> 충북 영동군 영동읍 성안길 20-7</v>
          </cell>
          <cell r="E8" t="str">
            <v>농협</v>
          </cell>
          <cell r="F8" t="str">
            <v>이준호</v>
          </cell>
          <cell r="G8" t="str">
            <v>356-0927-9268-73</v>
          </cell>
          <cell r="H8">
            <v>160000</v>
          </cell>
          <cell r="I8" t="str">
            <v>010-7324-3090</v>
          </cell>
        </row>
        <row r="9">
          <cell r="A9" t="str">
            <v>박희석</v>
          </cell>
          <cell r="B9" t="str">
            <v>목공</v>
          </cell>
          <cell r="C9" t="str">
            <v>620320-1386717</v>
          </cell>
          <cell r="D9" t="str">
            <v> 충북 영동군 양강면 남전2안길 4-16</v>
          </cell>
          <cell r="E9" t="str">
            <v>농협</v>
          </cell>
          <cell r="F9" t="str">
            <v>박희석</v>
          </cell>
          <cell r="G9" t="str">
            <v>407023-52-023453</v>
          </cell>
          <cell r="H9">
            <v>180000</v>
          </cell>
          <cell r="I9" t="str">
            <v>010-3033-5024</v>
          </cell>
        </row>
        <row r="10">
          <cell r="A10" t="str">
            <v>박희원</v>
          </cell>
          <cell r="B10" t="str">
            <v>목공</v>
          </cell>
          <cell r="C10" t="str">
            <v>591208-1386711</v>
          </cell>
          <cell r="D10" t="str">
            <v> 충북 영동군 양강면 남전2안길 4-17</v>
          </cell>
          <cell r="E10" t="str">
            <v>농협</v>
          </cell>
          <cell r="F10" t="str">
            <v>박희원</v>
          </cell>
          <cell r="G10" t="str">
            <v>352-1445-5223-63</v>
          </cell>
          <cell r="H10">
            <v>180000</v>
          </cell>
          <cell r="I10" t="str">
            <v>010-5461-8445</v>
          </cell>
        </row>
        <row r="11">
          <cell r="A11" t="str">
            <v>김주열</v>
          </cell>
          <cell r="B11" t="str">
            <v>철근공</v>
          </cell>
          <cell r="C11" t="str">
            <v>661109-1384112</v>
          </cell>
          <cell r="D11" t="str">
            <v>충북 옥천군 옥천읍 관성로 29</v>
          </cell>
          <cell r="E11" t="str">
            <v>중소기업</v>
          </cell>
          <cell r="F11" t="str">
            <v>김주열</v>
          </cell>
          <cell r="G11" t="str">
            <v>010-5454-1383</v>
          </cell>
          <cell r="H11">
            <v>240000</v>
          </cell>
          <cell r="I11" t="str">
            <v>010-5454-1383</v>
          </cell>
        </row>
        <row r="12">
          <cell r="A12" t="str">
            <v>김덕환</v>
          </cell>
          <cell r="B12" t="str">
            <v>철근공</v>
          </cell>
          <cell r="C12" t="str">
            <v>671203-1386930</v>
          </cell>
          <cell r="D12" t="str">
            <v>충북 옥천군 옥천읍 신기4길16,a동102</v>
          </cell>
          <cell r="E12" t="str">
            <v>농협</v>
          </cell>
          <cell r="F12" t="str">
            <v>김덕환</v>
          </cell>
          <cell r="G12" t="str">
            <v>356-0961-2797-13</v>
          </cell>
          <cell r="H12">
            <v>200000</v>
          </cell>
          <cell r="I12" t="str">
            <v>010-9422-5581</v>
          </cell>
        </row>
        <row r="13">
          <cell r="A13" t="str">
            <v>김동진1</v>
          </cell>
          <cell r="B13" t="str">
            <v>철근공</v>
          </cell>
          <cell r="C13" t="str">
            <v>740215-1384136</v>
          </cell>
          <cell r="D13" t="str">
            <v>충북 옥천군 옥천읍 성신로21-10</v>
          </cell>
          <cell r="E13" t="str">
            <v>농협</v>
          </cell>
        </row>
        <row r="13">
          <cell r="G13" t="str">
            <v>317-02-252767</v>
          </cell>
          <cell r="H13">
            <v>240000</v>
          </cell>
          <cell r="I13" t="str">
            <v>010-4569-4810</v>
          </cell>
        </row>
        <row r="14">
          <cell r="A14" t="str">
            <v>이영철</v>
          </cell>
          <cell r="B14" t="str">
            <v>철근공</v>
          </cell>
          <cell r="C14" t="str">
            <v>650222-1384139</v>
          </cell>
          <cell r="D14" t="str">
            <v>충북 옥천군 옥천읍 가화3길18,101동105호</v>
          </cell>
          <cell r="E14" t="str">
            <v>농협</v>
          </cell>
          <cell r="F14" t="str">
            <v>이영철</v>
          </cell>
          <cell r="G14" t="str">
            <v>317-12-395296</v>
          </cell>
          <cell r="H14">
            <v>240000</v>
          </cell>
          <cell r="I14" t="str">
            <v>010-5405-3976</v>
          </cell>
        </row>
        <row r="15">
          <cell r="A15" t="str">
            <v>박용옥</v>
          </cell>
          <cell r="B15" t="str">
            <v>철근공</v>
          </cell>
          <cell r="C15" t="str">
            <v>580304-1384211</v>
          </cell>
          <cell r="D15" t="str">
            <v>충북 옥천군 옥천읍 금구리18-2</v>
          </cell>
          <cell r="E15" t="str">
            <v>농협</v>
          </cell>
          <cell r="F15" t="str">
            <v>박용옥</v>
          </cell>
          <cell r="G15" t="str">
            <v>317-12-351368</v>
          </cell>
          <cell r="H15">
            <v>240000</v>
          </cell>
          <cell r="I15" t="str">
            <v>010-6438-1661</v>
          </cell>
        </row>
        <row r="16">
          <cell r="A16" t="str">
            <v>박종복</v>
          </cell>
          <cell r="B16" t="str">
            <v>철근공</v>
          </cell>
          <cell r="C16" t="str">
            <v>561005-1384211</v>
          </cell>
          <cell r="D16" t="str">
            <v>충북 옥천군 옥천읍 동부로16,102동901</v>
          </cell>
          <cell r="E16" t="str">
            <v>농협</v>
          </cell>
          <cell r="F16" t="str">
            <v>박종복</v>
          </cell>
          <cell r="G16" t="str">
            <v>302-0299-7809-11</v>
          </cell>
          <cell r="H16">
            <v>240000</v>
          </cell>
          <cell r="I16" t="str">
            <v>010-5457-5297</v>
          </cell>
        </row>
        <row r="17">
          <cell r="A17" t="str">
            <v>김일용</v>
          </cell>
          <cell r="B17" t="str">
            <v>철근공</v>
          </cell>
          <cell r="C17" t="str">
            <v>580211-1403112</v>
          </cell>
          <cell r="D17" t="str">
            <v>충북 옥천군 옥천읍 신기4길18,나동201호</v>
          </cell>
          <cell r="E17" t="str">
            <v>새마을금고</v>
          </cell>
          <cell r="F17" t="str">
            <v>김일용</v>
          </cell>
          <cell r="G17" t="str">
            <v>9003-2149-2059-6</v>
          </cell>
          <cell r="H17">
            <v>200000</v>
          </cell>
          <cell r="I17" t="str">
            <v>010-9439-5026</v>
          </cell>
        </row>
        <row r="18">
          <cell r="A18" t="str">
            <v>김일호</v>
          </cell>
          <cell r="B18" t="str">
            <v>보통인부</v>
          </cell>
          <cell r="C18" t="str">
            <v>600413-1386324</v>
          </cell>
          <cell r="D18" t="str">
            <v>충북 영동군 황간면 마산리109</v>
          </cell>
          <cell r="E18" t="str">
            <v>농협</v>
          </cell>
          <cell r="F18" t="str">
            <v>김일호</v>
          </cell>
          <cell r="G18" t="str">
            <v>407089-52-142573</v>
          </cell>
          <cell r="H18">
            <v>130000</v>
          </cell>
          <cell r="I18" t="str">
            <v>010-3060-5145</v>
          </cell>
        </row>
        <row r="19">
          <cell r="A19" t="str">
            <v>정재인</v>
          </cell>
          <cell r="B19" t="str">
            <v>목공</v>
          </cell>
          <cell r="C19" t="str">
            <v>580217-1384115</v>
          </cell>
          <cell r="D19" t="str">
            <v>충북 옥천군 옥천읍 성신로27B동101호</v>
          </cell>
          <cell r="E19" t="str">
            <v>농협</v>
          </cell>
          <cell r="F19" t="str">
            <v>정재인</v>
          </cell>
          <cell r="G19" t="str">
            <v>405010-51-123375</v>
          </cell>
          <cell r="H19">
            <v>200000</v>
          </cell>
          <cell r="I19" t="str">
            <v>010-5493-3436</v>
          </cell>
        </row>
        <row r="20">
          <cell r="A20" t="str">
            <v>정백교</v>
          </cell>
          <cell r="B20" t="str">
            <v>목공</v>
          </cell>
          <cell r="C20" t="str">
            <v>561220-1812524</v>
          </cell>
          <cell r="D20" t="str">
            <v>대전광역시 동구 대동 33-119</v>
          </cell>
          <cell r="E20" t="str">
            <v>국민</v>
          </cell>
          <cell r="F20" t="str">
            <v>정백교</v>
          </cell>
          <cell r="G20" t="str">
            <v>734402-01-012660</v>
          </cell>
          <cell r="H20">
            <v>200000</v>
          </cell>
          <cell r="I20" t="str">
            <v>010-5408-8423</v>
          </cell>
        </row>
        <row r="21">
          <cell r="A21" t="str">
            <v>공양록</v>
          </cell>
          <cell r="B21" t="str">
            <v>목공</v>
          </cell>
          <cell r="C21" t="str">
            <v>570505-1384112</v>
          </cell>
          <cell r="D21" t="str">
            <v>충북 옥천군 옥천읍 대천557-1   25</v>
          </cell>
          <cell r="E21" t="str">
            <v>국민</v>
          </cell>
          <cell r="F21" t="str">
            <v>공양록</v>
          </cell>
          <cell r="G21" t="str">
            <v>405-21-0588-793</v>
          </cell>
          <cell r="H21">
            <v>200000</v>
          </cell>
          <cell r="I21" t="str">
            <v>010-3456-5927</v>
          </cell>
        </row>
        <row r="22">
          <cell r="A22" t="str">
            <v>이정열</v>
          </cell>
          <cell r="B22" t="str">
            <v>목공</v>
          </cell>
          <cell r="C22" t="str">
            <v>590820-1384819</v>
          </cell>
          <cell r="D22" t="str">
            <v>충북 옥천군 옥천읍 중앙로2길24</v>
          </cell>
          <cell r="E22" t="str">
            <v>농협</v>
          </cell>
          <cell r="F22" t="str">
            <v>이정열</v>
          </cell>
          <cell r="G22" t="str">
            <v>356-1330-1383-03</v>
          </cell>
          <cell r="H22">
            <v>200000</v>
          </cell>
          <cell r="I22" t="str">
            <v>011-464-4388</v>
          </cell>
        </row>
        <row r="23">
          <cell r="A23" t="str">
            <v>정경섭</v>
          </cell>
          <cell r="B23" t="str">
            <v>목공</v>
          </cell>
          <cell r="C23" t="str">
            <v>580319-1254218</v>
          </cell>
          <cell r="D23" t="str">
            <v>충북 옥천군 동이면 남곡리151</v>
          </cell>
          <cell r="E23" t="str">
            <v>농협</v>
          </cell>
          <cell r="F23" t="str">
            <v>정경섭</v>
          </cell>
          <cell r="G23" t="str">
            <v>173128-52-132419</v>
          </cell>
          <cell r="H23">
            <v>200000</v>
          </cell>
          <cell r="I23" t="str">
            <v>010-8808-1863</v>
          </cell>
        </row>
        <row r="24">
          <cell r="A24" t="str">
            <v>이종선</v>
          </cell>
          <cell r="B24" t="str">
            <v>목공</v>
          </cell>
          <cell r="C24" t="str">
            <v>620315-1382711</v>
          </cell>
          <cell r="D24" t="str">
            <v>충북 보은군 수한면 차정리99-1</v>
          </cell>
          <cell r="E24" t="str">
            <v>농협</v>
          </cell>
          <cell r="F24" t="str">
            <v>이종선</v>
          </cell>
          <cell r="G24" t="str">
            <v>356-0638-7963-13</v>
          </cell>
          <cell r="H24">
            <v>200000</v>
          </cell>
          <cell r="I24" t="str">
            <v>010-3456-5927</v>
          </cell>
        </row>
        <row r="25">
          <cell r="A25" t="str">
            <v>황인호</v>
          </cell>
          <cell r="B25" t="str">
            <v>목공</v>
          </cell>
          <cell r="C25" t="str">
            <v>570625-1384117</v>
          </cell>
          <cell r="D25" t="str">
            <v>대전 동구 자양35-14</v>
          </cell>
          <cell r="E25" t="str">
            <v>농협</v>
          </cell>
          <cell r="F25" t="str">
            <v>황인호</v>
          </cell>
          <cell r="G25" t="str">
            <v>356-1420-1868-53</v>
          </cell>
          <cell r="H25">
            <v>200000</v>
          </cell>
          <cell r="I25" t="str">
            <v>010-9874-7747</v>
          </cell>
        </row>
        <row r="26">
          <cell r="A26" t="str">
            <v>공양호</v>
          </cell>
          <cell r="B26" t="str">
            <v>목공</v>
          </cell>
          <cell r="C26" t="str">
            <v>620302-1384112</v>
          </cell>
          <cell r="D26" t="str">
            <v>충북 옥천군 옥천읍 장이1길1005호</v>
          </cell>
          <cell r="E26" t="str">
            <v>농협</v>
          </cell>
          <cell r="F26" t="str">
            <v>공양호</v>
          </cell>
          <cell r="G26" t="str">
            <v>356-1307-5702-93</v>
          </cell>
          <cell r="H26">
            <v>200000</v>
          </cell>
          <cell r="I26" t="str">
            <v>010-5450-2276</v>
          </cell>
        </row>
        <row r="27">
          <cell r="A27" t="str">
            <v>김홍성</v>
          </cell>
          <cell r="B27" t="str">
            <v>목공</v>
          </cell>
          <cell r="C27" t="str">
            <v>490418-1447611</v>
          </cell>
          <cell r="D27" t="str">
            <v>대전 대덕구 대덕대로1601번길40</v>
          </cell>
          <cell r="E27" t="str">
            <v>농협</v>
          </cell>
          <cell r="F27" t="str">
            <v>김홍성</v>
          </cell>
          <cell r="G27" t="str">
            <v>352-1448-3038-13</v>
          </cell>
          <cell r="H27">
            <v>200000</v>
          </cell>
          <cell r="I27" t="str">
            <v>010-5609-4913</v>
          </cell>
        </row>
        <row r="28">
          <cell r="A28" t="str">
            <v>남상길</v>
          </cell>
          <cell r="B28" t="str">
            <v>목공</v>
          </cell>
          <cell r="C28" t="str">
            <v>550719-1805215</v>
          </cell>
          <cell r="D28" t="str">
            <v>충북 옥천군 옥천읍 서정1길5-40</v>
          </cell>
          <cell r="E28" t="str">
            <v>농협</v>
          </cell>
          <cell r="F28" t="str">
            <v>남상길</v>
          </cell>
          <cell r="G28" t="str">
            <v>356-1314-4411-13</v>
          </cell>
          <cell r="H28">
            <v>200000</v>
          </cell>
          <cell r="I28" t="str">
            <v>010-8826-8939</v>
          </cell>
        </row>
        <row r="29">
          <cell r="A29" t="str">
            <v>최성환</v>
          </cell>
          <cell r="B29" t="str">
            <v>철근공</v>
          </cell>
          <cell r="C29" t="str">
            <v>660710-1386211</v>
          </cell>
          <cell r="D29" t="str">
            <v>충북 옥천군 옥천읍 삼양로2길 6-4</v>
          </cell>
          <cell r="E29" t="str">
            <v>중소기업</v>
          </cell>
          <cell r="F29" t="str">
            <v>최성환</v>
          </cell>
          <cell r="G29" t="str">
            <v>570-000536-02-026</v>
          </cell>
          <cell r="H29">
            <v>200000</v>
          </cell>
          <cell r="I29" t="str">
            <v>010-6641-6613</v>
          </cell>
        </row>
        <row r="30">
          <cell r="A30" t="str">
            <v>진수영</v>
          </cell>
          <cell r="B30" t="str">
            <v>철근공</v>
          </cell>
          <cell r="C30" t="str">
            <v>550928-1384216</v>
          </cell>
          <cell r="D30" t="str">
            <v>충북 옥천군 동이면 무산리657</v>
          </cell>
          <cell r="E30" t="str">
            <v>신협</v>
          </cell>
          <cell r="F30" t="str">
            <v>진수영</v>
          </cell>
          <cell r="G30" t="str">
            <v>131-015-480063</v>
          </cell>
          <cell r="H30">
            <v>200000</v>
          </cell>
          <cell r="I30" t="str">
            <v>010-4352-2174</v>
          </cell>
        </row>
        <row r="31">
          <cell r="A31" t="str">
            <v>김종덕</v>
          </cell>
          <cell r="B31" t="str">
            <v>철근공</v>
          </cell>
          <cell r="C31" t="str">
            <v>551120-1449514</v>
          </cell>
          <cell r="D31" t="str">
            <v>대전 광역시 중구 유천동 340-51</v>
          </cell>
          <cell r="E31" t="str">
            <v>국민</v>
          </cell>
          <cell r="F31" t="str">
            <v>김종덕</v>
          </cell>
          <cell r="G31" t="str">
            <v>460001-04-016552</v>
          </cell>
          <cell r="H31">
            <v>200000</v>
          </cell>
          <cell r="I31" t="str">
            <v>010-3418-1669</v>
          </cell>
        </row>
        <row r="32">
          <cell r="A32" t="str">
            <v>김용근</v>
          </cell>
          <cell r="B32" t="str">
            <v>철근공</v>
          </cell>
          <cell r="C32" t="str">
            <v>491010-1403113</v>
          </cell>
          <cell r="D32" t="str">
            <v>충북 옥천군 동이면 무산리658</v>
          </cell>
          <cell r="E32" t="str">
            <v>국민</v>
          </cell>
          <cell r="F32" t="str">
            <v>김용근</v>
          </cell>
          <cell r="G32" t="str">
            <v>740902-93-109270</v>
          </cell>
          <cell r="H32">
            <v>200000</v>
          </cell>
          <cell r="I32" t="str">
            <v>010-5456-3529</v>
          </cell>
        </row>
        <row r="33">
          <cell r="A33" t="str">
            <v>윤진한</v>
          </cell>
          <cell r="B33" t="str">
            <v>석공</v>
          </cell>
          <cell r="C33" t="str">
            <v>760224-1386921</v>
          </cell>
          <cell r="D33" t="str">
            <v>충북 영동군 영동읍 계산리 197-2</v>
          </cell>
          <cell r="E33" t="str">
            <v>농협</v>
          </cell>
          <cell r="F33" t="str">
            <v>윤진한</v>
          </cell>
          <cell r="G33" t="str">
            <v>356-0991-0651-23</v>
          </cell>
          <cell r="H33">
            <v>250000</v>
          </cell>
          <cell r="I33" t="str">
            <v>010-7360-3345</v>
          </cell>
        </row>
        <row r="34">
          <cell r="A34" t="str">
            <v>권오득</v>
          </cell>
          <cell r="B34" t="str">
            <v>보통인부</v>
          </cell>
          <cell r="C34" t="str">
            <v>640529-1386416</v>
          </cell>
          <cell r="D34" t="str">
            <v>충북영동군추풍령면추풍령로9길10-2</v>
          </cell>
          <cell r="E34" t="str">
            <v>농협</v>
          </cell>
          <cell r="F34" t="str">
            <v>권오득</v>
          </cell>
          <cell r="G34" t="str">
            <v>352-1857-0983-23</v>
          </cell>
          <cell r="H34">
            <v>150000</v>
          </cell>
          <cell r="I34" t="str">
            <v>010-9133-8928</v>
          </cell>
        </row>
        <row r="35">
          <cell r="A35" t="str">
            <v>손석래</v>
          </cell>
          <cell r="B35" t="str">
            <v>보통인부</v>
          </cell>
          <cell r="C35" t="str">
            <v>600404-1386121</v>
          </cell>
          <cell r="D35" t="str">
            <v>충북 영동군 영동읍 새심길18,1004호 조한드림플러스@</v>
          </cell>
          <cell r="E35" t="str">
            <v>농협</v>
          </cell>
          <cell r="F35" t="str">
            <v>손석래</v>
          </cell>
          <cell r="G35" t="str">
            <v>356-1493-9522-63</v>
          </cell>
          <cell r="H35">
            <v>160000</v>
          </cell>
          <cell r="I35" t="str">
            <v>043-744-5228</v>
          </cell>
        </row>
        <row r="36">
          <cell r="A36" t="str">
            <v>조운규</v>
          </cell>
          <cell r="B36" t="str">
            <v>특별인부</v>
          </cell>
          <cell r="C36" t="str">
            <v>650305-1386131</v>
          </cell>
          <cell r="D36" t="str">
            <v>충북 영동군 영동읍 금동안길 60</v>
          </cell>
          <cell r="E36" t="str">
            <v>우체국</v>
          </cell>
          <cell r="F36" t="str">
            <v>조운규</v>
          </cell>
          <cell r="G36" t="str">
            <v>301515-02-022804</v>
          </cell>
          <cell r="H36">
            <v>170000</v>
          </cell>
          <cell r="I36" t="str">
            <v>010-8343-0468</v>
          </cell>
        </row>
        <row r="37">
          <cell r="A37" t="str">
            <v>강희종</v>
          </cell>
          <cell r="B37" t="str">
            <v>단순노무자</v>
          </cell>
          <cell r="C37" t="str">
            <v>540612-1400325</v>
          </cell>
          <cell r="D37" t="str">
            <v>충북 영동군 추풍령면 추풍령로5안길8</v>
          </cell>
          <cell r="E37" t="str">
            <v>농협</v>
          </cell>
          <cell r="F37" t="str">
            <v>강희종</v>
          </cell>
          <cell r="G37" t="str">
            <v>351-1142-0210-73</v>
          </cell>
          <cell r="H37">
            <v>130000</v>
          </cell>
          <cell r="I37" t="str">
            <v>010-5028-0656</v>
          </cell>
        </row>
        <row r="38">
          <cell r="A38" t="str">
            <v>김기필</v>
          </cell>
          <cell r="B38" t="str">
            <v>단순노무자</v>
          </cell>
          <cell r="C38" t="str">
            <v>611022-1386251</v>
          </cell>
          <cell r="D38" t="str">
            <v>충북 영동군 용산면 금곡3길 19</v>
          </cell>
          <cell r="E38" t="str">
            <v>농협</v>
          </cell>
          <cell r="F38" t="str">
            <v>김기필</v>
          </cell>
          <cell r="G38" t="str">
            <v>351-1142-0210-73</v>
          </cell>
          <cell r="H38">
            <v>150000</v>
          </cell>
          <cell r="I38" t="str">
            <v>010-6428-8990</v>
          </cell>
        </row>
        <row r="39">
          <cell r="A39" t="str">
            <v>윤석률</v>
          </cell>
          <cell r="B39" t="str">
            <v>단순노무자</v>
          </cell>
          <cell r="C39" t="str">
            <v>681215-1384614</v>
          </cell>
          <cell r="D39" t="str">
            <v>충북 옥천군 청산면 효목1길 83</v>
          </cell>
          <cell r="E39" t="str">
            <v>농협</v>
          </cell>
          <cell r="F39" t="str">
            <v>윤석률</v>
          </cell>
          <cell r="G39" t="str">
            <v>351-1142-0210-73</v>
          </cell>
          <cell r="H39">
            <v>150000</v>
          </cell>
          <cell r="I39" t="str">
            <v>010-3425-9337</v>
          </cell>
        </row>
        <row r="40">
          <cell r="A40" t="str">
            <v>전근성</v>
          </cell>
          <cell r="B40" t="str">
            <v>단순노무자</v>
          </cell>
          <cell r="C40" t="str">
            <v>721105-1386912</v>
          </cell>
          <cell r="D40" t="str">
            <v>충북 영동군 학산면 모정길 78</v>
          </cell>
          <cell r="E40" t="str">
            <v>농협</v>
          </cell>
          <cell r="F40" t="str">
            <v>전근성</v>
          </cell>
          <cell r="G40" t="str">
            <v>351-1142-0210-73</v>
          </cell>
          <cell r="H40">
            <v>150000</v>
          </cell>
          <cell r="I40" t="str">
            <v>010-3405-4114</v>
          </cell>
        </row>
        <row r="41">
          <cell r="A41" t="str">
            <v>김병호</v>
          </cell>
          <cell r="B41" t="str">
            <v>철근공</v>
          </cell>
          <cell r="C41" t="str">
            <v>921202-1058619</v>
          </cell>
          <cell r="D41" t="str">
            <v>충북 옥천군 옥천읍 관성로 29</v>
          </cell>
          <cell r="E41" t="str">
            <v>우체국</v>
          </cell>
          <cell r="F41" t="str">
            <v>김병호</v>
          </cell>
          <cell r="G41" t="str">
            <v>300111-02-297282</v>
          </cell>
          <cell r="H41">
            <v>200000</v>
          </cell>
          <cell r="I41" t="str">
            <v>010-4904-9092</v>
          </cell>
        </row>
        <row r="42">
          <cell r="A42" t="str">
            <v>최동섭</v>
          </cell>
          <cell r="B42" t="str">
            <v>특별인부</v>
          </cell>
          <cell r="C42" t="str">
            <v>670211-1386119</v>
          </cell>
          <cell r="D42" t="str">
            <v>충북 영동군 영동읍 부용7안길7-1</v>
          </cell>
          <cell r="E42" t="str">
            <v>농협</v>
          </cell>
          <cell r="F42" t="str">
            <v>최동섭</v>
          </cell>
          <cell r="G42" t="str">
            <v>173173-52-042958</v>
          </cell>
          <cell r="H42">
            <v>170000</v>
          </cell>
          <cell r="I42" t="str">
            <v>010-4114-2902</v>
          </cell>
        </row>
        <row r="43">
          <cell r="A43" t="str">
            <v>김영환</v>
          </cell>
          <cell r="B43" t="str">
            <v>보통인부</v>
          </cell>
          <cell r="C43" t="str">
            <v>600925-1386115</v>
          </cell>
          <cell r="D43" t="str">
            <v>충북 영동군 영동읍 계산리 426-1</v>
          </cell>
          <cell r="E43" t="str">
            <v>농협</v>
          </cell>
          <cell r="F43" t="str">
            <v>김영환</v>
          </cell>
          <cell r="G43" t="str">
            <v>302-1601-4630-21</v>
          </cell>
          <cell r="H43">
            <v>130000</v>
          </cell>
        </row>
        <row r="44">
          <cell r="A44" t="str">
            <v>김명숙</v>
          </cell>
          <cell r="B44" t="str">
            <v>보통인부</v>
          </cell>
          <cell r="C44" t="str">
            <v>660125-2524919</v>
          </cell>
          <cell r="D44" t="str">
            <v>대전 동구 판암동 328방주아파트101-604</v>
          </cell>
          <cell r="E44" t="str">
            <v>농협</v>
          </cell>
          <cell r="F44" t="str">
            <v>김명숙</v>
          </cell>
          <cell r="G44" t="str">
            <v>302-0957-7396-11</v>
          </cell>
          <cell r="H44">
            <v>150000</v>
          </cell>
        </row>
        <row r="45">
          <cell r="A45" t="str">
            <v>이홍성</v>
          </cell>
          <cell r="B45" t="str">
            <v>목공</v>
          </cell>
          <cell r="C45" t="str">
            <v>510520-1384216</v>
          </cell>
          <cell r="D45" t="str">
            <v>충북 옥천 옥천읍 미암리49-1</v>
          </cell>
          <cell r="E45" t="str">
            <v>농협</v>
          </cell>
          <cell r="F45" t="str">
            <v>이홍성</v>
          </cell>
          <cell r="G45" t="str">
            <v>356-1306-8954-13</v>
          </cell>
          <cell r="H45">
            <v>200000</v>
          </cell>
          <cell r="I45" t="str">
            <v>010-5100-7490</v>
          </cell>
        </row>
        <row r="46">
          <cell r="A46" t="str">
            <v>김장곤</v>
          </cell>
          <cell r="B46" t="str">
            <v>목공</v>
          </cell>
          <cell r="C46" t="str">
            <v>611211-1458428</v>
          </cell>
          <cell r="D46" t="str">
            <v>대전광역시 중구 산성동 304-18</v>
          </cell>
          <cell r="E46" t="str">
            <v>농협</v>
          </cell>
          <cell r="F46" t="str">
            <v>김장곤</v>
          </cell>
          <cell r="G46" t="str">
            <v>356-1483-5978-13</v>
          </cell>
          <cell r="H46">
            <v>200000</v>
          </cell>
          <cell r="I46" t="str">
            <v>010-4830-2110</v>
          </cell>
        </row>
        <row r="47">
          <cell r="A47" t="str">
            <v>김효식</v>
          </cell>
          <cell r="B47" t="str">
            <v>목공</v>
          </cell>
          <cell r="C47" t="str">
            <v>630220-1384116</v>
          </cell>
          <cell r="D47" t="str">
            <v>충북 옥천 옥천읍 송신길 89-1</v>
          </cell>
          <cell r="E47" t="str">
            <v>농협</v>
          </cell>
          <cell r="F47" t="str">
            <v>김효식</v>
          </cell>
          <cell r="G47" t="str">
            <v>356-1306-7504-13</v>
          </cell>
          <cell r="H47">
            <v>200000</v>
          </cell>
          <cell r="I47" t="str">
            <v>010-3448-1889</v>
          </cell>
        </row>
        <row r="48">
          <cell r="A48" t="str">
            <v>김정자</v>
          </cell>
          <cell r="B48" t="str">
            <v>목공</v>
          </cell>
          <cell r="C48" t="str">
            <v>600225-2408313</v>
          </cell>
          <cell r="D48" t="str">
            <v>대전 동구 판암동236주공 508-1302</v>
          </cell>
          <cell r="E48" t="str">
            <v>농협</v>
          </cell>
          <cell r="F48" t="str">
            <v>김정자</v>
          </cell>
        </row>
        <row r="48">
          <cell r="I48" t="str">
            <v>010-5402-7460</v>
          </cell>
        </row>
        <row r="49">
          <cell r="A49" t="str">
            <v>이순희</v>
          </cell>
          <cell r="B49" t="str">
            <v>목공</v>
          </cell>
          <cell r="C49" t="str">
            <v>610808-2379713</v>
          </cell>
          <cell r="D49" t="str">
            <v>충북 옥천 옥천읍 마암리22-4은혜연립B동101</v>
          </cell>
          <cell r="E49" t="str">
            <v>농협</v>
          </cell>
          <cell r="F49" t="str">
            <v>이순희</v>
          </cell>
        </row>
        <row r="49">
          <cell r="I49" t="str">
            <v>010-9138-3436</v>
          </cell>
        </row>
        <row r="50">
          <cell r="A50" t="str">
            <v>김태식</v>
          </cell>
          <cell r="B50" t="str">
            <v>목공</v>
          </cell>
          <cell r="C50" t="str">
            <v>551215-1384133</v>
          </cell>
          <cell r="D50" t="str">
            <v>충북옥천 옥천읍문정리 62-1</v>
          </cell>
          <cell r="E50" t="str">
            <v>농협</v>
          </cell>
          <cell r="F50" t="str">
            <v>김태식</v>
          </cell>
          <cell r="G50" t="str">
            <v>302-5458-3411-01</v>
          </cell>
          <cell r="H50">
            <v>200000</v>
          </cell>
          <cell r="I50" t="str">
            <v>010-5458-3411</v>
          </cell>
        </row>
        <row r="51">
          <cell r="A51" t="str">
            <v>유현봉</v>
          </cell>
          <cell r="B51" t="str">
            <v>목공</v>
          </cell>
          <cell r="C51" t="str">
            <v>531210-1384312</v>
          </cell>
          <cell r="D51" t="str">
            <v>충북 옥천 옥천읍 양수로6길4</v>
          </cell>
          <cell r="E51" t="str">
            <v>국민</v>
          </cell>
          <cell r="F51" t="str">
            <v>유현봉</v>
          </cell>
          <cell r="G51" t="str">
            <v>405-24-0081-770</v>
          </cell>
          <cell r="H51">
            <v>200000</v>
          </cell>
          <cell r="I51" t="str">
            <v>010-5427-7937</v>
          </cell>
        </row>
        <row r="52">
          <cell r="A52" t="str">
            <v>신기창</v>
          </cell>
          <cell r="B52" t="str">
            <v>목공</v>
          </cell>
          <cell r="C52" t="str">
            <v>611028-1411611</v>
          </cell>
          <cell r="D52" t="str">
            <v>충북 옥천 옥천읍 성암2길30-1</v>
          </cell>
          <cell r="E52" t="str">
            <v>농협</v>
          </cell>
          <cell r="F52" t="str">
            <v>신기창</v>
          </cell>
          <cell r="G52" t="str">
            <v>356-1479-8602-73</v>
          </cell>
          <cell r="H52">
            <v>200000</v>
          </cell>
          <cell r="I52" t="str">
            <v>010-3893-7198</v>
          </cell>
        </row>
        <row r="53">
          <cell r="A53" t="str">
            <v>김충재</v>
          </cell>
          <cell r="B53" t="str">
            <v>목공</v>
          </cell>
          <cell r="C53" t="str">
            <v>590114-1384121</v>
          </cell>
          <cell r="D53" t="str">
            <v>충북 옥천 옥천읍 금구천길15나동103호</v>
          </cell>
          <cell r="E53" t="str">
            <v>농협</v>
          </cell>
          <cell r="F53" t="str">
            <v>김충재</v>
          </cell>
          <cell r="G53" t="str">
            <v>356-1488-3009-73</v>
          </cell>
          <cell r="H53">
            <v>200000</v>
          </cell>
          <cell r="I53" t="str">
            <v>010-5465-8302</v>
          </cell>
        </row>
        <row r="54">
          <cell r="A54" t="str">
            <v>김정식</v>
          </cell>
          <cell r="B54" t="str">
            <v>목공</v>
          </cell>
          <cell r="C54" t="str">
            <v>760110-1384826</v>
          </cell>
          <cell r="D54" t="str">
            <v>충북 옥천 옥천읍가화3길23</v>
          </cell>
          <cell r="E54" t="str">
            <v>농협</v>
          </cell>
          <cell r="F54" t="str">
            <v>김정식</v>
          </cell>
          <cell r="G54" t="str">
            <v>302-0953-8269-11</v>
          </cell>
          <cell r="H54">
            <v>200000</v>
          </cell>
          <cell r="I54" t="str">
            <v>010-6252-2437</v>
          </cell>
        </row>
        <row r="55">
          <cell r="A55" t="str">
            <v>소세영</v>
          </cell>
          <cell r="B55" t="str">
            <v>철근공</v>
          </cell>
          <cell r="C55" t="str">
            <v>661110-1403017</v>
          </cell>
          <cell r="D55" t="str">
            <v>대전 동구 번동 2길 25(천동)</v>
          </cell>
          <cell r="E55" t="str">
            <v>농협</v>
          </cell>
          <cell r="F55" t="str">
            <v>소세영</v>
          </cell>
          <cell r="G55" t="str">
            <v>351-0883-3616-63</v>
          </cell>
          <cell r="H55">
            <v>200000</v>
          </cell>
          <cell r="I55" t="str">
            <v>010-8859-2729</v>
          </cell>
        </row>
        <row r="56">
          <cell r="A56" t="str">
            <v>이영훈</v>
          </cell>
          <cell r="B56" t="str">
            <v>철근공</v>
          </cell>
          <cell r="C56" t="str">
            <v>941126-1055311</v>
          </cell>
          <cell r="D56" t="str">
            <v>서울 영등포구 도신로29길28</v>
          </cell>
          <cell r="E56" t="str">
            <v>중소기업</v>
          </cell>
          <cell r="F56" t="str">
            <v>이영훈</v>
          </cell>
          <cell r="G56" t="str">
            <v>570-020656-01-010</v>
          </cell>
          <cell r="H56">
            <v>200000</v>
          </cell>
          <cell r="I56" t="str">
            <v>010-9358-8464</v>
          </cell>
        </row>
        <row r="57">
          <cell r="A57" t="str">
            <v>박길환</v>
          </cell>
          <cell r="B57" t="str">
            <v>철근공</v>
          </cell>
          <cell r="C57" t="str">
            <v>671015-1920528</v>
          </cell>
          <cell r="D57" t="str">
            <v>충북 옥천 옥천읍 중앙로6길8</v>
          </cell>
          <cell r="E57" t="str">
            <v>중소기업</v>
          </cell>
          <cell r="F57" t="str">
            <v>박길환</v>
          </cell>
          <cell r="G57" t="str">
            <v>570-020656-01-010</v>
          </cell>
          <cell r="H57">
            <v>200000</v>
          </cell>
          <cell r="I57" t="str">
            <v>010-4486-7508</v>
          </cell>
        </row>
        <row r="58">
          <cell r="A58" t="str">
            <v>원용길</v>
          </cell>
          <cell r="B58" t="str">
            <v>철근공</v>
          </cell>
          <cell r="C58" t="str">
            <v>640220-5141993</v>
          </cell>
          <cell r="D58" t="str">
            <v>재외동포(F-4)</v>
          </cell>
          <cell r="E58" t="str">
            <v>중소기업</v>
          </cell>
          <cell r="F58" t="str">
            <v>원용길</v>
          </cell>
          <cell r="G58" t="str">
            <v>570-020656-01-010</v>
          </cell>
          <cell r="H58">
            <v>200000</v>
          </cell>
          <cell r="I58" t="str">
            <v>010-2293-0638</v>
          </cell>
        </row>
        <row r="59">
          <cell r="A59" t="str">
            <v>조갑성</v>
          </cell>
          <cell r="B59" t="str">
            <v>목공</v>
          </cell>
          <cell r="C59" t="str">
            <v>540619-1384810</v>
          </cell>
          <cell r="D59" t="str">
            <v>충북 옥천 옥천읍 문장로2길9</v>
          </cell>
          <cell r="E59" t="str">
            <v>우체국</v>
          </cell>
          <cell r="F59" t="str">
            <v>조갑성</v>
          </cell>
          <cell r="G59" t="str">
            <v>102434-02-170588</v>
          </cell>
          <cell r="H59">
            <v>200000</v>
          </cell>
          <cell r="I59" t="str">
            <v>010-3456-5927</v>
          </cell>
        </row>
        <row r="60">
          <cell r="A60" t="str">
            <v>박준용</v>
          </cell>
          <cell r="B60" t="str">
            <v>보통인부</v>
          </cell>
          <cell r="C60" t="str">
            <v>571003-1386215</v>
          </cell>
          <cell r="D60" t="str">
            <v>충북 영동군 영동읍 중앙로1길18</v>
          </cell>
          <cell r="E60" t="str">
            <v>농협</v>
          </cell>
          <cell r="F60" t="str">
            <v>박준용</v>
          </cell>
          <cell r="G60" t="str">
            <v>407034-52-068141</v>
          </cell>
          <cell r="H60">
            <v>150000</v>
          </cell>
        </row>
        <row r="61">
          <cell r="A61" t="str">
            <v>백경훈</v>
          </cell>
          <cell r="B61" t="str">
            <v>단순노무자</v>
          </cell>
          <cell r="C61" t="str">
            <v>850202-1386312</v>
          </cell>
          <cell r="D61" t="str">
            <v>충북 영동군 황간면 남성동3길27</v>
          </cell>
        </row>
        <row r="61">
          <cell r="F61" t="str">
            <v>백경훈</v>
          </cell>
        </row>
        <row r="61">
          <cell r="H61">
            <v>170000</v>
          </cell>
        </row>
        <row r="62">
          <cell r="A62" t="str">
            <v>이진권</v>
          </cell>
          <cell r="B62" t="str">
            <v>단순노무자</v>
          </cell>
          <cell r="C62" t="str">
            <v>610210-1238818</v>
          </cell>
          <cell r="D62" t="str">
            <v>경기도 연천군 전곡읍 전곡리 324-33세림빌라7동301호</v>
          </cell>
          <cell r="E62" t="str">
            <v>농협</v>
          </cell>
          <cell r="F62" t="str">
            <v>이진권</v>
          </cell>
          <cell r="G62" t="str">
            <v>356-0129-1298-13</v>
          </cell>
          <cell r="H62">
            <v>170000</v>
          </cell>
        </row>
        <row r="63">
          <cell r="B63" t="str">
            <v>단순노무자</v>
          </cell>
          <cell r="C63" t="str">
            <v>760715-1386710</v>
          </cell>
          <cell r="D63" t="str">
            <v>충북 영동군 영동읍금동로1길6,202호(혜성빌라)</v>
          </cell>
          <cell r="E63" t="str">
            <v>우체국</v>
          </cell>
        </row>
        <row r="63">
          <cell r="G63" t="str">
            <v>301515-02-072801</v>
          </cell>
          <cell r="H63">
            <v>160000</v>
          </cell>
        </row>
        <row r="64">
          <cell r="A64" t="str">
            <v>정광일</v>
          </cell>
          <cell r="B64" t="str">
            <v>철근공</v>
          </cell>
          <cell r="C64" t="str">
            <v>600220-1041824</v>
          </cell>
          <cell r="D64" t="str">
            <v>충북 옥천군 옥천읍 동부로16 101동301호(하늘빛아파트)</v>
          </cell>
          <cell r="E64" t="str">
            <v>농협</v>
          </cell>
          <cell r="F64" t="str">
            <v>정광일</v>
          </cell>
          <cell r="G64" t="str">
            <v>351-0883-3616-63</v>
          </cell>
          <cell r="H64">
            <v>200000</v>
          </cell>
        </row>
        <row r="65">
          <cell r="A65" t="str">
            <v>이윤건</v>
          </cell>
          <cell r="B65" t="str">
            <v>철근공</v>
          </cell>
          <cell r="C65" t="str">
            <v>630822-1229912</v>
          </cell>
          <cell r="D65" t="str">
            <v>충북 옥천군 군서면 성왕로 489-16</v>
          </cell>
          <cell r="E65" t="str">
            <v>농협</v>
          </cell>
          <cell r="F65" t="str">
            <v>이윤건</v>
          </cell>
          <cell r="G65" t="str">
            <v>351-0883-3616-63</v>
          </cell>
          <cell r="H65">
            <v>200000</v>
          </cell>
        </row>
        <row r="66">
          <cell r="A66" t="str">
            <v>박래일</v>
          </cell>
          <cell r="B66" t="str">
            <v>보통인부</v>
          </cell>
          <cell r="C66" t="str">
            <v>590108-1386126</v>
          </cell>
          <cell r="D66" t="str">
            <v>충북 영동군 영동읍 양산로7길 2가동106호(양지연립)</v>
          </cell>
          <cell r="E66" t="str">
            <v>농협</v>
          </cell>
          <cell r="F66" t="str">
            <v>박래일</v>
          </cell>
          <cell r="G66" t="str">
            <v>774-02-269271</v>
          </cell>
          <cell r="H66">
            <v>170000</v>
          </cell>
          <cell r="I66" t="str">
            <v>010-9405-6479</v>
          </cell>
        </row>
        <row r="67">
          <cell r="A67" t="str">
            <v>이정근</v>
          </cell>
          <cell r="B67" t="str">
            <v>보통인부</v>
          </cell>
          <cell r="C67" t="str">
            <v>590825-1386143</v>
          </cell>
          <cell r="D67" t="str">
            <v>충북 영동군 영동읍 계산리280</v>
          </cell>
          <cell r="E67" t="str">
            <v>우체국</v>
          </cell>
          <cell r="F67" t="str">
            <v>이정근</v>
          </cell>
          <cell r="G67" t="str">
            <v>300160-02-240447</v>
          </cell>
          <cell r="H67">
            <v>160000</v>
          </cell>
        </row>
        <row r="68">
          <cell r="A68" t="str">
            <v>육종필</v>
          </cell>
          <cell r="B68" t="str">
            <v>철근공</v>
          </cell>
          <cell r="C68" t="str">
            <v>681020-1384919</v>
          </cell>
          <cell r="D68" t="str">
            <v>충북 옥천군 옥천읍 장야리 313 장야1주공106-304</v>
          </cell>
          <cell r="E68" t="str">
            <v>중소기업</v>
          </cell>
          <cell r="F68" t="str">
            <v>육종필</v>
          </cell>
          <cell r="G68" t="str">
            <v>570-007217-02-013</v>
          </cell>
          <cell r="H68">
            <v>200000</v>
          </cell>
          <cell r="I68" t="str">
            <v>010-6800-2394</v>
          </cell>
        </row>
        <row r="69">
          <cell r="A69" t="str">
            <v>조기혁</v>
          </cell>
          <cell r="B69" t="str">
            <v>목공</v>
          </cell>
          <cell r="C69" t="str">
            <v>630523-1402713</v>
          </cell>
          <cell r="D69" t="str">
            <v>대전광역시 동구 우암로326번길57-1(가양동)</v>
          </cell>
          <cell r="E69" t="str">
            <v>농협</v>
          </cell>
          <cell r="F69" t="str">
            <v>조기혁</v>
          </cell>
          <cell r="G69" t="str">
            <v>356-1497-0677-43</v>
          </cell>
          <cell r="H69">
            <v>200000</v>
          </cell>
          <cell r="I69" t="str">
            <v>010-8623-6218</v>
          </cell>
        </row>
        <row r="70">
          <cell r="A70" t="str">
            <v>정일흥</v>
          </cell>
          <cell r="B70" t="str">
            <v>목공</v>
          </cell>
          <cell r="C70" t="str">
            <v>600605-1384810</v>
          </cell>
          <cell r="D70" t="str">
            <v>충북 옥천군 교서면 원전2길86-9</v>
          </cell>
          <cell r="E70" t="str">
            <v>농협</v>
          </cell>
          <cell r="F70" t="str">
            <v>정일흥</v>
          </cell>
          <cell r="G70" t="str">
            <v>352-1559-7324-93</v>
          </cell>
          <cell r="H70">
            <v>200000</v>
          </cell>
          <cell r="I70" t="str">
            <v>010-8843-0512</v>
          </cell>
        </row>
        <row r="71">
          <cell r="A71" t="str">
            <v>곽태</v>
          </cell>
          <cell r="B71" t="str">
            <v>목공</v>
          </cell>
          <cell r="C71" t="str">
            <v>551001-1448815</v>
          </cell>
          <cell r="D71" t="str">
            <v>충북 옥천군 옥천읍 중앙로1길 6-4602호</v>
          </cell>
          <cell r="E71" t="str">
            <v>농협</v>
          </cell>
          <cell r="F71" t="str">
            <v>곽태</v>
          </cell>
          <cell r="G71" t="str">
            <v>356-1434-8325-93</v>
          </cell>
          <cell r="H71">
            <v>200000</v>
          </cell>
          <cell r="I71" t="str">
            <v>0106423-3895</v>
          </cell>
        </row>
        <row r="72">
          <cell r="A72" t="str">
            <v>박세호</v>
          </cell>
          <cell r="B72" t="str">
            <v>보통인부</v>
          </cell>
          <cell r="C72" t="str">
            <v>641015-1386715</v>
          </cell>
          <cell r="D72" t="str">
            <v>충북 영동군 영동읍 동정로 47,103동 1303호</v>
          </cell>
          <cell r="E72" t="str">
            <v>농협</v>
          </cell>
          <cell r="F72" t="str">
            <v>박세호</v>
          </cell>
          <cell r="G72" t="str">
            <v>356-1193-1604-23</v>
          </cell>
          <cell r="H72">
            <v>160000</v>
          </cell>
          <cell r="I72" t="str">
            <v>010-3896-8077</v>
          </cell>
        </row>
        <row r="73">
          <cell r="A73" t="str">
            <v>정홍길</v>
          </cell>
          <cell r="B73" t="str">
            <v>목공</v>
          </cell>
          <cell r="C73" t="str">
            <v>821112-1384119</v>
          </cell>
          <cell r="D73" t="str">
            <v>충북 옥천군 옥천읍 대천길 159</v>
          </cell>
          <cell r="E73" t="str">
            <v>농협</v>
          </cell>
          <cell r="F73" t="str">
            <v>정홍길</v>
          </cell>
          <cell r="G73" t="str">
            <v>302-8622-0879-11</v>
          </cell>
          <cell r="H73">
            <v>200000</v>
          </cell>
          <cell r="I73" t="str">
            <v>010-8622-0879</v>
          </cell>
        </row>
        <row r="74">
          <cell r="A74" t="str">
            <v>백정숙</v>
          </cell>
          <cell r="B74" t="str">
            <v>목공</v>
          </cell>
          <cell r="C74" t="str">
            <v>550420-2789718</v>
          </cell>
          <cell r="D74" t="str">
            <v>충북 옥천군 옥천읍 대천길 549</v>
          </cell>
          <cell r="E74" t="str">
            <v>새마을금고</v>
          </cell>
          <cell r="F74" t="str">
            <v>백정숙</v>
          </cell>
          <cell r="G74" t="str">
            <v>4614-09-003672-7</v>
          </cell>
          <cell r="H74">
            <v>150000</v>
          </cell>
          <cell r="I74" t="str">
            <v>010-8843-</v>
          </cell>
        </row>
        <row r="75">
          <cell r="A75" t="str">
            <v>배태봉</v>
          </cell>
          <cell r="B75" t="str">
            <v>목공</v>
          </cell>
          <cell r="C75" t="str">
            <v>610303-1386748</v>
          </cell>
          <cell r="D75" t="str">
            <v>충북 영동군 영동읍 당곡로14-1</v>
          </cell>
          <cell r="E75" t="str">
            <v>우체국</v>
          </cell>
          <cell r="F75" t="str">
            <v>배태봉</v>
          </cell>
          <cell r="G75" t="str">
            <v>300160-02-231942</v>
          </cell>
          <cell r="H75">
            <v>200000</v>
          </cell>
        </row>
        <row r="76">
          <cell r="A76" t="str">
            <v>박재영</v>
          </cell>
          <cell r="B76" t="str">
            <v>굴삭기기사</v>
          </cell>
          <cell r="C76" t="str">
            <v>720815-1386721</v>
          </cell>
          <cell r="D76" t="str">
            <v>충북 옥천군 옥천읍 문장로2길 10, 304동 503호</v>
          </cell>
        </row>
        <row r="76">
          <cell r="F76" t="str">
            <v>박재영</v>
          </cell>
        </row>
        <row r="76">
          <cell r="H76">
            <v>150000</v>
          </cell>
        </row>
        <row r="77">
          <cell r="A77" t="str">
            <v>이관우</v>
          </cell>
          <cell r="B77" t="str">
            <v>철근공</v>
          </cell>
          <cell r="C77" t="str">
            <v>590920-1383021</v>
          </cell>
          <cell r="D77" t="str">
            <v>충북 보은군 보은읍 중초2길 20</v>
          </cell>
          <cell r="E77" t="str">
            <v>농협</v>
          </cell>
          <cell r="F77" t="str">
            <v>이관우</v>
          </cell>
          <cell r="G77" t="str">
            <v>118012-00-9732</v>
          </cell>
          <cell r="H77">
            <v>250000</v>
          </cell>
          <cell r="I77" t="str">
            <v>010-5464-3462</v>
          </cell>
        </row>
        <row r="78">
          <cell r="A78" t="str">
            <v>주문식</v>
          </cell>
          <cell r="B78" t="str">
            <v>목공</v>
          </cell>
          <cell r="C78" t="str">
            <v>650310-1392622</v>
          </cell>
          <cell r="D78" t="str">
            <v>청주시 상당구 영운천로 187번길 7-5</v>
          </cell>
          <cell r="E78" t="str">
            <v>농협</v>
          </cell>
          <cell r="F78" t="str">
            <v>주하정</v>
          </cell>
          <cell r="G78" t="str">
            <v>356-1247-9282-33</v>
          </cell>
          <cell r="H78">
            <v>250000</v>
          </cell>
        </row>
        <row r="79">
          <cell r="A79" t="str">
            <v>음희진</v>
          </cell>
          <cell r="B79" t="str">
            <v>목공</v>
          </cell>
          <cell r="C79" t="str">
            <v>591220-1392335</v>
          </cell>
          <cell r="D79" t="str">
            <v>청주시 흥덕구 장구봉로101번길27, 사랑동405호 (복대동,형석@)</v>
          </cell>
          <cell r="E79" t="str">
            <v>농협</v>
          </cell>
          <cell r="F79" t="str">
            <v>음희진</v>
          </cell>
          <cell r="G79" t="str">
            <v>401149-56-096884</v>
          </cell>
          <cell r="H79">
            <v>250000</v>
          </cell>
        </row>
        <row r="80">
          <cell r="A80" t="str">
            <v>지창기</v>
          </cell>
          <cell r="B80" t="str">
            <v>울타리공</v>
          </cell>
          <cell r="C80" t="str">
            <v>681022-1446910</v>
          </cell>
          <cell r="D80" t="str">
            <v>대전광역시 중구 대흥동 현대@ 7동 1101호</v>
          </cell>
        </row>
        <row r="80">
          <cell r="F80" t="str">
            <v>지창기</v>
          </cell>
        </row>
        <row r="80">
          <cell r="H80">
            <v>250000</v>
          </cell>
        </row>
        <row r="81">
          <cell r="A81" t="str">
            <v>김재수</v>
          </cell>
          <cell r="B81" t="str">
            <v>울타리공</v>
          </cell>
          <cell r="C81" t="str">
            <v>660202-1400210</v>
          </cell>
          <cell r="D81" t="str">
            <v>전북 무주군 부남면 유동길 7-4</v>
          </cell>
        </row>
        <row r="81">
          <cell r="F81" t="str">
            <v>김재수</v>
          </cell>
        </row>
        <row r="81">
          <cell r="H81">
            <v>250000</v>
          </cell>
        </row>
        <row r="82">
          <cell r="A82" t="str">
            <v>김동진</v>
          </cell>
          <cell r="B82" t="str">
            <v>울타리공</v>
          </cell>
          <cell r="C82" t="str">
            <v>980615-1094810</v>
          </cell>
          <cell r="D82" t="str">
            <v>전북 전주시  덕진구 명주5길 41</v>
          </cell>
          <cell r="E82" t="str">
            <v>우리</v>
          </cell>
          <cell r="F82" t="str">
            <v>김동진</v>
          </cell>
          <cell r="G82" t="str">
            <v>1002763162620</v>
          </cell>
          <cell r="H82">
            <v>155000</v>
          </cell>
          <cell r="I82" t="str">
            <v>010-5738-4795</v>
          </cell>
        </row>
        <row r="83">
          <cell r="A83" t="str">
            <v>이종호</v>
          </cell>
          <cell r="B83" t="str">
            <v>울타리공</v>
          </cell>
          <cell r="C83" t="str">
            <v>740211-1149313</v>
          </cell>
          <cell r="D83" t="str">
            <v>인천시 연수구 옥련동 642-1</v>
          </cell>
          <cell r="E83" t="str">
            <v>기업</v>
          </cell>
          <cell r="F83" t="str">
            <v>이종호</v>
          </cell>
          <cell r="G83" t="str">
            <v>1064340831</v>
          </cell>
          <cell r="H83">
            <v>155000</v>
          </cell>
          <cell r="I83" t="str">
            <v>010-6434-0831</v>
          </cell>
        </row>
        <row r="84">
          <cell r="A84" t="str">
            <v>청주건설기계
(오근장지게차,공항지게차)</v>
          </cell>
          <cell r="B84" t="str">
            <v>지게차</v>
          </cell>
          <cell r="C84" t="str">
            <v>490-40-00058</v>
          </cell>
          <cell r="D84" t="str">
            <v>농협010-8574-3343-09</v>
          </cell>
          <cell r="E84" t="str">
            <v>농협</v>
          </cell>
        </row>
        <row r="84">
          <cell r="G84" t="str">
            <v>010-8574-3343-09</v>
          </cell>
          <cell r="H84">
            <v>90000</v>
          </cell>
          <cell r="I84" t="str">
            <v>010-8574-3343</v>
          </cell>
        </row>
        <row r="85">
          <cell r="A85" t="str">
            <v>유상철</v>
          </cell>
          <cell r="B85" t="str">
            <v>울타리공</v>
          </cell>
          <cell r="C85" t="str">
            <v>780418-1411311</v>
          </cell>
          <cell r="D85" t="str">
            <v>인청광역시 남동구 간석동 188-7 203호</v>
          </cell>
          <cell r="E85" t="str">
            <v>농협</v>
          </cell>
          <cell r="F85" t="str">
            <v>유상철</v>
          </cell>
          <cell r="G85" t="str">
            <v>3020703001141</v>
          </cell>
          <cell r="H85">
            <v>180000</v>
          </cell>
          <cell r="I85" t="str">
            <v>010-8997-4235</v>
          </cell>
        </row>
        <row r="86">
          <cell r="A86" t="str">
            <v>박건진</v>
          </cell>
          <cell r="B86" t="str">
            <v>울타리공</v>
          </cell>
          <cell r="C86" t="str">
            <v>730926-1182618</v>
          </cell>
          <cell r="D86" t="str">
            <v>인천시 연수구 옥련동 642-139</v>
          </cell>
          <cell r="E86" t="str">
            <v>신한</v>
          </cell>
          <cell r="F86" t="str">
            <v>박건진</v>
          </cell>
          <cell r="G86" t="str">
            <v>110531618208</v>
          </cell>
          <cell r="H86">
            <v>150000</v>
          </cell>
          <cell r="I86" t="str">
            <v>010-2520-9629</v>
          </cell>
        </row>
        <row r="87">
          <cell r="A87" t="str">
            <v>김도운</v>
          </cell>
          <cell r="B87" t="str">
            <v>울타리공</v>
          </cell>
          <cell r="C87" t="str">
            <v>980424-1042216</v>
          </cell>
          <cell r="D87" t="str">
            <v>경기도 부천시 삼적로 395번길8 502호</v>
          </cell>
          <cell r="E87" t="str">
            <v>카카오뱅크</v>
          </cell>
          <cell r="F87" t="str">
            <v>김도운</v>
          </cell>
          <cell r="G87" t="str">
            <v>3333-16-5110770</v>
          </cell>
          <cell r="H87">
            <v>140000</v>
          </cell>
          <cell r="I87" t="str">
            <v>010-4856-8783</v>
          </cell>
        </row>
        <row r="88">
          <cell r="A88" t="str">
            <v>최진영</v>
          </cell>
          <cell r="B88" t="str">
            <v>울타리공</v>
          </cell>
          <cell r="C88" t="str">
            <v>830808-1273513</v>
          </cell>
          <cell r="D88" t="str">
            <v>경기도 군포시 군포로 767번길 35 </v>
          </cell>
          <cell r="E88" t="str">
            <v>신한</v>
          </cell>
          <cell r="F88" t="str">
            <v>최진영</v>
          </cell>
          <cell r="G88" t="str">
            <v>110309789591</v>
          </cell>
          <cell r="H88">
            <v>165000</v>
          </cell>
          <cell r="I88" t="str">
            <v>010-2537-9954</v>
          </cell>
        </row>
        <row r="89">
          <cell r="A89" t="str">
            <v>조영준</v>
          </cell>
          <cell r="B89" t="str">
            <v>울타리공</v>
          </cell>
          <cell r="C89" t="str">
            <v>890115-1673921</v>
          </cell>
          <cell r="D89" t="str">
            <v>대구광역시 달서구 상화로373.202동214호</v>
          </cell>
          <cell r="E89" t="str">
            <v>대구</v>
          </cell>
          <cell r="F89" t="str">
            <v>조영준</v>
          </cell>
          <cell r="G89" t="str">
            <v>508116402427</v>
          </cell>
          <cell r="H89">
            <v>135000</v>
          </cell>
          <cell r="I89" t="str">
            <v>010-2523-2611</v>
          </cell>
        </row>
        <row r="90">
          <cell r="A90" t="str">
            <v>정해용</v>
          </cell>
          <cell r="B90" t="str">
            <v>울타리공</v>
          </cell>
          <cell r="C90" t="str">
            <v>880309-1144517</v>
          </cell>
          <cell r="D90" t="str">
            <v>인천광역시시 미추홀구 도화동 6-26</v>
          </cell>
          <cell r="E90" t="str">
            <v>국민</v>
          </cell>
          <cell r="F90" t="str">
            <v>정해용</v>
          </cell>
          <cell r="G90" t="str">
            <v>722125-95-102456</v>
          </cell>
          <cell r="H90">
            <v>165000</v>
          </cell>
        </row>
        <row r="91">
          <cell r="A91" t="str">
            <v>박동호</v>
          </cell>
          <cell r="B91" t="str">
            <v>울타리공</v>
          </cell>
          <cell r="C91" t="str">
            <v>740123-1150216</v>
          </cell>
          <cell r="D91" t="str">
            <v>인천광역시 연수구 학나래로34, 101동501호</v>
          </cell>
          <cell r="E91" t="str">
            <v>신한</v>
          </cell>
          <cell r="F91" t="str">
            <v>박동호</v>
          </cell>
          <cell r="G91" t="str">
            <v>110388363575</v>
          </cell>
          <cell r="H91">
            <v>250000</v>
          </cell>
        </row>
        <row r="92">
          <cell r="A92" t="str">
            <v>이동헌</v>
          </cell>
          <cell r="B92" t="str">
            <v>울타리공</v>
          </cell>
          <cell r="C92" t="str">
            <v>900614-1674812</v>
          </cell>
          <cell r="D92" t="str">
            <v>인천광역시 부평구 부평대로 95</v>
          </cell>
          <cell r="E92" t="str">
            <v>새마을금고</v>
          </cell>
          <cell r="F92" t="str">
            <v>이동헌</v>
          </cell>
          <cell r="G92" t="str">
            <v>9002172373929</v>
          </cell>
          <cell r="H92">
            <v>230000</v>
          </cell>
          <cell r="I92" t="str">
            <v>010-4682-4812</v>
          </cell>
        </row>
        <row r="93">
          <cell r="A93" t="str">
            <v>김경윤</v>
          </cell>
          <cell r="B93" t="str">
            <v>울타리공</v>
          </cell>
          <cell r="C93">
            <v>19981119</v>
          </cell>
        </row>
        <row r="93">
          <cell r="E93" t="str">
            <v>국민</v>
          </cell>
          <cell r="F93" t="str">
            <v>김경윤</v>
          </cell>
          <cell r="G93" t="str">
            <v>722125-95-102456</v>
          </cell>
          <cell r="H93">
            <v>165000</v>
          </cell>
        </row>
        <row r="94">
          <cell r="A94" t="str">
            <v>지봉수</v>
          </cell>
        </row>
        <row r="94">
          <cell r="C94" t="str">
            <v>871003-</v>
          </cell>
          <cell r="D94" t="str">
            <v>충북 증평군 도안면 탑골길 1-22</v>
          </cell>
        </row>
        <row r="95">
          <cell r="A95" t="str">
            <v>이기영</v>
          </cell>
        </row>
        <row r="95">
          <cell r="C95" t="str">
            <v>580824-1390815</v>
          </cell>
          <cell r="D95" t="str">
            <v>충청북도 증평군 도안면 탑골길 1-22</v>
          </cell>
          <cell r="E95" t="str">
            <v>국민</v>
          </cell>
          <cell r="F95" t="str">
            <v>삼일용역</v>
          </cell>
          <cell r="G95" t="str">
            <v>722125-95-102456</v>
          </cell>
          <cell r="H95">
            <v>165000</v>
          </cell>
          <cell r="I95" t="str">
            <v>010-9345-3633</v>
          </cell>
        </row>
        <row r="96">
          <cell r="A96" t="str">
            <v>조남부</v>
          </cell>
        </row>
        <row r="96">
          <cell r="C96" t="str">
            <v>600417-1458432</v>
          </cell>
          <cell r="D96" t="str">
            <v>충북 청원군 낭성면 관정길 180-1</v>
          </cell>
          <cell r="E96" t="str">
            <v>국민</v>
          </cell>
          <cell r="F96" t="str">
            <v>삼일용역</v>
          </cell>
          <cell r="G96" t="str">
            <v>722125-95-102456</v>
          </cell>
          <cell r="H96">
            <v>165000</v>
          </cell>
        </row>
        <row r="97">
          <cell r="A97" t="str">
            <v>임종길</v>
          </cell>
        </row>
        <row r="97">
          <cell r="C97" t="str">
            <v>611204-1346019</v>
          </cell>
          <cell r="D97" t="str">
            <v>경상남도 고성군 거류면 화당2길 21-10</v>
          </cell>
          <cell r="E97" t="str">
            <v>국민</v>
          </cell>
          <cell r="F97" t="str">
            <v>삼일용역</v>
          </cell>
          <cell r="G97" t="str">
            <v>722125-95-102456</v>
          </cell>
          <cell r="H97">
            <v>175000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공문 (노무비)"/>
      <sheetName val="청구서"/>
      <sheetName val="청구내역서"/>
      <sheetName val="청구서(계약)"/>
      <sheetName val="25년04월"/>
      <sheetName val="일용직명단"/>
      <sheetName val="근로자목록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오정만</v>
          </cell>
          <cell r="B3" t="str">
            <v>직영인부</v>
          </cell>
          <cell r="C3" t="str">
            <v>520205-1057335</v>
          </cell>
          <cell r="D3" t="str">
            <v>충북 영동군 학산면 모산1길 16-14</v>
          </cell>
          <cell r="E3" t="str">
            <v>농협</v>
          </cell>
          <cell r="F3" t="str">
            <v>오정만</v>
          </cell>
          <cell r="G3" t="str">
            <v>302-0809-4379-11</v>
          </cell>
          <cell r="H3">
            <v>120000</v>
          </cell>
          <cell r="I3" t="str">
            <v>010-5334-6133</v>
          </cell>
        </row>
        <row r="3">
          <cell r="K3" t="str">
            <v>29164</v>
          </cell>
        </row>
        <row r="4">
          <cell r="A4" t="str">
            <v>금걸</v>
          </cell>
          <cell r="B4" t="str">
            <v>보통인부</v>
          </cell>
          <cell r="C4" t="str">
            <v>640415-1384716</v>
          </cell>
          <cell r="D4" t="str">
            <v>충북 옥천군 이원면 건진리 630-8</v>
          </cell>
          <cell r="E4" t="str">
            <v>국민</v>
          </cell>
          <cell r="F4" t="str">
            <v>금걸</v>
          </cell>
          <cell r="G4" t="str">
            <v> 405-21-0020-797</v>
          </cell>
          <cell r="H4">
            <v>160000</v>
          </cell>
          <cell r="I4" t="str">
            <v>010-9207-4425</v>
          </cell>
        </row>
        <row r="4">
          <cell r="K4" t="str">
            <v>29061</v>
          </cell>
        </row>
        <row r="5">
          <cell r="A5" t="str">
            <v>주도현</v>
          </cell>
          <cell r="B5" t="str">
            <v>보통인부</v>
          </cell>
          <cell r="C5" t="str">
            <v>990511-1384718</v>
          </cell>
          <cell r="D5" t="str">
            <v> 충북 옥천군 이원면 지탄6길 24</v>
          </cell>
          <cell r="E5" t="str">
            <v>농협</v>
          </cell>
          <cell r="F5" t="str">
            <v>주도현</v>
          </cell>
          <cell r="G5" t="str">
            <v> 351-1021-5063-63</v>
          </cell>
          <cell r="H5">
            <v>120000</v>
          </cell>
          <cell r="I5" t="str">
            <v>010-5402-6851</v>
          </cell>
        </row>
        <row r="5">
          <cell r="K5" t="str">
            <v>29062</v>
          </cell>
        </row>
        <row r="6">
          <cell r="A6" t="str">
            <v>채청기</v>
          </cell>
          <cell r="B6" t="str">
            <v>작업반장</v>
          </cell>
          <cell r="C6" t="str">
            <v>611117-1644319</v>
          </cell>
          <cell r="D6" t="str">
            <v> 충북 영동군 매천1길 11-10</v>
          </cell>
          <cell r="E6" t="str">
            <v>농협</v>
          </cell>
          <cell r="F6" t="str">
            <v>채청기</v>
          </cell>
          <cell r="G6" t="str">
            <v>403063-51-043152</v>
          </cell>
          <cell r="H6">
            <v>200000</v>
          </cell>
          <cell r="I6" t="str">
            <v>010-7357-9166</v>
          </cell>
        </row>
        <row r="7">
          <cell r="A7" t="str">
            <v>채성진</v>
          </cell>
          <cell r="B7" t="str">
            <v>보통인부</v>
          </cell>
          <cell r="C7" t="str">
            <v>930707-1386119</v>
          </cell>
          <cell r="D7" t="str">
            <v> 충북 영동군 영동읍 매천1길 11-10</v>
          </cell>
          <cell r="E7" t="str">
            <v>농협</v>
          </cell>
          <cell r="F7" t="str">
            <v>채성진</v>
          </cell>
          <cell r="G7" t="str">
            <v>356-0214-5208-83</v>
          </cell>
          <cell r="H7">
            <v>140000</v>
          </cell>
          <cell r="I7" t="str">
            <v>010-2842-9171</v>
          </cell>
        </row>
        <row r="7">
          <cell r="K7" t="str">
            <v>29150</v>
          </cell>
        </row>
        <row r="8">
          <cell r="A8" t="str">
            <v>이준호</v>
          </cell>
          <cell r="B8" t="str">
            <v>보통인부</v>
          </cell>
          <cell r="C8" t="str">
            <v>680526-1167726</v>
          </cell>
          <cell r="D8" t="str">
            <v> 충북 영동군 영동읍 성안길 20-7</v>
          </cell>
          <cell r="E8" t="str">
            <v>농협</v>
          </cell>
          <cell r="F8" t="str">
            <v>이준호</v>
          </cell>
          <cell r="G8" t="str">
            <v>356-0927-9268-73</v>
          </cell>
          <cell r="H8">
            <v>160000</v>
          </cell>
          <cell r="I8" t="str">
            <v>010-7324-3090</v>
          </cell>
        </row>
        <row r="8">
          <cell r="K8" t="str">
            <v>29149</v>
          </cell>
        </row>
        <row r="9">
          <cell r="A9" t="str">
            <v>박희석</v>
          </cell>
          <cell r="B9" t="str">
            <v>목공</v>
          </cell>
          <cell r="C9" t="str">
            <v>620320-1386717</v>
          </cell>
          <cell r="D9" t="str">
            <v> 충북 영동군 양강면 남전2안길 4-16</v>
          </cell>
          <cell r="E9" t="str">
            <v>농협</v>
          </cell>
          <cell r="F9" t="str">
            <v>박희석</v>
          </cell>
          <cell r="G9" t="str">
            <v>407023-52-023453</v>
          </cell>
          <cell r="H9">
            <v>180000</v>
          </cell>
          <cell r="I9" t="str">
            <v>010-3033-5024</v>
          </cell>
        </row>
        <row r="9">
          <cell r="K9" t="str">
            <v>29155</v>
          </cell>
        </row>
        <row r="10">
          <cell r="A10" t="str">
            <v>박희원</v>
          </cell>
          <cell r="B10" t="str">
            <v>목공</v>
          </cell>
          <cell r="C10" t="str">
            <v>591208-1386711</v>
          </cell>
          <cell r="D10" t="str">
            <v> 충북 영동군 양강면 남전2안길 4-17</v>
          </cell>
          <cell r="E10" t="str">
            <v>농협</v>
          </cell>
          <cell r="F10" t="str">
            <v>박희원</v>
          </cell>
          <cell r="G10" t="str">
            <v>352-1445-5223-63</v>
          </cell>
          <cell r="H10">
            <v>180000</v>
          </cell>
          <cell r="I10" t="str">
            <v>010-5461-8445</v>
          </cell>
        </row>
        <row r="10">
          <cell r="K10" t="str">
            <v>29155</v>
          </cell>
        </row>
        <row r="11">
          <cell r="A11" t="str">
            <v>김주열</v>
          </cell>
          <cell r="B11" t="str">
            <v>철근공</v>
          </cell>
          <cell r="C11" t="str">
            <v>661109-1384112</v>
          </cell>
          <cell r="D11" t="str">
            <v>충북 옥천군 옥천읍 관성로 29</v>
          </cell>
          <cell r="E11" t="str">
            <v>중소기업</v>
          </cell>
          <cell r="F11" t="str">
            <v>김주열</v>
          </cell>
          <cell r="G11" t="str">
            <v>010-5454-1383</v>
          </cell>
          <cell r="H11">
            <v>240000</v>
          </cell>
          <cell r="I11" t="str">
            <v>010-5454-1383</v>
          </cell>
        </row>
        <row r="11">
          <cell r="K11" t="str">
            <v>29039</v>
          </cell>
        </row>
        <row r="12">
          <cell r="A12" t="str">
            <v>김덕환</v>
          </cell>
          <cell r="B12" t="str">
            <v>철근공</v>
          </cell>
          <cell r="C12" t="str">
            <v>671203-1386930</v>
          </cell>
          <cell r="D12" t="str">
            <v>충북 옥천군 옥천읍 신기4길16,a동102</v>
          </cell>
          <cell r="E12" t="str">
            <v>농협</v>
          </cell>
          <cell r="F12" t="str">
            <v>김덕환</v>
          </cell>
          <cell r="G12" t="str">
            <v>356-0961-2797-13</v>
          </cell>
          <cell r="H12">
            <v>200000</v>
          </cell>
          <cell r="I12" t="str">
            <v>010-9422-5581</v>
          </cell>
        </row>
        <row r="13">
          <cell r="A13" t="str">
            <v>김동진1</v>
          </cell>
          <cell r="B13" t="str">
            <v>철근공</v>
          </cell>
          <cell r="C13" t="str">
            <v>740215-1384136</v>
          </cell>
          <cell r="D13" t="str">
            <v>충북 옥천군 옥천읍 성신로21-10</v>
          </cell>
          <cell r="E13" t="str">
            <v>농협</v>
          </cell>
        </row>
        <row r="13">
          <cell r="G13" t="str">
            <v>317-02-252767</v>
          </cell>
          <cell r="H13">
            <v>240000</v>
          </cell>
          <cell r="I13" t="str">
            <v>010-4569-4810</v>
          </cell>
        </row>
        <row r="13">
          <cell r="K13" t="str">
            <v>29048</v>
          </cell>
        </row>
        <row r="14">
          <cell r="A14" t="str">
            <v>이영철</v>
          </cell>
          <cell r="B14" t="str">
            <v>철근공</v>
          </cell>
          <cell r="C14" t="str">
            <v>650222-1384139</v>
          </cell>
          <cell r="D14" t="str">
            <v>충북 옥천군 옥천읍 가화3길18,101동105호</v>
          </cell>
          <cell r="E14" t="str">
            <v>농협</v>
          </cell>
          <cell r="F14" t="str">
            <v>이영철</v>
          </cell>
          <cell r="G14" t="str">
            <v>317-12-395296</v>
          </cell>
          <cell r="H14">
            <v>240000</v>
          </cell>
          <cell r="I14" t="str">
            <v>010-5405-3976</v>
          </cell>
        </row>
        <row r="14">
          <cell r="K14" t="str">
            <v>29034</v>
          </cell>
        </row>
        <row r="15">
          <cell r="A15" t="str">
            <v>박용옥</v>
          </cell>
          <cell r="B15" t="str">
            <v>철근공</v>
          </cell>
          <cell r="C15" t="str">
            <v>580304-1384211</v>
          </cell>
          <cell r="D15" t="str">
            <v>충북 옥천군 옥천읍 금구리18-2</v>
          </cell>
          <cell r="E15" t="str">
            <v>농협</v>
          </cell>
          <cell r="F15" t="str">
            <v>박용옥</v>
          </cell>
          <cell r="G15" t="str">
            <v>317-12-351368</v>
          </cell>
          <cell r="H15">
            <v>240000</v>
          </cell>
          <cell r="I15" t="str">
            <v>010-6438-1661</v>
          </cell>
        </row>
        <row r="15">
          <cell r="K15" t="str">
            <v>29046</v>
          </cell>
        </row>
        <row r="16">
          <cell r="A16" t="str">
            <v>박종복</v>
          </cell>
          <cell r="B16" t="str">
            <v>철근공</v>
          </cell>
          <cell r="C16" t="str">
            <v>561005-1384211</v>
          </cell>
          <cell r="D16" t="str">
            <v>충북 옥천군 옥천읍 동부로16,102동901</v>
          </cell>
          <cell r="E16" t="str">
            <v>농협</v>
          </cell>
          <cell r="F16" t="str">
            <v>박종복</v>
          </cell>
          <cell r="G16" t="str">
            <v>302-0299-7809-11</v>
          </cell>
          <cell r="H16">
            <v>240000</v>
          </cell>
          <cell r="I16" t="str">
            <v>010-5457-5297</v>
          </cell>
        </row>
        <row r="16">
          <cell r="K16" t="str">
            <v>29039</v>
          </cell>
        </row>
        <row r="17">
          <cell r="A17" t="str">
            <v>김일용</v>
          </cell>
          <cell r="B17" t="str">
            <v>철근공</v>
          </cell>
          <cell r="C17" t="str">
            <v>580211-1403112</v>
          </cell>
          <cell r="D17" t="str">
            <v>충북 옥천군 옥천읍 신기4길18,나동201호</v>
          </cell>
          <cell r="E17" t="str">
            <v>새마을금고</v>
          </cell>
          <cell r="F17" t="str">
            <v>김일용</v>
          </cell>
          <cell r="G17" t="str">
            <v>9003-2149-2059-6</v>
          </cell>
          <cell r="H17">
            <v>200000</v>
          </cell>
          <cell r="I17" t="str">
            <v>010-9439-5026</v>
          </cell>
        </row>
        <row r="17">
          <cell r="K17" t="str">
            <v>29049</v>
          </cell>
        </row>
        <row r="18">
          <cell r="A18" t="str">
            <v>김일호</v>
          </cell>
          <cell r="B18" t="str">
            <v>보통인부</v>
          </cell>
          <cell r="C18" t="str">
            <v>600413-1386324</v>
          </cell>
          <cell r="D18" t="str">
            <v>충북 영동군 황간면 마산리109</v>
          </cell>
          <cell r="E18" t="str">
            <v>농협</v>
          </cell>
          <cell r="F18" t="str">
            <v>김일호</v>
          </cell>
          <cell r="G18" t="str">
            <v>407089-52-142573</v>
          </cell>
          <cell r="H18">
            <v>130000</v>
          </cell>
          <cell r="I18" t="str">
            <v>010-3060-5145</v>
          </cell>
        </row>
        <row r="18">
          <cell r="K18" t="str">
            <v>29114</v>
          </cell>
        </row>
        <row r="19">
          <cell r="A19" t="str">
            <v>정재인</v>
          </cell>
          <cell r="B19" t="str">
            <v>목공</v>
          </cell>
          <cell r="C19" t="str">
            <v>580217-1384115</v>
          </cell>
          <cell r="D19" t="str">
            <v>충북 옥천군 옥천읍 성신로27B동101호</v>
          </cell>
          <cell r="E19" t="str">
            <v>농협</v>
          </cell>
          <cell r="F19" t="str">
            <v>정재인</v>
          </cell>
          <cell r="G19" t="str">
            <v>405010-51-123375</v>
          </cell>
          <cell r="H19">
            <v>200000</v>
          </cell>
          <cell r="I19" t="str">
            <v>010-5493-3436</v>
          </cell>
        </row>
        <row r="20">
          <cell r="A20" t="str">
            <v>정백교</v>
          </cell>
          <cell r="B20" t="str">
            <v>목공</v>
          </cell>
          <cell r="C20" t="str">
            <v>561220-1812524</v>
          </cell>
          <cell r="D20" t="str">
            <v>대전광역시 동구 대동 33-119</v>
          </cell>
          <cell r="E20" t="str">
            <v>국민</v>
          </cell>
          <cell r="F20" t="str">
            <v>정백교</v>
          </cell>
          <cell r="G20" t="str">
            <v>734402-01-012660</v>
          </cell>
          <cell r="H20">
            <v>200000</v>
          </cell>
          <cell r="I20" t="str">
            <v>010-5408-8423</v>
          </cell>
        </row>
        <row r="21">
          <cell r="A21" t="str">
            <v>공양록</v>
          </cell>
          <cell r="B21" t="str">
            <v>목공</v>
          </cell>
          <cell r="C21" t="str">
            <v>570505-1384112</v>
          </cell>
          <cell r="D21" t="str">
            <v>충북 옥천군 옥천읍 대천557-1   25</v>
          </cell>
          <cell r="E21" t="str">
            <v>국민</v>
          </cell>
          <cell r="F21" t="str">
            <v>공양록</v>
          </cell>
          <cell r="G21" t="str">
            <v>405-21-0588-793</v>
          </cell>
          <cell r="H21">
            <v>200000</v>
          </cell>
          <cell r="I21" t="str">
            <v>010-3456-5927</v>
          </cell>
        </row>
        <row r="22">
          <cell r="A22" t="str">
            <v>이정열</v>
          </cell>
          <cell r="B22" t="str">
            <v>목공</v>
          </cell>
          <cell r="C22" t="str">
            <v>590820-1384819</v>
          </cell>
          <cell r="D22" t="str">
            <v>충북 옥천군 옥천읍 중앙로2길24</v>
          </cell>
          <cell r="E22" t="str">
            <v>농협</v>
          </cell>
          <cell r="F22" t="str">
            <v>이정열</v>
          </cell>
          <cell r="G22" t="str">
            <v>356-1330-1383-03</v>
          </cell>
          <cell r="H22">
            <v>200000</v>
          </cell>
          <cell r="I22" t="str">
            <v>011-464-4388</v>
          </cell>
        </row>
        <row r="22">
          <cell r="K22" t="str">
            <v>29047</v>
          </cell>
        </row>
        <row r="23">
          <cell r="A23" t="str">
            <v>정경섭</v>
          </cell>
          <cell r="B23" t="str">
            <v>목공</v>
          </cell>
          <cell r="C23" t="str">
            <v>580319-1254218</v>
          </cell>
          <cell r="D23" t="str">
            <v>충북 옥천군 동이면 남곡리151</v>
          </cell>
          <cell r="E23" t="str">
            <v>농협</v>
          </cell>
          <cell r="F23" t="str">
            <v>정경섭</v>
          </cell>
          <cell r="G23" t="str">
            <v>173128-52-132419</v>
          </cell>
          <cell r="H23">
            <v>200000</v>
          </cell>
          <cell r="I23" t="str">
            <v>010-8808-1863</v>
          </cell>
        </row>
        <row r="23">
          <cell r="K23" t="str">
            <v>29021</v>
          </cell>
        </row>
        <row r="24">
          <cell r="A24" t="str">
            <v>이종선</v>
          </cell>
          <cell r="B24" t="str">
            <v>목공</v>
          </cell>
          <cell r="C24" t="str">
            <v>620315-1382711</v>
          </cell>
          <cell r="D24" t="str">
            <v>충북 보은군 수한면 차정리99-1</v>
          </cell>
          <cell r="E24" t="str">
            <v>농협</v>
          </cell>
          <cell r="F24" t="str">
            <v>이종선</v>
          </cell>
          <cell r="G24" t="str">
            <v>356-0638-7963-13</v>
          </cell>
          <cell r="H24">
            <v>200000</v>
          </cell>
          <cell r="I24" t="str">
            <v>010-3456-5927</v>
          </cell>
        </row>
        <row r="24">
          <cell r="K24" t="str">
            <v>28919</v>
          </cell>
        </row>
        <row r="25">
          <cell r="A25" t="str">
            <v>황인호</v>
          </cell>
          <cell r="B25" t="str">
            <v>목공</v>
          </cell>
          <cell r="C25" t="str">
            <v>570625-1384117</v>
          </cell>
          <cell r="D25" t="str">
            <v>대전 동구 자양35-14</v>
          </cell>
          <cell r="E25" t="str">
            <v>농협</v>
          </cell>
          <cell r="F25" t="str">
            <v>황인호</v>
          </cell>
          <cell r="G25" t="str">
            <v>356-1420-1868-53</v>
          </cell>
          <cell r="H25">
            <v>200000</v>
          </cell>
          <cell r="I25" t="str">
            <v>010-9874-7747</v>
          </cell>
        </row>
        <row r="26">
          <cell r="A26" t="str">
            <v>공양호</v>
          </cell>
          <cell r="B26" t="str">
            <v>목공</v>
          </cell>
          <cell r="C26" t="str">
            <v>620302-1384112</v>
          </cell>
          <cell r="D26" t="str">
            <v>충북 옥천군 옥천읍 장이1길1005호</v>
          </cell>
          <cell r="E26" t="str">
            <v>농협</v>
          </cell>
          <cell r="F26" t="str">
            <v>공양호</v>
          </cell>
          <cell r="G26" t="str">
            <v>356-1307-5702-93</v>
          </cell>
          <cell r="H26">
            <v>200000</v>
          </cell>
          <cell r="I26" t="str">
            <v>010-5450-2276</v>
          </cell>
        </row>
        <row r="27">
          <cell r="A27" t="str">
            <v>김홍성</v>
          </cell>
          <cell r="B27" t="str">
            <v>목공</v>
          </cell>
          <cell r="C27" t="str">
            <v>490418-1447611</v>
          </cell>
          <cell r="D27" t="str">
            <v>대전 대덕구 대덕대로1601번길40</v>
          </cell>
          <cell r="E27" t="str">
            <v>농협</v>
          </cell>
          <cell r="F27" t="str">
            <v>김홍성</v>
          </cell>
          <cell r="G27" t="str">
            <v>352-1448-3038-13</v>
          </cell>
          <cell r="H27">
            <v>200000</v>
          </cell>
          <cell r="I27" t="str">
            <v>010-5609-4913</v>
          </cell>
        </row>
        <row r="27">
          <cell r="K27" t="str">
            <v>34305</v>
          </cell>
        </row>
        <row r="28">
          <cell r="A28" t="str">
            <v>남상길</v>
          </cell>
          <cell r="B28" t="str">
            <v>목공</v>
          </cell>
          <cell r="C28" t="str">
            <v>550719-1805215</v>
          </cell>
          <cell r="D28" t="str">
            <v>충북 옥천군 옥천읍 서정1길5-40</v>
          </cell>
          <cell r="E28" t="str">
            <v>농협</v>
          </cell>
          <cell r="F28" t="str">
            <v>남상길</v>
          </cell>
          <cell r="G28" t="str">
            <v>356-1314-4411-13</v>
          </cell>
          <cell r="H28">
            <v>200000</v>
          </cell>
          <cell r="I28" t="str">
            <v>010-8826-8939</v>
          </cell>
        </row>
        <row r="28">
          <cell r="K28" t="str">
            <v>29025</v>
          </cell>
        </row>
        <row r="29">
          <cell r="A29" t="str">
            <v>최성환</v>
          </cell>
          <cell r="B29" t="str">
            <v>철근공</v>
          </cell>
          <cell r="C29" t="str">
            <v>660710-1386211</v>
          </cell>
          <cell r="D29" t="str">
            <v>충북 옥천군 옥천읍 삼양로2길 6-4</v>
          </cell>
          <cell r="E29" t="str">
            <v>중소기업</v>
          </cell>
          <cell r="F29" t="str">
            <v>최성환</v>
          </cell>
          <cell r="G29" t="str">
            <v>570-000536-02-026</v>
          </cell>
          <cell r="H29">
            <v>200000</v>
          </cell>
          <cell r="I29" t="str">
            <v>010-6641-6613</v>
          </cell>
        </row>
        <row r="29">
          <cell r="K29" t="str">
            <v>29032</v>
          </cell>
        </row>
        <row r="30">
          <cell r="A30" t="str">
            <v>진수영</v>
          </cell>
          <cell r="B30" t="str">
            <v>철근공</v>
          </cell>
          <cell r="C30" t="str">
            <v>550928-1384216</v>
          </cell>
          <cell r="D30" t="str">
            <v>충북 옥천군 동이면 무산리657</v>
          </cell>
          <cell r="E30" t="str">
            <v>신협</v>
          </cell>
          <cell r="F30" t="str">
            <v>진수영</v>
          </cell>
          <cell r="G30" t="str">
            <v>131-015-480063</v>
          </cell>
          <cell r="H30">
            <v>200000</v>
          </cell>
          <cell r="I30" t="str">
            <v>010-4352-2174</v>
          </cell>
        </row>
        <row r="31">
          <cell r="A31" t="str">
            <v>김종덕</v>
          </cell>
          <cell r="B31" t="str">
            <v>철근공</v>
          </cell>
          <cell r="C31" t="str">
            <v>551120-1449514</v>
          </cell>
          <cell r="D31" t="str">
            <v>대전 광역시 중구 유천동 340-51</v>
          </cell>
          <cell r="E31" t="str">
            <v>국민</v>
          </cell>
          <cell r="F31" t="str">
            <v>김종덕</v>
          </cell>
          <cell r="G31" t="str">
            <v>460001-04-016552</v>
          </cell>
          <cell r="H31">
            <v>200000</v>
          </cell>
          <cell r="I31" t="str">
            <v>010-3418-1669</v>
          </cell>
        </row>
        <row r="32">
          <cell r="A32" t="str">
            <v>김용근</v>
          </cell>
          <cell r="B32" t="str">
            <v>철근공</v>
          </cell>
          <cell r="C32" t="str">
            <v>491010-1403113</v>
          </cell>
          <cell r="D32" t="str">
            <v>충북 옥천군 동이면 무산리658</v>
          </cell>
          <cell r="E32" t="str">
            <v>국민</v>
          </cell>
          <cell r="F32" t="str">
            <v>김용근</v>
          </cell>
          <cell r="G32" t="str">
            <v>740902-93-109270</v>
          </cell>
          <cell r="H32">
            <v>200000</v>
          </cell>
          <cell r="I32" t="str">
            <v>010-5456-3529</v>
          </cell>
        </row>
        <row r="33">
          <cell r="A33" t="str">
            <v>윤진한</v>
          </cell>
          <cell r="B33" t="str">
            <v>석공</v>
          </cell>
          <cell r="C33" t="str">
            <v>760224-1386921</v>
          </cell>
          <cell r="D33" t="str">
            <v>충북 영동군 영동읍 계산리 197-2</v>
          </cell>
          <cell r="E33" t="str">
            <v>농협</v>
          </cell>
          <cell r="F33" t="str">
            <v>윤진한</v>
          </cell>
          <cell r="G33" t="str">
            <v>356-0991-0651-23</v>
          </cell>
          <cell r="H33">
            <v>250000</v>
          </cell>
          <cell r="I33" t="str">
            <v>010-7360-3345</v>
          </cell>
        </row>
        <row r="33">
          <cell r="K33" t="str">
            <v>29139</v>
          </cell>
        </row>
        <row r="34">
          <cell r="A34" t="str">
            <v>권오득</v>
          </cell>
          <cell r="B34" t="str">
            <v>보통인부</v>
          </cell>
          <cell r="C34" t="str">
            <v>640529-1386416</v>
          </cell>
          <cell r="D34" t="str">
            <v>충북영동군추풍령면추풍령로9길10-2</v>
          </cell>
          <cell r="E34" t="str">
            <v>농협</v>
          </cell>
          <cell r="F34" t="str">
            <v>권오득</v>
          </cell>
          <cell r="G34" t="str">
            <v>352-1857-0983-23</v>
          </cell>
          <cell r="H34">
            <v>150000</v>
          </cell>
          <cell r="I34" t="str">
            <v>010-9133-8928</v>
          </cell>
        </row>
        <row r="35">
          <cell r="A35" t="str">
            <v>손석래</v>
          </cell>
          <cell r="B35" t="str">
            <v>보통인부</v>
          </cell>
          <cell r="C35" t="str">
            <v>600404-1386121</v>
          </cell>
          <cell r="D35" t="str">
            <v>충북 영동군 영동읍 새심길18,1004호 조한드림플러스@</v>
          </cell>
          <cell r="E35" t="str">
            <v>농협</v>
          </cell>
          <cell r="F35" t="str">
            <v>손석래</v>
          </cell>
          <cell r="G35" t="str">
            <v>356-1493-9522-63</v>
          </cell>
          <cell r="H35">
            <v>160000</v>
          </cell>
          <cell r="I35" t="str">
            <v>043-744-5228</v>
          </cell>
        </row>
        <row r="35">
          <cell r="K35" t="str">
            <v>29142</v>
          </cell>
        </row>
        <row r="36">
          <cell r="A36" t="str">
            <v>조운규</v>
          </cell>
          <cell r="B36" t="str">
            <v>특별인부</v>
          </cell>
          <cell r="C36" t="str">
            <v>650305-1386131</v>
          </cell>
          <cell r="D36" t="str">
            <v>충북 영동군 영동읍 금동안길 60</v>
          </cell>
          <cell r="E36" t="str">
            <v>우체국</v>
          </cell>
          <cell r="F36" t="str">
            <v>조운규</v>
          </cell>
          <cell r="G36" t="str">
            <v>301515-02-022804</v>
          </cell>
          <cell r="H36">
            <v>170000</v>
          </cell>
          <cell r="I36" t="str">
            <v>010-8343-0468</v>
          </cell>
        </row>
        <row r="36">
          <cell r="K36" t="str">
            <v>29138</v>
          </cell>
        </row>
        <row r="37">
          <cell r="A37" t="str">
            <v>강희종</v>
          </cell>
          <cell r="B37" t="str">
            <v>단순노무자</v>
          </cell>
          <cell r="C37" t="str">
            <v>540612-1400325</v>
          </cell>
          <cell r="D37" t="str">
            <v>충북 영동군 추풍령면 추풍령로5안길8</v>
          </cell>
          <cell r="E37" t="str">
            <v>농협</v>
          </cell>
          <cell r="F37" t="str">
            <v>강희종</v>
          </cell>
          <cell r="G37" t="str">
            <v>351-1142-0210-73</v>
          </cell>
          <cell r="H37">
            <v>130000</v>
          </cell>
          <cell r="I37" t="str">
            <v>010-5028-0656</v>
          </cell>
          <cell r="J37" t="str">
            <v>명장인력</v>
          </cell>
          <cell r="K37" t="str">
            <v>29120</v>
          </cell>
        </row>
        <row r="38">
          <cell r="A38" t="str">
            <v>김기필</v>
          </cell>
          <cell r="B38" t="str">
            <v>단순노무자</v>
          </cell>
          <cell r="C38" t="str">
            <v>611022-1386251</v>
          </cell>
          <cell r="D38" t="str">
            <v>충북 영동군 용산면 금곡3길 19</v>
          </cell>
          <cell r="E38" t="str">
            <v>농협</v>
          </cell>
          <cell r="F38" t="str">
            <v>김기필</v>
          </cell>
          <cell r="G38" t="str">
            <v>351-1142-0210-73</v>
          </cell>
          <cell r="H38">
            <v>150000</v>
          </cell>
          <cell r="I38" t="str">
            <v>010-6428-8990</v>
          </cell>
          <cell r="J38" t="str">
            <v>명장인력</v>
          </cell>
          <cell r="K38" t="str">
            <v>29100</v>
          </cell>
        </row>
        <row r="39">
          <cell r="A39" t="str">
            <v>윤석률</v>
          </cell>
          <cell r="B39" t="str">
            <v>단순노무자</v>
          </cell>
          <cell r="C39" t="str">
            <v>681215-1384614</v>
          </cell>
          <cell r="D39" t="str">
            <v>충북 옥천군 청산면 효목1길 83</v>
          </cell>
          <cell r="E39" t="str">
            <v>농협</v>
          </cell>
          <cell r="F39" t="str">
            <v>윤석률</v>
          </cell>
          <cell r="G39" t="str">
            <v>351-1142-0210-73</v>
          </cell>
          <cell r="H39">
            <v>150000</v>
          </cell>
          <cell r="I39" t="str">
            <v>010-3425-9337</v>
          </cell>
          <cell r="J39" t="str">
            <v>명장인력</v>
          </cell>
          <cell r="K39" t="str">
            <v>29015</v>
          </cell>
        </row>
        <row r="40">
          <cell r="A40" t="str">
            <v>전근성</v>
          </cell>
          <cell r="B40" t="str">
            <v>단순노무자</v>
          </cell>
          <cell r="C40" t="str">
            <v>721105-1386912</v>
          </cell>
          <cell r="D40" t="str">
            <v>충북 영동군 학산면 모정길 78</v>
          </cell>
          <cell r="E40" t="str">
            <v>농협</v>
          </cell>
          <cell r="F40" t="str">
            <v>전근성</v>
          </cell>
          <cell r="G40" t="str">
            <v>351-1142-0210-73</v>
          </cell>
          <cell r="H40">
            <v>150000</v>
          </cell>
          <cell r="I40" t="str">
            <v>010-3405-4114</v>
          </cell>
          <cell r="J40" t="str">
            <v>명장인력</v>
          </cell>
          <cell r="K40" t="str">
            <v>29165</v>
          </cell>
        </row>
        <row r="41">
          <cell r="A41" t="str">
            <v>김병호</v>
          </cell>
          <cell r="B41" t="str">
            <v>철근공</v>
          </cell>
          <cell r="C41" t="str">
            <v>921202-1058619</v>
          </cell>
          <cell r="D41" t="str">
            <v>충북 옥천군 옥천읍 관성로 29</v>
          </cell>
          <cell r="E41" t="str">
            <v>우체국</v>
          </cell>
          <cell r="F41" t="str">
            <v>김병호</v>
          </cell>
          <cell r="G41" t="str">
            <v>300111-02-297282</v>
          </cell>
          <cell r="H41">
            <v>200000</v>
          </cell>
          <cell r="I41" t="str">
            <v>010-4904-9092</v>
          </cell>
        </row>
        <row r="41">
          <cell r="K41" t="str">
            <v>29039</v>
          </cell>
        </row>
        <row r="42">
          <cell r="A42" t="str">
            <v>최동섭</v>
          </cell>
          <cell r="B42" t="str">
            <v>특별인부</v>
          </cell>
          <cell r="C42" t="str">
            <v>670211-1386119</v>
          </cell>
          <cell r="D42" t="str">
            <v>충북 영동군 영동읍 부용7안길7-1</v>
          </cell>
          <cell r="E42" t="str">
            <v>농협</v>
          </cell>
          <cell r="F42" t="str">
            <v>최동섭</v>
          </cell>
          <cell r="G42" t="str">
            <v>173173-52-042958</v>
          </cell>
          <cell r="H42">
            <v>170000</v>
          </cell>
          <cell r="I42" t="str">
            <v>010-4114-2902</v>
          </cell>
        </row>
        <row r="42">
          <cell r="K42" t="str">
            <v>29149</v>
          </cell>
        </row>
        <row r="43">
          <cell r="A43" t="str">
            <v>김영환</v>
          </cell>
          <cell r="B43" t="str">
            <v>보통인부</v>
          </cell>
          <cell r="C43" t="str">
            <v>600925-1386115</v>
          </cell>
          <cell r="D43" t="str">
            <v>충북 영동군 영동읍 계산리 426-1</v>
          </cell>
          <cell r="E43" t="str">
            <v>농협</v>
          </cell>
          <cell r="F43" t="str">
            <v>김영환</v>
          </cell>
          <cell r="G43" t="str">
            <v>302-1601-4630-21</v>
          </cell>
          <cell r="H43">
            <v>130000</v>
          </cell>
        </row>
        <row r="43">
          <cell r="K43" t="str">
            <v>29138</v>
          </cell>
        </row>
        <row r="44">
          <cell r="A44" t="str">
            <v>김명숙</v>
          </cell>
          <cell r="B44" t="str">
            <v>보통인부</v>
          </cell>
          <cell r="C44" t="str">
            <v>660125-2524919</v>
          </cell>
          <cell r="D44" t="str">
            <v>대전 동구 판암동 328방주아파트101-604</v>
          </cell>
          <cell r="E44" t="str">
            <v>농협</v>
          </cell>
          <cell r="F44" t="str">
            <v>김명숙</v>
          </cell>
          <cell r="G44" t="str">
            <v>302-0957-7396-11</v>
          </cell>
          <cell r="H44">
            <v>150000</v>
          </cell>
        </row>
        <row r="45">
          <cell r="A45" t="str">
            <v>이홍성</v>
          </cell>
          <cell r="B45" t="str">
            <v>목공</v>
          </cell>
          <cell r="C45" t="str">
            <v>510520-1384216</v>
          </cell>
          <cell r="D45" t="str">
            <v>충북 옥천 옥천읍 미암리49-1</v>
          </cell>
          <cell r="E45" t="str">
            <v>농협</v>
          </cell>
          <cell r="F45" t="str">
            <v>이홍성</v>
          </cell>
          <cell r="G45" t="str">
            <v>356-1306-8954-13</v>
          </cell>
          <cell r="H45">
            <v>200000</v>
          </cell>
          <cell r="I45" t="str">
            <v>010-5100-7490</v>
          </cell>
        </row>
        <row r="46">
          <cell r="A46" t="str">
            <v>김장곤</v>
          </cell>
          <cell r="B46" t="str">
            <v>목공</v>
          </cell>
          <cell r="C46" t="str">
            <v>611211-1458428</v>
          </cell>
          <cell r="D46" t="str">
            <v>대전광역시 중구 산성동 304-18</v>
          </cell>
          <cell r="E46" t="str">
            <v>농협</v>
          </cell>
          <cell r="F46" t="str">
            <v>김장곤</v>
          </cell>
          <cell r="G46" t="str">
            <v>356-1483-5978-13</v>
          </cell>
          <cell r="H46">
            <v>200000</v>
          </cell>
          <cell r="I46" t="str">
            <v>010-4830-2110</v>
          </cell>
        </row>
        <row r="46">
          <cell r="K46" t="str">
            <v>35054</v>
          </cell>
        </row>
        <row r="47">
          <cell r="A47" t="str">
            <v>김효식</v>
          </cell>
          <cell r="B47" t="str">
            <v>목공</v>
          </cell>
          <cell r="C47" t="str">
            <v>630220-1384116</v>
          </cell>
          <cell r="D47" t="str">
            <v>충북 옥천 옥천읍 송신길 89-1</v>
          </cell>
          <cell r="E47" t="str">
            <v>농협</v>
          </cell>
          <cell r="F47" t="str">
            <v>김효식</v>
          </cell>
          <cell r="G47" t="str">
            <v>356-1306-7504-13</v>
          </cell>
          <cell r="H47">
            <v>200000</v>
          </cell>
          <cell r="I47" t="str">
            <v>010-3448-1889</v>
          </cell>
        </row>
        <row r="48">
          <cell r="A48" t="str">
            <v>김정자</v>
          </cell>
          <cell r="B48" t="str">
            <v>목공</v>
          </cell>
          <cell r="C48" t="str">
            <v>600225-2408313</v>
          </cell>
          <cell r="D48" t="str">
            <v>대전 동구 판암동236주공 508-1302</v>
          </cell>
          <cell r="E48" t="str">
            <v>농협</v>
          </cell>
          <cell r="F48" t="str">
            <v>김정자</v>
          </cell>
        </row>
        <row r="48">
          <cell r="I48" t="str">
            <v>010-5402-7460</v>
          </cell>
        </row>
        <row r="49">
          <cell r="A49" t="str">
            <v>이순희</v>
          </cell>
          <cell r="B49" t="str">
            <v>목공</v>
          </cell>
          <cell r="C49" t="str">
            <v>610808-2379713</v>
          </cell>
          <cell r="D49" t="str">
            <v>충북 옥천 옥천읍 마암리22-4은혜연립B동101</v>
          </cell>
          <cell r="E49" t="str">
            <v>농협</v>
          </cell>
          <cell r="F49" t="str">
            <v>이순희</v>
          </cell>
        </row>
        <row r="49">
          <cell r="I49" t="str">
            <v>010-9138-3436</v>
          </cell>
        </row>
        <row r="50">
          <cell r="A50" t="str">
            <v>김태식</v>
          </cell>
          <cell r="B50" t="str">
            <v>목공</v>
          </cell>
          <cell r="C50" t="str">
            <v>551215-1384133</v>
          </cell>
          <cell r="D50" t="str">
            <v>충북옥천 옥천읍문정리 62-1</v>
          </cell>
          <cell r="E50" t="str">
            <v>농협</v>
          </cell>
          <cell r="F50" t="str">
            <v>김태식</v>
          </cell>
          <cell r="G50" t="str">
            <v>302-5458-3411-01</v>
          </cell>
          <cell r="H50">
            <v>200000</v>
          </cell>
          <cell r="I50" t="str">
            <v>010-5458-3411</v>
          </cell>
        </row>
        <row r="51">
          <cell r="A51" t="str">
            <v>유현봉</v>
          </cell>
          <cell r="B51" t="str">
            <v>목공</v>
          </cell>
          <cell r="C51" t="str">
            <v>531210-1384312</v>
          </cell>
          <cell r="D51" t="str">
            <v>충북 옥천 옥천읍 양수로6길4</v>
          </cell>
          <cell r="E51" t="str">
            <v>국민</v>
          </cell>
          <cell r="F51" t="str">
            <v>유현봉</v>
          </cell>
          <cell r="G51" t="str">
            <v>405-24-0081-770</v>
          </cell>
          <cell r="H51">
            <v>200000</v>
          </cell>
          <cell r="I51" t="str">
            <v>010-5427-7937</v>
          </cell>
        </row>
        <row r="52">
          <cell r="A52" t="str">
            <v>신기창</v>
          </cell>
          <cell r="B52" t="str">
            <v>목공</v>
          </cell>
          <cell r="C52" t="str">
            <v>611028-1411611</v>
          </cell>
          <cell r="D52" t="str">
            <v>충북 옥천 옥천읍 성암2길30-1</v>
          </cell>
          <cell r="E52" t="str">
            <v>농협</v>
          </cell>
          <cell r="F52" t="str">
            <v>신기창</v>
          </cell>
          <cell r="G52" t="str">
            <v>356-1479-8602-73</v>
          </cell>
          <cell r="H52">
            <v>200000</v>
          </cell>
          <cell r="I52" t="str">
            <v>010-3893-7198</v>
          </cell>
        </row>
        <row r="53">
          <cell r="A53" t="str">
            <v>김충재</v>
          </cell>
          <cell r="B53" t="str">
            <v>목공</v>
          </cell>
          <cell r="C53" t="str">
            <v>590114-1384121</v>
          </cell>
          <cell r="D53" t="str">
            <v>충북 옥천 옥천읍 금구천길15나동103호</v>
          </cell>
          <cell r="E53" t="str">
            <v>농협</v>
          </cell>
          <cell r="F53" t="str">
            <v>김충재</v>
          </cell>
          <cell r="G53" t="str">
            <v>356-1488-3009-73</v>
          </cell>
          <cell r="H53">
            <v>200000</v>
          </cell>
          <cell r="I53" t="str">
            <v>010-5465-8302</v>
          </cell>
        </row>
        <row r="54">
          <cell r="A54" t="str">
            <v>김정식</v>
          </cell>
          <cell r="B54" t="str">
            <v>목공</v>
          </cell>
          <cell r="C54" t="str">
            <v>760110-1384826</v>
          </cell>
          <cell r="D54" t="str">
            <v>충북 옥천 옥천읍가화3길23</v>
          </cell>
          <cell r="E54" t="str">
            <v>농협</v>
          </cell>
          <cell r="F54" t="str">
            <v>김정식</v>
          </cell>
          <cell r="G54" t="str">
            <v>302-0953-8269-11</v>
          </cell>
          <cell r="H54">
            <v>200000</v>
          </cell>
          <cell r="I54" t="str">
            <v>010-6252-2437</v>
          </cell>
        </row>
        <row r="55">
          <cell r="A55" t="str">
            <v>소세영</v>
          </cell>
          <cell r="B55" t="str">
            <v>철근공</v>
          </cell>
          <cell r="C55" t="str">
            <v>661110-1403017</v>
          </cell>
          <cell r="D55" t="str">
            <v>대전 동구 번동 2길 25(천동)</v>
          </cell>
          <cell r="E55" t="str">
            <v>농협</v>
          </cell>
          <cell r="F55" t="str">
            <v>소세영</v>
          </cell>
          <cell r="G55" t="str">
            <v>351-0883-3616-63</v>
          </cell>
          <cell r="H55">
            <v>200000</v>
          </cell>
          <cell r="I55" t="str">
            <v>010-8859-2729</v>
          </cell>
          <cell r="J55" t="str">
            <v>010-5454-1383</v>
          </cell>
          <cell r="K55" t="str">
            <v>34683</v>
          </cell>
        </row>
        <row r="56">
          <cell r="A56" t="str">
            <v>이영훈</v>
          </cell>
          <cell r="B56" t="str">
            <v>철근공</v>
          </cell>
          <cell r="C56" t="str">
            <v>941126-1055311</v>
          </cell>
          <cell r="D56" t="str">
            <v>서울 영등포구 도신로29길28</v>
          </cell>
          <cell r="E56" t="str">
            <v>중소기업</v>
          </cell>
          <cell r="F56" t="str">
            <v>이영훈</v>
          </cell>
          <cell r="G56" t="str">
            <v>570-020656-01-010</v>
          </cell>
          <cell r="H56">
            <v>200000</v>
          </cell>
          <cell r="I56" t="str">
            <v>010-9358-8464</v>
          </cell>
          <cell r="J56" t="str">
            <v>010-5454-1383</v>
          </cell>
          <cell r="K56" t="str">
            <v>07365</v>
          </cell>
        </row>
        <row r="57">
          <cell r="A57" t="str">
            <v>박길환</v>
          </cell>
          <cell r="B57" t="str">
            <v>철근공</v>
          </cell>
          <cell r="C57" t="str">
            <v>671015-1920528</v>
          </cell>
          <cell r="D57" t="str">
            <v>충북 옥천 옥천읍 중앙로6길8</v>
          </cell>
          <cell r="E57" t="str">
            <v>중소기업</v>
          </cell>
          <cell r="F57" t="str">
            <v>박길환</v>
          </cell>
          <cell r="G57" t="str">
            <v>570-020656-01-010</v>
          </cell>
          <cell r="H57">
            <v>200000</v>
          </cell>
          <cell r="I57" t="str">
            <v>010-4486-7508</v>
          </cell>
          <cell r="J57" t="str">
            <v>010-5454-1383</v>
          </cell>
        </row>
        <row r="58">
          <cell r="A58" t="str">
            <v>원용길</v>
          </cell>
          <cell r="B58" t="str">
            <v>철근공</v>
          </cell>
          <cell r="C58" t="str">
            <v>640220-5141993</v>
          </cell>
          <cell r="D58" t="str">
            <v>재외동포(F-4)</v>
          </cell>
          <cell r="E58" t="str">
            <v>중소기업</v>
          </cell>
          <cell r="F58" t="str">
            <v>원용길</v>
          </cell>
          <cell r="G58" t="str">
            <v>570-020656-01-010</v>
          </cell>
          <cell r="H58">
            <v>200000</v>
          </cell>
          <cell r="I58" t="str">
            <v>010-2293-0638</v>
          </cell>
          <cell r="J58" t="str">
            <v>010-5454-1383</v>
          </cell>
        </row>
        <row r="59">
          <cell r="A59" t="str">
            <v>조갑성</v>
          </cell>
          <cell r="B59" t="str">
            <v>목공</v>
          </cell>
          <cell r="C59" t="str">
            <v>540619-1384810</v>
          </cell>
          <cell r="D59" t="str">
            <v>충북 옥천 옥천읍 문장로2길9</v>
          </cell>
          <cell r="E59" t="str">
            <v>우체국</v>
          </cell>
          <cell r="F59" t="str">
            <v>조갑성</v>
          </cell>
          <cell r="G59" t="str">
            <v>102434-02-170588</v>
          </cell>
          <cell r="H59">
            <v>200000</v>
          </cell>
          <cell r="I59" t="str">
            <v>010-3456-5927</v>
          </cell>
        </row>
        <row r="60">
          <cell r="A60" t="str">
            <v>박준용</v>
          </cell>
          <cell r="B60" t="str">
            <v>보통인부</v>
          </cell>
          <cell r="C60" t="str">
            <v>571003-1386215</v>
          </cell>
          <cell r="D60" t="str">
            <v>충북 영동군 영동읍 중앙로1길18</v>
          </cell>
          <cell r="E60" t="str">
            <v>농협</v>
          </cell>
          <cell r="F60" t="str">
            <v>박준용</v>
          </cell>
          <cell r="G60" t="str">
            <v>407034-52-068141</v>
          </cell>
          <cell r="H60">
            <v>150000</v>
          </cell>
        </row>
        <row r="60">
          <cell r="K60" t="str">
            <v>29145</v>
          </cell>
        </row>
        <row r="61">
          <cell r="A61" t="str">
            <v>백경훈</v>
          </cell>
          <cell r="B61" t="str">
            <v>단순노무자</v>
          </cell>
          <cell r="C61" t="str">
            <v>850202-1386312</v>
          </cell>
          <cell r="D61" t="str">
            <v>충북 영동군 황간면 남성동3길27</v>
          </cell>
        </row>
        <row r="61">
          <cell r="F61" t="str">
            <v>백경훈</v>
          </cell>
        </row>
        <row r="61">
          <cell r="H61">
            <v>170000</v>
          </cell>
        </row>
        <row r="61">
          <cell r="K61" t="str">
            <v>29115</v>
          </cell>
        </row>
        <row r="62">
          <cell r="A62" t="str">
            <v>이진권</v>
          </cell>
          <cell r="B62" t="str">
            <v>단순노무자</v>
          </cell>
          <cell r="C62" t="str">
            <v>610210-1238818</v>
          </cell>
          <cell r="D62" t="str">
            <v>경기도 연천군 전곡읍 전곡리 324-33세림빌라7동301호</v>
          </cell>
          <cell r="E62" t="str">
            <v>농협</v>
          </cell>
          <cell r="F62" t="str">
            <v>이진권</v>
          </cell>
          <cell r="G62" t="str">
            <v>356-0129-1298-13</v>
          </cell>
          <cell r="H62">
            <v>170000</v>
          </cell>
        </row>
        <row r="63">
          <cell r="B63" t="str">
            <v>단순노무자</v>
          </cell>
          <cell r="C63" t="str">
            <v>760715-1386710</v>
          </cell>
          <cell r="D63" t="str">
            <v>충북 영동군 영동읍금동로1길6,202호(혜성빌라)</v>
          </cell>
          <cell r="E63" t="str">
            <v>우체국</v>
          </cell>
        </row>
        <row r="63">
          <cell r="G63" t="str">
            <v>301515-02-072801</v>
          </cell>
          <cell r="H63">
            <v>160000</v>
          </cell>
        </row>
        <row r="64">
          <cell r="A64" t="str">
            <v>정광일</v>
          </cell>
          <cell r="B64" t="str">
            <v>철근공</v>
          </cell>
          <cell r="C64" t="str">
            <v>600220-1041824</v>
          </cell>
          <cell r="D64" t="str">
            <v>충북 옥천군 옥천읍 동부로16 101동301호(하늘빛아파트)</v>
          </cell>
          <cell r="E64" t="str">
            <v>농협</v>
          </cell>
          <cell r="F64" t="str">
            <v>정광일</v>
          </cell>
          <cell r="G64" t="str">
            <v>351-0883-3616-63</v>
          </cell>
          <cell r="H64">
            <v>200000</v>
          </cell>
        </row>
        <row r="64">
          <cell r="K64" t="str">
            <v>29039</v>
          </cell>
        </row>
        <row r="65">
          <cell r="A65" t="str">
            <v>이윤건</v>
          </cell>
          <cell r="B65" t="str">
            <v>철근공</v>
          </cell>
          <cell r="C65" t="str">
            <v>630822-1229912</v>
          </cell>
          <cell r="D65" t="str">
            <v>충북 옥천군 군서면 성왕로 489-16</v>
          </cell>
          <cell r="E65" t="str">
            <v>농협</v>
          </cell>
          <cell r="F65" t="str">
            <v>이윤건</v>
          </cell>
          <cell r="G65" t="str">
            <v>351-0883-3616-63</v>
          </cell>
          <cell r="H65">
            <v>200000</v>
          </cell>
        </row>
        <row r="65">
          <cell r="K65" t="str">
            <v>29059</v>
          </cell>
        </row>
        <row r="66">
          <cell r="A66" t="str">
            <v>박래일</v>
          </cell>
          <cell r="B66" t="str">
            <v>보통인부</v>
          </cell>
          <cell r="C66" t="str">
            <v>590108-1386126</v>
          </cell>
          <cell r="D66" t="str">
            <v>충북 영동군 영동읍 양산로7길 2가동106호(양지연립)</v>
          </cell>
          <cell r="E66" t="str">
            <v>농협</v>
          </cell>
          <cell r="F66" t="str">
            <v>박래일</v>
          </cell>
          <cell r="G66" t="str">
            <v>774-02-269271</v>
          </cell>
          <cell r="H66">
            <v>170000</v>
          </cell>
          <cell r="I66" t="str">
            <v>010-9405-6479</v>
          </cell>
        </row>
        <row r="67">
          <cell r="A67" t="str">
            <v>이정근</v>
          </cell>
          <cell r="B67" t="str">
            <v>보통인부</v>
          </cell>
          <cell r="C67" t="str">
            <v>590825-1386143</v>
          </cell>
          <cell r="D67" t="str">
            <v>충북 영동군 영동읍 계산리280</v>
          </cell>
          <cell r="E67" t="str">
            <v>우체국</v>
          </cell>
          <cell r="F67" t="str">
            <v>이정근</v>
          </cell>
          <cell r="G67" t="str">
            <v>300160-02-240447</v>
          </cell>
          <cell r="H67">
            <v>160000</v>
          </cell>
        </row>
        <row r="67">
          <cell r="K67" t="str">
            <v>29139</v>
          </cell>
        </row>
        <row r="68">
          <cell r="A68" t="str">
            <v>육종필</v>
          </cell>
          <cell r="B68" t="str">
            <v>철근공</v>
          </cell>
          <cell r="C68" t="str">
            <v>681020-1384919</v>
          </cell>
          <cell r="D68" t="str">
            <v>충북 옥천군 옥천읍 장야리 313 장야1주공106-304</v>
          </cell>
          <cell r="E68" t="str">
            <v>중소기업</v>
          </cell>
          <cell r="F68" t="str">
            <v>육종필</v>
          </cell>
          <cell r="G68" t="str">
            <v>570-007217-02-013</v>
          </cell>
          <cell r="H68">
            <v>200000</v>
          </cell>
          <cell r="I68" t="str">
            <v>010-6800-2394</v>
          </cell>
        </row>
        <row r="68">
          <cell r="K68" t="str">
            <v>29045</v>
          </cell>
        </row>
        <row r="69">
          <cell r="A69" t="str">
            <v>조기혁</v>
          </cell>
          <cell r="B69" t="str">
            <v>목공</v>
          </cell>
          <cell r="C69" t="str">
            <v>630523-1402713</v>
          </cell>
          <cell r="D69" t="str">
            <v>대전광역시 동구 우암로326번길57-1(가양동)</v>
          </cell>
          <cell r="E69" t="str">
            <v>농협</v>
          </cell>
          <cell r="F69" t="str">
            <v>조기혁</v>
          </cell>
          <cell r="G69" t="str">
            <v>356-1497-0677-43</v>
          </cell>
          <cell r="H69">
            <v>200000</v>
          </cell>
          <cell r="I69" t="str">
            <v>010-8623-6218</v>
          </cell>
        </row>
        <row r="69">
          <cell r="K69" t="str">
            <v>34506</v>
          </cell>
        </row>
        <row r="70">
          <cell r="A70" t="str">
            <v>정일흥</v>
          </cell>
          <cell r="B70" t="str">
            <v>목공</v>
          </cell>
          <cell r="C70" t="str">
            <v>600605-1384810</v>
          </cell>
          <cell r="D70" t="str">
            <v>충북 옥천군 교서면 원전2길86-9</v>
          </cell>
          <cell r="E70" t="str">
            <v>농협</v>
          </cell>
          <cell r="F70" t="str">
            <v>정일흥</v>
          </cell>
          <cell r="G70" t="str">
            <v>352-1559-7324-93</v>
          </cell>
          <cell r="H70">
            <v>200000</v>
          </cell>
          <cell r="I70" t="str">
            <v>010-8843-0512</v>
          </cell>
        </row>
        <row r="71">
          <cell r="A71" t="str">
            <v>곽태</v>
          </cell>
          <cell r="B71" t="str">
            <v>목공</v>
          </cell>
          <cell r="C71" t="str">
            <v>551001-1448815</v>
          </cell>
          <cell r="D71" t="str">
            <v>충북 옥천군 옥천읍 중앙로1길 6-4602호</v>
          </cell>
          <cell r="E71" t="str">
            <v>농협</v>
          </cell>
          <cell r="F71" t="str">
            <v>곽태</v>
          </cell>
          <cell r="G71" t="str">
            <v>356-1434-8325-93</v>
          </cell>
          <cell r="H71">
            <v>200000</v>
          </cell>
          <cell r="I71" t="str">
            <v>0106423-3895</v>
          </cell>
        </row>
        <row r="71">
          <cell r="K71" t="str">
            <v>29037</v>
          </cell>
        </row>
        <row r="72">
          <cell r="A72" t="str">
            <v>박세호</v>
          </cell>
          <cell r="B72" t="str">
            <v>보통인부</v>
          </cell>
          <cell r="C72" t="str">
            <v>641015-1386715</v>
          </cell>
          <cell r="D72" t="str">
            <v>충북 영동군 영동읍 동정로 47,103동 1303호</v>
          </cell>
          <cell r="E72" t="str">
            <v>농협</v>
          </cell>
          <cell r="F72" t="str">
            <v>박세호</v>
          </cell>
          <cell r="G72" t="str">
            <v>356-1193-1604-23</v>
          </cell>
          <cell r="H72">
            <v>160000</v>
          </cell>
          <cell r="I72" t="str">
            <v>010-3896-8077</v>
          </cell>
        </row>
        <row r="72">
          <cell r="K72" t="str">
            <v>29140</v>
          </cell>
        </row>
        <row r="73">
          <cell r="A73" t="str">
            <v>정홍길</v>
          </cell>
          <cell r="B73" t="str">
            <v>목공</v>
          </cell>
          <cell r="C73" t="str">
            <v>821112-1384119</v>
          </cell>
          <cell r="D73" t="str">
            <v>충북 옥천군 옥천읍 대천길 159</v>
          </cell>
          <cell r="E73" t="str">
            <v>농협</v>
          </cell>
          <cell r="F73" t="str">
            <v>정홍길</v>
          </cell>
          <cell r="G73" t="str">
            <v>302-8622-0879-11</v>
          </cell>
          <cell r="H73">
            <v>200000</v>
          </cell>
          <cell r="I73" t="str">
            <v>010-8622-0879</v>
          </cell>
        </row>
        <row r="73">
          <cell r="K73" t="str">
            <v>29052</v>
          </cell>
        </row>
        <row r="74">
          <cell r="A74" t="str">
            <v>백정숙</v>
          </cell>
          <cell r="B74" t="str">
            <v>목공</v>
          </cell>
          <cell r="C74" t="str">
            <v>550420-2789718</v>
          </cell>
          <cell r="D74" t="str">
            <v>충북 옥천군 옥천읍 대천길 549</v>
          </cell>
          <cell r="E74" t="str">
            <v>새마을금고</v>
          </cell>
          <cell r="F74" t="str">
            <v>백정숙</v>
          </cell>
          <cell r="G74" t="str">
            <v>4614-09-003672-7</v>
          </cell>
          <cell r="H74">
            <v>150000</v>
          </cell>
          <cell r="I74" t="str">
            <v>010-8843-</v>
          </cell>
        </row>
        <row r="75">
          <cell r="A75" t="str">
            <v>배태봉</v>
          </cell>
          <cell r="B75" t="str">
            <v>목공</v>
          </cell>
          <cell r="C75" t="str">
            <v>610303-1386748</v>
          </cell>
          <cell r="D75" t="str">
            <v>충북 영동군 영동읍 당곡로14-1</v>
          </cell>
          <cell r="E75" t="str">
            <v>우체국</v>
          </cell>
          <cell r="F75" t="str">
            <v>배태봉</v>
          </cell>
          <cell r="G75" t="str">
            <v>300160-02-231942</v>
          </cell>
          <cell r="H75">
            <v>200000</v>
          </cell>
        </row>
        <row r="75">
          <cell r="K75" t="str">
            <v>29128</v>
          </cell>
        </row>
        <row r="76">
          <cell r="A76" t="str">
            <v>박재영</v>
          </cell>
          <cell r="B76" t="str">
            <v>굴삭기기사</v>
          </cell>
          <cell r="C76" t="str">
            <v>720815-1386721</v>
          </cell>
          <cell r="D76" t="str">
            <v>충북 옥천군 옥천읍 문장로2길 10, 304동 503호</v>
          </cell>
        </row>
        <row r="76">
          <cell r="F76" t="str">
            <v>박재영</v>
          </cell>
        </row>
        <row r="76">
          <cell r="H76">
            <v>150000</v>
          </cell>
        </row>
        <row r="76">
          <cell r="K76" t="str">
            <v>29040</v>
          </cell>
        </row>
        <row r="77">
          <cell r="A77" t="str">
            <v>이관우</v>
          </cell>
          <cell r="B77" t="str">
            <v>철근공</v>
          </cell>
          <cell r="C77" t="str">
            <v>590920-1383021</v>
          </cell>
          <cell r="D77" t="str">
            <v>충북 보은군 보은읍 중초2길 20</v>
          </cell>
          <cell r="E77" t="str">
            <v>농협</v>
          </cell>
          <cell r="F77" t="str">
            <v>이관우</v>
          </cell>
          <cell r="G77" t="str">
            <v>118012-00-9732</v>
          </cell>
          <cell r="H77">
            <v>250000</v>
          </cell>
          <cell r="I77" t="str">
            <v>010-5464-3462</v>
          </cell>
        </row>
        <row r="77">
          <cell r="K77" t="str">
            <v>28917</v>
          </cell>
        </row>
        <row r="78">
          <cell r="A78" t="str">
            <v>주문식</v>
          </cell>
          <cell r="B78" t="str">
            <v>목공</v>
          </cell>
          <cell r="C78" t="str">
            <v>650310-1392622</v>
          </cell>
          <cell r="D78" t="str">
            <v>청주시 상당구 영운천로 187번길 7-5</v>
          </cell>
          <cell r="E78" t="str">
            <v>농협</v>
          </cell>
          <cell r="F78" t="str">
            <v>주하정</v>
          </cell>
          <cell r="G78" t="str">
            <v>356-1247-9282-33</v>
          </cell>
          <cell r="H78">
            <v>250000</v>
          </cell>
        </row>
        <row r="78">
          <cell r="K78" t="str">
            <v>28750</v>
          </cell>
        </row>
        <row r="79">
          <cell r="A79" t="str">
            <v>음희진</v>
          </cell>
          <cell r="B79" t="str">
            <v>목공</v>
          </cell>
          <cell r="C79" t="str">
            <v>591220-1392335</v>
          </cell>
          <cell r="D79" t="str">
            <v>청주시 흥덕구 장구봉로101번길27, 사랑동405호 (복대동,형석@)</v>
          </cell>
          <cell r="E79" t="str">
            <v>농협</v>
          </cell>
          <cell r="F79" t="str">
            <v>음희진</v>
          </cell>
          <cell r="G79" t="str">
            <v>401149-56-096884</v>
          </cell>
          <cell r="H79">
            <v>250000</v>
          </cell>
        </row>
        <row r="79">
          <cell r="K79" t="str">
            <v>28607</v>
          </cell>
        </row>
        <row r="80">
          <cell r="A80" t="str">
            <v>지창기</v>
          </cell>
          <cell r="B80" t="str">
            <v>울타리공</v>
          </cell>
          <cell r="C80" t="str">
            <v>681022-1446910</v>
          </cell>
          <cell r="D80" t="str">
            <v>대전광역시 중구 대흥동 현대@ 7동 1101호</v>
          </cell>
        </row>
        <row r="80">
          <cell r="F80" t="str">
            <v>지창기</v>
          </cell>
        </row>
        <row r="80">
          <cell r="H80">
            <v>250000</v>
          </cell>
        </row>
        <row r="80">
          <cell r="K80" t="str">
            <v>34929</v>
          </cell>
        </row>
        <row r="81">
          <cell r="A81" t="str">
            <v>김재수</v>
          </cell>
          <cell r="B81" t="str">
            <v>울타리공</v>
          </cell>
          <cell r="C81" t="str">
            <v>660202-1400210</v>
          </cell>
          <cell r="D81" t="str">
            <v>전북 무주군 부남면 유동길 7-4</v>
          </cell>
        </row>
        <row r="81">
          <cell r="F81" t="str">
            <v>김재수</v>
          </cell>
        </row>
        <row r="81">
          <cell r="H81">
            <v>250000</v>
          </cell>
        </row>
        <row r="81">
          <cell r="K81" t="str">
            <v>55501</v>
          </cell>
        </row>
        <row r="82">
          <cell r="A82" t="str">
            <v>김동진</v>
          </cell>
          <cell r="B82" t="str">
            <v>울타리공</v>
          </cell>
          <cell r="C82" t="str">
            <v>980615-1094810</v>
          </cell>
          <cell r="D82" t="str">
            <v>전북 전주시  덕진구 명주5길 41</v>
          </cell>
          <cell r="E82" t="str">
            <v>우리</v>
          </cell>
          <cell r="F82" t="str">
            <v>김동진</v>
          </cell>
          <cell r="G82" t="str">
            <v>1002763162620</v>
          </cell>
          <cell r="H82">
            <v>155000</v>
          </cell>
          <cell r="I82" t="str">
            <v>010-5738-4795</v>
          </cell>
        </row>
        <row r="82">
          <cell r="K82" t="str">
            <v>54918</v>
          </cell>
        </row>
        <row r="83">
          <cell r="A83" t="str">
            <v>이종호</v>
          </cell>
          <cell r="B83" t="str">
            <v>울타리공</v>
          </cell>
          <cell r="C83" t="str">
            <v>740211-1149313</v>
          </cell>
          <cell r="D83" t="str">
            <v>인천시 연수구 옥련동 642-1</v>
          </cell>
          <cell r="E83" t="str">
            <v>기업</v>
          </cell>
          <cell r="F83" t="str">
            <v>이종호</v>
          </cell>
          <cell r="G83" t="str">
            <v>1064340831</v>
          </cell>
          <cell r="H83">
            <v>155000</v>
          </cell>
          <cell r="I83" t="str">
            <v>010-6434-0831</v>
          </cell>
        </row>
        <row r="83">
          <cell r="K83" t="str">
            <v>21952</v>
          </cell>
        </row>
        <row r="84">
          <cell r="A84" t="str">
            <v>청주건설기계
(오근장지게차,공항지게차)</v>
          </cell>
          <cell r="B84" t="str">
            <v>지게차</v>
          </cell>
          <cell r="C84" t="str">
            <v>490-40-00058</v>
          </cell>
          <cell r="D84" t="str">
            <v>농협010-8574-3343-09</v>
          </cell>
          <cell r="E84" t="str">
            <v>농협</v>
          </cell>
        </row>
        <row r="84">
          <cell r="G84" t="str">
            <v>010-8574-3343-09</v>
          </cell>
          <cell r="H84">
            <v>90000</v>
          </cell>
          <cell r="I84" t="str">
            <v>010-8574-3343</v>
          </cell>
        </row>
        <row r="85">
          <cell r="A85" t="str">
            <v>유상철</v>
          </cell>
          <cell r="B85" t="str">
            <v>울타리공</v>
          </cell>
          <cell r="C85" t="str">
            <v>780418-1411311</v>
          </cell>
          <cell r="D85" t="str">
            <v>인청광역시 남동구 간석동 188-7 203호</v>
          </cell>
          <cell r="E85" t="str">
            <v>농협</v>
          </cell>
          <cell r="F85" t="str">
            <v>유상철</v>
          </cell>
          <cell r="G85" t="str">
            <v>3020703001141</v>
          </cell>
          <cell r="H85">
            <v>180000</v>
          </cell>
          <cell r="I85" t="str">
            <v>010-8997-4235</v>
          </cell>
        </row>
        <row r="85">
          <cell r="K85" t="str">
            <v>21952</v>
          </cell>
        </row>
        <row r="86">
          <cell r="A86" t="str">
            <v>박건진</v>
          </cell>
          <cell r="B86" t="str">
            <v>울타리공</v>
          </cell>
          <cell r="C86" t="str">
            <v>730926-1182618</v>
          </cell>
          <cell r="D86" t="str">
            <v>인천시 연수구 옥련동 642-139</v>
          </cell>
          <cell r="E86" t="str">
            <v>신한</v>
          </cell>
          <cell r="F86" t="str">
            <v>박건진</v>
          </cell>
          <cell r="G86" t="str">
            <v>110531618208</v>
          </cell>
          <cell r="H86">
            <v>150000</v>
          </cell>
          <cell r="I86" t="str">
            <v>010-2520-9629</v>
          </cell>
        </row>
        <row r="86">
          <cell r="K86" t="str">
            <v>14473</v>
          </cell>
        </row>
        <row r="87">
          <cell r="A87" t="str">
            <v>김도운</v>
          </cell>
          <cell r="B87" t="str">
            <v>울타리공</v>
          </cell>
          <cell r="C87" t="str">
            <v>980424-1042216</v>
          </cell>
          <cell r="D87" t="str">
            <v>경기도 부천시 삼적로 395번길8 502호</v>
          </cell>
          <cell r="E87" t="str">
            <v>카카오뱅크</v>
          </cell>
          <cell r="F87" t="str">
            <v>김도운</v>
          </cell>
          <cell r="G87" t="str">
            <v>3333-16-5110770</v>
          </cell>
          <cell r="H87">
            <v>140000</v>
          </cell>
          <cell r="I87" t="str">
            <v>010-4856-8783</v>
          </cell>
        </row>
        <row r="87">
          <cell r="K87" t="str">
            <v>15805</v>
          </cell>
        </row>
        <row r="88">
          <cell r="A88" t="str">
            <v>최진영</v>
          </cell>
          <cell r="B88" t="str">
            <v>울타리공</v>
          </cell>
          <cell r="C88" t="str">
            <v>830808-1273513</v>
          </cell>
          <cell r="D88" t="str">
            <v>경기도 군포시 군포로 767번길 35 </v>
          </cell>
          <cell r="E88" t="str">
            <v>신한</v>
          </cell>
          <cell r="F88" t="str">
            <v>최진영</v>
          </cell>
          <cell r="G88" t="str">
            <v>110309789591</v>
          </cell>
          <cell r="H88">
            <v>165000</v>
          </cell>
          <cell r="I88" t="str">
            <v>010-2537-9954</v>
          </cell>
        </row>
        <row r="88">
          <cell r="K88" t="str">
            <v>15805</v>
          </cell>
        </row>
        <row r="89">
          <cell r="A89" t="str">
            <v>조영준</v>
          </cell>
          <cell r="B89" t="str">
            <v>울타리공</v>
          </cell>
          <cell r="C89" t="str">
            <v>890115-1673921</v>
          </cell>
          <cell r="D89" t="str">
            <v>대구광역시 달서구 상화로373.202동214호</v>
          </cell>
          <cell r="E89" t="str">
            <v>대구</v>
          </cell>
          <cell r="F89" t="str">
            <v>조영준</v>
          </cell>
          <cell r="G89" t="str">
            <v>508116402427</v>
          </cell>
          <cell r="H89">
            <v>135000</v>
          </cell>
          <cell r="I89" t="str">
            <v>010-2523-2611</v>
          </cell>
        </row>
        <row r="90">
          <cell r="A90" t="str">
            <v>정해용</v>
          </cell>
          <cell r="B90" t="str">
            <v>울타리공</v>
          </cell>
          <cell r="C90" t="str">
            <v>880309-1144517</v>
          </cell>
          <cell r="D90" t="str">
            <v>인천광역시시 미추홀구 도화동 6-26</v>
          </cell>
          <cell r="E90" t="str">
            <v>국민</v>
          </cell>
          <cell r="F90" t="str">
            <v>정해용</v>
          </cell>
          <cell r="G90" t="str">
            <v>722125-95-102456</v>
          </cell>
          <cell r="H90">
            <v>165000</v>
          </cell>
        </row>
        <row r="91">
          <cell r="A91" t="str">
            <v>박동호</v>
          </cell>
          <cell r="B91" t="str">
            <v>울타리공</v>
          </cell>
          <cell r="C91" t="str">
            <v>740123-1150216</v>
          </cell>
          <cell r="D91" t="str">
            <v>인천광역시 연수구 학나래로34, 101동501호</v>
          </cell>
          <cell r="E91" t="str">
            <v>신한</v>
          </cell>
          <cell r="F91" t="str">
            <v>박동호</v>
          </cell>
          <cell r="G91" t="str">
            <v>110388363575</v>
          </cell>
          <cell r="H91">
            <v>250000</v>
          </cell>
        </row>
        <row r="91">
          <cell r="K91">
            <v>21911</v>
          </cell>
        </row>
        <row r="92">
          <cell r="A92" t="str">
            <v>이동헌</v>
          </cell>
          <cell r="B92" t="str">
            <v>울타리공</v>
          </cell>
          <cell r="C92" t="str">
            <v>900614-1674812</v>
          </cell>
          <cell r="D92" t="str">
            <v>인천광역시 부평구 부평대로 95</v>
          </cell>
          <cell r="E92" t="str">
            <v>새마을금고</v>
          </cell>
          <cell r="F92" t="str">
            <v>이동헌</v>
          </cell>
          <cell r="G92" t="str">
            <v>9002172373929</v>
          </cell>
          <cell r="H92">
            <v>230000</v>
          </cell>
          <cell r="I92" t="str">
            <v>010-4682-4812</v>
          </cell>
        </row>
        <row r="92">
          <cell r="K92" t="str">
            <v>21379</v>
          </cell>
        </row>
        <row r="93">
          <cell r="A93" t="str">
            <v>김경윤</v>
          </cell>
          <cell r="B93" t="str">
            <v>울타리공</v>
          </cell>
          <cell r="C93">
            <v>19981119</v>
          </cell>
        </row>
        <row r="93">
          <cell r="E93" t="str">
            <v>국민</v>
          </cell>
          <cell r="F93" t="str">
            <v>김경윤</v>
          </cell>
          <cell r="G93" t="str">
            <v>722125-95-102456</v>
          </cell>
          <cell r="H93">
            <v>165000</v>
          </cell>
        </row>
        <row r="94">
          <cell r="A94" t="str">
            <v>지봉수</v>
          </cell>
        </row>
        <row r="94">
          <cell r="C94" t="str">
            <v>871003-</v>
          </cell>
          <cell r="D94" t="str">
            <v>충북 증평군 도안면 탑골길 1-22</v>
          </cell>
        </row>
        <row r="94">
          <cell r="K94" t="str">
            <v>27901</v>
          </cell>
        </row>
        <row r="95">
          <cell r="A95" t="str">
            <v>이기영</v>
          </cell>
        </row>
        <row r="95">
          <cell r="C95" t="str">
            <v>580824-1390815</v>
          </cell>
          <cell r="D95" t="str">
            <v>충청북도 증평군 도안면 탑골길 1-22</v>
          </cell>
          <cell r="E95" t="str">
            <v>국민</v>
          </cell>
          <cell r="F95" t="str">
            <v>삼일용역</v>
          </cell>
          <cell r="G95" t="str">
            <v>722125-95-102456</v>
          </cell>
          <cell r="H95">
            <v>165000</v>
          </cell>
          <cell r="I95" t="str">
            <v>010-9345-3633</v>
          </cell>
          <cell r="J95" t="str">
            <v>삼일용역</v>
          </cell>
          <cell r="K95" t="str">
            <v>27901</v>
          </cell>
        </row>
        <row r="96">
          <cell r="A96" t="str">
            <v>조남부</v>
          </cell>
        </row>
        <row r="96">
          <cell r="C96" t="str">
            <v>600417-1458432</v>
          </cell>
          <cell r="D96" t="str">
            <v>충북 청원군 낭성면 관정길 180-1</v>
          </cell>
          <cell r="E96" t="str">
            <v>국민</v>
          </cell>
          <cell r="F96" t="str">
            <v>삼일용역</v>
          </cell>
          <cell r="G96" t="str">
            <v>722125-95-102456</v>
          </cell>
          <cell r="H96">
            <v>165000</v>
          </cell>
        </row>
        <row r="96">
          <cell r="J96" t="str">
            <v>삼일용역</v>
          </cell>
          <cell r="K96" t="str">
            <v>28194</v>
          </cell>
        </row>
        <row r="97">
          <cell r="A97" t="str">
            <v>임종길</v>
          </cell>
        </row>
        <row r="97">
          <cell r="C97" t="str">
            <v>611204-1346019</v>
          </cell>
          <cell r="D97" t="str">
            <v>경상남도 고성군 거류면 화당2길 21-10</v>
          </cell>
          <cell r="E97" t="str">
            <v>국민</v>
          </cell>
          <cell r="F97" t="str">
            <v>삼일용역</v>
          </cell>
          <cell r="G97" t="str">
            <v>722125-95-102456</v>
          </cell>
          <cell r="H97">
            <v>175000</v>
          </cell>
        </row>
        <row r="97">
          <cell r="J97" t="str">
            <v>삼일용역</v>
          </cell>
          <cell r="K97" t="str">
            <v>52926</v>
          </cell>
        </row>
        <row r="98">
          <cell r="A98" t="str">
            <v>윤덕근</v>
          </cell>
        </row>
        <row r="98">
          <cell r="C98" t="str">
            <v>620209-1390912</v>
          </cell>
          <cell r="D98" t="str">
            <v>충청북도 증평군 증평읍 송산로4길 14,305동</v>
          </cell>
          <cell r="E98" t="str">
            <v>국민</v>
          </cell>
          <cell r="F98" t="str">
            <v>삼일용역</v>
          </cell>
          <cell r="G98" t="str">
            <v>722125-95-102456</v>
          </cell>
          <cell r="H98">
            <v>170000</v>
          </cell>
          <cell r="I98" t="str">
            <v>010-5498-6461</v>
          </cell>
          <cell r="J98" t="str">
            <v>삼일용역</v>
          </cell>
          <cell r="K98" t="str">
            <v>27917</v>
          </cell>
        </row>
        <row r="99">
          <cell r="A99" t="str">
            <v>김상만</v>
          </cell>
        </row>
        <row r="99">
          <cell r="C99" t="str">
            <v>730115-1781625</v>
          </cell>
          <cell r="D99" t="str">
            <v>울산광역시 동구 대송3길 63</v>
          </cell>
          <cell r="E99" t="str">
            <v>국민</v>
          </cell>
          <cell r="F99" t="str">
            <v>삼일용역</v>
          </cell>
          <cell r="G99" t="str">
            <v>722125-95-102456</v>
          </cell>
          <cell r="H99">
            <v>175000</v>
          </cell>
          <cell r="I99" t="str">
            <v>010-5498-6461</v>
          </cell>
          <cell r="J99" t="str">
            <v>삼일용역</v>
          </cell>
          <cell r="K99" t="str">
            <v>44062</v>
          </cell>
        </row>
        <row r="100">
          <cell r="A100" t="str">
            <v>이주은</v>
          </cell>
        </row>
        <row r="100">
          <cell r="C100" t="str">
            <v>930109-2409915</v>
          </cell>
          <cell r="D100" t="str">
            <v>대전광역시 서구 도솔로 324-5(괴정동)</v>
          </cell>
          <cell r="E100" t="str">
            <v>국민</v>
          </cell>
          <cell r="F100" t="str">
            <v>삼일용역</v>
          </cell>
          <cell r="G100" t="str">
            <v>722125-95-102456</v>
          </cell>
          <cell r="H100">
            <v>130000</v>
          </cell>
        </row>
        <row r="100">
          <cell r="J100" t="str">
            <v>삼일용역</v>
          </cell>
          <cell r="K100" t="str">
            <v>35295</v>
          </cell>
        </row>
        <row r="101">
          <cell r="A101" t="str">
            <v>김정태</v>
          </cell>
          <cell r="B101" t="str">
            <v>삼일용역</v>
          </cell>
          <cell r="C101" t="str">
            <v>650104-1380821</v>
          </cell>
          <cell r="D101" t="str">
            <v>충청북도 청주시 청원구 오창읍 여천2길 22-5</v>
          </cell>
          <cell r="E101" t="str">
            <v>국민</v>
          </cell>
          <cell r="F101" t="str">
            <v>삼일용역</v>
          </cell>
          <cell r="G101" t="str">
            <v>722125-95-102456</v>
          </cell>
          <cell r="H101">
            <v>175000</v>
          </cell>
        </row>
        <row r="101">
          <cell r="J101" t="str">
            <v>삼일용역</v>
          </cell>
          <cell r="K101" t="str">
            <v>28127</v>
          </cell>
        </row>
        <row r="102">
          <cell r="A102" t="str">
            <v>윤희주</v>
          </cell>
          <cell r="B102" t="str">
            <v>삼일용역</v>
          </cell>
          <cell r="C102" t="str">
            <v>520112-1621913</v>
          </cell>
          <cell r="D102" t="str">
            <v>충북 증평군 증평읍 쇠마루1길 45</v>
          </cell>
          <cell r="E102" t="str">
            <v>국민</v>
          </cell>
          <cell r="F102" t="str">
            <v>삼일용역</v>
          </cell>
          <cell r="G102" t="str">
            <v>722125-95-102456</v>
          </cell>
          <cell r="H102">
            <v>175000</v>
          </cell>
        </row>
        <row r="102">
          <cell r="J102" t="str">
            <v>삼일용역</v>
          </cell>
          <cell r="K102" t="str">
            <v>27913</v>
          </cell>
        </row>
        <row r="103">
          <cell r="A103" t="str">
            <v>최성학</v>
          </cell>
          <cell r="B103" t="str">
            <v>삼일용역</v>
          </cell>
          <cell r="C103" t="str">
            <v>630111-1268111</v>
          </cell>
          <cell r="D103" t="str">
            <v>충북 음성군 설성로 2</v>
          </cell>
          <cell r="E103" t="str">
            <v>국민</v>
          </cell>
          <cell r="F103" t="str">
            <v>삼일용역</v>
          </cell>
          <cell r="G103" t="str">
            <v>722125-95-102456</v>
          </cell>
          <cell r="H103">
            <v>165000</v>
          </cell>
        </row>
        <row r="103">
          <cell r="J103" t="str">
            <v>삼일용역</v>
          </cell>
          <cell r="K103" t="str">
            <v>21952</v>
          </cell>
        </row>
        <row r="104">
          <cell r="A104" t="str">
            <v>정복용</v>
          </cell>
          <cell r="B104" t="str">
            <v>삼일용역</v>
          </cell>
          <cell r="C104" t="str">
            <v>651210-1337113</v>
          </cell>
          <cell r="D104" t="str">
            <v>강원도 화천군 간동면 오음리 오동나무길8-9</v>
          </cell>
          <cell r="E104" t="str">
            <v>국민</v>
          </cell>
          <cell r="F104" t="str">
            <v>삼일용역</v>
          </cell>
          <cell r="G104" t="str">
            <v>722125-95-102456</v>
          </cell>
          <cell r="H104">
            <v>180000</v>
          </cell>
        </row>
        <row r="104">
          <cell r="J104" t="str">
            <v>삼일용역</v>
          </cell>
          <cell r="K104" t="str">
            <v>24137</v>
          </cell>
        </row>
        <row r="105">
          <cell r="A105" t="str">
            <v>정인섭</v>
          </cell>
          <cell r="B105" t="str">
            <v>삼일용역</v>
          </cell>
          <cell r="C105" t="str">
            <v>610720-1452816</v>
          </cell>
          <cell r="D105" t="str">
            <v>충북 증평군 증평읍 삼보로1길 21, 104동110호</v>
          </cell>
          <cell r="E105" t="str">
            <v>국민</v>
          </cell>
          <cell r="F105" t="str">
            <v>삼일용역</v>
          </cell>
          <cell r="G105" t="str">
            <v>722125-95-102456</v>
          </cell>
          <cell r="H105">
            <v>165000</v>
          </cell>
        </row>
        <row r="105">
          <cell r="J105" t="str">
            <v>삼일용역</v>
          </cell>
          <cell r="K105" t="str">
            <v>27928</v>
          </cell>
        </row>
        <row r="106">
          <cell r="A106" t="str">
            <v>연제선</v>
          </cell>
          <cell r="B106" t="str">
            <v>삼일용역</v>
          </cell>
          <cell r="C106" t="str">
            <v>880417-1390814</v>
          </cell>
          <cell r="D106" t="str">
            <v>충북 증평군 증평읍 송산로 53 휴먼시아@</v>
          </cell>
          <cell r="E106" t="str">
            <v>국민</v>
          </cell>
          <cell r="F106" t="str">
            <v>삼일용역</v>
          </cell>
          <cell r="G106" t="str">
            <v>722125-95-102456</v>
          </cell>
          <cell r="H106">
            <v>175000</v>
          </cell>
        </row>
        <row r="106">
          <cell r="J106" t="str">
            <v>삼일용역</v>
          </cell>
          <cell r="K106" t="str">
            <v>27918</v>
          </cell>
        </row>
        <row r="107">
          <cell r="A107" t="str">
            <v>이기범</v>
          </cell>
          <cell r="B107" t="str">
            <v>삼일용역</v>
          </cell>
          <cell r="C107" t="str">
            <v>840608-1227411</v>
          </cell>
          <cell r="D107" t="str">
            <v>경기도 평택시 세교동 560, 향촌현대아파트</v>
          </cell>
          <cell r="E107" t="str">
            <v>국민</v>
          </cell>
          <cell r="F107" t="str">
            <v>삼일용역</v>
          </cell>
          <cell r="G107" t="str">
            <v>722125-95-102456</v>
          </cell>
          <cell r="H107">
            <v>165000</v>
          </cell>
        </row>
        <row r="107">
          <cell r="J107" t="str">
            <v>삼일용역</v>
          </cell>
          <cell r="K107" t="str">
            <v>17832</v>
          </cell>
        </row>
        <row r="108">
          <cell r="A108" t="str">
            <v>신기호</v>
          </cell>
          <cell r="B108" t="str">
            <v>삼일용역</v>
          </cell>
          <cell r="C108" t="str">
            <v>740917-1390110</v>
          </cell>
          <cell r="D108" t="str">
            <v>충북 청주시 청원구 오창읍 양천6길 4-10 104호</v>
          </cell>
          <cell r="E108" t="str">
            <v>국민</v>
          </cell>
          <cell r="F108" t="str">
            <v>삼일용역</v>
          </cell>
          <cell r="G108" t="str">
            <v>722125-95-102456</v>
          </cell>
          <cell r="H108">
            <v>165000</v>
          </cell>
        </row>
        <row r="108">
          <cell r="J108" t="str">
            <v>삼일용역</v>
          </cell>
          <cell r="K108" t="str">
            <v>28116</v>
          </cell>
        </row>
        <row r="109">
          <cell r="A109" t="str">
            <v>한승태</v>
          </cell>
          <cell r="B109" t="str">
            <v>삼일용역</v>
          </cell>
          <cell r="C109" t="str">
            <v>560216-1390811</v>
          </cell>
          <cell r="D109" t="str">
            <v>충북 증평군 도안면 백암길 31-10</v>
          </cell>
          <cell r="E109" t="str">
            <v>국민</v>
          </cell>
          <cell r="F109" t="str">
            <v>삼일용역</v>
          </cell>
          <cell r="G109" t="str">
            <v>722125-95-102456</v>
          </cell>
          <cell r="H109">
            <v>175000</v>
          </cell>
        </row>
        <row r="110">
          <cell r="A110" t="str">
            <v>한만선</v>
          </cell>
          <cell r="B110" t="str">
            <v>삼일용역</v>
          </cell>
          <cell r="C110" t="str">
            <v>600709-1398411</v>
          </cell>
          <cell r="D110" t="str">
            <v>대전광영시유성구유성대로668번길64 301호</v>
          </cell>
          <cell r="E110" t="str">
            <v>국민</v>
          </cell>
          <cell r="F110" t="str">
            <v>삼일용역</v>
          </cell>
          <cell r="G110" t="str">
            <v>722125-95-102456</v>
          </cell>
          <cell r="H110">
            <v>165000</v>
          </cell>
        </row>
        <row r="111">
          <cell r="A111" t="str">
            <v>정수용</v>
          </cell>
          <cell r="B111" t="str">
            <v>삼일용역</v>
          </cell>
          <cell r="C111" t="str">
            <v>610528-1390511</v>
          </cell>
          <cell r="D111" t="str">
            <v>충청북도 증평군 증평읍 광장로 534 (서호e타운아파트)</v>
          </cell>
          <cell r="E111" t="str">
            <v>국민</v>
          </cell>
          <cell r="F111" t="str">
            <v>삼일용역</v>
          </cell>
          <cell r="G111" t="str">
            <v>722125-95-102456</v>
          </cell>
          <cell r="H111">
            <v>165000</v>
          </cell>
        </row>
        <row r="111">
          <cell r="K111">
            <v>27909</v>
          </cell>
        </row>
        <row r="112">
          <cell r="A112" t="str">
            <v>한상원</v>
          </cell>
          <cell r="B112" t="str">
            <v>삼일용역</v>
          </cell>
          <cell r="C112" t="str">
            <v>700225-1390926</v>
          </cell>
          <cell r="D112" t="str">
            <v>충청북도 괴산군 사리면 방축리 768-130</v>
          </cell>
          <cell r="E112" t="str">
            <v>국민</v>
          </cell>
          <cell r="F112" t="str">
            <v>삼일용역</v>
          </cell>
          <cell r="G112" t="str">
            <v>722125-95-102456</v>
          </cell>
          <cell r="H112">
            <v>175000</v>
          </cell>
        </row>
        <row r="113">
          <cell r="A113" t="str">
            <v>정문기</v>
          </cell>
          <cell r="B113" t="str">
            <v>삼일용역</v>
          </cell>
          <cell r="C113" t="str">
            <v>670101-1926014</v>
          </cell>
          <cell r="D113" t="str">
            <v>경기도 김포시 대곶면 대곶서로 234번길 52-16</v>
          </cell>
          <cell r="E113" t="str">
            <v>국민</v>
          </cell>
          <cell r="F113" t="str">
            <v>삼일용역</v>
          </cell>
          <cell r="G113" t="str">
            <v>722125-95-102456</v>
          </cell>
          <cell r="H113">
            <v>165000</v>
          </cell>
        </row>
        <row r="114">
          <cell r="A114" t="str">
            <v>최영수</v>
          </cell>
          <cell r="B114" t="str">
            <v>삼일용역</v>
          </cell>
          <cell r="C114" t="str">
            <v>770131-1390916</v>
          </cell>
          <cell r="D114" t="str">
            <v>증평군 증평읍 충청대로 1746,105동 102호 </v>
          </cell>
          <cell r="E114" t="str">
            <v>국민</v>
          </cell>
          <cell r="F114" t="str">
            <v>삼일용역</v>
          </cell>
          <cell r="G114" t="str">
            <v>722125-95-102456</v>
          </cell>
          <cell r="H114">
            <v>175000</v>
          </cell>
        </row>
        <row r="115">
          <cell r="A115" t="str">
            <v>이권희</v>
          </cell>
          <cell r="B115" t="str">
            <v>삼일용역</v>
          </cell>
          <cell r="C115" t="str">
            <v>600920-1390816</v>
          </cell>
          <cell r="D115" t="str">
            <v>충북 증평군 도안면 도당리 131</v>
          </cell>
          <cell r="E115" t="str">
            <v>국민</v>
          </cell>
          <cell r="F115" t="str">
            <v>삼일용역</v>
          </cell>
          <cell r="G115" t="str">
            <v>722125-95-102456</v>
          </cell>
          <cell r="H115">
            <v>165000</v>
          </cell>
        </row>
        <row r="115">
          <cell r="K115">
            <v>27906</v>
          </cell>
        </row>
        <row r="116">
          <cell r="A116" t="str">
            <v>연영수</v>
          </cell>
          <cell r="B116" t="str">
            <v>삼일용역</v>
          </cell>
          <cell r="C116" t="str">
            <v>610228-1390814</v>
          </cell>
          <cell r="D116" t="str">
            <v>충북 증평군 증평읍 진지내1길 21, 3호</v>
          </cell>
          <cell r="E116" t="str">
            <v>국민</v>
          </cell>
          <cell r="F116" t="str">
            <v>삼일용역</v>
          </cell>
          <cell r="G116" t="str">
            <v>722125-95-102456</v>
          </cell>
          <cell r="H116">
            <v>165000</v>
          </cell>
        </row>
        <row r="116">
          <cell r="K116" t="str">
            <v>27933</v>
          </cell>
        </row>
        <row r="117">
          <cell r="A117" t="str">
            <v>정규성</v>
          </cell>
          <cell r="B117" t="str">
            <v>삼일용역</v>
          </cell>
          <cell r="C117" t="str">
            <v>721023-1904418</v>
          </cell>
          <cell r="D117" t="str">
            <v>울산광역시 울주군 삼남면 서향교1길 59-9</v>
          </cell>
          <cell r="E117" t="str">
            <v>국민</v>
          </cell>
          <cell r="F117" t="str">
            <v>삼일용역</v>
          </cell>
          <cell r="G117" t="str">
            <v>722125-95-102456</v>
          </cell>
          <cell r="H117">
            <v>175000</v>
          </cell>
        </row>
        <row r="117">
          <cell r="K117">
            <v>44950</v>
          </cell>
        </row>
        <row r="118">
          <cell r="A118" t="str">
            <v>이승태</v>
          </cell>
          <cell r="B118" t="str">
            <v>삼일용역</v>
          </cell>
          <cell r="C118" t="str">
            <v>760221-1537211</v>
          </cell>
          <cell r="D118" t="str">
            <v>충북 청주시 청원구 오창읍 양청2길29-38</v>
          </cell>
          <cell r="E118" t="str">
            <v>국민</v>
          </cell>
          <cell r="F118" t="str">
            <v>삼일용역</v>
          </cell>
          <cell r="G118" t="str">
            <v>722125-95-102456</v>
          </cell>
          <cell r="H118">
            <v>165000</v>
          </cell>
        </row>
        <row r="118">
          <cell r="K118">
            <v>28115</v>
          </cell>
        </row>
        <row r="119">
          <cell r="A119" t="str">
            <v>이성길</v>
          </cell>
          <cell r="B119" t="str">
            <v>삼일용역</v>
          </cell>
          <cell r="C119" t="str">
            <v>651105-1046117</v>
          </cell>
          <cell r="D119" t="str">
            <v>경기도 안성시 원곡면 강문길 31</v>
          </cell>
          <cell r="E119" t="str">
            <v>국민</v>
          </cell>
          <cell r="F119" t="str">
            <v>삼일용역</v>
          </cell>
          <cell r="G119" t="str">
            <v>722125-95-102456</v>
          </cell>
          <cell r="H119">
            <v>180000</v>
          </cell>
        </row>
        <row r="119">
          <cell r="K119" t="str">
            <v>17555</v>
          </cell>
        </row>
        <row r="120">
          <cell r="A120" t="str">
            <v>김경선</v>
          </cell>
          <cell r="B120" t="str">
            <v>삼일용역</v>
          </cell>
          <cell r="C120" t="str">
            <v>590703-1047120</v>
          </cell>
          <cell r="D120" t="str">
            <v>경기도 화성시 떡전골로 82, 7동 725호</v>
          </cell>
          <cell r="E120" t="str">
            <v>국민</v>
          </cell>
          <cell r="F120" t="str">
            <v>삼일용역</v>
          </cell>
          <cell r="G120" t="str">
            <v>722125-95-102456</v>
          </cell>
          <cell r="H120">
            <v>185000</v>
          </cell>
        </row>
        <row r="120">
          <cell r="K120">
            <v>18412</v>
          </cell>
        </row>
        <row r="121">
          <cell r="A121" t="str">
            <v>김주현</v>
          </cell>
          <cell r="B121" t="str">
            <v>삼일용역</v>
          </cell>
          <cell r="C121" t="str">
            <v>790210-1388411</v>
          </cell>
          <cell r="D121" t="str">
            <v>충북 증평군 증평읍 초중12길 50, 203호</v>
          </cell>
          <cell r="E121" t="str">
            <v>국민</v>
          </cell>
          <cell r="F121" t="str">
            <v>삼일용역</v>
          </cell>
          <cell r="G121" t="str">
            <v>722125-95-102456</v>
          </cell>
          <cell r="H121">
            <v>185000</v>
          </cell>
        </row>
        <row r="121">
          <cell r="K121">
            <v>27939</v>
          </cell>
        </row>
        <row r="122">
          <cell r="A122" t="str">
            <v>김경민</v>
          </cell>
          <cell r="B122" t="str">
            <v>삼일용역</v>
          </cell>
          <cell r="C122" t="str">
            <v>790618-1381016</v>
          </cell>
          <cell r="D122" t="str">
            <v>충북 청주시 청원구 내수읍 은곡묵방길28, 102동 510호</v>
          </cell>
          <cell r="E122" t="str">
            <v>국민</v>
          </cell>
          <cell r="F122" t="str">
            <v>삼일용역</v>
          </cell>
          <cell r="G122" t="str">
            <v>722125-95-102456</v>
          </cell>
          <cell r="H122">
            <v>165000</v>
          </cell>
        </row>
        <row r="122">
          <cell r="K122">
            <v>28151</v>
          </cell>
        </row>
        <row r="129">
          <cell r="A129" t="str">
            <v>이강윤</v>
          </cell>
        </row>
        <row r="129">
          <cell r="C129" t="str">
            <v>580301-1524520</v>
          </cell>
          <cell r="D129" t="str">
            <v>충북 영동군 영동읍 영산로6길 18-6</v>
          </cell>
          <cell r="E129" t="str">
            <v>농협</v>
          </cell>
          <cell r="F129" t="str">
            <v>이강윤</v>
          </cell>
          <cell r="G129" t="str">
            <v>407012-52-107196</v>
          </cell>
          <cell r="H129">
            <v>270000</v>
          </cell>
          <cell r="I129" t="str">
            <v>010-4420-0758</v>
          </cell>
        </row>
        <row r="129">
          <cell r="K129">
            <v>29147</v>
          </cell>
        </row>
        <row r="130">
          <cell r="A130" t="str">
            <v>곽정관</v>
          </cell>
        </row>
        <row r="130">
          <cell r="C130" t="str">
            <v>530112-1117421</v>
          </cell>
          <cell r="D130" t="str">
            <v>충북 영동군 영동읍 금동로3길 5-9</v>
          </cell>
          <cell r="E130" t="str">
            <v>농협</v>
          </cell>
          <cell r="F130" t="str">
            <v>곽정관</v>
          </cell>
          <cell r="G130" t="str">
            <v>319-12-247113</v>
          </cell>
          <cell r="H130">
            <v>240000</v>
          </cell>
          <cell r="I130" t="str">
            <v>010-5255-9807</v>
          </cell>
        </row>
        <row r="130">
          <cell r="K130" t="str">
            <v>29138</v>
          </cell>
        </row>
        <row r="131">
          <cell r="A131" t="str">
            <v>조원제</v>
          </cell>
        </row>
        <row r="131">
          <cell r="C131" t="str">
            <v>641120-1386124</v>
          </cell>
          <cell r="D131" t="str">
            <v>충북 영동군 영동읍 부용6길 20-39</v>
          </cell>
          <cell r="E131" t="str">
            <v>농협</v>
          </cell>
          <cell r="F131" t="str">
            <v>조원제</v>
          </cell>
          <cell r="G131" t="str">
            <v>319-12-230641</v>
          </cell>
          <cell r="H131">
            <v>250000</v>
          </cell>
        </row>
        <row r="131">
          <cell r="K131">
            <v>29149</v>
          </cell>
        </row>
        <row r="132">
          <cell r="A132" t="str">
            <v>최승열</v>
          </cell>
          <cell r="B132" t="str">
            <v>보통인부</v>
          </cell>
          <cell r="C132" t="str">
            <v>620724-1648219</v>
          </cell>
          <cell r="D132" t="str">
            <v>충북 영동군 영동읍 부용7길 12,가동 201호(남경빌라)</v>
          </cell>
        </row>
        <row r="132">
          <cell r="F132" t="str">
            <v>최승열</v>
          </cell>
          <cell r="G132" t="str">
            <v>상용직</v>
          </cell>
        </row>
        <row r="132">
          <cell r="I132">
            <v>1054644595</v>
          </cell>
        </row>
        <row r="132">
          <cell r="K132" t="str">
            <v>29147</v>
          </cell>
        </row>
        <row r="133">
          <cell r="A133" t="str">
            <v>박장현</v>
          </cell>
          <cell r="B133" t="str">
            <v>보통인부</v>
          </cell>
          <cell r="C133" t="str">
            <v>690615-1386125</v>
          </cell>
          <cell r="D133" t="str">
            <v>충북 영동군 영동읍 부용7안길 25</v>
          </cell>
        </row>
        <row r="133">
          <cell r="F133" t="str">
            <v>박장현</v>
          </cell>
          <cell r="G133" t="str">
            <v>상용직</v>
          </cell>
        </row>
        <row r="133">
          <cell r="I133" t="str">
            <v>010-9405-6479</v>
          </cell>
        </row>
        <row r="133">
          <cell r="K133" t="str">
            <v>29157</v>
          </cell>
        </row>
        <row r="134">
          <cell r="A134" t="str">
            <v>박래일</v>
          </cell>
        </row>
        <row r="134">
          <cell r="C134" t="str">
            <v>590108-1386126</v>
          </cell>
          <cell r="D134" t="str">
            <v>충북 영동군 영동읍 영산로7길 2, 가동 106호 (양지연립)</v>
          </cell>
          <cell r="E134" t="str">
            <v>농협</v>
          </cell>
          <cell r="F134" t="str">
            <v>박래일</v>
          </cell>
          <cell r="G134" t="str">
            <v>356-0895-8530-93</v>
          </cell>
          <cell r="H134">
            <v>150000</v>
          </cell>
          <cell r="I134" t="str">
            <v>010-4650-3480</v>
          </cell>
        </row>
        <row r="134">
          <cell r="K134" t="str">
            <v>29155</v>
          </cell>
        </row>
        <row r="135">
          <cell r="A135" t="str">
            <v>박범해</v>
          </cell>
        </row>
        <row r="135">
          <cell r="C135" t="str">
            <v>660105-1386714</v>
          </cell>
          <cell r="D135" t="str">
            <v>충북 영동군 양강면 남전2안길 4-17 (남전리 272)</v>
          </cell>
          <cell r="E135" t="str">
            <v>농협</v>
          </cell>
          <cell r="F135" t="str">
            <v>박범해</v>
          </cell>
          <cell r="G135" t="str">
            <v>356-1071-0591-83</v>
          </cell>
          <cell r="H135">
            <v>150000</v>
          </cell>
          <cell r="I135" t="str">
            <v>010-6356-5898</v>
          </cell>
        </row>
        <row r="135">
          <cell r="K135" t="str">
            <v>29155</v>
          </cell>
        </row>
        <row r="136">
          <cell r="A136" t="str">
            <v>이명철</v>
          </cell>
        </row>
        <row r="136">
          <cell r="C136" t="str">
            <v>000329-3691911</v>
          </cell>
          <cell r="D136" t="str">
            <v>충북 제천시 제천북로1길 75 (왕암동)</v>
          </cell>
          <cell r="E136" t="str">
            <v>농협</v>
          </cell>
          <cell r="F136" t="str">
            <v>이명철</v>
          </cell>
          <cell r="G136" t="str">
            <v>302-1531-6143-71</v>
          </cell>
          <cell r="H136">
            <v>150000</v>
          </cell>
          <cell r="I136" t="str">
            <v>010-5301-8775</v>
          </cell>
        </row>
        <row r="136">
          <cell r="K136" t="str">
            <v>29129</v>
          </cell>
        </row>
        <row r="137">
          <cell r="A137" t="str">
            <v>배진식</v>
          </cell>
        </row>
        <row r="137">
          <cell r="C137" t="str">
            <v>540910-1386711</v>
          </cell>
          <cell r="D137" t="str">
            <v>충북 영동군 양강면 국촌길16-11</v>
          </cell>
          <cell r="E137" t="str">
            <v>농협</v>
          </cell>
          <cell r="F137" t="str">
            <v>배진식</v>
          </cell>
          <cell r="G137" t="str">
            <v>069-01-106491</v>
          </cell>
          <cell r="H137">
            <v>150000</v>
          </cell>
          <cell r="I137" t="str">
            <v>010-4476-3636</v>
          </cell>
        </row>
        <row r="137">
          <cell r="K137" t="str">
            <v>29157</v>
          </cell>
        </row>
        <row r="138">
          <cell r="A138" t="str">
            <v>박헌태</v>
          </cell>
        </row>
        <row r="138">
          <cell r="C138" t="str">
            <v>551120-1455311</v>
          </cell>
          <cell r="D138" t="str">
            <v>충북 영동군 영동읍 눈어치2로 22</v>
          </cell>
          <cell r="E138" t="str">
            <v>농협</v>
          </cell>
          <cell r="F138" t="str">
            <v>박헌태</v>
          </cell>
          <cell r="G138" t="str">
            <v>356-0142-0083-23</v>
          </cell>
          <cell r="H138">
            <v>150000</v>
          </cell>
          <cell r="I138" t="str">
            <v>010-5450-0950</v>
          </cell>
        </row>
        <row r="138">
          <cell r="K138" t="str">
            <v>29140</v>
          </cell>
        </row>
        <row r="139">
          <cell r="A139" t="str">
            <v>민백규</v>
          </cell>
        </row>
        <row r="139">
          <cell r="C139" t="str">
            <v>600810-1386721</v>
          </cell>
          <cell r="D139" t="str">
            <v>충북 영동군 양강면 내만길 178-2</v>
          </cell>
          <cell r="E139" t="str">
            <v>농협</v>
          </cell>
          <cell r="F139" t="str">
            <v>민백규</v>
          </cell>
          <cell r="G139" t="str">
            <v>453060-52-207611</v>
          </cell>
          <cell r="H139">
            <v>150000</v>
          </cell>
          <cell r="I139" t="str">
            <v>010-7107-2693</v>
          </cell>
        </row>
        <row r="139">
          <cell r="K139" t="str">
            <v>37274</v>
          </cell>
        </row>
        <row r="140">
          <cell r="A140" t="str">
            <v>민헌기</v>
          </cell>
        </row>
        <row r="140">
          <cell r="C140" t="str">
            <v>601219-1386711</v>
          </cell>
          <cell r="D140" t="str">
            <v>충북 영동군 양강면 내만길 173 (만계리 156-4)</v>
          </cell>
          <cell r="E140" t="str">
            <v>농협</v>
          </cell>
          <cell r="F140" t="str">
            <v>민헌기</v>
          </cell>
          <cell r="G140" t="str">
            <v>352-0293-9952-13</v>
          </cell>
          <cell r="H140">
            <v>150000</v>
          </cell>
          <cell r="I140" t="str">
            <v>010-5338-5196</v>
          </cell>
        </row>
        <row r="140">
          <cell r="K140" t="str">
            <v>27116</v>
          </cell>
        </row>
        <row r="141">
          <cell r="A141" t="str">
            <v>박상복</v>
          </cell>
        </row>
        <row r="141">
          <cell r="C141" t="str">
            <v>800702-1386911</v>
          </cell>
          <cell r="D141" t="str">
            <v>충북 영동군 영동읍 동정리143</v>
          </cell>
          <cell r="E141" t="str">
            <v>중소기업</v>
          </cell>
          <cell r="F141" t="str">
            <v>박상복</v>
          </cell>
          <cell r="G141" t="str">
            <v>186-041383-01-012</v>
          </cell>
          <cell r="H141">
            <v>150000</v>
          </cell>
          <cell r="I141" t="str">
            <v>010-8597-4428</v>
          </cell>
        </row>
        <row r="141">
          <cell r="K141" t="str">
            <v>29140</v>
          </cell>
        </row>
        <row r="142">
          <cell r="A142" t="str">
            <v>황동주</v>
          </cell>
        </row>
        <row r="142">
          <cell r="C142" t="str">
            <v>571013-1805110</v>
          </cell>
          <cell r="D142" t="str">
            <v>경상북도 상주시 모동면 수봉리 546 </v>
          </cell>
          <cell r="E142" t="str">
            <v>우체국</v>
          </cell>
          <cell r="F142" t="str">
            <v>황동주</v>
          </cell>
          <cell r="G142" t="str">
            <v>701029-02-013954</v>
          </cell>
          <cell r="H142">
            <v>150000</v>
          </cell>
          <cell r="I142" t="str">
            <v>010-3432-0395</v>
          </cell>
        </row>
        <row r="142">
          <cell r="K142" t="str">
            <v>10501</v>
          </cell>
        </row>
        <row r="143">
          <cell r="A143" t="str">
            <v>이병문</v>
          </cell>
        </row>
        <row r="143">
          <cell r="C143" t="str">
            <v>570919-1401027</v>
          </cell>
          <cell r="D143" t="str">
            <v>충북 영동군 영동읍 동정리 143</v>
          </cell>
          <cell r="E143" t="str">
            <v>농협</v>
          </cell>
          <cell r="F143" t="str">
            <v>이병문</v>
          </cell>
          <cell r="G143" t="str">
            <v>302-0987-1761-21</v>
          </cell>
          <cell r="H143">
            <v>150000</v>
          </cell>
          <cell r="I143" t="str">
            <v>010-8975-6129</v>
          </cell>
        </row>
        <row r="143">
          <cell r="K143" t="str">
            <v>34516</v>
          </cell>
        </row>
        <row r="144">
          <cell r="A144" t="str">
            <v>정찬옥</v>
          </cell>
        </row>
        <row r="144">
          <cell r="C144" t="str">
            <v>610512-2328134</v>
          </cell>
          <cell r="D144" t="str">
            <v>대전광역시 동구 백룡로 35-10</v>
          </cell>
          <cell r="E144" t="str">
            <v>새마을</v>
          </cell>
          <cell r="F144" t="str">
            <v>정찬옥</v>
          </cell>
          <cell r="G144" t="str">
            <v>9002-1563-1485-9</v>
          </cell>
          <cell r="H144">
            <v>220000</v>
          </cell>
        </row>
        <row r="144">
          <cell r="K144" t="str">
            <v>29155</v>
          </cell>
        </row>
        <row r="145">
          <cell r="A145" t="str">
            <v>이창우</v>
          </cell>
        </row>
        <row r="145">
          <cell r="C145" t="str">
            <v>670620-1387124</v>
          </cell>
          <cell r="D145" t="str">
            <v>충북 영동군 심천면 지계길 113</v>
          </cell>
          <cell r="E145" t="str">
            <v>농협</v>
          </cell>
          <cell r="F145" t="str">
            <v>이창우</v>
          </cell>
          <cell r="G145" t="str">
            <v>4070-52-014063</v>
          </cell>
          <cell r="H145">
            <v>150000</v>
          </cell>
        </row>
        <row r="145">
          <cell r="K145" t="str">
            <v>29101</v>
          </cell>
        </row>
        <row r="146">
          <cell r="A146" t="str">
            <v>김환배</v>
          </cell>
        </row>
        <row r="146">
          <cell r="C146" t="str">
            <v>530810-1057646</v>
          </cell>
          <cell r="D146" t="str">
            <v>충북 영동군 양강면 남전2안길 4-20</v>
          </cell>
          <cell r="E146" t="str">
            <v>농협</v>
          </cell>
          <cell r="F146" t="str">
            <v>김환배</v>
          </cell>
          <cell r="G146" t="str">
            <v>352-0532-0302-03</v>
          </cell>
          <cell r="H146">
            <v>180000</v>
          </cell>
        </row>
        <row r="146">
          <cell r="K146" t="str">
            <v>29139</v>
          </cell>
        </row>
        <row r="147">
          <cell r="A147" t="str">
            <v>엄종섭</v>
          </cell>
        </row>
        <row r="147">
          <cell r="C147" t="str">
            <v>660719-1522231</v>
          </cell>
          <cell r="D147" t="str">
            <v>충북 영동군 용산면 율리4길 18-8</v>
          </cell>
          <cell r="E147" t="str">
            <v>농협</v>
          </cell>
          <cell r="F147" t="str">
            <v>엄종섭</v>
          </cell>
          <cell r="G147" t="str">
            <v>352-0772-2516-93</v>
          </cell>
          <cell r="H147">
            <v>150000</v>
          </cell>
          <cell r="I147" t="str">
            <v>010-2031-1002</v>
          </cell>
        </row>
        <row r="147">
          <cell r="K147" t="str">
            <v>29165</v>
          </cell>
        </row>
        <row r="148">
          <cell r="A148" t="str">
            <v>정구목</v>
          </cell>
        </row>
        <row r="148">
          <cell r="C148" t="str">
            <v>601005-1386727</v>
          </cell>
          <cell r="D148" t="str">
            <v>충북 영동군 영동읍 구교로 32-7, 307호 (대성@)</v>
          </cell>
          <cell r="E148" t="str">
            <v>농협</v>
          </cell>
          <cell r="F148" t="str">
            <v>정구목</v>
          </cell>
          <cell r="G148" t="str">
            <v>301-0283-3279-11</v>
          </cell>
          <cell r="H148">
            <v>150000</v>
          </cell>
        </row>
        <row r="148">
          <cell r="K148" t="str">
            <v>29155</v>
          </cell>
        </row>
        <row r="149">
          <cell r="A149" t="str">
            <v>전근정</v>
          </cell>
        </row>
        <row r="149">
          <cell r="C149" t="str">
            <v>721105-1386912</v>
          </cell>
          <cell r="D149" t="str">
            <v>충북 영동군 학산면 모정길 78 (황산리 843)</v>
          </cell>
          <cell r="E149" t="str">
            <v>농협</v>
          </cell>
          <cell r="F149" t="str">
            <v>전근정</v>
          </cell>
          <cell r="G149" t="str">
            <v>237824-52-034278</v>
          </cell>
          <cell r="H149">
            <v>150000</v>
          </cell>
          <cell r="I149" t="str">
            <v>010-4754-1141</v>
          </cell>
        </row>
        <row r="149">
          <cell r="K149" t="str">
            <v>29165</v>
          </cell>
        </row>
        <row r="150">
          <cell r="A150" t="str">
            <v>장갑진</v>
          </cell>
        </row>
        <row r="150">
          <cell r="C150" t="str">
            <v>610210-1386710</v>
          </cell>
          <cell r="D150" t="str">
            <v>충북 영동군 양강면 신기1길 21</v>
          </cell>
          <cell r="E150" t="str">
            <v>농협</v>
          </cell>
          <cell r="F150" t="str">
            <v>장갑진</v>
          </cell>
          <cell r="G150" t="str">
            <v>407023-51-026910</v>
          </cell>
          <cell r="H150">
            <v>150000</v>
          </cell>
        </row>
        <row r="150">
          <cell r="K150" t="str">
            <v>29146</v>
          </cell>
        </row>
        <row r="151">
          <cell r="A151" t="str">
            <v>박성안</v>
          </cell>
        </row>
        <row r="151">
          <cell r="C151" t="str">
            <v>570827-1386125</v>
          </cell>
          <cell r="D151" t="str">
            <v>충북 충북 영동군 영동읍 가리 755-2</v>
          </cell>
          <cell r="E151" t="str">
            <v>농협</v>
          </cell>
          <cell r="F151" t="str">
            <v>박성안</v>
          </cell>
          <cell r="G151" t="str">
            <v>407012-52-048265</v>
          </cell>
          <cell r="H151">
            <v>205000</v>
          </cell>
        </row>
        <row r="151">
          <cell r="K151" t="str">
            <v>29141</v>
          </cell>
        </row>
        <row r="152">
          <cell r="A152" t="str">
            <v>김이수</v>
          </cell>
        </row>
        <row r="152">
          <cell r="C152" t="str">
            <v>500226-1386711</v>
          </cell>
          <cell r="D152" t="str">
            <v>충북 영동군 영동읍 영동천1길 32-1</v>
          </cell>
          <cell r="E152" t="str">
            <v>농협</v>
          </cell>
          <cell r="F152" t="str">
            <v>김이수</v>
          </cell>
          <cell r="G152" t="str">
            <v>356-0817-4633-33</v>
          </cell>
          <cell r="H152">
            <v>160000</v>
          </cell>
          <cell r="I152" t="str">
            <v>010-5485-1909</v>
          </cell>
        </row>
        <row r="152">
          <cell r="K152" t="str">
            <v>29141</v>
          </cell>
        </row>
        <row r="153">
          <cell r="A153" t="str">
            <v>김양수</v>
          </cell>
        </row>
        <row r="153">
          <cell r="C153" t="str">
            <v>610205-2400329</v>
          </cell>
          <cell r="D153" t="str">
            <v>충북 영동군 영동읍 회동로 156-20</v>
          </cell>
          <cell r="E153" t="str">
            <v>농협</v>
          </cell>
          <cell r="F153" t="str">
            <v>김양수</v>
          </cell>
          <cell r="G153" t="str">
            <v>356-1603-8569-73</v>
          </cell>
          <cell r="H153">
            <v>150000</v>
          </cell>
          <cell r="I153" t="str">
            <v>010-4034-9739</v>
          </cell>
        </row>
        <row r="153">
          <cell r="K153" t="str">
            <v>34513</v>
          </cell>
        </row>
        <row r="154">
          <cell r="A154" t="str">
            <v>최순자</v>
          </cell>
        </row>
        <row r="154">
          <cell r="C154" t="str">
            <v>610604-2382923</v>
          </cell>
          <cell r="D154" t="str">
            <v>대전광역시 동구 충정로 136, 1102동 2006호 (가양동, 대주파크빌)</v>
          </cell>
          <cell r="E154" t="str">
            <v>농협</v>
          </cell>
          <cell r="F154" t="str">
            <v>최순자</v>
          </cell>
          <cell r="G154" t="str">
            <v>356-1585-3805-03</v>
          </cell>
          <cell r="H154">
            <v>150000</v>
          </cell>
          <cell r="I154" t="str">
            <v>010-5093-9072</v>
          </cell>
        </row>
        <row r="154">
          <cell r="K154" t="str">
            <v>03419</v>
          </cell>
        </row>
        <row r="155">
          <cell r="A155" t="str">
            <v>최순옥</v>
          </cell>
        </row>
        <row r="155">
          <cell r="C155" t="str">
            <v>661110-2382929</v>
          </cell>
          <cell r="D155" t="str">
            <v>대전광역시 동구 성동로7번길 58-11, 1동 107호 (자양동, 임광아파트)</v>
          </cell>
          <cell r="E155" t="str">
            <v>농협</v>
          </cell>
          <cell r="F155" t="str">
            <v>최순옥</v>
          </cell>
          <cell r="G155" t="str">
            <v>352-2099-8874-83</v>
          </cell>
          <cell r="H155">
            <v>150000</v>
          </cell>
          <cell r="I155" t="str">
            <v>010-8770-7249</v>
          </cell>
        </row>
        <row r="155">
          <cell r="K155" t="str">
            <v>29155</v>
          </cell>
        </row>
        <row r="156">
          <cell r="A156" t="str">
            <v>하재주</v>
          </cell>
        </row>
        <row r="156">
          <cell r="C156" t="str">
            <v>571020-1481929</v>
          </cell>
          <cell r="D156" t="str">
            <v>서울특별시 은평구 연서로3나길 11-33 지층-2 (역촌동)</v>
          </cell>
          <cell r="E156" t="str">
            <v>농협</v>
          </cell>
          <cell r="F156" t="str">
            <v>하재주</v>
          </cell>
          <cell r="G156" t="str">
            <v>356-0367-2587-73</v>
          </cell>
          <cell r="H156">
            <v>150000</v>
          </cell>
        </row>
        <row r="156">
          <cell r="K156" t="str">
            <v>03419</v>
          </cell>
        </row>
        <row r="157">
          <cell r="A157" t="str">
            <v>전덕하</v>
          </cell>
        </row>
        <row r="157">
          <cell r="C157" t="str">
            <v>491107-1448813</v>
          </cell>
          <cell r="D157" t="str">
            <v>충북 영동군 양강면 국촌1길 6-6</v>
          </cell>
          <cell r="E157" t="str">
            <v>농협</v>
          </cell>
          <cell r="F157" t="str">
            <v>전덕하</v>
          </cell>
          <cell r="G157" t="str">
            <v>356-0791-8136-43</v>
          </cell>
          <cell r="H157">
            <v>150000</v>
          </cell>
        </row>
        <row r="157">
          <cell r="K157" t="str">
            <v>29156</v>
          </cell>
        </row>
        <row r="158">
          <cell r="A158" t="str">
            <v>김경옥</v>
          </cell>
        </row>
        <row r="158">
          <cell r="C158" t="str">
            <v>650424-2785412</v>
          </cell>
          <cell r="D158" t="str">
            <v>충북 영동군 영동읍 동정로 47, 103동 304호(영동가마실휴먼시아)</v>
          </cell>
        </row>
        <row r="158">
          <cell r="H158">
            <v>150000</v>
          </cell>
          <cell r="I158" t="str">
            <v>010-5483-0500</v>
          </cell>
        </row>
        <row r="158">
          <cell r="K158" t="str">
            <v>29156</v>
          </cell>
        </row>
        <row r="159">
          <cell r="A159" t="str">
            <v>임종관</v>
          </cell>
        </row>
        <row r="159">
          <cell r="C159" t="str">
            <v>660123-1386716</v>
          </cell>
          <cell r="D159" t="str">
            <v>충북 영동군 양강면 국촌1길10</v>
          </cell>
          <cell r="E159" t="str">
            <v>농협</v>
          </cell>
          <cell r="F159" t="str">
            <v>임종관</v>
          </cell>
          <cell r="G159" t="str">
            <v>352-1734-5415-23</v>
          </cell>
          <cell r="H159">
            <v>150000</v>
          </cell>
          <cell r="I159" t="str">
            <v>010-3039-3737</v>
          </cell>
        </row>
        <row r="159">
          <cell r="K159">
            <v>29142</v>
          </cell>
        </row>
        <row r="160">
          <cell r="A160" t="str">
            <v>양희옥</v>
          </cell>
        </row>
        <row r="160">
          <cell r="C160" t="str">
            <v>640320-2386922</v>
          </cell>
          <cell r="D160" t="str">
            <v>충북 영동군 양강면 양정리116-6</v>
          </cell>
          <cell r="E160" t="str">
            <v>농협</v>
          </cell>
          <cell r="F160" t="str">
            <v>양희옥</v>
          </cell>
          <cell r="G160" t="str">
            <v>407023-56-010784</v>
          </cell>
          <cell r="H160">
            <v>150000</v>
          </cell>
          <cell r="I160" t="str">
            <v>010-8982-1150</v>
          </cell>
        </row>
        <row r="160">
          <cell r="K160" t="str">
            <v>370811</v>
          </cell>
        </row>
        <row r="161">
          <cell r="A161" t="str">
            <v>박창선</v>
          </cell>
        </row>
        <row r="161">
          <cell r="C161" t="str">
            <v>940629-1386117</v>
          </cell>
          <cell r="D161" t="str">
            <v>충북 영동군 영동읍 새심길 18, 607호(조한드림플러스아파트)</v>
          </cell>
          <cell r="E161" t="str">
            <v>농협</v>
          </cell>
          <cell r="F161" t="str">
            <v>박창선</v>
          </cell>
          <cell r="G161" t="str">
            <v>302-8982-1150-11</v>
          </cell>
          <cell r="H161">
            <v>170000</v>
          </cell>
          <cell r="I161" t="str">
            <v>010-8982-1150</v>
          </cell>
        </row>
        <row r="161">
          <cell r="K161">
            <v>29142</v>
          </cell>
        </row>
        <row r="162">
          <cell r="A162" t="str">
            <v>도창문</v>
          </cell>
        </row>
        <row r="162">
          <cell r="C162" t="str">
            <v>651025-1652425</v>
          </cell>
          <cell r="D162" t="str">
            <v>대전광역시 동구 우암로 61-12 (삼성동)</v>
          </cell>
          <cell r="E162" t="str">
            <v>농협</v>
          </cell>
          <cell r="F162" t="str">
            <v>도창문</v>
          </cell>
          <cell r="G162" t="str">
            <v>352-0058-0889-83</v>
          </cell>
          <cell r="H162">
            <v>250000</v>
          </cell>
          <cell r="I162" t="str">
            <v>010-8380-1900</v>
          </cell>
        </row>
        <row r="162">
          <cell r="K162" t="str">
            <v>34619</v>
          </cell>
        </row>
        <row r="163">
          <cell r="A163" t="str">
            <v>김경희</v>
          </cell>
        </row>
        <row r="163">
          <cell r="C163" t="str">
            <v>761205-2386722</v>
          </cell>
          <cell r="D163" t="str">
            <v>서울특별시 은평구 은평로21가길 15-9, 201호</v>
          </cell>
          <cell r="E163" t="str">
            <v>농협</v>
          </cell>
          <cell r="F163" t="str">
            <v>김경희</v>
          </cell>
          <cell r="G163" t="str">
            <v>356-1415-1420-63</v>
          </cell>
          <cell r="H163">
            <v>150000</v>
          </cell>
        </row>
        <row r="163">
          <cell r="K163" t="str">
            <v>03381</v>
          </cell>
        </row>
        <row r="164">
          <cell r="A164" t="str">
            <v>김판수</v>
          </cell>
        </row>
        <row r="164">
          <cell r="C164" t="str">
            <v>720402-1798516</v>
          </cell>
          <cell r="D164" t="str">
            <v>경북 칠곡군 북삼읍 인강9길 10, 101동 1212호(로얄아파트)</v>
          </cell>
          <cell r="E164" t="str">
            <v>농협</v>
          </cell>
          <cell r="F164" t="str">
            <v>김판수</v>
          </cell>
          <cell r="G164" t="str">
            <v>735089-56-010696</v>
          </cell>
          <cell r="H164">
            <v>150000</v>
          </cell>
          <cell r="I164" t="str">
            <v>010-7520-7708</v>
          </cell>
        </row>
        <row r="164">
          <cell r="K164">
            <v>39810</v>
          </cell>
        </row>
        <row r="168">
          <cell r="A168" t="str">
            <v>박병희</v>
          </cell>
        </row>
        <row r="168">
          <cell r="C168" t="str">
            <v>680210-1648718</v>
          </cell>
          <cell r="D168" t="str">
            <v>광주시 남구 군분로 77번길 26 명지로드힐 201동 1003호</v>
          </cell>
          <cell r="E168" t="str">
            <v>농협</v>
          </cell>
          <cell r="F168" t="str">
            <v>박형희</v>
          </cell>
          <cell r="G168" t="str">
            <v>356-0865-9462-13</v>
          </cell>
          <cell r="H168">
            <v>330000</v>
          </cell>
          <cell r="I168" t="str">
            <v>010-6293-9095</v>
          </cell>
        </row>
        <row r="169">
          <cell r="A169" t="str">
            <v>이춘재</v>
          </cell>
        </row>
        <row r="169">
          <cell r="C169" t="str">
            <v>740402-1639320</v>
          </cell>
          <cell r="D169" t="str">
            <v>광주시 광산구 수등로 123번길 21 호반아파트 102동 503호</v>
          </cell>
          <cell r="E169" t="str">
            <v>광주</v>
          </cell>
          <cell r="F169" t="str">
            <v>이춘재</v>
          </cell>
          <cell r="G169" t="str">
            <v>016-121-541417</v>
          </cell>
          <cell r="H169">
            <v>280000</v>
          </cell>
          <cell r="I169" t="str">
            <v>010-3641-8104</v>
          </cell>
        </row>
        <row r="170">
          <cell r="A170" t="str">
            <v>최승원</v>
          </cell>
        </row>
        <row r="170">
          <cell r="C170" t="str">
            <v>671004-1559218</v>
          </cell>
          <cell r="D170" t="str">
            <v>광주기 북구 용봉동 1242-1 호반아파트 101동 103호</v>
          </cell>
          <cell r="E170" t="str">
            <v>하나</v>
          </cell>
          <cell r="F170" t="str">
            <v>최승원</v>
          </cell>
          <cell r="G170" t="str">
            <v>126-8908893-28807</v>
          </cell>
          <cell r="H170">
            <v>250000</v>
          </cell>
          <cell r="I170" t="str">
            <v>010-6653-6903</v>
          </cell>
        </row>
        <row r="171">
          <cell r="A171" t="str">
            <v>최재혁</v>
          </cell>
        </row>
        <row r="171">
          <cell r="C171" t="str">
            <v>750612-1095412</v>
          </cell>
          <cell r="D171" t="str">
            <v>부산시 영도구 봉래2동 112 미광아파트 103동 1006호</v>
          </cell>
          <cell r="E171" t="str">
            <v>우체국</v>
          </cell>
          <cell r="F171" t="str">
            <v>최재혁</v>
          </cell>
          <cell r="G171" t="str">
            <v>502872-02-334473</v>
          </cell>
          <cell r="H171">
            <v>250000</v>
          </cell>
          <cell r="I171" t="str">
            <v>010-2117-0480</v>
          </cell>
        </row>
        <row r="172">
          <cell r="A172" t="str">
            <v>정환몽</v>
          </cell>
        </row>
        <row r="172">
          <cell r="C172" t="str">
            <v>630824-1558411</v>
          </cell>
          <cell r="D172" t="str">
            <v>광주시 북구 풍향동 598-19</v>
          </cell>
          <cell r="E172" t="str">
            <v>새마을</v>
          </cell>
          <cell r="F172" t="str">
            <v>정환몽</v>
          </cell>
          <cell r="G172" t="str">
            <v>9002-1781-35808</v>
          </cell>
          <cell r="H172">
            <v>290000</v>
          </cell>
          <cell r="I172" t="str">
            <v>010-3192-1283</v>
          </cell>
        </row>
        <row r="173">
          <cell r="A173" t="str">
            <v>이성진</v>
          </cell>
        </row>
        <row r="173">
          <cell r="C173" t="str">
            <v>700910-1630517</v>
          </cell>
          <cell r="D173" t="str">
            <v>광주시 광산구 오룡동길 127-29</v>
          </cell>
          <cell r="E173" t="str">
            <v>케이뱅크</v>
          </cell>
          <cell r="F173" t="str">
            <v>이성진</v>
          </cell>
          <cell r="G173" t="str">
            <v>100-135-116290</v>
          </cell>
          <cell r="H173">
            <v>250000</v>
          </cell>
          <cell r="I173" t="str">
            <v>010-3643-3773</v>
          </cell>
        </row>
        <row r="175">
          <cell r="A175" t="str">
            <v>김재국</v>
          </cell>
        </row>
        <row r="175">
          <cell r="C175" t="str">
            <v>790911-1386312</v>
          </cell>
          <cell r="D175" t="str">
            <v>충북 영동군 황간면 서송원길 42</v>
          </cell>
          <cell r="E175" t="str">
            <v>농협</v>
          </cell>
          <cell r="F175" t="str">
            <v>김재국</v>
          </cell>
          <cell r="G175" t="str">
            <v>407089-52-145147</v>
          </cell>
          <cell r="H175">
            <v>150000</v>
          </cell>
        </row>
        <row r="175">
          <cell r="K175" t="str">
            <v>29113</v>
          </cell>
        </row>
        <row r="176">
          <cell r="A176" t="str">
            <v>김순자</v>
          </cell>
        </row>
        <row r="176">
          <cell r="C176" t="str">
            <v>630203-2386318</v>
          </cell>
          <cell r="D176" t="str">
            <v>충북 영동군 황간면 황간동로 156</v>
          </cell>
          <cell r="E176" t="str">
            <v>농협</v>
          </cell>
          <cell r="F176" t="str">
            <v>김순자</v>
          </cell>
          <cell r="G176" t="str">
            <v>352-1071-9542-13</v>
          </cell>
          <cell r="H176">
            <v>150000</v>
          </cell>
        </row>
        <row r="176">
          <cell r="K176">
            <v>29115</v>
          </cell>
        </row>
        <row r="177">
          <cell r="A177" t="str">
            <v>김필규</v>
          </cell>
        </row>
        <row r="177">
          <cell r="C177" t="str">
            <v>591014-1800411</v>
          </cell>
          <cell r="D177" t="str">
            <v>경기도 평택시 진위면 하북2길 87-14</v>
          </cell>
          <cell r="E177" t="str">
            <v>농협</v>
          </cell>
          <cell r="F177" t="str">
            <v>김필규</v>
          </cell>
          <cell r="G177" t="str">
            <v>207087-56-023088</v>
          </cell>
          <cell r="H177">
            <v>150000</v>
          </cell>
        </row>
        <row r="177">
          <cell r="K177">
            <v>17706</v>
          </cell>
        </row>
        <row r="178">
          <cell r="A178" t="str">
            <v>김정국</v>
          </cell>
        </row>
        <row r="178">
          <cell r="C178" t="str">
            <v>560125-1800011</v>
          </cell>
          <cell r="D178" t="str">
            <v>충북 영동군 영동읍 부용4안길 14</v>
          </cell>
        </row>
        <row r="178">
          <cell r="H178">
            <v>150000</v>
          </cell>
        </row>
        <row r="178">
          <cell r="K178">
            <v>29149</v>
          </cell>
        </row>
        <row r="179">
          <cell r="A179" t="str">
            <v>황규석</v>
          </cell>
        </row>
        <row r="179">
          <cell r="C179" t="str">
            <v>490122-1124112</v>
          </cell>
          <cell r="D179" t="str">
            <v>충북 영동군 영동읍 오정길 222-5</v>
          </cell>
          <cell r="E179" t="str">
            <v>농협</v>
          </cell>
          <cell r="F179" t="str">
            <v>황규석</v>
          </cell>
          <cell r="G179" t="str">
            <v>404015-56-040444</v>
          </cell>
          <cell r="H179">
            <v>250000</v>
          </cell>
        </row>
        <row r="179">
          <cell r="K179">
            <v>29129</v>
          </cell>
        </row>
        <row r="180">
          <cell r="A180" t="str">
            <v>황대영</v>
          </cell>
        </row>
        <row r="180">
          <cell r="C180" t="str">
            <v>570315-1386147</v>
          </cell>
          <cell r="D180" t="str">
            <v>충북 영동군 영동읍 오정길 103</v>
          </cell>
          <cell r="E180" t="str">
            <v>농협</v>
          </cell>
          <cell r="F180" t="str">
            <v>황대영</v>
          </cell>
          <cell r="G180" t="str">
            <v>352-1743-8534-13</v>
          </cell>
          <cell r="H180">
            <v>200000</v>
          </cell>
        </row>
        <row r="180">
          <cell r="K180">
            <v>29129</v>
          </cell>
        </row>
        <row r="181">
          <cell r="A181" t="str">
            <v>박종섭</v>
          </cell>
        </row>
        <row r="181">
          <cell r="C181" t="str">
            <v>550816-1386117</v>
          </cell>
          <cell r="D181" t="str">
            <v>충북 영동군 영동읍 영산로 63</v>
          </cell>
          <cell r="E181" t="str">
            <v>농협</v>
          </cell>
          <cell r="F181" t="str">
            <v>박종섭</v>
          </cell>
          <cell r="G181" t="str">
            <v>352-1743-8668-53</v>
          </cell>
          <cell r="H181">
            <v>200000</v>
          </cell>
        </row>
        <row r="181">
          <cell r="K181">
            <v>29147</v>
          </cell>
        </row>
        <row r="182">
          <cell r="A182" t="str">
            <v>장영석</v>
          </cell>
        </row>
        <row r="182">
          <cell r="C182" t="str">
            <v>611022-1386119</v>
          </cell>
          <cell r="D182" t="str">
            <v>충북 영동군 영동읍 영동황간로 27, 801호(금강타운)</v>
          </cell>
          <cell r="E182" t="str">
            <v>농협</v>
          </cell>
          <cell r="F182" t="str">
            <v>장영석</v>
          </cell>
          <cell r="G182" t="str">
            <v>356-1027-4314-93</v>
          </cell>
          <cell r="H182">
            <v>150000</v>
          </cell>
        </row>
        <row r="182">
          <cell r="K182">
            <v>29150</v>
          </cell>
        </row>
        <row r="183">
          <cell r="A183" t="str">
            <v>이수환</v>
          </cell>
        </row>
        <row r="183">
          <cell r="C183" t="str">
            <v>960921-1351118</v>
          </cell>
          <cell r="D183" t="str">
            <v>충북 청주시 상당구 용정로 25,107동 1902호(용정동 ,청주용정 한라비발디)</v>
          </cell>
          <cell r="E183" t="str">
            <v>새마을금고</v>
          </cell>
          <cell r="F183" t="str">
            <v>이수환</v>
          </cell>
          <cell r="G183" t="str">
            <v>9003-2377-6890-0</v>
          </cell>
          <cell r="H183">
            <v>150000</v>
          </cell>
          <cell r="I183" t="str">
            <v>010-6431-7735</v>
          </cell>
        </row>
        <row r="183">
          <cell r="K183">
            <v>28748</v>
          </cell>
        </row>
        <row r="184">
          <cell r="A184" t="str">
            <v>우두환</v>
          </cell>
        </row>
        <row r="184">
          <cell r="C184" t="str">
            <v>700521-1380113</v>
          </cell>
          <cell r="D184" t="str">
            <v>충북 청주시 상당구 문의면 등동1길 47-15</v>
          </cell>
          <cell r="E184" t="str">
            <v>농협</v>
          </cell>
          <cell r="F184" t="str">
            <v>우두환</v>
          </cell>
          <cell r="G184" t="str">
            <v>401149-56-092984</v>
          </cell>
          <cell r="H184">
            <v>230000</v>
          </cell>
          <cell r="I184" t="str">
            <v>010-5626-7201</v>
          </cell>
        </row>
        <row r="184">
          <cell r="K184">
            <v>28206</v>
          </cell>
        </row>
        <row r="188">
          <cell r="A188" t="str">
            <v>곽문영</v>
          </cell>
        </row>
        <row r="188">
          <cell r="C188" t="str">
            <v>530510-1069114</v>
          </cell>
          <cell r="D188" t="str">
            <v>충북 영동군 양강면 남전3길 99</v>
          </cell>
        </row>
        <row r="188">
          <cell r="H188">
            <v>150000</v>
          </cell>
          <cell r="I188" t="str">
            <v>010-4355-5173</v>
          </cell>
          <cell r="J188" t="str">
            <v>개미인력</v>
          </cell>
          <cell r="K188" t="str">
            <v>29157</v>
          </cell>
        </row>
        <row r="189">
          <cell r="A189" t="str">
            <v>김연부</v>
          </cell>
        </row>
        <row r="189">
          <cell r="C189" t="str">
            <v>700302-1380011</v>
          </cell>
          <cell r="D189" t="str">
            <v>충북 옥천군 옥천읍 성암응천길 41-10, 1동 410호(근로자복지@)</v>
          </cell>
        </row>
        <row r="189">
          <cell r="H189">
            <v>150000</v>
          </cell>
          <cell r="I189" t="str">
            <v>010-9354-5882</v>
          </cell>
          <cell r="J189" t="str">
            <v>개미인력</v>
          </cell>
          <cell r="K189" t="str">
            <v>29050</v>
          </cell>
        </row>
        <row r="190">
          <cell r="A190" t="str">
            <v>장웅진</v>
          </cell>
        </row>
        <row r="190">
          <cell r="C190" t="str">
            <v>541215-1386718</v>
          </cell>
          <cell r="D190" t="str">
            <v>대전광역시 중구 모암로42번길 11,103동 103호</v>
          </cell>
        </row>
        <row r="190">
          <cell r="H190">
            <v>150000</v>
          </cell>
        </row>
        <row r="190">
          <cell r="J190" t="str">
            <v>개미인력</v>
          </cell>
          <cell r="K190" t="str">
            <v>35070</v>
          </cell>
        </row>
        <row r="191">
          <cell r="A191" t="str">
            <v>이성희</v>
          </cell>
        </row>
        <row r="191">
          <cell r="C191" t="str">
            <v>570508-1024611</v>
          </cell>
          <cell r="D191" t="str">
            <v>서울특별시 성북구 정릉로32길 7</v>
          </cell>
        </row>
        <row r="191">
          <cell r="H191">
            <v>150000</v>
          </cell>
        </row>
        <row r="191">
          <cell r="J191" t="str">
            <v>개미인력</v>
          </cell>
          <cell r="K191" t="str">
            <v>02816</v>
          </cell>
        </row>
        <row r="192">
          <cell r="A192" t="str">
            <v>박현태</v>
          </cell>
        </row>
        <row r="192">
          <cell r="C192" t="str">
            <v>581015-1109020</v>
          </cell>
          <cell r="D192" t="str">
            <v>전라북도 장수군 장수읍 장수북동길 16-9</v>
          </cell>
        </row>
        <row r="192">
          <cell r="H192">
            <v>150000</v>
          </cell>
        </row>
        <row r="192">
          <cell r="J192" t="str">
            <v>개미인력</v>
          </cell>
          <cell r="K192" t="str">
            <v>55632</v>
          </cell>
        </row>
        <row r="193">
          <cell r="A193" t="str">
            <v>장공섭</v>
          </cell>
        </row>
        <row r="193">
          <cell r="C193" t="str">
            <v>620729-1800210</v>
          </cell>
          <cell r="D193" t="str">
            <v>경상북도 구미시 형곡로8길 12, 103호</v>
          </cell>
        </row>
        <row r="193">
          <cell r="H193">
            <v>150000</v>
          </cell>
        </row>
        <row r="193">
          <cell r="J193" t="str">
            <v>개미인력</v>
          </cell>
          <cell r="K193" t="str">
            <v>39291</v>
          </cell>
        </row>
        <row r="194">
          <cell r="A194" t="str">
            <v>유영길</v>
          </cell>
        </row>
        <row r="194">
          <cell r="C194" t="str">
            <v>720307-1384520</v>
          </cell>
          <cell r="D194" t="str">
            <v>충북 옥천군 청성면 화성2길 39-22</v>
          </cell>
        </row>
        <row r="194">
          <cell r="H194">
            <v>150000</v>
          </cell>
        </row>
        <row r="194">
          <cell r="J194" t="str">
            <v>개미인력</v>
          </cell>
          <cell r="K194" t="str">
            <v>29017</v>
          </cell>
        </row>
        <row r="198">
          <cell r="A198" t="str">
            <v>김춘배</v>
          </cell>
        </row>
        <row r="198">
          <cell r="C198" t="str">
            <v>610723-1468712</v>
          </cell>
          <cell r="D198" t="str">
            <v>대전광역시 대덕구 대화4길 32</v>
          </cell>
          <cell r="E198" t="str">
            <v>농협</v>
          </cell>
          <cell r="F198" t="str">
            <v>김춘배</v>
          </cell>
          <cell r="G198" t="str">
            <v>351-0982-5121-63</v>
          </cell>
          <cell r="H198">
            <v>160000</v>
          </cell>
          <cell r="I198" t="str">
            <v>010-3407-8592</v>
          </cell>
          <cell r="J198" t="str">
            <v>지우개발</v>
          </cell>
        </row>
        <row r="199">
          <cell r="A199" t="str">
            <v>함기안</v>
          </cell>
        </row>
        <row r="199">
          <cell r="C199" t="str">
            <v>600115-1384635</v>
          </cell>
          <cell r="D199" t="str">
            <v>대전광역시 동구 대동 77-14, 13/3</v>
          </cell>
          <cell r="E199" t="str">
            <v>농협</v>
          </cell>
          <cell r="F199" t="str">
            <v>함기안</v>
          </cell>
          <cell r="G199" t="str">
            <v>351-1875-9754-73</v>
          </cell>
          <cell r="H199">
            <v>160000</v>
          </cell>
          <cell r="I199" t="str">
            <v>010-5432-6630</v>
          </cell>
          <cell r="J199" t="str">
            <v>지우개발</v>
          </cell>
        </row>
        <row r="200">
          <cell r="A200" t="str">
            <v>신양호</v>
          </cell>
        </row>
        <row r="200">
          <cell r="C200" t="str">
            <v>651221-1634810</v>
          </cell>
          <cell r="D200" t="str">
            <v>대전광역시 대덕구 대진로1385</v>
          </cell>
          <cell r="E200" t="str">
            <v>농협</v>
          </cell>
          <cell r="F200" t="str">
            <v>신양호</v>
          </cell>
          <cell r="G200" t="str">
            <v>302-1012-9400-11</v>
          </cell>
          <cell r="H200">
            <v>160000</v>
          </cell>
          <cell r="I200" t="str">
            <v>010-5853-1221</v>
          </cell>
          <cell r="J200" t="str">
            <v>지우개발</v>
          </cell>
        </row>
        <row r="201">
          <cell r="A201" t="str">
            <v>이용하</v>
          </cell>
        </row>
        <row r="201">
          <cell r="C201" t="str">
            <v>510410-1329421</v>
          </cell>
          <cell r="D201" t="str">
            <v>충북 영동군 용산면 용산로6길, 306호(진산아파트)</v>
          </cell>
          <cell r="E201" t="str">
            <v>농협</v>
          </cell>
          <cell r="F201" t="str">
            <v>이용하</v>
          </cell>
          <cell r="G201" t="str">
            <v>356-1499-3898-13</v>
          </cell>
          <cell r="H201">
            <v>160000</v>
          </cell>
        </row>
        <row r="201">
          <cell r="J201" t="str">
            <v>지우개발</v>
          </cell>
        </row>
        <row r="202">
          <cell r="A202" t="str">
            <v>한진구</v>
          </cell>
        </row>
        <row r="202">
          <cell r="C202" t="str">
            <v>550202-1324314</v>
          </cell>
          <cell r="D202" t="str">
            <v>경북 상주시 모서면 백화로 1146</v>
          </cell>
          <cell r="E202" t="str">
            <v>농협</v>
          </cell>
          <cell r="F202" t="str">
            <v>한진구</v>
          </cell>
          <cell r="G202" t="str">
            <v>351-0920-7111-13</v>
          </cell>
          <cell r="H202">
            <v>160000</v>
          </cell>
          <cell r="I202" t="str">
            <v>010-2305-0675</v>
          </cell>
          <cell r="J202" t="str">
            <v>지우개발</v>
          </cell>
        </row>
        <row r="203">
          <cell r="A203" t="str">
            <v>박용준</v>
          </cell>
        </row>
        <row r="203">
          <cell r="C203" t="str">
            <v>651203-1384811</v>
          </cell>
          <cell r="D203" t="str">
            <v>충북 음성군 금왕읍 무극리 77-70</v>
          </cell>
          <cell r="E203" t="str">
            <v>우체국</v>
          </cell>
          <cell r="F203" t="str">
            <v>장대섭</v>
          </cell>
          <cell r="G203" t="str">
            <v>300517-02-049771</v>
          </cell>
          <cell r="H203">
            <v>160000</v>
          </cell>
        </row>
        <row r="203">
          <cell r="J203" t="str">
            <v>지우개발</v>
          </cell>
        </row>
        <row r="204">
          <cell r="A204" t="str">
            <v>김영호</v>
          </cell>
        </row>
        <row r="204">
          <cell r="C204" t="str">
            <v>571217-1386215</v>
          </cell>
          <cell r="D204" t="str">
            <v>충북 영동군 영동읍 동정로1길 35</v>
          </cell>
          <cell r="E204" t="str">
            <v>우체국</v>
          </cell>
          <cell r="F204" t="str">
            <v>김영호</v>
          </cell>
          <cell r="G204" t="str">
            <v>301515-02-013501</v>
          </cell>
          <cell r="H204">
            <v>160000</v>
          </cell>
        </row>
        <row r="204">
          <cell r="J204" t="str">
            <v>지우개발</v>
          </cell>
        </row>
        <row r="205">
          <cell r="A205" t="str">
            <v>안상모</v>
          </cell>
        </row>
        <row r="205">
          <cell r="C205" t="str">
            <v>600708-1029530</v>
          </cell>
          <cell r="D205" t="str">
            <v>충북 옥천군 청산면 교평2길 14</v>
          </cell>
          <cell r="E205" t="str">
            <v>농협</v>
          </cell>
          <cell r="F205" t="str">
            <v>안상모</v>
          </cell>
          <cell r="G205" t="str">
            <v>356-1499-4515-43</v>
          </cell>
          <cell r="H205">
            <v>160000</v>
          </cell>
          <cell r="I205" t="str">
            <v>010-6657-4313</v>
          </cell>
          <cell r="J205" t="str">
            <v>지우개발</v>
          </cell>
        </row>
        <row r="206">
          <cell r="A206" t="str">
            <v>권영신</v>
          </cell>
        </row>
        <row r="206">
          <cell r="C206" t="str">
            <v>560109-1387013</v>
          </cell>
          <cell r="D206" t="str">
            <v>충북 영동군 영동읍 계산리 508-2</v>
          </cell>
          <cell r="E206" t="str">
            <v>농협</v>
          </cell>
          <cell r="F206" t="str">
            <v>권영신</v>
          </cell>
          <cell r="G206" t="str">
            <v>407014-52-037130</v>
          </cell>
          <cell r="H206">
            <v>350000</v>
          </cell>
        </row>
        <row r="206">
          <cell r="J206" t="str">
            <v>지우개발</v>
          </cell>
        </row>
        <row r="210">
          <cell r="A210" t="str">
            <v>이용</v>
          </cell>
        </row>
        <row r="210">
          <cell r="C210" t="str">
            <v>010820-3386115</v>
          </cell>
          <cell r="D210" t="str">
            <v>충북 영동군 영동읍 영산로6길 16-11, 102동 401호(j클래식)</v>
          </cell>
          <cell r="E210" t="str">
            <v>농협</v>
          </cell>
          <cell r="F210" t="str">
            <v>이성</v>
          </cell>
          <cell r="G210" t="str">
            <v>351-1142-0210-73</v>
          </cell>
          <cell r="H210">
            <v>160000</v>
          </cell>
          <cell r="I210" t="str">
            <v>010-4056-7141</v>
          </cell>
          <cell r="J210" t="str">
            <v>명장인력</v>
          </cell>
          <cell r="K210" t="str">
            <v>29147</v>
          </cell>
        </row>
        <row r="211">
          <cell r="A211" t="str">
            <v>김학형</v>
          </cell>
        </row>
        <row r="211">
          <cell r="C211" t="str">
            <v>680808-1386718</v>
          </cell>
          <cell r="D211" t="str">
            <v>충북 영동군 영동읍 영동시장1길 32 A동 202호</v>
          </cell>
          <cell r="E211" t="str">
            <v>농협</v>
          </cell>
          <cell r="F211" t="str">
            <v>이성</v>
          </cell>
          <cell r="G211" t="str">
            <v>351-1142-0210-73</v>
          </cell>
          <cell r="H211">
            <v>170000</v>
          </cell>
          <cell r="I211" t="str">
            <v>010-9979-9238</v>
          </cell>
          <cell r="J211" t="str">
            <v>명장인력</v>
          </cell>
          <cell r="K211" t="str">
            <v>29145</v>
          </cell>
        </row>
        <row r="212">
          <cell r="A212" t="str">
            <v>배권</v>
          </cell>
        </row>
        <row r="212">
          <cell r="C212" t="str">
            <v>661120-1386210</v>
          </cell>
          <cell r="D212" t="str">
            <v>충북 영동군 영동읍 상부용로 20 (지평더웰Ⅱ아파트) </v>
          </cell>
          <cell r="E212" t="str">
            <v>농협</v>
          </cell>
          <cell r="F212" t="str">
            <v>이성</v>
          </cell>
          <cell r="G212" t="str">
            <v>351-1142-0210-73</v>
          </cell>
          <cell r="H212">
            <v>150000</v>
          </cell>
          <cell r="I212" t="str">
            <v>010-2804-4792</v>
          </cell>
          <cell r="J212" t="str">
            <v>명장인력</v>
          </cell>
          <cell r="K212" t="str">
            <v>29145</v>
          </cell>
        </row>
        <row r="213">
          <cell r="A213" t="str">
            <v>이상찬</v>
          </cell>
        </row>
        <row r="213">
          <cell r="C213" t="str">
            <v>700201-1386132</v>
          </cell>
          <cell r="D213" t="str">
            <v>충북 영동군 영동읍 영동시장1길 18-3 </v>
          </cell>
          <cell r="E213" t="str">
            <v>농협</v>
          </cell>
          <cell r="F213" t="str">
            <v>이성</v>
          </cell>
          <cell r="G213" t="str">
            <v>351-1142-0210-73</v>
          </cell>
          <cell r="H213">
            <v>170000</v>
          </cell>
          <cell r="I213" t="str">
            <v>010-3117-7949</v>
          </cell>
          <cell r="J213" t="str">
            <v>석공</v>
          </cell>
          <cell r="K213" t="str">
            <v>35014</v>
          </cell>
        </row>
        <row r="214">
          <cell r="A214" t="str">
            <v>이효주</v>
          </cell>
        </row>
        <row r="214">
          <cell r="C214" t="str">
            <v>510217-1466413</v>
          </cell>
          <cell r="D214" t="str">
            <v>충북 영동군 영동읍 계산로1길 11 </v>
          </cell>
          <cell r="E214" t="str">
            <v>농협</v>
          </cell>
          <cell r="F214" t="str">
            <v>이성</v>
          </cell>
          <cell r="G214" t="str">
            <v>351-1142-0210-73</v>
          </cell>
          <cell r="H214">
            <v>160000</v>
          </cell>
        </row>
        <row r="214">
          <cell r="J214" t="str">
            <v>석공</v>
          </cell>
          <cell r="K214" t="str">
            <v>35011</v>
          </cell>
        </row>
        <row r="215">
          <cell r="A215" t="str">
            <v>최병길</v>
          </cell>
        </row>
        <row r="215">
          <cell r="C215" t="str">
            <v>511119-1460910</v>
          </cell>
          <cell r="D215" t="str">
            <v>대전광역시 중구 산성동 509-15</v>
          </cell>
          <cell r="E215" t="str">
            <v>농협</v>
          </cell>
          <cell r="F215" t="str">
            <v>최병길</v>
          </cell>
          <cell r="G215" t="str">
            <v>453029-52-022509</v>
          </cell>
          <cell r="H215">
            <v>150000</v>
          </cell>
        </row>
        <row r="215">
          <cell r="J215" t="str">
            <v>석공</v>
          </cell>
          <cell r="K215" t="str">
            <v>29144</v>
          </cell>
        </row>
        <row r="216">
          <cell r="A216" t="str">
            <v>이준우</v>
          </cell>
        </row>
        <row r="216">
          <cell r="C216" t="str">
            <v>520216-1408321</v>
          </cell>
          <cell r="D216" t="str">
            <v>대전광역시 중구 보문산로 157, 마동303호(문화동,동양맨션)</v>
          </cell>
          <cell r="E216" t="str">
            <v>농협</v>
          </cell>
          <cell r="F216" t="str">
            <v>이준우</v>
          </cell>
          <cell r="G216" t="str">
            <v>453029-51-013658</v>
          </cell>
          <cell r="H216">
            <v>150000</v>
          </cell>
        </row>
        <row r="216">
          <cell r="J216" t="str">
            <v>석공</v>
          </cell>
          <cell r="K216" t="str">
            <v>29149</v>
          </cell>
        </row>
        <row r="217">
          <cell r="A217" t="str">
            <v>이성돌</v>
          </cell>
        </row>
        <row r="217">
          <cell r="C217" t="str">
            <v>500414-1408219</v>
          </cell>
          <cell r="D217" t="str">
            <v>대전광역시 중구 대둔산로 414번길 75(산성동)</v>
          </cell>
          <cell r="E217" t="str">
            <v>농협</v>
          </cell>
          <cell r="F217" t="str">
            <v>이성돌</v>
          </cell>
          <cell r="G217" t="str">
            <v>453029-52-260357</v>
          </cell>
          <cell r="H217">
            <v>150000</v>
          </cell>
          <cell r="I217" t="str">
            <v>010-5490-9056</v>
          </cell>
          <cell r="J217" t="str">
            <v>석공</v>
          </cell>
          <cell r="K217" t="str">
            <v>34557</v>
          </cell>
        </row>
        <row r="218">
          <cell r="A218" t="str">
            <v>정태성</v>
          </cell>
        </row>
        <row r="218">
          <cell r="C218" t="str">
            <v>660501-1386134</v>
          </cell>
          <cell r="D218" t="str">
            <v>충북 영동군 영동읍 계산로 34-1</v>
          </cell>
          <cell r="E218" t="str">
            <v>농협</v>
          </cell>
          <cell r="F218" t="str">
            <v>정태성</v>
          </cell>
          <cell r="G218" t="str">
            <v>352-1006-9268-83</v>
          </cell>
          <cell r="H218">
            <v>150000</v>
          </cell>
          <cell r="I218" t="str">
            <v>010-6580-1303</v>
          </cell>
          <cell r="J218" t="str">
            <v>석공</v>
          </cell>
          <cell r="K218" t="str">
            <v>34506</v>
          </cell>
        </row>
        <row r="219">
          <cell r="A219" t="str">
            <v>배석득</v>
          </cell>
        </row>
        <row r="219">
          <cell r="C219" t="str">
            <v>501225-1386713</v>
          </cell>
          <cell r="D219" t="str">
            <v>충북 영동군 영동읍 부용7안길 2-13</v>
          </cell>
          <cell r="E219" t="str">
            <v>농협</v>
          </cell>
          <cell r="F219" t="str">
            <v>배석득</v>
          </cell>
          <cell r="G219" t="str">
            <v>356-1479-5477-73</v>
          </cell>
          <cell r="H219">
            <v>150000</v>
          </cell>
        </row>
        <row r="219">
          <cell r="J219" t="str">
            <v>석공</v>
          </cell>
          <cell r="K219" t="str">
            <v>34670</v>
          </cell>
        </row>
        <row r="220">
          <cell r="A220" t="str">
            <v>최석진</v>
          </cell>
        </row>
        <row r="220">
          <cell r="C220" t="str">
            <v>580324-1652410</v>
          </cell>
          <cell r="D220" t="str">
            <v>대전광역시 동구 동서대로 1579, 101동 1501호(홍도동,홍도@)</v>
          </cell>
          <cell r="E220" t="str">
            <v>하나</v>
          </cell>
          <cell r="F220" t="str">
            <v>최석진</v>
          </cell>
          <cell r="G220" t="str">
            <v>646-910748-77207</v>
          </cell>
          <cell r="H220">
            <v>150000</v>
          </cell>
          <cell r="I220" t="str">
            <v>010-4413-4583</v>
          </cell>
          <cell r="J220" t="str">
            <v>석공</v>
          </cell>
          <cell r="K220" t="str">
            <v>29155</v>
          </cell>
        </row>
        <row r="221">
          <cell r="A221" t="str">
            <v>권신홍</v>
          </cell>
        </row>
        <row r="221">
          <cell r="C221" t="str">
            <v>510315-1651218</v>
          </cell>
          <cell r="D221" t="str">
            <v>대전광역시 동구 가양동 149-30</v>
          </cell>
          <cell r="E221" t="str">
            <v>국민</v>
          </cell>
          <cell r="F221" t="str">
            <v>권신흥</v>
          </cell>
          <cell r="G221" t="str">
            <v>845901-22-004565</v>
          </cell>
          <cell r="H221">
            <v>150000</v>
          </cell>
        </row>
        <row r="221">
          <cell r="K221" t="str">
            <v>29147</v>
          </cell>
        </row>
        <row r="222">
          <cell r="A222" t="str">
            <v>조을순</v>
          </cell>
        </row>
        <row r="222">
          <cell r="C222" t="str">
            <v>560302-2400210</v>
          </cell>
          <cell r="D222" t="str">
            <v>대전광역시 동구 판암동 558-6 국민빌라 301호</v>
          </cell>
          <cell r="E222" t="str">
            <v>농협</v>
          </cell>
          <cell r="F222" t="str">
            <v>조을순</v>
          </cell>
          <cell r="G222" t="str">
            <v>352-0676-2630-53</v>
          </cell>
          <cell r="H222">
            <v>150000</v>
          </cell>
          <cell r="I222" t="str">
            <v>010-3976-2700</v>
          </cell>
        </row>
        <row r="222">
          <cell r="K222" t="str">
            <v>28773</v>
          </cell>
        </row>
        <row r="223">
          <cell r="A223" t="str">
            <v>한희열</v>
          </cell>
        </row>
        <row r="223">
          <cell r="C223" t="str">
            <v>590921-1709522</v>
          </cell>
          <cell r="D223" t="str">
            <v>충북 영동군 영동읍 상부용로 7-50, 101동1501호 (지평더웰@)</v>
          </cell>
          <cell r="E223" t="str">
            <v>농협</v>
          </cell>
          <cell r="F223" t="str">
            <v>한희열</v>
          </cell>
          <cell r="G223" t="str">
            <v>356-1123-9590-03</v>
          </cell>
          <cell r="H223">
            <v>150000</v>
          </cell>
        </row>
        <row r="223">
          <cell r="K223" t="str">
            <v>29116</v>
          </cell>
        </row>
        <row r="224">
          <cell r="A224" t="str">
            <v>박래화</v>
          </cell>
        </row>
        <row r="224">
          <cell r="C224" t="str">
            <v>470117-1018911</v>
          </cell>
          <cell r="D224" t="str">
            <v>충북 영동군 영동읍 영산로7길 2, 가동 106호(양지연립)</v>
          </cell>
          <cell r="E224" t="str">
            <v>농협</v>
          </cell>
          <cell r="F224" t="str">
            <v>박래화</v>
          </cell>
          <cell r="G224" t="str">
            <v>302-0822-9170-11</v>
          </cell>
          <cell r="H224">
            <v>150000</v>
          </cell>
        </row>
        <row r="224">
          <cell r="K224" t="str">
            <v>29155</v>
          </cell>
        </row>
        <row r="225">
          <cell r="A225" t="str">
            <v>권영안</v>
          </cell>
        </row>
        <row r="225">
          <cell r="C225" t="str">
            <v>570815-1380728</v>
          </cell>
          <cell r="D225" t="str">
            <v>충북 청주시 상당구 중흥로 71 109/1402</v>
          </cell>
          <cell r="E225" t="str">
            <v>농협</v>
          </cell>
          <cell r="F225" t="str">
            <v>권영안</v>
          </cell>
          <cell r="G225" t="str">
            <v>401147-52-151337</v>
          </cell>
          <cell r="H225">
            <v>150000</v>
          </cell>
        </row>
        <row r="225">
          <cell r="K225" t="str">
            <v>29155</v>
          </cell>
        </row>
        <row r="226">
          <cell r="A226" t="str">
            <v>최영희</v>
          </cell>
        </row>
        <row r="226">
          <cell r="C226" t="str">
            <v>641012-2478918</v>
          </cell>
          <cell r="D226" t="str">
            <v>충북 청주시 흥덕구 수곡동 328 산남주공@ 103동 501호</v>
          </cell>
          <cell r="E226" t="str">
            <v>국민</v>
          </cell>
          <cell r="F226" t="str">
            <v>최영희</v>
          </cell>
          <cell r="G226" t="str">
            <v>709802-01-046029</v>
          </cell>
          <cell r="H226">
            <v>150000</v>
          </cell>
          <cell r="I226" t="str">
            <v>010-7415-9300</v>
          </cell>
        </row>
        <row r="226">
          <cell r="K226" t="str">
            <v>21088</v>
          </cell>
        </row>
        <row r="227">
          <cell r="A227" t="str">
            <v>김재억</v>
          </cell>
        </row>
        <row r="227">
          <cell r="C227" t="str">
            <v>600605-1386718</v>
          </cell>
          <cell r="D227" t="str">
            <v>충북 영동군 양강면 괴목리 411</v>
          </cell>
          <cell r="E227" t="str">
            <v>농협</v>
          </cell>
          <cell r="F227" t="str">
            <v>김재억</v>
          </cell>
          <cell r="G227" t="str">
            <v>356-1337-2458-73</v>
          </cell>
          <cell r="H227">
            <v>150000</v>
          </cell>
        </row>
        <row r="227">
          <cell r="K227" t="str">
            <v>29116</v>
          </cell>
        </row>
        <row r="228">
          <cell r="A228" t="str">
            <v>박원회</v>
          </cell>
        </row>
        <row r="228">
          <cell r="C228" t="str">
            <v>600124-1386123</v>
          </cell>
          <cell r="D228" t="str">
            <v>인천시 계양구 계산로112번길 26</v>
          </cell>
          <cell r="E228" t="str">
            <v>농협</v>
          </cell>
          <cell r="F228" t="str">
            <v>박원회</v>
          </cell>
          <cell r="G228" t="str">
            <v>312-0171-3781-31</v>
          </cell>
          <cell r="H228">
            <v>150000</v>
          </cell>
        </row>
        <row r="228">
          <cell r="K228" t="str">
            <v>57958</v>
          </cell>
        </row>
        <row r="229">
          <cell r="A229" t="str">
            <v>신용철</v>
          </cell>
        </row>
        <row r="229">
          <cell r="C229" t="str">
            <v>651220-1228344</v>
          </cell>
          <cell r="D229" t="str">
            <v>충북 영동군 황간면 신흥1길 8</v>
          </cell>
          <cell r="E229" t="str">
            <v>농협</v>
          </cell>
          <cell r="F229" t="str">
            <v>신용철</v>
          </cell>
          <cell r="G229" t="str">
            <v>356-1329-6202-53</v>
          </cell>
          <cell r="H229">
            <v>150000</v>
          </cell>
          <cell r="I229" t="str">
            <v>010-3900-0965</v>
          </cell>
        </row>
        <row r="229">
          <cell r="K229" t="str">
            <v>28683</v>
          </cell>
        </row>
        <row r="230">
          <cell r="A230" t="str">
            <v>손경윤</v>
          </cell>
        </row>
        <row r="230">
          <cell r="C230" t="str">
            <v>780528-1386217</v>
          </cell>
          <cell r="D230" t="str">
            <v>전라남도 순천시 우석로 105, 2층(남정동)</v>
          </cell>
        </row>
        <row r="230">
          <cell r="H230">
            <v>150000</v>
          </cell>
          <cell r="I230" t="str">
            <v>010-8803-3163</v>
          </cell>
        </row>
        <row r="230">
          <cell r="K230" t="str">
            <v>28683</v>
          </cell>
        </row>
        <row r="231">
          <cell r="A231" t="str">
            <v>김정우</v>
          </cell>
        </row>
        <row r="231">
          <cell r="C231" t="str">
            <v>960116-1386119</v>
          </cell>
          <cell r="D231" t="str">
            <v>충북 영동군 영동읍 회동로 162</v>
          </cell>
          <cell r="E231" t="str">
            <v>농협</v>
          </cell>
          <cell r="F231" t="str">
            <v>김정우</v>
          </cell>
          <cell r="G231" t="str">
            <v>407013-52-111897</v>
          </cell>
          <cell r="H231">
            <v>150000</v>
          </cell>
        </row>
        <row r="231">
          <cell r="K231" t="str">
            <v>34509</v>
          </cell>
        </row>
        <row r="232">
          <cell r="A232" t="str">
            <v>성명식</v>
          </cell>
        </row>
        <row r="232">
          <cell r="C232" t="str">
            <v>590801-1386129</v>
          </cell>
          <cell r="D232" t="str">
            <v>경기도 고양시 덕양구 화신로298</v>
          </cell>
          <cell r="E232" t="str">
            <v>농협</v>
          </cell>
          <cell r="F232" t="str">
            <v>성명식</v>
          </cell>
          <cell r="G232" t="str">
            <v>049-02-203321</v>
          </cell>
          <cell r="H232">
            <v>150000</v>
          </cell>
          <cell r="I232" t="str">
            <v>010-8975-6129</v>
          </cell>
        </row>
        <row r="232">
          <cell r="K232" t="str">
            <v>29104</v>
          </cell>
        </row>
        <row r="233">
          <cell r="A233" t="str">
            <v>박봉환</v>
          </cell>
        </row>
        <row r="233">
          <cell r="C233" t="str">
            <v>600713-1182814</v>
          </cell>
          <cell r="D233" t="str">
            <v>경북 김천시 증산면황황2길31-6</v>
          </cell>
          <cell r="E233" t="str">
            <v>우체국</v>
          </cell>
          <cell r="F233" t="str">
            <v>박봉환</v>
          </cell>
          <cell r="G233" t="str">
            <v>312785-02-005538</v>
          </cell>
          <cell r="H233">
            <v>150000</v>
          </cell>
        </row>
        <row r="233">
          <cell r="K233" t="str">
            <v>29148</v>
          </cell>
        </row>
        <row r="234">
          <cell r="A234" t="str">
            <v>김기면</v>
          </cell>
        </row>
        <row r="234">
          <cell r="C234" t="str">
            <v>601010-1386125</v>
          </cell>
          <cell r="D234" t="str">
            <v>청주시 서원구 구룡산로 275-13,408동306호</v>
          </cell>
          <cell r="E234" t="str">
            <v>농협</v>
          </cell>
          <cell r="F234" t="str">
            <v>김기면</v>
          </cell>
          <cell r="G234" t="str">
            <v>356-0677-4691-13</v>
          </cell>
          <cell r="H234">
            <v>150000</v>
          </cell>
          <cell r="I234" t="str">
            <v>010-5547-6459</v>
          </cell>
        </row>
        <row r="234">
          <cell r="K234" t="str">
            <v>29140</v>
          </cell>
        </row>
        <row r="235">
          <cell r="A235" t="str">
            <v>김충식</v>
          </cell>
        </row>
        <row r="235">
          <cell r="C235" t="str">
            <v>520618-1384416</v>
          </cell>
          <cell r="D235" t="str">
            <v>충북 청원군 북이면 석성리448-2</v>
          </cell>
          <cell r="E235" t="str">
            <v>농협</v>
          </cell>
          <cell r="F235" t="str">
            <v>김충식</v>
          </cell>
          <cell r="G235" t="str">
            <v>302-0971-3212-91</v>
          </cell>
          <cell r="H235">
            <v>150000</v>
          </cell>
          <cell r="I235" t="str">
            <v>010-5547-6459</v>
          </cell>
        </row>
        <row r="236">
          <cell r="A236" t="str">
            <v>장신진</v>
          </cell>
        </row>
        <row r="236">
          <cell r="C236" t="str">
            <v>620908-1386710</v>
          </cell>
          <cell r="D236" t="str">
            <v>충북 영동군 영동읍 동정로 39-27, 현대아파트 101동 1501호</v>
          </cell>
          <cell r="E236" t="str">
            <v>농협</v>
          </cell>
          <cell r="F236" t="str">
            <v>장신진</v>
          </cell>
          <cell r="G236" t="str">
            <v>356-1353-2371-93</v>
          </cell>
          <cell r="H236">
            <v>150000</v>
          </cell>
          <cell r="I236" t="str">
            <v>010-8450-8819</v>
          </cell>
        </row>
        <row r="237">
          <cell r="A237" t="str">
            <v>김경순</v>
          </cell>
        </row>
        <row r="237">
          <cell r="C237" t="str">
            <v>621004-2069619</v>
          </cell>
          <cell r="D237" t="str">
            <v>충북 영동군 용산면 상용길 20-24</v>
          </cell>
        </row>
        <row r="237">
          <cell r="H237">
            <v>150000</v>
          </cell>
        </row>
        <row r="237">
          <cell r="K237">
            <v>29111</v>
          </cell>
        </row>
        <row r="241">
          <cell r="A241" t="str">
            <v>김동식</v>
          </cell>
        </row>
        <row r="241">
          <cell r="C241" t="str">
            <v>740416-1468915</v>
          </cell>
          <cell r="D241" t="str">
            <v>청주시 상당구 영운천로 159, 202호 (용정동)</v>
          </cell>
          <cell r="E241" t="str">
            <v>기업</v>
          </cell>
          <cell r="F241" t="str">
            <v>서만석</v>
          </cell>
          <cell r="G241" t="str">
            <v>293-020381-03-026</v>
          </cell>
          <cell r="H241">
            <v>180000</v>
          </cell>
        </row>
        <row r="242">
          <cell r="A242" t="str">
            <v>박문교</v>
          </cell>
        </row>
        <row r="242">
          <cell r="C242" t="str">
            <v>700724-1380511</v>
          </cell>
          <cell r="D242" t="str">
            <v>청주시 흥덕구 월명로 125, 가동 206호(봉명동,신흥@)</v>
          </cell>
          <cell r="E242" t="str">
            <v>기업</v>
          </cell>
          <cell r="F242" t="str">
            <v>서만석</v>
          </cell>
          <cell r="G242" t="str">
            <v>293-020381-03-026</v>
          </cell>
          <cell r="H242">
            <v>180000</v>
          </cell>
        </row>
        <row r="243">
          <cell r="A243" t="str">
            <v>안준범</v>
          </cell>
        </row>
        <row r="243">
          <cell r="C243" t="str">
            <v>681028-1820716</v>
          </cell>
          <cell r="D243" t="str">
            <v>경상남도 창원시 동읍 용잠리 419 신안@ 1-1505</v>
          </cell>
          <cell r="E243" t="str">
            <v>기업</v>
          </cell>
          <cell r="F243" t="str">
            <v>서만석</v>
          </cell>
          <cell r="G243" t="str">
            <v>293-020381-03-026</v>
          </cell>
          <cell r="H243">
            <v>180000</v>
          </cell>
        </row>
        <row r="244">
          <cell r="A244" t="str">
            <v>엄태섭</v>
          </cell>
        </row>
        <row r="244">
          <cell r="C244" t="str">
            <v>651117-1388314</v>
          </cell>
          <cell r="D244" t="str">
            <v>충북 진천군 덕산면 인산리 182-21</v>
          </cell>
          <cell r="E244" t="str">
            <v>기업</v>
          </cell>
          <cell r="F244" t="str">
            <v>서만석</v>
          </cell>
          <cell r="G244" t="str">
            <v>293-020381-03-026</v>
          </cell>
          <cell r="H244">
            <v>180000</v>
          </cell>
        </row>
        <row r="245">
          <cell r="A245" t="str">
            <v>황우하</v>
          </cell>
        </row>
        <row r="245">
          <cell r="C245" t="str">
            <v>870101-1384313</v>
          </cell>
          <cell r="D245" t="str">
            <v>충청북도 옥천군 안남면 도농리 538</v>
          </cell>
          <cell r="E245" t="str">
            <v>기업</v>
          </cell>
          <cell r="F245" t="str">
            <v>서만석</v>
          </cell>
          <cell r="G245" t="str">
            <v>293-020381-03-026</v>
          </cell>
          <cell r="H245">
            <v>180000</v>
          </cell>
        </row>
        <row r="246">
          <cell r="A246" t="str">
            <v>김흥식</v>
          </cell>
        </row>
        <row r="246">
          <cell r="C246" t="str">
            <v>690227-1382111</v>
          </cell>
          <cell r="D246" t="str">
            <v>청주시 서원구 모충로 61, 205-501 (모충동 주공2단지)</v>
          </cell>
          <cell r="E246" t="str">
            <v>기업</v>
          </cell>
          <cell r="F246" t="str">
            <v>서만석</v>
          </cell>
          <cell r="G246" t="str">
            <v>293-020381-03-026</v>
          </cell>
          <cell r="H246">
            <v>180000</v>
          </cell>
        </row>
        <row r="247">
          <cell r="A247" t="str">
            <v>김춘상</v>
          </cell>
        </row>
        <row r="247">
          <cell r="C247" t="str">
            <v>671115-1380612</v>
          </cell>
          <cell r="D247" t="str">
            <v>청주시 상당구 영운동 168-24 19/4</v>
          </cell>
          <cell r="E247" t="str">
            <v>기업</v>
          </cell>
          <cell r="F247" t="str">
            <v>서만석</v>
          </cell>
          <cell r="G247" t="str">
            <v>293-020381-03-026</v>
          </cell>
          <cell r="H247">
            <v>180000</v>
          </cell>
        </row>
        <row r="248">
          <cell r="A248" t="str">
            <v>김주웅</v>
          </cell>
        </row>
        <row r="248">
          <cell r="C248" t="str">
            <v>600405-1397114</v>
          </cell>
          <cell r="D248" t="str">
            <v>청주시 서원구 1순환로 1137번길 130,325-1306 (분평동 분평주공@)</v>
          </cell>
          <cell r="E248" t="str">
            <v>기업</v>
          </cell>
          <cell r="F248" t="str">
            <v>서만석</v>
          </cell>
          <cell r="G248" t="str">
            <v>293-020381-03-026</v>
          </cell>
          <cell r="H248">
            <v>180000</v>
          </cell>
        </row>
        <row r="249">
          <cell r="A249" t="str">
            <v>마상조</v>
          </cell>
        </row>
        <row r="249">
          <cell r="C249" t="str">
            <v>590619-1380817</v>
          </cell>
          <cell r="D249" t="str">
            <v>청주시 흥덕구 봉명로 209번길 17, 105호 (봉명동,그린빌라2차)</v>
          </cell>
          <cell r="E249" t="str">
            <v>기업</v>
          </cell>
          <cell r="F249" t="str">
            <v>서만석</v>
          </cell>
          <cell r="G249" t="str">
            <v>293-020381-03-026</v>
          </cell>
          <cell r="H249">
            <v>180000</v>
          </cell>
        </row>
        <row r="250">
          <cell r="A250" t="str">
            <v>임익기</v>
          </cell>
        </row>
        <row r="250">
          <cell r="C250" t="str">
            <v>650114-1037815</v>
          </cell>
          <cell r="D250" t="str">
            <v>청주시 상당구 가덕면 국전길 110-43</v>
          </cell>
          <cell r="E250" t="str">
            <v>기업</v>
          </cell>
          <cell r="F250" t="str">
            <v>서만석</v>
          </cell>
          <cell r="G250" t="str">
            <v>293-020381-03-026</v>
          </cell>
          <cell r="H250">
            <v>180000</v>
          </cell>
        </row>
        <row r="251">
          <cell r="A251" t="str">
            <v>안기남</v>
          </cell>
        </row>
        <row r="251">
          <cell r="C251" t="str">
            <v>630117-1644712</v>
          </cell>
          <cell r="D251" t="str">
            <v>청주시 상당구 남사로 80번길 9, 4층 402호 (남주동)</v>
          </cell>
          <cell r="E251" t="str">
            <v>기업</v>
          </cell>
          <cell r="F251" t="str">
            <v>서만석</v>
          </cell>
          <cell r="G251" t="str">
            <v>293-020381-03-026</v>
          </cell>
          <cell r="H251">
            <v>180000</v>
          </cell>
        </row>
      </sheetData>
      <sheetData sheetId="6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지출결의서"/>
      <sheetName val="청구리스트"/>
      <sheetName val=" 노무비"/>
      <sheetName val="7월-형틀"/>
      <sheetName val="직영노임(7월)"/>
      <sheetName val="직영노임(7월-박병희)"/>
      <sheetName val="직영노임(6월)"/>
      <sheetName val="외주비"/>
      <sheetName val="자재비"/>
      <sheetName val="중기비"/>
      <sheetName val="장비출력"/>
      <sheetName val="경비"/>
      <sheetName val="경비사용(법카)"/>
      <sheetName val="업체계좌"/>
      <sheetName val="Sheet1"/>
      <sheetName val="Sheet2"/>
      <sheetName val="대정-2"/>
      <sheetName val="직영노임 (22-공-경계~~~)"/>
      <sheetName val="일용직명단"/>
      <sheetName val="현장관련업체"/>
      <sheetName val="특고직"/>
      <sheetName val="24년4대보험요율"/>
      <sheetName val="월별노무비현황"/>
      <sheetName val="Sheet5"/>
      <sheetName val="월별노무비현황 (2)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A3" t="str">
            <v>오정만</v>
          </cell>
          <cell r="B3" t="str">
            <v>직영인부</v>
          </cell>
          <cell r="C3" t="str">
            <v>520205-1057335</v>
          </cell>
          <cell r="D3" t="str">
            <v>충북 영동군 학산면 모산1길 16-14</v>
          </cell>
          <cell r="E3" t="str">
            <v>농협</v>
          </cell>
          <cell r="F3" t="str">
            <v>오정만</v>
          </cell>
          <cell r="G3" t="str">
            <v>302-0809-4379-11</v>
          </cell>
          <cell r="H3">
            <v>120000</v>
          </cell>
          <cell r="I3" t="str">
            <v>010-5334-6133</v>
          </cell>
        </row>
        <row r="3">
          <cell r="K3" t="str">
            <v>29164</v>
          </cell>
        </row>
        <row r="4">
          <cell r="A4" t="str">
            <v>금걸</v>
          </cell>
          <cell r="B4" t="str">
            <v>보통인부</v>
          </cell>
          <cell r="C4" t="str">
            <v>640415-1384716</v>
          </cell>
          <cell r="D4" t="str">
            <v>충북 옥천군 이원면 건진리 630-8</v>
          </cell>
          <cell r="E4" t="str">
            <v>국민</v>
          </cell>
          <cell r="F4" t="str">
            <v>금걸</v>
          </cell>
          <cell r="G4" t="str">
            <v> 405-21-0020-797</v>
          </cell>
          <cell r="H4">
            <v>160000</v>
          </cell>
          <cell r="I4" t="str">
            <v>010-9207-4425</v>
          </cell>
        </row>
        <row r="4">
          <cell r="K4" t="str">
            <v>29061</v>
          </cell>
        </row>
        <row r="5">
          <cell r="A5" t="str">
            <v>주도현</v>
          </cell>
          <cell r="B5" t="str">
            <v>보통인부</v>
          </cell>
          <cell r="C5" t="str">
            <v>990511-1384718</v>
          </cell>
          <cell r="D5" t="str">
            <v> 충북 옥천군 이원면 지탄6길 24</v>
          </cell>
          <cell r="E5" t="str">
            <v>농협</v>
          </cell>
          <cell r="F5" t="str">
            <v>주도현</v>
          </cell>
          <cell r="G5" t="str">
            <v> 351-1021-5063-63</v>
          </cell>
          <cell r="H5">
            <v>120000</v>
          </cell>
          <cell r="I5" t="str">
            <v>010-5402-6851</v>
          </cell>
        </row>
        <row r="5">
          <cell r="K5" t="str">
            <v>29062</v>
          </cell>
        </row>
        <row r="6">
          <cell r="A6" t="str">
            <v>채청기</v>
          </cell>
          <cell r="B6" t="str">
            <v>작업반장</v>
          </cell>
          <cell r="C6" t="str">
            <v>611117-1644319</v>
          </cell>
          <cell r="D6" t="str">
            <v> 충북 영동군 매천1길 11-10</v>
          </cell>
          <cell r="E6" t="str">
            <v>농협</v>
          </cell>
          <cell r="F6" t="str">
            <v>채청기</v>
          </cell>
          <cell r="G6" t="str">
            <v>403063-51-043152</v>
          </cell>
          <cell r="H6">
            <v>200000</v>
          </cell>
          <cell r="I6" t="str">
            <v>010-7357-9166</v>
          </cell>
        </row>
        <row r="7">
          <cell r="A7" t="str">
            <v>채성진</v>
          </cell>
          <cell r="B7" t="str">
            <v>보통인부</v>
          </cell>
          <cell r="C7" t="str">
            <v>930707-1386119</v>
          </cell>
          <cell r="D7" t="str">
            <v> 충북 영동군 영동읍 매천1길 11-10</v>
          </cell>
          <cell r="E7" t="str">
            <v>농협</v>
          </cell>
          <cell r="F7" t="str">
            <v>채성진</v>
          </cell>
          <cell r="G7" t="str">
            <v>356-0214-5208-83</v>
          </cell>
          <cell r="H7">
            <v>140000</v>
          </cell>
          <cell r="I7" t="str">
            <v>010-2842-9171</v>
          </cell>
        </row>
        <row r="7">
          <cell r="K7" t="str">
            <v>29150</v>
          </cell>
        </row>
        <row r="8">
          <cell r="A8" t="str">
            <v>이준호</v>
          </cell>
          <cell r="B8" t="str">
            <v>보통인부</v>
          </cell>
          <cell r="C8" t="str">
            <v>680526-1167726</v>
          </cell>
          <cell r="D8" t="str">
            <v> 충북 영동군 영동읍 성안길 20-7</v>
          </cell>
          <cell r="E8" t="str">
            <v>농협</v>
          </cell>
          <cell r="F8" t="str">
            <v>이준호</v>
          </cell>
          <cell r="G8" t="str">
            <v>356-0927-9268-73</v>
          </cell>
          <cell r="H8">
            <v>160000</v>
          </cell>
          <cell r="I8" t="str">
            <v>010-7324-3090</v>
          </cell>
        </row>
        <row r="8">
          <cell r="K8" t="str">
            <v>29149</v>
          </cell>
        </row>
        <row r="9">
          <cell r="A9" t="str">
            <v>박희석</v>
          </cell>
          <cell r="B9" t="str">
            <v>목공</v>
          </cell>
          <cell r="C9" t="str">
            <v>620320-1386717</v>
          </cell>
          <cell r="D9" t="str">
            <v> 충북 영동군 양강면 남전2안길 4-16</v>
          </cell>
          <cell r="E9" t="str">
            <v>농협</v>
          </cell>
          <cell r="F9" t="str">
            <v>박희석</v>
          </cell>
          <cell r="G9" t="str">
            <v>407023-52-023453</v>
          </cell>
          <cell r="H9">
            <v>180000</v>
          </cell>
          <cell r="I9" t="str">
            <v>010-3033-5024</v>
          </cell>
        </row>
        <row r="9">
          <cell r="K9" t="str">
            <v>29155</v>
          </cell>
        </row>
        <row r="10">
          <cell r="A10" t="str">
            <v>박희원</v>
          </cell>
          <cell r="B10" t="str">
            <v>목공</v>
          </cell>
          <cell r="C10" t="str">
            <v>591208-1386711</v>
          </cell>
          <cell r="D10" t="str">
            <v> 충북 영동군 양강면 남전2안길 4-17</v>
          </cell>
          <cell r="E10" t="str">
            <v>농협</v>
          </cell>
          <cell r="F10" t="str">
            <v>박희원</v>
          </cell>
          <cell r="G10" t="str">
            <v>352-1445-5223-63</v>
          </cell>
          <cell r="H10">
            <v>180000</v>
          </cell>
          <cell r="I10" t="str">
            <v>010-5461-8445</v>
          </cell>
        </row>
        <row r="10">
          <cell r="K10" t="str">
            <v>29155</v>
          </cell>
        </row>
        <row r="11">
          <cell r="A11" t="str">
            <v>김주열</v>
          </cell>
          <cell r="B11" t="str">
            <v>철근공</v>
          </cell>
          <cell r="C11" t="str">
            <v>661109-1384112</v>
          </cell>
          <cell r="D11" t="str">
            <v>충북 옥천군 옥천읍 관성로 29</v>
          </cell>
          <cell r="E11" t="str">
            <v>중소기업</v>
          </cell>
          <cell r="F11" t="str">
            <v>김주열</v>
          </cell>
          <cell r="G11" t="str">
            <v>010-5454-1383</v>
          </cell>
          <cell r="H11">
            <v>240000</v>
          </cell>
          <cell r="I11" t="str">
            <v>010-5454-1383</v>
          </cell>
        </row>
        <row r="11">
          <cell r="K11" t="str">
            <v>29039</v>
          </cell>
        </row>
        <row r="12">
          <cell r="A12" t="str">
            <v>김덕환</v>
          </cell>
          <cell r="B12" t="str">
            <v>철근공</v>
          </cell>
          <cell r="C12" t="str">
            <v>671203-1386930</v>
          </cell>
          <cell r="D12" t="str">
            <v>충북 옥천군 옥천읍 신기4길16,a동102</v>
          </cell>
          <cell r="E12" t="str">
            <v>농협</v>
          </cell>
          <cell r="F12" t="str">
            <v>김덕환</v>
          </cell>
          <cell r="G12" t="str">
            <v>356-0961-2797-13</v>
          </cell>
          <cell r="H12">
            <v>200000</v>
          </cell>
          <cell r="I12" t="str">
            <v>010-9422-5581</v>
          </cell>
        </row>
        <row r="13">
          <cell r="A13" t="str">
            <v>김동진1</v>
          </cell>
          <cell r="B13" t="str">
            <v>철근공</v>
          </cell>
          <cell r="C13" t="str">
            <v>740215-1384136</v>
          </cell>
          <cell r="D13" t="str">
            <v>충북 옥천군 옥천읍 성신로21-10</v>
          </cell>
          <cell r="E13" t="str">
            <v>농협</v>
          </cell>
        </row>
        <row r="13">
          <cell r="G13" t="str">
            <v>317-02-252767</v>
          </cell>
          <cell r="H13">
            <v>240000</v>
          </cell>
          <cell r="I13" t="str">
            <v>010-4569-4810</v>
          </cell>
        </row>
        <row r="13">
          <cell r="K13" t="str">
            <v>29048</v>
          </cell>
        </row>
        <row r="14">
          <cell r="A14" t="str">
            <v>이영철</v>
          </cell>
          <cell r="B14" t="str">
            <v>철근공</v>
          </cell>
          <cell r="C14" t="str">
            <v>650222-1384139</v>
          </cell>
          <cell r="D14" t="str">
            <v>충북 옥천군 옥천읍 가화3길18,101동105호</v>
          </cell>
          <cell r="E14" t="str">
            <v>농협</v>
          </cell>
          <cell r="F14" t="str">
            <v>이영철</v>
          </cell>
          <cell r="G14" t="str">
            <v>317-12-395296</v>
          </cell>
          <cell r="H14">
            <v>240000</v>
          </cell>
          <cell r="I14" t="str">
            <v>010-5405-3976</v>
          </cell>
        </row>
        <row r="14">
          <cell r="K14" t="str">
            <v>29034</v>
          </cell>
        </row>
        <row r="15">
          <cell r="A15" t="str">
            <v>박용옥</v>
          </cell>
          <cell r="B15" t="str">
            <v>철근공</v>
          </cell>
          <cell r="C15" t="str">
            <v>580304-1384211</v>
          </cell>
          <cell r="D15" t="str">
            <v>충북 옥천군 옥천읍 금구리18-2</v>
          </cell>
          <cell r="E15" t="str">
            <v>농협</v>
          </cell>
          <cell r="F15" t="str">
            <v>박용옥</v>
          </cell>
          <cell r="G15" t="str">
            <v>317-12-351368</v>
          </cell>
          <cell r="H15">
            <v>240000</v>
          </cell>
          <cell r="I15" t="str">
            <v>010-6438-1661</v>
          </cell>
        </row>
        <row r="15">
          <cell r="K15" t="str">
            <v>29046</v>
          </cell>
        </row>
        <row r="16">
          <cell r="A16" t="str">
            <v>박종복</v>
          </cell>
          <cell r="B16" t="str">
            <v>철근공</v>
          </cell>
          <cell r="C16" t="str">
            <v>561005-1384211</v>
          </cell>
          <cell r="D16" t="str">
            <v>충북 옥천군 옥천읍 동부로16,102동901</v>
          </cell>
          <cell r="E16" t="str">
            <v>농협</v>
          </cell>
          <cell r="F16" t="str">
            <v>박종복</v>
          </cell>
          <cell r="G16" t="str">
            <v>302-0299-7809-11</v>
          </cell>
          <cell r="H16">
            <v>240000</v>
          </cell>
          <cell r="I16" t="str">
            <v>010-5457-5297</v>
          </cell>
        </row>
        <row r="16">
          <cell r="K16" t="str">
            <v>29039</v>
          </cell>
        </row>
        <row r="17">
          <cell r="A17" t="str">
            <v>김일용</v>
          </cell>
          <cell r="B17" t="str">
            <v>철근공</v>
          </cell>
          <cell r="C17" t="str">
            <v>580211-1403112</v>
          </cell>
          <cell r="D17" t="str">
            <v>충북 옥천군 옥천읍 신기4길18,나동201호</v>
          </cell>
          <cell r="E17" t="str">
            <v>새마을금고</v>
          </cell>
          <cell r="F17" t="str">
            <v>김일용</v>
          </cell>
          <cell r="G17" t="str">
            <v>9003-2149-2059-6</v>
          </cell>
          <cell r="H17">
            <v>200000</v>
          </cell>
          <cell r="I17" t="str">
            <v>010-9439-5026</v>
          </cell>
        </row>
        <row r="17">
          <cell r="K17" t="str">
            <v>29049</v>
          </cell>
        </row>
        <row r="18">
          <cell r="A18" t="str">
            <v>김일호</v>
          </cell>
          <cell r="B18" t="str">
            <v>보통인부</v>
          </cell>
          <cell r="C18" t="str">
            <v>600413-1386324</v>
          </cell>
          <cell r="D18" t="str">
            <v>충북 영동군 황간면 마산리109</v>
          </cell>
          <cell r="E18" t="str">
            <v>농협</v>
          </cell>
          <cell r="F18" t="str">
            <v>김일호</v>
          </cell>
          <cell r="G18" t="str">
            <v>407089-52-142573</v>
          </cell>
          <cell r="H18">
            <v>130000</v>
          </cell>
          <cell r="I18" t="str">
            <v>010-3060-5145</v>
          </cell>
        </row>
        <row r="18">
          <cell r="K18" t="str">
            <v>29114</v>
          </cell>
        </row>
        <row r="19">
          <cell r="A19" t="str">
            <v>정재인</v>
          </cell>
          <cell r="B19" t="str">
            <v>목공</v>
          </cell>
          <cell r="C19" t="str">
            <v>580217-1384115</v>
          </cell>
          <cell r="D19" t="str">
            <v>충북 옥천군 옥천읍 성신로27B동101호</v>
          </cell>
          <cell r="E19" t="str">
            <v>농협</v>
          </cell>
          <cell r="F19" t="str">
            <v>정재인</v>
          </cell>
          <cell r="G19" t="str">
            <v>405010-51-123375</v>
          </cell>
          <cell r="H19">
            <v>200000</v>
          </cell>
          <cell r="I19" t="str">
            <v>010-5493-3436</v>
          </cell>
        </row>
        <row r="20">
          <cell r="A20" t="str">
            <v>정백교</v>
          </cell>
          <cell r="B20" t="str">
            <v>목공</v>
          </cell>
          <cell r="C20" t="str">
            <v>561220-1812524</v>
          </cell>
          <cell r="D20" t="str">
            <v>대전광역시 동구 대동 33-119</v>
          </cell>
          <cell r="E20" t="str">
            <v>국민</v>
          </cell>
          <cell r="F20" t="str">
            <v>정백교</v>
          </cell>
          <cell r="G20" t="str">
            <v>734402-01-012660</v>
          </cell>
          <cell r="H20">
            <v>200000</v>
          </cell>
          <cell r="I20" t="str">
            <v>010-5408-8423</v>
          </cell>
        </row>
        <row r="21">
          <cell r="A21" t="str">
            <v>공양록</v>
          </cell>
          <cell r="B21" t="str">
            <v>목공</v>
          </cell>
          <cell r="C21" t="str">
            <v>570505-1384112</v>
          </cell>
          <cell r="D21" t="str">
            <v>충북 옥천군 옥천읍 대천557-1   25</v>
          </cell>
          <cell r="E21" t="str">
            <v>국민</v>
          </cell>
          <cell r="F21" t="str">
            <v>공양록</v>
          </cell>
          <cell r="G21" t="str">
            <v>405-21-0588-793</v>
          </cell>
          <cell r="H21">
            <v>200000</v>
          </cell>
          <cell r="I21" t="str">
            <v>010-3456-5927</v>
          </cell>
        </row>
        <row r="22">
          <cell r="A22" t="str">
            <v>이정열</v>
          </cell>
          <cell r="B22" t="str">
            <v>목공</v>
          </cell>
          <cell r="C22" t="str">
            <v>590820-1384819</v>
          </cell>
          <cell r="D22" t="str">
            <v>충북 옥천군 옥천읍 중앙로2길24</v>
          </cell>
          <cell r="E22" t="str">
            <v>농협</v>
          </cell>
          <cell r="F22" t="str">
            <v>이정열</v>
          </cell>
          <cell r="G22" t="str">
            <v>356-1330-1383-03</v>
          </cell>
          <cell r="H22">
            <v>200000</v>
          </cell>
          <cell r="I22" t="str">
            <v>011-464-4388</v>
          </cell>
        </row>
        <row r="22">
          <cell r="K22" t="str">
            <v>29047</v>
          </cell>
        </row>
        <row r="23">
          <cell r="A23" t="str">
            <v>정경섭</v>
          </cell>
          <cell r="B23" t="str">
            <v>목공</v>
          </cell>
          <cell r="C23" t="str">
            <v>580319-1254218</v>
          </cell>
          <cell r="D23" t="str">
            <v>충북 옥천군 동이면 남곡리151</v>
          </cell>
          <cell r="E23" t="str">
            <v>농협</v>
          </cell>
          <cell r="F23" t="str">
            <v>정경섭</v>
          </cell>
          <cell r="G23" t="str">
            <v>173128-52-132419</v>
          </cell>
          <cell r="H23">
            <v>200000</v>
          </cell>
          <cell r="I23" t="str">
            <v>010-8808-1863</v>
          </cell>
        </row>
        <row r="23">
          <cell r="K23" t="str">
            <v>29021</v>
          </cell>
        </row>
        <row r="24">
          <cell r="A24" t="str">
            <v>이종선</v>
          </cell>
          <cell r="B24" t="str">
            <v>목공</v>
          </cell>
          <cell r="C24" t="str">
            <v>620315-1382711</v>
          </cell>
          <cell r="D24" t="str">
            <v>충북 보은군 수한면 차정리99-1</v>
          </cell>
          <cell r="E24" t="str">
            <v>농협</v>
          </cell>
          <cell r="F24" t="str">
            <v>이종선</v>
          </cell>
          <cell r="G24" t="str">
            <v>356-0638-7963-13</v>
          </cell>
          <cell r="H24">
            <v>200000</v>
          </cell>
          <cell r="I24" t="str">
            <v>010-3456-5927</v>
          </cell>
        </row>
        <row r="24">
          <cell r="K24" t="str">
            <v>28919</v>
          </cell>
        </row>
        <row r="25">
          <cell r="A25" t="str">
            <v>황인호</v>
          </cell>
          <cell r="B25" t="str">
            <v>목공</v>
          </cell>
          <cell r="C25" t="str">
            <v>570625-1384117</v>
          </cell>
          <cell r="D25" t="str">
            <v>대전 동구 자양35-14</v>
          </cell>
          <cell r="E25" t="str">
            <v>농협</v>
          </cell>
          <cell r="F25" t="str">
            <v>황인호</v>
          </cell>
          <cell r="G25" t="str">
            <v>356-1420-1868-53</v>
          </cell>
          <cell r="H25">
            <v>200000</v>
          </cell>
          <cell r="I25" t="str">
            <v>010-9874-7747</v>
          </cell>
        </row>
        <row r="26">
          <cell r="A26" t="str">
            <v>공양호</v>
          </cell>
          <cell r="B26" t="str">
            <v>목공</v>
          </cell>
          <cell r="C26" t="str">
            <v>620302-1384112</v>
          </cell>
          <cell r="D26" t="str">
            <v>충북 옥천군 옥천읍 장이1길1005호</v>
          </cell>
          <cell r="E26" t="str">
            <v>농협</v>
          </cell>
          <cell r="F26" t="str">
            <v>공양호</v>
          </cell>
          <cell r="G26" t="str">
            <v>356-1307-5702-93</v>
          </cell>
          <cell r="H26">
            <v>200000</v>
          </cell>
          <cell r="I26" t="str">
            <v>010-5450-2276</v>
          </cell>
        </row>
        <row r="27">
          <cell r="A27" t="str">
            <v>김홍성</v>
          </cell>
          <cell r="B27" t="str">
            <v>목공</v>
          </cell>
          <cell r="C27" t="str">
            <v>490418-1447611</v>
          </cell>
          <cell r="D27" t="str">
            <v>대전 대덕구 대덕대로1601번길40</v>
          </cell>
          <cell r="E27" t="str">
            <v>농협</v>
          </cell>
          <cell r="F27" t="str">
            <v>김홍성</v>
          </cell>
          <cell r="G27" t="str">
            <v>352-1448-3038-13</v>
          </cell>
          <cell r="H27">
            <v>200000</v>
          </cell>
          <cell r="I27" t="str">
            <v>010-5609-4913</v>
          </cell>
        </row>
        <row r="27">
          <cell r="K27" t="str">
            <v>34305</v>
          </cell>
        </row>
        <row r="28">
          <cell r="A28" t="str">
            <v>남상길</v>
          </cell>
          <cell r="B28" t="str">
            <v>목공</v>
          </cell>
          <cell r="C28" t="str">
            <v>550719-1805215</v>
          </cell>
          <cell r="D28" t="str">
            <v>충북 옥천군 옥천읍 서정1길5-40</v>
          </cell>
          <cell r="E28" t="str">
            <v>농협</v>
          </cell>
          <cell r="F28" t="str">
            <v>남상길</v>
          </cell>
          <cell r="G28" t="str">
            <v>356-1314-4411-13</v>
          </cell>
          <cell r="H28">
            <v>200000</v>
          </cell>
          <cell r="I28" t="str">
            <v>010-8826-8939</v>
          </cell>
        </row>
        <row r="28">
          <cell r="K28" t="str">
            <v>29025</v>
          </cell>
        </row>
        <row r="29">
          <cell r="A29" t="str">
            <v>최성환</v>
          </cell>
          <cell r="B29" t="str">
            <v>철근공</v>
          </cell>
          <cell r="C29" t="str">
            <v>660710-1386211</v>
          </cell>
          <cell r="D29" t="str">
            <v>충북 옥천군 옥천읍 삼양로2길 6-4</v>
          </cell>
          <cell r="E29" t="str">
            <v>중소기업</v>
          </cell>
          <cell r="F29" t="str">
            <v>최성환</v>
          </cell>
          <cell r="G29" t="str">
            <v>570-000536-02-026</v>
          </cell>
          <cell r="H29">
            <v>200000</v>
          </cell>
          <cell r="I29" t="str">
            <v>010-6641-6613</v>
          </cell>
        </row>
        <row r="29">
          <cell r="K29" t="str">
            <v>29032</v>
          </cell>
        </row>
        <row r="30">
          <cell r="A30" t="str">
            <v>진수영</v>
          </cell>
          <cell r="B30" t="str">
            <v>철근공</v>
          </cell>
          <cell r="C30" t="str">
            <v>550928-1384216</v>
          </cell>
          <cell r="D30" t="str">
            <v>충북 옥천군 동이면 무산리657</v>
          </cell>
          <cell r="E30" t="str">
            <v>신협</v>
          </cell>
          <cell r="F30" t="str">
            <v>진수영</v>
          </cell>
          <cell r="G30" t="str">
            <v>131-015-480063</v>
          </cell>
          <cell r="H30">
            <v>200000</v>
          </cell>
          <cell r="I30" t="str">
            <v>010-4352-2174</v>
          </cell>
        </row>
        <row r="31">
          <cell r="A31" t="str">
            <v>김종덕</v>
          </cell>
          <cell r="B31" t="str">
            <v>철근공</v>
          </cell>
          <cell r="C31" t="str">
            <v>551120-1449514</v>
          </cell>
          <cell r="D31" t="str">
            <v>대전 광역시 중구 유천동 340-51</v>
          </cell>
          <cell r="E31" t="str">
            <v>국민</v>
          </cell>
          <cell r="F31" t="str">
            <v>김종덕</v>
          </cell>
          <cell r="G31" t="str">
            <v>460001-04-016552</v>
          </cell>
          <cell r="H31">
            <v>200000</v>
          </cell>
          <cell r="I31" t="str">
            <v>010-3418-1669</v>
          </cell>
        </row>
        <row r="32">
          <cell r="A32" t="str">
            <v>김용근</v>
          </cell>
          <cell r="B32" t="str">
            <v>철근공</v>
          </cell>
          <cell r="C32" t="str">
            <v>491010-1403113</v>
          </cell>
          <cell r="D32" t="str">
            <v>충북 옥천군 동이면 무산리658</v>
          </cell>
          <cell r="E32" t="str">
            <v>국민</v>
          </cell>
          <cell r="F32" t="str">
            <v>김용근</v>
          </cell>
          <cell r="G32" t="str">
            <v>740902-93-109270</v>
          </cell>
          <cell r="H32">
            <v>200000</v>
          </cell>
          <cell r="I32" t="str">
            <v>010-5456-3529</v>
          </cell>
        </row>
        <row r="33">
          <cell r="A33" t="str">
            <v>윤진한</v>
          </cell>
          <cell r="B33" t="str">
            <v>석공</v>
          </cell>
          <cell r="C33" t="str">
            <v>760224-1386921</v>
          </cell>
          <cell r="D33" t="str">
            <v>충북 영동군 영동읍 계산리 197-2</v>
          </cell>
          <cell r="E33" t="str">
            <v>농협</v>
          </cell>
          <cell r="F33" t="str">
            <v>윤진한</v>
          </cell>
          <cell r="G33" t="str">
            <v>356-0991-0651-23</v>
          </cell>
          <cell r="H33">
            <v>250000</v>
          </cell>
          <cell r="I33" t="str">
            <v>010-7360-3345</v>
          </cell>
        </row>
        <row r="33">
          <cell r="K33" t="str">
            <v>29139</v>
          </cell>
        </row>
        <row r="34">
          <cell r="A34" t="str">
            <v>권오득</v>
          </cell>
          <cell r="B34" t="str">
            <v>보통인부</v>
          </cell>
          <cell r="C34" t="str">
            <v>640529-1386416</v>
          </cell>
          <cell r="D34" t="str">
            <v>충북영동군추풍령면추풍령로9길10-2</v>
          </cell>
          <cell r="E34" t="str">
            <v>농협</v>
          </cell>
          <cell r="F34" t="str">
            <v>권오득</v>
          </cell>
          <cell r="G34" t="str">
            <v>352-1857-0983-23</v>
          </cell>
          <cell r="H34">
            <v>150000</v>
          </cell>
          <cell r="I34" t="str">
            <v>010-9133-8928</v>
          </cell>
        </row>
        <row r="35">
          <cell r="A35" t="str">
            <v>손석래</v>
          </cell>
          <cell r="B35" t="str">
            <v>보통인부</v>
          </cell>
          <cell r="C35" t="str">
            <v>600404-1386121</v>
          </cell>
          <cell r="D35" t="str">
            <v>충북 영동군 영동읍 새심길18,1004호 조한드림플러스@</v>
          </cell>
          <cell r="E35" t="str">
            <v>농협</v>
          </cell>
          <cell r="F35" t="str">
            <v>손석래</v>
          </cell>
          <cell r="G35" t="str">
            <v>356-1493-9522-63</v>
          </cell>
          <cell r="H35">
            <v>160000</v>
          </cell>
          <cell r="I35" t="str">
            <v>043-744-5228</v>
          </cell>
        </row>
        <row r="35">
          <cell r="K35" t="str">
            <v>29142</v>
          </cell>
        </row>
        <row r="36">
          <cell r="A36" t="str">
            <v>조운규</v>
          </cell>
          <cell r="B36" t="str">
            <v>특별인부</v>
          </cell>
          <cell r="C36" t="str">
            <v>650305-1386131</v>
          </cell>
          <cell r="D36" t="str">
            <v>충북 영동군 영동읍 금동안길 60</v>
          </cell>
          <cell r="E36" t="str">
            <v>우체국</v>
          </cell>
          <cell r="F36" t="str">
            <v>조운규</v>
          </cell>
          <cell r="G36" t="str">
            <v>301515-02-022804</v>
          </cell>
          <cell r="H36">
            <v>170000</v>
          </cell>
          <cell r="I36" t="str">
            <v>010-8343-0468</v>
          </cell>
        </row>
        <row r="36">
          <cell r="K36" t="str">
            <v>29138</v>
          </cell>
        </row>
        <row r="37">
          <cell r="A37" t="str">
            <v>강희종</v>
          </cell>
          <cell r="B37" t="str">
            <v>단순노무자</v>
          </cell>
          <cell r="C37" t="str">
            <v>540612-1400325</v>
          </cell>
          <cell r="D37" t="str">
            <v>충북 영동군 추풍령면 추풍령로5안길8</v>
          </cell>
          <cell r="E37" t="str">
            <v>농협</v>
          </cell>
          <cell r="F37" t="str">
            <v>강희종</v>
          </cell>
          <cell r="G37" t="str">
            <v>351-1142-0210-73</v>
          </cell>
          <cell r="H37">
            <v>130000</v>
          </cell>
          <cell r="I37" t="str">
            <v>010-5028-0656</v>
          </cell>
          <cell r="J37" t="str">
            <v>명장인력</v>
          </cell>
          <cell r="K37" t="str">
            <v>29120</v>
          </cell>
        </row>
        <row r="38">
          <cell r="A38" t="str">
            <v>김기필</v>
          </cell>
          <cell r="B38" t="str">
            <v>단순노무자</v>
          </cell>
          <cell r="C38" t="str">
            <v>611022-1386251</v>
          </cell>
          <cell r="D38" t="str">
            <v>충북 영동군 용산면 금곡3길 19</v>
          </cell>
          <cell r="E38" t="str">
            <v>농협</v>
          </cell>
          <cell r="F38" t="str">
            <v>김기필</v>
          </cell>
          <cell r="G38" t="str">
            <v>351-1142-0210-73</v>
          </cell>
          <cell r="H38">
            <v>150000</v>
          </cell>
          <cell r="I38" t="str">
            <v>010-6428-8990</v>
          </cell>
          <cell r="J38" t="str">
            <v>명장인력</v>
          </cell>
          <cell r="K38" t="str">
            <v>29100</v>
          </cell>
        </row>
        <row r="39">
          <cell r="A39" t="str">
            <v>윤석률</v>
          </cell>
          <cell r="B39" t="str">
            <v>단순노무자</v>
          </cell>
          <cell r="C39" t="str">
            <v>681215-1384614</v>
          </cell>
          <cell r="D39" t="str">
            <v>충북 옥천군 청산면 효목1길 83</v>
          </cell>
          <cell r="E39" t="str">
            <v>농협</v>
          </cell>
          <cell r="F39" t="str">
            <v>윤석률</v>
          </cell>
          <cell r="G39" t="str">
            <v>351-1142-0210-73</v>
          </cell>
          <cell r="H39">
            <v>150000</v>
          </cell>
          <cell r="I39" t="str">
            <v>010-3425-9337</v>
          </cell>
          <cell r="J39" t="str">
            <v>명장인력</v>
          </cell>
          <cell r="K39" t="str">
            <v>29015</v>
          </cell>
        </row>
        <row r="40">
          <cell r="A40" t="str">
            <v>전근성</v>
          </cell>
          <cell r="B40" t="str">
            <v>단순노무자</v>
          </cell>
          <cell r="C40" t="str">
            <v>721105-1386912</v>
          </cell>
          <cell r="D40" t="str">
            <v>충북 영동군 학산면 모정길 78</v>
          </cell>
          <cell r="E40" t="str">
            <v>농협</v>
          </cell>
          <cell r="F40" t="str">
            <v>전근성</v>
          </cell>
          <cell r="G40" t="str">
            <v>351-1142-0210-73</v>
          </cell>
          <cell r="H40">
            <v>150000</v>
          </cell>
          <cell r="I40" t="str">
            <v>010-3405-4114</v>
          </cell>
          <cell r="J40" t="str">
            <v>명장인력</v>
          </cell>
          <cell r="K40" t="str">
            <v>29165</v>
          </cell>
        </row>
        <row r="41">
          <cell r="A41" t="str">
            <v>김병호</v>
          </cell>
          <cell r="B41" t="str">
            <v>철근공</v>
          </cell>
          <cell r="C41" t="str">
            <v>921202-1058619</v>
          </cell>
          <cell r="D41" t="str">
            <v>충북 옥천군 옥천읍 관성로 29</v>
          </cell>
          <cell r="E41" t="str">
            <v>우체국</v>
          </cell>
          <cell r="F41" t="str">
            <v>김병호</v>
          </cell>
          <cell r="G41" t="str">
            <v>300111-02-297282</v>
          </cell>
          <cell r="H41">
            <v>200000</v>
          </cell>
          <cell r="I41" t="str">
            <v>010-4904-9092</v>
          </cell>
        </row>
        <row r="41">
          <cell r="K41" t="str">
            <v>29039</v>
          </cell>
        </row>
        <row r="42">
          <cell r="A42" t="str">
            <v>최동섭</v>
          </cell>
          <cell r="B42" t="str">
            <v>특별인부</v>
          </cell>
          <cell r="C42" t="str">
            <v>670211-1386119</v>
          </cell>
          <cell r="D42" t="str">
            <v>충북 영동군 영동읍 부용7안길7-1</v>
          </cell>
          <cell r="E42" t="str">
            <v>농협</v>
          </cell>
          <cell r="F42" t="str">
            <v>최동섭</v>
          </cell>
          <cell r="G42" t="str">
            <v>173173-52-042958</v>
          </cell>
          <cell r="H42">
            <v>170000</v>
          </cell>
          <cell r="I42" t="str">
            <v>010-4114-2902</v>
          </cell>
        </row>
        <row r="42">
          <cell r="K42" t="str">
            <v>29149</v>
          </cell>
        </row>
        <row r="43">
          <cell r="A43" t="str">
            <v>김영환</v>
          </cell>
          <cell r="B43" t="str">
            <v>보통인부</v>
          </cell>
          <cell r="C43" t="str">
            <v>600925-1386115</v>
          </cell>
          <cell r="D43" t="str">
            <v>충북 영동군 영동읍 계산리 426-1</v>
          </cell>
          <cell r="E43" t="str">
            <v>농협</v>
          </cell>
          <cell r="F43" t="str">
            <v>김영환</v>
          </cell>
          <cell r="G43" t="str">
            <v>302-1601-4630-21</v>
          </cell>
          <cell r="H43">
            <v>130000</v>
          </cell>
        </row>
        <row r="43">
          <cell r="K43" t="str">
            <v>29138</v>
          </cell>
        </row>
        <row r="44">
          <cell r="A44" t="str">
            <v>김명숙</v>
          </cell>
          <cell r="B44" t="str">
            <v>보통인부</v>
          </cell>
          <cell r="C44" t="str">
            <v>660125-2524919</v>
          </cell>
          <cell r="D44" t="str">
            <v>대전 동구 판암동 328방주아파트101-604</v>
          </cell>
          <cell r="E44" t="str">
            <v>농협</v>
          </cell>
          <cell r="F44" t="str">
            <v>김명숙</v>
          </cell>
          <cell r="G44" t="str">
            <v>302-0957-7396-11</v>
          </cell>
          <cell r="H44">
            <v>150000</v>
          </cell>
        </row>
        <row r="45">
          <cell r="A45" t="str">
            <v>이홍성</v>
          </cell>
          <cell r="B45" t="str">
            <v>목공</v>
          </cell>
          <cell r="C45" t="str">
            <v>510520-1384216</v>
          </cell>
          <cell r="D45" t="str">
            <v>충북 옥천 옥천읍 미암리49-1</v>
          </cell>
          <cell r="E45" t="str">
            <v>농협</v>
          </cell>
          <cell r="F45" t="str">
            <v>이홍성</v>
          </cell>
          <cell r="G45" t="str">
            <v>356-1306-8954-13</v>
          </cell>
          <cell r="H45">
            <v>200000</v>
          </cell>
          <cell r="I45" t="str">
            <v>010-5100-7490</v>
          </cell>
        </row>
        <row r="46">
          <cell r="A46" t="str">
            <v>김장곤</v>
          </cell>
          <cell r="B46" t="str">
            <v>목공</v>
          </cell>
          <cell r="C46" t="str">
            <v>611211-1458428</v>
          </cell>
          <cell r="D46" t="str">
            <v>대전광역시 중구 산성동 304-18</v>
          </cell>
          <cell r="E46" t="str">
            <v>농협</v>
          </cell>
          <cell r="F46" t="str">
            <v>김장곤</v>
          </cell>
          <cell r="G46" t="str">
            <v>356-1483-5978-13</v>
          </cell>
          <cell r="H46">
            <v>200000</v>
          </cell>
          <cell r="I46" t="str">
            <v>010-4830-2110</v>
          </cell>
        </row>
        <row r="46">
          <cell r="K46" t="str">
            <v>35054</v>
          </cell>
        </row>
        <row r="47">
          <cell r="A47" t="str">
            <v>김효식</v>
          </cell>
          <cell r="B47" t="str">
            <v>목공</v>
          </cell>
          <cell r="C47" t="str">
            <v>630220-1384116</v>
          </cell>
          <cell r="D47" t="str">
            <v>충북 옥천 옥천읍 송신길 89-1</v>
          </cell>
          <cell r="E47" t="str">
            <v>농협</v>
          </cell>
          <cell r="F47" t="str">
            <v>김효식</v>
          </cell>
          <cell r="G47" t="str">
            <v>356-1306-7504-13</v>
          </cell>
          <cell r="H47">
            <v>200000</v>
          </cell>
          <cell r="I47" t="str">
            <v>010-3448-1889</v>
          </cell>
        </row>
        <row r="48">
          <cell r="A48" t="str">
            <v>김정자</v>
          </cell>
          <cell r="B48" t="str">
            <v>목공</v>
          </cell>
          <cell r="C48" t="str">
            <v>600225-2408313</v>
          </cell>
          <cell r="D48" t="str">
            <v>대전 동구 판암동236주공 508-1302</v>
          </cell>
          <cell r="E48" t="str">
            <v>농협</v>
          </cell>
          <cell r="F48" t="str">
            <v>김정자</v>
          </cell>
        </row>
        <row r="48">
          <cell r="I48" t="str">
            <v>010-5402-7460</v>
          </cell>
        </row>
        <row r="49">
          <cell r="A49" t="str">
            <v>이순희</v>
          </cell>
          <cell r="B49" t="str">
            <v>목공</v>
          </cell>
          <cell r="C49" t="str">
            <v>610808-2379713</v>
          </cell>
          <cell r="D49" t="str">
            <v>충북 옥천 옥천읍 마암리22-4은혜연립B동101</v>
          </cell>
          <cell r="E49" t="str">
            <v>농협</v>
          </cell>
          <cell r="F49" t="str">
            <v>이순희</v>
          </cell>
        </row>
        <row r="49">
          <cell r="I49" t="str">
            <v>010-9138-3436</v>
          </cell>
        </row>
        <row r="50">
          <cell r="A50" t="str">
            <v>김태식</v>
          </cell>
          <cell r="B50" t="str">
            <v>목공</v>
          </cell>
          <cell r="C50" t="str">
            <v>551215-1384133</v>
          </cell>
          <cell r="D50" t="str">
            <v>충북옥천 옥천읍문정리 62-1</v>
          </cell>
          <cell r="E50" t="str">
            <v>농협</v>
          </cell>
          <cell r="F50" t="str">
            <v>김태식</v>
          </cell>
          <cell r="G50" t="str">
            <v>302-5458-3411-01</v>
          </cell>
          <cell r="H50">
            <v>200000</v>
          </cell>
          <cell r="I50" t="str">
            <v>010-5458-3411</v>
          </cell>
        </row>
        <row r="51">
          <cell r="A51" t="str">
            <v>유현봉</v>
          </cell>
          <cell r="B51" t="str">
            <v>목공</v>
          </cell>
          <cell r="C51" t="str">
            <v>531210-1384312</v>
          </cell>
          <cell r="D51" t="str">
            <v>충북 옥천 옥천읍 양수로6길4</v>
          </cell>
          <cell r="E51" t="str">
            <v>국민</v>
          </cell>
          <cell r="F51" t="str">
            <v>유현봉</v>
          </cell>
          <cell r="G51" t="str">
            <v>405-24-0081-770</v>
          </cell>
          <cell r="H51">
            <v>200000</v>
          </cell>
          <cell r="I51" t="str">
            <v>010-5427-7937</v>
          </cell>
        </row>
        <row r="52">
          <cell r="A52" t="str">
            <v>신기창</v>
          </cell>
          <cell r="B52" t="str">
            <v>목공</v>
          </cell>
          <cell r="C52" t="str">
            <v>611028-1411611</v>
          </cell>
          <cell r="D52" t="str">
            <v>충북 옥천 옥천읍 성암2길30-1</v>
          </cell>
          <cell r="E52" t="str">
            <v>농협</v>
          </cell>
          <cell r="F52" t="str">
            <v>신기창</v>
          </cell>
          <cell r="G52" t="str">
            <v>356-1479-8602-73</v>
          </cell>
          <cell r="H52">
            <v>200000</v>
          </cell>
          <cell r="I52" t="str">
            <v>010-3893-7198</v>
          </cell>
        </row>
        <row r="53">
          <cell r="A53" t="str">
            <v>김충재</v>
          </cell>
          <cell r="B53" t="str">
            <v>목공</v>
          </cell>
          <cell r="C53" t="str">
            <v>590114-1384121</v>
          </cell>
          <cell r="D53" t="str">
            <v>충북 옥천 옥천읍 금구천길15나동103호</v>
          </cell>
          <cell r="E53" t="str">
            <v>농협</v>
          </cell>
          <cell r="F53" t="str">
            <v>김충재</v>
          </cell>
          <cell r="G53" t="str">
            <v>356-1488-3009-73</v>
          </cell>
          <cell r="H53">
            <v>200000</v>
          </cell>
          <cell r="I53" t="str">
            <v>010-5465-8302</v>
          </cell>
        </row>
        <row r="54">
          <cell r="A54" t="str">
            <v>김정식</v>
          </cell>
          <cell r="B54" t="str">
            <v>목공</v>
          </cell>
          <cell r="C54" t="str">
            <v>760110-1384826</v>
          </cell>
          <cell r="D54" t="str">
            <v>충북 옥천 옥천읍가화3길23</v>
          </cell>
          <cell r="E54" t="str">
            <v>농협</v>
          </cell>
          <cell r="F54" t="str">
            <v>김정식</v>
          </cell>
          <cell r="G54" t="str">
            <v>302-0953-8269-11</v>
          </cell>
          <cell r="H54">
            <v>200000</v>
          </cell>
          <cell r="I54" t="str">
            <v>010-6252-2437</v>
          </cell>
        </row>
        <row r="55">
          <cell r="A55" t="str">
            <v>소세영</v>
          </cell>
          <cell r="B55" t="str">
            <v>철근공</v>
          </cell>
          <cell r="C55" t="str">
            <v>661110-1403017</v>
          </cell>
          <cell r="D55" t="str">
            <v>대전 동구 번동 2길 25(천동)</v>
          </cell>
          <cell r="E55" t="str">
            <v>농협</v>
          </cell>
          <cell r="F55" t="str">
            <v>소세영</v>
          </cell>
          <cell r="G55" t="str">
            <v>351-0883-3616-63</v>
          </cell>
          <cell r="H55">
            <v>200000</v>
          </cell>
          <cell r="I55" t="str">
            <v>010-8859-2729</v>
          </cell>
          <cell r="J55" t="str">
            <v>010-5454-1383</v>
          </cell>
          <cell r="K55" t="str">
            <v>34683</v>
          </cell>
        </row>
        <row r="56">
          <cell r="A56" t="str">
            <v>이영훈</v>
          </cell>
          <cell r="B56" t="str">
            <v>철근공</v>
          </cell>
          <cell r="C56" t="str">
            <v>941126-1055311</v>
          </cell>
          <cell r="D56" t="str">
            <v>서울 영등포구 도신로29길28</v>
          </cell>
          <cell r="E56" t="str">
            <v>중소기업</v>
          </cell>
          <cell r="F56" t="str">
            <v>이영훈</v>
          </cell>
          <cell r="G56" t="str">
            <v>570-020656-01-010</v>
          </cell>
          <cell r="H56">
            <v>200000</v>
          </cell>
          <cell r="I56" t="str">
            <v>010-9358-8464</v>
          </cell>
          <cell r="J56" t="str">
            <v>010-5454-1383</v>
          </cell>
          <cell r="K56" t="str">
            <v>07365</v>
          </cell>
        </row>
        <row r="57">
          <cell r="A57" t="str">
            <v>박길환</v>
          </cell>
          <cell r="B57" t="str">
            <v>철근공</v>
          </cell>
          <cell r="C57" t="str">
            <v>671015-1920528</v>
          </cell>
          <cell r="D57" t="str">
            <v>충북 옥천 옥천읍 중앙로6길8</v>
          </cell>
          <cell r="E57" t="str">
            <v>중소기업</v>
          </cell>
          <cell r="F57" t="str">
            <v>박길환</v>
          </cell>
          <cell r="G57" t="str">
            <v>570-020656-01-010</v>
          </cell>
          <cell r="H57">
            <v>200000</v>
          </cell>
          <cell r="I57" t="str">
            <v>010-4486-7508</v>
          </cell>
          <cell r="J57" t="str">
            <v>010-5454-1383</v>
          </cell>
        </row>
        <row r="58">
          <cell r="A58" t="str">
            <v>원용길</v>
          </cell>
          <cell r="B58" t="str">
            <v>철근공</v>
          </cell>
          <cell r="C58" t="str">
            <v>640220-5141993</v>
          </cell>
          <cell r="D58" t="str">
            <v>재외동포(F-4)</v>
          </cell>
          <cell r="E58" t="str">
            <v>중소기업</v>
          </cell>
          <cell r="F58" t="str">
            <v>원용길</v>
          </cell>
          <cell r="G58" t="str">
            <v>570-020656-01-010</v>
          </cell>
          <cell r="H58">
            <v>200000</v>
          </cell>
          <cell r="I58" t="str">
            <v>010-2293-0638</v>
          </cell>
          <cell r="J58" t="str">
            <v>010-5454-1383</v>
          </cell>
        </row>
        <row r="59">
          <cell r="A59" t="str">
            <v>조갑성</v>
          </cell>
          <cell r="B59" t="str">
            <v>목공</v>
          </cell>
          <cell r="C59" t="str">
            <v>540619-1384810</v>
          </cell>
          <cell r="D59" t="str">
            <v>충북 옥천 옥천읍 문장로2길9</v>
          </cell>
          <cell r="E59" t="str">
            <v>우체국</v>
          </cell>
          <cell r="F59" t="str">
            <v>조갑성</v>
          </cell>
          <cell r="G59" t="str">
            <v>102434-02-170588</v>
          </cell>
          <cell r="H59">
            <v>200000</v>
          </cell>
          <cell r="I59" t="str">
            <v>010-3456-5927</v>
          </cell>
        </row>
        <row r="60">
          <cell r="A60" t="str">
            <v>박준용</v>
          </cell>
          <cell r="B60" t="str">
            <v>보통인부</v>
          </cell>
          <cell r="C60" t="str">
            <v>571003-1386215</v>
          </cell>
          <cell r="D60" t="str">
            <v>충북 영동군 영동읍 중앙로1길18</v>
          </cell>
          <cell r="E60" t="str">
            <v>농협</v>
          </cell>
          <cell r="F60" t="str">
            <v>박준용</v>
          </cell>
          <cell r="G60" t="str">
            <v>407034-52-068141</v>
          </cell>
          <cell r="H60">
            <v>150000</v>
          </cell>
        </row>
        <row r="60">
          <cell r="K60" t="str">
            <v>29145</v>
          </cell>
        </row>
        <row r="61">
          <cell r="A61" t="str">
            <v>백경훈</v>
          </cell>
          <cell r="B61" t="str">
            <v>단순노무자</v>
          </cell>
          <cell r="C61" t="str">
            <v>850202-1386312</v>
          </cell>
          <cell r="D61" t="str">
            <v>충북 영동군 황간면 남성동3길27</v>
          </cell>
        </row>
        <row r="61">
          <cell r="F61" t="str">
            <v>백경훈</v>
          </cell>
        </row>
        <row r="61">
          <cell r="H61">
            <v>170000</v>
          </cell>
        </row>
        <row r="61">
          <cell r="K61" t="str">
            <v>29115</v>
          </cell>
        </row>
        <row r="62">
          <cell r="A62" t="str">
            <v>이진권</v>
          </cell>
          <cell r="B62" t="str">
            <v>단순노무자</v>
          </cell>
          <cell r="C62" t="str">
            <v>610210-1238818</v>
          </cell>
          <cell r="D62" t="str">
            <v>경기도 연천군 전곡읍 전곡리 324-33세림빌라7동301호</v>
          </cell>
          <cell r="E62" t="str">
            <v>농협</v>
          </cell>
          <cell r="F62" t="str">
            <v>이진권</v>
          </cell>
          <cell r="G62" t="str">
            <v>356-0129-1298-13</v>
          </cell>
          <cell r="H62">
            <v>170000</v>
          </cell>
        </row>
        <row r="63">
          <cell r="B63" t="str">
            <v>단순노무자</v>
          </cell>
          <cell r="C63" t="str">
            <v>760715-1386710</v>
          </cell>
          <cell r="D63" t="str">
            <v>충북 영동군 영동읍금동로1길6,202호(혜성빌라)</v>
          </cell>
          <cell r="E63" t="str">
            <v>우체국</v>
          </cell>
        </row>
        <row r="63">
          <cell r="G63" t="str">
            <v>301515-02-072801</v>
          </cell>
          <cell r="H63">
            <v>160000</v>
          </cell>
        </row>
        <row r="64">
          <cell r="A64" t="str">
            <v>정광일</v>
          </cell>
          <cell r="B64" t="str">
            <v>철근공</v>
          </cell>
          <cell r="C64" t="str">
            <v>600220-1041824</v>
          </cell>
          <cell r="D64" t="str">
            <v>충북 옥천군 옥천읍 동부로16 101동301호(하늘빛아파트)</v>
          </cell>
          <cell r="E64" t="str">
            <v>농협</v>
          </cell>
          <cell r="F64" t="str">
            <v>정광일</v>
          </cell>
          <cell r="G64" t="str">
            <v>351-0883-3616-63</v>
          </cell>
          <cell r="H64">
            <v>200000</v>
          </cell>
        </row>
        <row r="64">
          <cell r="K64" t="str">
            <v>29039</v>
          </cell>
        </row>
        <row r="65">
          <cell r="A65" t="str">
            <v>이윤건</v>
          </cell>
          <cell r="B65" t="str">
            <v>철근공</v>
          </cell>
          <cell r="C65" t="str">
            <v>630822-1229912</v>
          </cell>
          <cell r="D65" t="str">
            <v>충북 옥천군 군서면 성왕로 489-16</v>
          </cell>
          <cell r="E65" t="str">
            <v>농협</v>
          </cell>
          <cell r="F65" t="str">
            <v>이윤건</v>
          </cell>
          <cell r="G65" t="str">
            <v>351-0883-3616-63</v>
          </cell>
          <cell r="H65">
            <v>200000</v>
          </cell>
        </row>
        <row r="65">
          <cell r="K65" t="str">
            <v>29059</v>
          </cell>
        </row>
        <row r="66">
          <cell r="A66" t="str">
            <v>박래일</v>
          </cell>
          <cell r="B66" t="str">
            <v>보통인부</v>
          </cell>
          <cell r="C66" t="str">
            <v>590108-1386126</v>
          </cell>
          <cell r="D66" t="str">
            <v>충북 영동군 영동읍 양산로7길 2가동106호(양지연립)</v>
          </cell>
          <cell r="E66" t="str">
            <v>농협</v>
          </cell>
          <cell r="F66" t="str">
            <v>박래일</v>
          </cell>
          <cell r="G66" t="str">
            <v>774-02-269271</v>
          </cell>
          <cell r="H66">
            <v>170000</v>
          </cell>
          <cell r="I66" t="str">
            <v>010-9405-6479</v>
          </cell>
        </row>
        <row r="67">
          <cell r="A67" t="str">
            <v>이정근</v>
          </cell>
          <cell r="B67" t="str">
            <v>보통인부</v>
          </cell>
          <cell r="C67" t="str">
            <v>590825-1386143</v>
          </cell>
          <cell r="D67" t="str">
            <v>충북 영동군 영동읍 계산리280</v>
          </cell>
          <cell r="E67" t="str">
            <v>우체국</v>
          </cell>
          <cell r="F67" t="str">
            <v>이정근</v>
          </cell>
          <cell r="G67" t="str">
            <v>300160-02-240447</v>
          </cell>
          <cell r="H67">
            <v>160000</v>
          </cell>
        </row>
        <row r="67">
          <cell r="K67" t="str">
            <v>29139</v>
          </cell>
        </row>
        <row r="68">
          <cell r="A68" t="str">
            <v>육종필</v>
          </cell>
          <cell r="B68" t="str">
            <v>철근공</v>
          </cell>
          <cell r="C68" t="str">
            <v>681020-1384919</v>
          </cell>
          <cell r="D68" t="str">
            <v>충북 옥천군 옥천읍 장야리 313 장야1주공106-304</v>
          </cell>
          <cell r="E68" t="str">
            <v>중소기업</v>
          </cell>
          <cell r="F68" t="str">
            <v>육종필</v>
          </cell>
          <cell r="G68" t="str">
            <v>570-007217-02-013</v>
          </cell>
          <cell r="H68">
            <v>200000</v>
          </cell>
          <cell r="I68" t="str">
            <v>010-6800-2394</v>
          </cell>
        </row>
        <row r="68">
          <cell r="K68" t="str">
            <v>29045</v>
          </cell>
        </row>
        <row r="69">
          <cell r="A69" t="str">
            <v>조기혁</v>
          </cell>
          <cell r="B69" t="str">
            <v>목공</v>
          </cell>
          <cell r="C69" t="str">
            <v>630523-1402713</v>
          </cell>
          <cell r="D69" t="str">
            <v>대전광역시 동구 우암로326번길57-1(가양동)</v>
          </cell>
          <cell r="E69" t="str">
            <v>농협</v>
          </cell>
          <cell r="F69" t="str">
            <v>조기혁</v>
          </cell>
          <cell r="G69" t="str">
            <v>356-1497-0677-43</v>
          </cell>
          <cell r="H69">
            <v>200000</v>
          </cell>
          <cell r="I69" t="str">
            <v>010-8623-6218</v>
          </cell>
        </row>
        <row r="69">
          <cell r="K69" t="str">
            <v>34506</v>
          </cell>
        </row>
        <row r="70">
          <cell r="A70" t="str">
            <v>정일흥</v>
          </cell>
          <cell r="B70" t="str">
            <v>목공</v>
          </cell>
          <cell r="C70" t="str">
            <v>600605-1384810</v>
          </cell>
          <cell r="D70" t="str">
            <v>충북 옥천군 교서면 원전2길86-9</v>
          </cell>
          <cell r="E70" t="str">
            <v>농협</v>
          </cell>
          <cell r="F70" t="str">
            <v>정일흥</v>
          </cell>
          <cell r="G70" t="str">
            <v>352-1559-7324-93</v>
          </cell>
          <cell r="H70">
            <v>200000</v>
          </cell>
          <cell r="I70" t="str">
            <v>010-8843-0512</v>
          </cell>
        </row>
        <row r="71">
          <cell r="A71" t="str">
            <v>곽태</v>
          </cell>
          <cell r="B71" t="str">
            <v>목공</v>
          </cell>
          <cell r="C71" t="str">
            <v>551001-1448815</v>
          </cell>
          <cell r="D71" t="str">
            <v>충북 옥천군 옥천읍 중앙로1길 6-4602호</v>
          </cell>
          <cell r="E71" t="str">
            <v>농협</v>
          </cell>
          <cell r="F71" t="str">
            <v>곽태</v>
          </cell>
          <cell r="G71" t="str">
            <v>356-1434-8325-93</v>
          </cell>
          <cell r="H71">
            <v>200000</v>
          </cell>
          <cell r="I71" t="str">
            <v>0106423-3895</v>
          </cell>
        </row>
        <row r="71">
          <cell r="K71" t="str">
            <v>29037</v>
          </cell>
        </row>
        <row r="72">
          <cell r="A72" t="str">
            <v>박세호</v>
          </cell>
          <cell r="B72" t="str">
            <v>보통인부</v>
          </cell>
          <cell r="C72" t="str">
            <v>641015-1386715</v>
          </cell>
          <cell r="D72" t="str">
            <v>충북 영동군 영동읍 동정로 47,103동 1303호</v>
          </cell>
          <cell r="E72" t="str">
            <v>농협</v>
          </cell>
          <cell r="F72" t="str">
            <v>박세호</v>
          </cell>
          <cell r="G72" t="str">
            <v>356-1193-1604-23</v>
          </cell>
          <cell r="H72">
            <v>160000</v>
          </cell>
          <cell r="I72" t="str">
            <v>010-3896-8077</v>
          </cell>
        </row>
        <row r="72">
          <cell r="K72" t="str">
            <v>29140</v>
          </cell>
        </row>
        <row r="73">
          <cell r="A73" t="str">
            <v>정홍길</v>
          </cell>
          <cell r="B73" t="str">
            <v>목공</v>
          </cell>
          <cell r="C73" t="str">
            <v>821112-1384119</v>
          </cell>
          <cell r="D73" t="str">
            <v>충북 옥천군 옥천읍 대천길 159</v>
          </cell>
          <cell r="E73" t="str">
            <v>농협</v>
          </cell>
          <cell r="F73" t="str">
            <v>정홍길</v>
          </cell>
          <cell r="G73" t="str">
            <v>302-8622-0879-11</v>
          </cell>
          <cell r="H73">
            <v>200000</v>
          </cell>
          <cell r="I73" t="str">
            <v>010-8622-0879</v>
          </cell>
        </row>
        <row r="73">
          <cell r="K73" t="str">
            <v>29052</v>
          </cell>
        </row>
        <row r="74">
          <cell r="A74" t="str">
            <v>백정숙</v>
          </cell>
          <cell r="B74" t="str">
            <v>목공</v>
          </cell>
          <cell r="C74" t="str">
            <v>550420-2789718</v>
          </cell>
          <cell r="D74" t="str">
            <v>충북 옥천군 옥천읍 대천길 549</v>
          </cell>
          <cell r="E74" t="str">
            <v>새마을금고</v>
          </cell>
          <cell r="F74" t="str">
            <v>백정숙</v>
          </cell>
          <cell r="G74" t="str">
            <v>4614-09-003672-7</v>
          </cell>
          <cell r="H74">
            <v>150000</v>
          </cell>
          <cell r="I74" t="str">
            <v>010-8843-</v>
          </cell>
        </row>
        <row r="75">
          <cell r="A75" t="str">
            <v>배태봉</v>
          </cell>
          <cell r="B75" t="str">
            <v>목공</v>
          </cell>
          <cell r="C75" t="str">
            <v>610303-1386748</v>
          </cell>
          <cell r="D75" t="str">
            <v>충북 영동군 영동읍 당곡로14-1</v>
          </cell>
          <cell r="E75" t="str">
            <v>우체국</v>
          </cell>
          <cell r="F75" t="str">
            <v>배태봉</v>
          </cell>
          <cell r="G75" t="str">
            <v>300160-02-231942</v>
          </cell>
          <cell r="H75">
            <v>200000</v>
          </cell>
        </row>
        <row r="75">
          <cell r="K75" t="str">
            <v>29128</v>
          </cell>
        </row>
        <row r="76">
          <cell r="A76" t="str">
            <v>박재영</v>
          </cell>
          <cell r="B76" t="str">
            <v>굴삭기기사</v>
          </cell>
          <cell r="C76" t="str">
            <v>720815-1386721</v>
          </cell>
          <cell r="D76" t="str">
            <v>충북 옥천군 옥천읍 문장로2길 10, 304동 503호</v>
          </cell>
        </row>
        <row r="76">
          <cell r="F76" t="str">
            <v>박재영</v>
          </cell>
        </row>
        <row r="76">
          <cell r="H76">
            <v>150000</v>
          </cell>
        </row>
        <row r="76">
          <cell r="K76" t="str">
            <v>29040</v>
          </cell>
        </row>
        <row r="77">
          <cell r="A77" t="str">
            <v>이관우</v>
          </cell>
          <cell r="B77" t="str">
            <v>철근공</v>
          </cell>
          <cell r="C77" t="str">
            <v>590920-1383021</v>
          </cell>
          <cell r="D77" t="str">
            <v>충북 보은군 보은읍 중초2길 20</v>
          </cell>
          <cell r="E77" t="str">
            <v>농협</v>
          </cell>
          <cell r="F77" t="str">
            <v>이관우</v>
          </cell>
          <cell r="G77" t="str">
            <v>118012-00-9732</v>
          </cell>
          <cell r="H77">
            <v>300000</v>
          </cell>
          <cell r="I77" t="str">
            <v>010-5464-3462</v>
          </cell>
        </row>
        <row r="77">
          <cell r="K77" t="str">
            <v>28917</v>
          </cell>
        </row>
        <row r="78">
          <cell r="A78" t="str">
            <v>주문식</v>
          </cell>
          <cell r="B78" t="str">
            <v>목공</v>
          </cell>
          <cell r="C78" t="str">
            <v>650310-1392622</v>
          </cell>
          <cell r="D78" t="str">
            <v>청주시 상당구 영운천로 187번길 7-5</v>
          </cell>
          <cell r="E78" t="str">
            <v>농협</v>
          </cell>
          <cell r="F78" t="str">
            <v>주하정</v>
          </cell>
          <cell r="G78" t="str">
            <v>356-1247-9282-33</v>
          </cell>
          <cell r="H78">
            <v>280000</v>
          </cell>
        </row>
        <row r="78">
          <cell r="K78" t="str">
            <v>28750</v>
          </cell>
        </row>
        <row r="79">
          <cell r="A79" t="str">
            <v>최동수</v>
          </cell>
          <cell r="B79" t="str">
            <v>목공</v>
          </cell>
          <cell r="C79" t="str">
            <v>600824-1392617</v>
          </cell>
          <cell r="D79" t="str">
            <v>충북 청주시 흥덕구 수곡동 34-23돌체빌라 나동102호</v>
          </cell>
          <cell r="E79" t="str">
            <v>신한</v>
          </cell>
          <cell r="F79" t="str">
            <v>최동수</v>
          </cell>
          <cell r="G79" t="str">
            <v>110-016-451351</v>
          </cell>
          <cell r="H79">
            <v>280000</v>
          </cell>
        </row>
        <row r="80">
          <cell r="A80" t="str">
            <v>박종우</v>
          </cell>
          <cell r="B80" t="str">
            <v>목공</v>
          </cell>
          <cell r="C80" t="str">
            <v>620125-1350833</v>
          </cell>
          <cell r="D80" t="str">
            <v>충북 청주시 상당구 용정로 38번길 27-23,204호(용정동)</v>
          </cell>
          <cell r="E80" t="str">
            <v>농협</v>
          </cell>
          <cell r="F80" t="str">
            <v>박종우</v>
          </cell>
          <cell r="G80" t="str">
            <v>401050-51-041386</v>
          </cell>
          <cell r="H80">
            <v>280000</v>
          </cell>
        </row>
        <row r="81">
          <cell r="A81" t="str">
            <v>김용국</v>
          </cell>
          <cell r="B81" t="str">
            <v>철근공</v>
          </cell>
          <cell r="C81" t="str">
            <v>590215-1455931</v>
          </cell>
          <cell r="D81" t="str">
            <v>충북 청주시 청원구 주성로216,101동 904호(율량동,재원@)</v>
          </cell>
          <cell r="E81" t="str">
            <v>농협</v>
          </cell>
          <cell r="F81" t="str">
            <v>김용국</v>
          </cell>
          <cell r="G81" t="str">
            <v>237097-56-122641</v>
          </cell>
          <cell r="H81">
            <v>250000</v>
          </cell>
        </row>
        <row r="82">
          <cell r="A82" t="str">
            <v>김진태</v>
          </cell>
          <cell r="B82" t="str">
            <v>철근공</v>
          </cell>
          <cell r="C82" t="str">
            <v>590227-1390025</v>
          </cell>
          <cell r="D82" t="str">
            <v>충북 청주시청원구 새터로125번길 13-1.102호</v>
          </cell>
          <cell r="E82" t="str">
            <v>신한</v>
          </cell>
          <cell r="F82" t="str">
            <v>김진태</v>
          </cell>
          <cell r="G82" t="str">
            <v>110-350-519515</v>
          </cell>
          <cell r="H82">
            <v>250000</v>
          </cell>
        </row>
        <row r="83">
          <cell r="A83" t="str">
            <v>이원우</v>
          </cell>
          <cell r="B83" t="str">
            <v>철근공</v>
          </cell>
          <cell r="C83" t="str">
            <v>650901-1351416</v>
          </cell>
          <cell r="D83" t="str">
            <v>충북 청주시 상당구 새터로73번길 17-1,(내덕동)</v>
          </cell>
          <cell r="E83" t="str">
            <v>농협</v>
          </cell>
          <cell r="F83" t="str">
            <v>이원우</v>
          </cell>
          <cell r="G83" t="str">
            <v>356-0421-8806-83</v>
          </cell>
          <cell r="H83">
            <v>270000</v>
          </cell>
        </row>
        <row r="84">
          <cell r="A84" t="str">
            <v>우성식</v>
          </cell>
          <cell r="B84" t="str">
            <v>철근공</v>
          </cell>
          <cell r="C84" t="str">
            <v>630108-1382116</v>
          </cell>
          <cell r="D84" t="str">
            <v>충북 청주시 흥덕구 신율로145번길 24-5,101호(복대동)</v>
          </cell>
          <cell r="E84" t="str">
            <v>농협</v>
          </cell>
          <cell r="F84" t="str">
            <v>우성식</v>
          </cell>
          <cell r="G84" t="str">
            <v>211042-52-114865</v>
          </cell>
          <cell r="H84">
            <v>240000</v>
          </cell>
        </row>
        <row r="85">
          <cell r="A85" t="str">
            <v>음희진</v>
          </cell>
          <cell r="B85" t="str">
            <v>목공</v>
          </cell>
          <cell r="C85" t="str">
            <v>591220-1392335</v>
          </cell>
          <cell r="D85" t="str">
            <v>청주시 흥덕구 장구봉로101번길27, 사랑동405호 (복대동,형석@)</v>
          </cell>
          <cell r="E85" t="str">
            <v>농협</v>
          </cell>
          <cell r="F85" t="str">
            <v>음희진</v>
          </cell>
          <cell r="G85" t="str">
            <v>401149-56-096884</v>
          </cell>
          <cell r="H85">
            <v>250000</v>
          </cell>
        </row>
        <row r="85">
          <cell r="K85" t="str">
            <v>28607</v>
          </cell>
        </row>
        <row r="86">
          <cell r="A86" t="str">
            <v>지창기</v>
          </cell>
          <cell r="B86" t="str">
            <v>울타리공</v>
          </cell>
          <cell r="C86" t="str">
            <v>681022-1446910</v>
          </cell>
          <cell r="D86" t="str">
            <v>대전광역시 중구 대흥동 현대@ 7동 1101호</v>
          </cell>
        </row>
        <row r="86">
          <cell r="F86" t="str">
            <v>지창기</v>
          </cell>
        </row>
        <row r="86">
          <cell r="H86">
            <v>250000</v>
          </cell>
        </row>
        <row r="86">
          <cell r="K86" t="str">
            <v>34929</v>
          </cell>
        </row>
        <row r="87">
          <cell r="A87" t="str">
            <v>김재수</v>
          </cell>
          <cell r="B87" t="str">
            <v>울타리공</v>
          </cell>
          <cell r="C87" t="str">
            <v>660202-1400210</v>
          </cell>
          <cell r="D87" t="str">
            <v>전북 무주군 부남면 유동길 7-4</v>
          </cell>
        </row>
        <row r="87">
          <cell r="F87" t="str">
            <v>김재수</v>
          </cell>
        </row>
        <row r="87">
          <cell r="H87">
            <v>250000</v>
          </cell>
        </row>
        <row r="87">
          <cell r="K87" t="str">
            <v>55501</v>
          </cell>
        </row>
        <row r="88">
          <cell r="A88" t="str">
            <v>김동진</v>
          </cell>
          <cell r="B88" t="str">
            <v>울타리공</v>
          </cell>
          <cell r="C88" t="str">
            <v>980615-1094810</v>
          </cell>
          <cell r="D88" t="str">
            <v>전북 전주시  덕진구 명주5길 41</v>
          </cell>
          <cell r="E88" t="str">
            <v>우리</v>
          </cell>
          <cell r="F88" t="str">
            <v>김동진</v>
          </cell>
          <cell r="G88" t="str">
            <v>1002763162620</v>
          </cell>
          <cell r="H88">
            <v>155000</v>
          </cell>
          <cell r="I88" t="str">
            <v>010-5738-4795</v>
          </cell>
        </row>
        <row r="88">
          <cell r="K88" t="str">
            <v>54918</v>
          </cell>
        </row>
        <row r="89">
          <cell r="A89" t="str">
            <v>이종호</v>
          </cell>
          <cell r="B89" t="str">
            <v>울타리공</v>
          </cell>
          <cell r="C89" t="str">
            <v>740211-1149313</v>
          </cell>
          <cell r="D89" t="str">
            <v>인천시 연수구 옥련동 642-1</v>
          </cell>
          <cell r="E89" t="str">
            <v>기업</v>
          </cell>
          <cell r="F89" t="str">
            <v>이종호</v>
          </cell>
          <cell r="G89" t="str">
            <v>1064340831</v>
          </cell>
          <cell r="H89">
            <v>155000</v>
          </cell>
          <cell r="I89" t="str">
            <v>010-6434-0831</v>
          </cell>
        </row>
        <row r="89">
          <cell r="K89" t="str">
            <v>21952</v>
          </cell>
        </row>
        <row r="90">
          <cell r="A90" t="str">
            <v>청주건설기계
(오근장지게차,공항지게차)</v>
          </cell>
          <cell r="B90" t="str">
            <v>지게차</v>
          </cell>
          <cell r="C90" t="str">
            <v>490-40-00058</v>
          </cell>
          <cell r="D90" t="str">
            <v>농협010-8574-3343-09</v>
          </cell>
          <cell r="E90" t="str">
            <v>농협</v>
          </cell>
        </row>
        <row r="90">
          <cell r="G90" t="str">
            <v>010-8574-3343-09</v>
          </cell>
          <cell r="H90">
            <v>90000</v>
          </cell>
          <cell r="I90" t="str">
            <v>010-8574-3343</v>
          </cell>
        </row>
        <row r="93">
          <cell r="A93" t="str">
            <v>유상철</v>
          </cell>
          <cell r="B93" t="str">
            <v>울타리공</v>
          </cell>
          <cell r="C93" t="str">
            <v>780418-1411311</v>
          </cell>
          <cell r="D93" t="str">
            <v>인청광역시 남동구 간석동 188-7 203호</v>
          </cell>
          <cell r="E93" t="str">
            <v>농협</v>
          </cell>
          <cell r="F93" t="str">
            <v>유상철</v>
          </cell>
          <cell r="G93" t="str">
            <v>3020703001141</v>
          </cell>
          <cell r="H93">
            <v>180000</v>
          </cell>
          <cell r="I93" t="str">
            <v>010-8997-4235</v>
          </cell>
        </row>
        <row r="93">
          <cell r="K93" t="str">
            <v>21952</v>
          </cell>
        </row>
        <row r="94">
          <cell r="A94" t="str">
            <v>박건진</v>
          </cell>
          <cell r="B94" t="str">
            <v>울타리공</v>
          </cell>
          <cell r="C94" t="str">
            <v>730926-1182618</v>
          </cell>
          <cell r="D94" t="str">
            <v>인천시 연수구 옥련동 642-139</v>
          </cell>
          <cell r="E94" t="str">
            <v>신한</v>
          </cell>
          <cell r="F94" t="str">
            <v>박건진</v>
          </cell>
          <cell r="G94" t="str">
            <v>110531618208</v>
          </cell>
          <cell r="H94">
            <v>150000</v>
          </cell>
          <cell r="I94" t="str">
            <v>010-2520-9629</v>
          </cell>
        </row>
        <row r="94">
          <cell r="K94" t="str">
            <v>14473</v>
          </cell>
        </row>
        <row r="95">
          <cell r="A95" t="str">
            <v>김도운</v>
          </cell>
          <cell r="B95" t="str">
            <v>울타리공</v>
          </cell>
          <cell r="C95" t="str">
            <v>980424-1042216</v>
          </cell>
          <cell r="D95" t="str">
            <v>경기도 부천시 삼적로 395번길8 502호</v>
          </cell>
          <cell r="E95" t="str">
            <v>카카오뱅크</v>
          </cell>
          <cell r="F95" t="str">
            <v>김도운</v>
          </cell>
          <cell r="G95" t="str">
            <v>3333-16-5110770</v>
          </cell>
          <cell r="H95">
            <v>140000</v>
          </cell>
          <cell r="I95" t="str">
            <v>010-4856-8783</v>
          </cell>
        </row>
        <row r="95">
          <cell r="K95" t="str">
            <v>15805</v>
          </cell>
        </row>
        <row r="96">
          <cell r="A96" t="str">
            <v>최진영</v>
          </cell>
          <cell r="B96" t="str">
            <v>울타리공</v>
          </cell>
          <cell r="C96" t="str">
            <v>830808-1273513</v>
          </cell>
          <cell r="D96" t="str">
            <v>경기도 군포시 군포로 767번길 35 </v>
          </cell>
          <cell r="E96" t="str">
            <v>신한</v>
          </cell>
          <cell r="F96" t="str">
            <v>최진영</v>
          </cell>
          <cell r="G96" t="str">
            <v>110309789591</v>
          </cell>
          <cell r="H96">
            <v>165000</v>
          </cell>
          <cell r="I96" t="str">
            <v>010-2537-9954</v>
          </cell>
        </row>
        <row r="96">
          <cell r="K96" t="str">
            <v>15805</v>
          </cell>
        </row>
        <row r="97">
          <cell r="A97" t="str">
            <v>조영준</v>
          </cell>
          <cell r="B97" t="str">
            <v>울타리공</v>
          </cell>
          <cell r="C97" t="str">
            <v>890115-1673921</v>
          </cell>
          <cell r="D97" t="str">
            <v>대구광역시 달서구 상화로373.202동214호</v>
          </cell>
          <cell r="E97" t="str">
            <v>대구</v>
          </cell>
          <cell r="F97" t="str">
            <v>조영준</v>
          </cell>
          <cell r="G97" t="str">
            <v>508116402427</v>
          </cell>
          <cell r="H97">
            <v>135000</v>
          </cell>
          <cell r="I97" t="str">
            <v>010-2523-2611</v>
          </cell>
        </row>
        <row r="98">
          <cell r="A98" t="str">
            <v>정해용</v>
          </cell>
          <cell r="B98" t="str">
            <v>울타리공</v>
          </cell>
          <cell r="C98" t="str">
            <v>880309-1144517</v>
          </cell>
          <cell r="D98" t="str">
            <v>인천광역시시 미추홀구 도화동 6-26</v>
          </cell>
          <cell r="E98" t="str">
            <v>국민</v>
          </cell>
          <cell r="F98" t="str">
            <v>정해용</v>
          </cell>
          <cell r="G98" t="str">
            <v>722125-95-102456</v>
          </cell>
          <cell r="H98">
            <v>165000</v>
          </cell>
        </row>
        <row r="99">
          <cell r="A99" t="str">
            <v>박동호</v>
          </cell>
          <cell r="B99" t="str">
            <v>울타리공</v>
          </cell>
          <cell r="C99" t="str">
            <v>740123-1150216</v>
          </cell>
          <cell r="D99" t="str">
            <v>인천광역시 연수구 학나래로34, 101동501호</v>
          </cell>
          <cell r="E99" t="str">
            <v>신한</v>
          </cell>
          <cell r="F99" t="str">
            <v>박동호</v>
          </cell>
          <cell r="G99" t="str">
            <v>110388363575</v>
          </cell>
          <cell r="H99">
            <v>250000</v>
          </cell>
        </row>
        <row r="99">
          <cell r="K99">
            <v>21911</v>
          </cell>
        </row>
        <row r="100">
          <cell r="A100" t="str">
            <v>이동헌</v>
          </cell>
          <cell r="B100" t="str">
            <v>울타리공</v>
          </cell>
          <cell r="C100" t="str">
            <v>900614-1674812</v>
          </cell>
          <cell r="D100" t="str">
            <v>인천광역시 부평구 부평대로 95</v>
          </cell>
          <cell r="E100" t="str">
            <v>새마을금고</v>
          </cell>
          <cell r="F100" t="str">
            <v>이동헌</v>
          </cell>
          <cell r="G100" t="str">
            <v>9002172373929</v>
          </cell>
          <cell r="H100">
            <v>230000</v>
          </cell>
          <cell r="I100" t="str">
            <v>010-4682-4812</v>
          </cell>
        </row>
        <row r="100">
          <cell r="K100" t="str">
            <v>21379</v>
          </cell>
        </row>
        <row r="101">
          <cell r="A101" t="str">
            <v>김경윤</v>
          </cell>
          <cell r="B101" t="str">
            <v>울타리공</v>
          </cell>
          <cell r="C101">
            <v>19981119</v>
          </cell>
        </row>
        <row r="101">
          <cell r="E101" t="str">
            <v>국민</v>
          </cell>
          <cell r="F101" t="str">
            <v>김경윤</v>
          </cell>
          <cell r="G101" t="str">
            <v>722125-95-102456</v>
          </cell>
          <cell r="H101">
            <v>165000</v>
          </cell>
        </row>
        <row r="102">
          <cell r="A102" t="str">
            <v>지봉수</v>
          </cell>
        </row>
        <row r="102">
          <cell r="C102" t="str">
            <v>871003-</v>
          </cell>
          <cell r="D102" t="str">
            <v>충북 증평군 도안면 탑골길 1-22</v>
          </cell>
        </row>
        <row r="102">
          <cell r="K102" t="str">
            <v>27901</v>
          </cell>
        </row>
        <row r="103">
          <cell r="A103" t="str">
            <v>이기영</v>
          </cell>
        </row>
        <row r="103">
          <cell r="C103" t="str">
            <v>580824-1390815</v>
          </cell>
          <cell r="D103" t="str">
            <v>충청북도 증평군 도안면 탑골길 1-22</v>
          </cell>
          <cell r="E103" t="str">
            <v>국민</v>
          </cell>
          <cell r="F103" t="str">
            <v>삼일용역</v>
          </cell>
          <cell r="G103" t="str">
            <v>722125-95-102456</v>
          </cell>
          <cell r="H103">
            <v>165000</v>
          </cell>
          <cell r="I103" t="str">
            <v>010-9345-3633</v>
          </cell>
          <cell r="J103" t="str">
            <v>삼일용역</v>
          </cell>
          <cell r="K103" t="str">
            <v>27901</v>
          </cell>
        </row>
        <row r="104">
          <cell r="A104" t="str">
            <v>조남부</v>
          </cell>
        </row>
        <row r="104">
          <cell r="C104" t="str">
            <v>600417-1458432</v>
          </cell>
          <cell r="D104" t="str">
            <v>충북 청원군 낭성면 관정길 180-1</v>
          </cell>
          <cell r="E104" t="str">
            <v>국민</v>
          </cell>
          <cell r="F104" t="str">
            <v>삼일용역</v>
          </cell>
          <cell r="G104" t="str">
            <v>722125-95-102456</v>
          </cell>
          <cell r="H104">
            <v>165000</v>
          </cell>
        </row>
        <row r="104">
          <cell r="J104" t="str">
            <v>삼일용역</v>
          </cell>
          <cell r="K104" t="str">
            <v>28194</v>
          </cell>
        </row>
        <row r="105">
          <cell r="A105" t="str">
            <v>임종길</v>
          </cell>
        </row>
        <row r="105">
          <cell r="C105" t="str">
            <v>611204-1346019</v>
          </cell>
          <cell r="D105" t="str">
            <v>경상남도 고성군 거류면 화당2길 21-10</v>
          </cell>
          <cell r="E105" t="str">
            <v>국민</v>
          </cell>
          <cell r="F105" t="str">
            <v>삼일용역</v>
          </cell>
          <cell r="G105" t="str">
            <v>722125-95-102456</v>
          </cell>
          <cell r="H105">
            <v>175000</v>
          </cell>
        </row>
        <row r="105">
          <cell r="J105" t="str">
            <v>삼일용역</v>
          </cell>
          <cell r="K105" t="str">
            <v>52926</v>
          </cell>
        </row>
        <row r="106">
          <cell r="A106" t="str">
            <v>윤덕근</v>
          </cell>
        </row>
        <row r="106">
          <cell r="C106" t="str">
            <v>620209-1390912</v>
          </cell>
          <cell r="D106" t="str">
            <v>충청북도 증평군 증평읍 송산로4길 14,305동</v>
          </cell>
          <cell r="E106" t="str">
            <v>국민</v>
          </cell>
          <cell r="F106" t="str">
            <v>삼일용역</v>
          </cell>
          <cell r="G106" t="str">
            <v>722125-95-102456</v>
          </cell>
          <cell r="H106">
            <v>170000</v>
          </cell>
          <cell r="I106" t="str">
            <v>010-5498-6461</v>
          </cell>
          <cell r="J106" t="str">
            <v>삼일용역</v>
          </cell>
          <cell r="K106" t="str">
            <v>27917</v>
          </cell>
        </row>
        <row r="107">
          <cell r="A107" t="str">
            <v>김상만</v>
          </cell>
        </row>
        <row r="107">
          <cell r="C107" t="str">
            <v>730115-1781625</v>
          </cell>
          <cell r="D107" t="str">
            <v>울산광역시 동구 대송3길 63</v>
          </cell>
          <cell r="E107" t="str">
            <v>국민</v>
          </cell>
          <cell r="F107" t="str">
            <v>삼일용역</v>
          </cell>
          <cell r="G107" t="str">
            <v>722125-95-102456</v>
          </cell>
          <cell r="H107">
            <v>175000</v>
          </cell>
          <cell r="I107" t="str">
            <v>010-5498-6461</v>
          </cell>
          <cell r="J107" t="str">
            <v>삼일용역</v>
          </cell>
          <cell r="K107" t="str">
            <v>44062</v>
          </cell>
        </row>
        <row r="108">
          <cell r="A108" t="str">
            <v>이주은</v>
          </cell>
        </row>
        <row r="108">
          <cell r="C108" t="str">
            <v>930109-2409915</v>
          </cell>
          <cell r="D108" t="str">
            <v>대전광역시 서구 도솔로 324-5(괴정동)</v>
          </cell>
          <cell r="E108" t="str">
            <v>국민</v>
          </cell>
          <cell r="F108" t="str">
            <v>삼일용역</v>
          </cell>
          <cell r="G108" t="str">
            <v>722125-95-102456</v>
          </cell>
          <cell r="H108">
            <v>130000</v>
          </cell>
        </row>
        <row r="108">
          <cell r="J108" t="str">
            <v>삼일용역</v>
          </cell>
          <cell r="K108" t="str">
            <v>35295</v>
          </cell>
        </row>
        <row r="109">
          <cell r="A109" t="str">
            <v>김정태</v>
          </cell>
          <cell r="B109" t="str">
            <v>삼일용역</v>
          </cell>
          <cell r="C109" t="str">
            <v>650104-1380821</v>
          </cell>
          <cell r="D109" t="str">
            <v>충청북도 청주시 청원구 오창읍 여천2길 22-5</v>
          </cell>
          <cell r="E109" t="str">
            <v>국민</v>
          </cell>
          <cell r="F109" t="str">
            <v>삼일용역</v>
          </cell>
          <cell r="G109" t="str">
            <v>722125-95-102456</v>
          </cell>
          <cell r="H109">
            <v>175000</v>
          </cell>
        </row>
        <row r="109">
          <cell r="J109" t="str">
            <v>삼일용역</v>
          </cell>
          <cell r="K109" t="str">
            <v>28127</v>
          </cell>
        </row>
        <row r="110">
          <cell r="A110" t="str">
            <v>윤희주</v>
          </cell>
          <cell r="B110" t="str">
            <v>삼일용역</v>
          </cell>
          <cell r="C110" t="str">
            <v>520112-1621913</v>
          </cell>
          <cell r="D110" t="str">
            <v>충북 증평군 증평읍 쇠마루1길 45</v>
          </cell>
          <cell r="E110" t="str">
            <v>국민</v>
          </cell>
          <cell r="F110" t="str">
            <v>삼일용역</v>
          </cell>
          <cell r="G110" t="str">
            <v>722125-95-102456</v>
          </cell>
          <cell r="H110">
            <v>175000</v>
          </cell>
        </row>
        <row r="110">
          <cell r="J110" t="str">
            <v>삼일용역</v>
          </cell>
          <cell r="K110" t="str">
            <v>27913</v>
          </cell>
        </row>
        <row r="111">
          <cell r="A111" t="str">
            <v>최성학</v>
          </cell>
          <cell r="B111" t="str">
            <v>삼일용역</v>
          </cell>
          <cell r="C111" t="str">
            <v>630111-1268111</v>
          </cell>
          <cell r="D111" t="str">
            <v>충북 음성군 설성로 2</v>
          </cell>
          <cell r="E111" t="str">
            <v>국민</v>
          </cell>
          <cell r="F111" t="str">
            <v>삼일용역</v>
          </cell>
          <cell r="G111" t="str">
            <v>722125-95-102456</v>
          </cell>
          <cell r="H111">
            <v>165000</v>
          </cell>
        </row>
        <row r="111">
          <cell r="J111" t="str">
            <v>삼일용역</v>
          </cell>
          <cell r="K111" t="str">
            <v>21952</v>
          </cell>
        </row>
        <row r="112">
          <cell r="A112" t="str">
            <v>정복용</v>
          </cell>
          <cell r="B112" t="str">
            <v>삼일용역</v>
          </cell>
          <cell r="C112" t="str">
            <v>651210-1337113</v>
          </cell>
          <cell r="D112" t="str">
            <v>강원도 화천군 간동면 오음리 오동나무길8-9</v>
          </cell>
          <cell r="E112" t="str">
            <v>국민</v>
          </cell>
          <cell r="F112" t="str">
            <v>삼일용역</v>
          </cell>
          <cell r="G112" t="str">
            <v>722125-95-102456</v>
          </cell>
          <cell r="H112">
            <v>180000</v>
          </cell>
        </row>
        <row r="112">
          <cell r="J112" t="str">
            <v>삼일용역</v>
          </cell>
          <cell r="K112" t="str">
            <v>24137</v>
          </cell>
        </row>
        <row r="113">
          <cell r="A113" t="str">
            <v>정인섭</v>
          </cell>
          <cell r="B113" t="str">
            <v>삼일용역</v>
          </cell>
          <cell r="C113" t="str">
            <v>610720-1452816</v>
          </cell>
          <cell r="D113" t="str">
            <v>충북 증평군 증평읍 삼보로1길 21, 104동110호</v>
          </cell>
          <cell r="E113" t="str">
            <v>국민</v>
          </cell>
          <cell r="F113" t="str">
            <v>삼일용역</v>
          </cell>
          <cell r="G113" t="str">
            <v>722125-95-102456</v>
          </cell>
          <cell r="H113">
            <v>165000</v>
          </cell>
        </row>
        <row r="113">
          <cell r="J113" t="str">
            <v>삼일용역</v>
          </cell>
          <cell r="K113" t="str">
            <v>27928</v>
          </cell>
        </row>
        <row r="114">
          <cell r="A114" t="str">
            <v>연제선</v>
          </cell>
          <cell r="B114" t="str">
            <v>삼일용역</v>
          </cell>
          <cell r="C114" t="str">
            <v>880417-1390814</v>
          </cell>
          <cell r="D114" t="str">
            <v>충북 증평군 증평읍 송산로 53 휴먼시아@</v>
          </cell>
          <cell r="E114" t="str">
            <v>국민</v>
          </cell>
          <cell r="F114" t="str">
            <v>삼일용역</v>
          </cell>
          <cell r="G114" t="str">
            <v>722125-95-102456</v>
          </cell>
          <cell r="H114">
            <v>175000</v>
          </cell>
        </row>
        <row r="114">
          <cell r="J114" t="str">
            <v>삼일용역</v>
          </cell>
          <cell r="K114" t="str">
            <v>27918</v>
          </cell>
        </row>
        <row r="115">
          <cell r="A115" t="str">
            <v>이기범</v>
          </cell>
          <cell r="B115" t="str">
            <v>삼일용역</v>
          </cell>
          <cell r="C115" t="str">
            <v>840608-1227411</v>
          </cell>
          <cell r="D115" t="str">
            <v>경기도 평택시 세교동 560, 향촌현대아파트</v>
          </cell>
          <cell r="E115" t="str">
            <v>국민</v>
          </cell>
          <cell r="F115" t="str">
            <v>삼일용역</v>
          </cell>
          <cell r="G115" t="str">
            <v>722125-95-102456</v>
          </cell>
          <cell r="H115">
            <v>165000</v>
          </cell>
        </row>
        <row r="115">
          <cell r="J115" t="str">
            <v>삼일용역</v>
          </cell>
          <cell r="K115" t="str">
            <v>17832</v>
          </cell>
        </row>
        <row r="116">
          <cell r="A116" t="str">
            <v>신기호</v>
          </cell>
          <cell r="B116" t="str">
            <v>삼일용역</v>
          </cell>
          <cell r="C116" t="str">
            <v>740917-1390110</v>
          </cell>
          <cell r="D116" t="str">
            <v>충북 청주시 청원구 오창읍 양천6길 4-10 104호</v>
          </cell>
          <cell r="E116" t="str">
            <v>국민</v>
          </cell>
          <cell r="F116" t="str">
            <v>삼일용역</v>
          </cell>
          <cell r="G116" t="str">
            <v>722125-95-102456</v>
          </cell>
          <cell r="H116">
            <v>165000</v>
          </cell>
        </row>
        <row r="116">
          <cell r="J116" t="str">
            <v>삼일용역</v>
          </cell>
          <cell r="K116" t="str">
            <v>28116</v>
          </cell>
        </row>
        <row r="117">
          <cell r="A117" t="str">
            <v>한승태</v>
          </cell>
          <cell r="B117" t="str">
            <v>삼일용역</v>
          </cell>
          <cell r="C117" t="str">
            <v>560216-1390811</v>
          </cell>
          <cell r="D117" t="str">
            <v>충북 증평군 도안면 백암길 31-10</v>
          </cell>
          <cell r="E117" t="str">
            <v>국민</v>
          </cell>
          <cell r="F117" t="str">
            <v>삼일용역</v>
          </cell>
          <cell r="G117" t="str">
            <v>722125-95-102456</v>
          </cell>
          <cell r="H117">
            <v>175000</v>
          </cell>
        </row>
        <row r="118">
          <cell r="A118" t="str">
            <v>한만선</v>
          </cell>
          <cell r="B118" t="str">
            <v>삼일용역</v>
          </cell>
          <cell r="C118" t="str">
            <v>600709-1398411</v>
          </cell>
          <cell r="D118" t="str">
            <v>대전광영시유성구유성대로668번길64 301호</v>
          </cell>
          <cell r="E118" t="str">
            <v>국민</v>
          </cell>
          <cell r="F118" t="str">
            <v>삼일용역</v>
          </cell>
          <cell r="G118" t="str">
            <v>722125-95-102456</v>
          </cell>
          <cell r="H118">
            <v>165000</v>
          </cell>
        </row>
        <row r="119">
          <cell r="A119" t="str">
            <v>정수용</v>
          </cell>
          <cell r="B119" t="str">
            <v>삼일용역</v>
          </cell>
          <cell r="C119" t="str">
            <v>610528-1390511</v>
          </cell>
          <cell r="D119" t="str">
            <v>충청북도 증평군 증평읍 광장로 534 (서호e타운아파트)</v>
          </cell>
          <cell r="E119" t="str">
            <v>국민</v>
          </cell>
          <cell r="F119" t="str">
            <v>삼일용역</v>
          </cell>
          <cell r="G119" t="str">
            <v>722125-95-102456</v>
          </cell>
          <cell r="H119">
            <v>165000</v>
          </cell>
        </row>
        <row r="119">
          <cell r="K119">
            <v>27909</v>
          </cell>
        </row>
        <row r="120">
          <cell r="A120" t="str">
            <v>한상원</v>
          </cell>
          <cell r="B120" t="str">
            <v>삼일용역</v>
          </cell>
          <cell r="C120" t="str">
            <v>700225-1390926</v>
          </cell>
          <cell r="D120" t="str">
            <v>충청북도 괴산군 사리면 방축리 768-130</v>
          </cell>
          <cell r="E120" t="str">
            <v>국민</v>
          </cell>
          <cell r="F120" t="str">
            <v>삼일용역</v>
          </cell>
          <cell r="G120" t="str">
            <v>722125-95-102456</v>
          </cell>
          <cell r="H120">
            <v>175000</v>
          </cell>
        </row>
        <row r="121">
          <cell r="A121" t="str">
            <v>정문기</v>
          </cell>
          <cell r="B121" t="str">
            <v>삼일용역</v>
          </cell>
          <cell r="C121" t="str">
            <v>670101-1926014</v>
          </cell>
          <cell r="D121" t="str">
            <v>경기도 김포시 대곶면 대곶서로 234번길 52-16</v>
          </cell>
          <cell r="E121" t="str">
            <v>국민</v>
          </cell>
          <cell r="F121" t="str">
            <v>삼일용역</v>
          </cell>
          <cell r="G121" t="str">
            <v>722125-95-102456</v>
          </cell>
          <cell r="H121">
            <v>165000</v>
          </cell>
        </row>
        <row r="122">
          <cell r="A122" t="str">
            <v>최영수</v>
          </cell>
          <cell r="B122" t="str">
            <v>삼일용역</v>
          </cell>
          <cell r="C122" t="str">
            <v>770131-1390916</v>
          </cell>
          <cell r="D122" t="str">
            <v>증평군 증평읍 충청대로 1746,105동 102호 </v>
          </cell>
          <cell r="E122" t="str">
            <v>국민</v>
          </cell>
          <cell r="F122" t="str">
            <v>삼일용역</v>
          </cell>
          <cell r="G122" t="str">
            <v>722125-95-102456</v>
          </cell>
          <cell r="H122">
            <v>175000</v>
          </cell>
        </row>
        <row r="123">
          <cell r="A123" t="str">
            <v>이권희</v>
          </cell>
          <cell r="B123" t="str">
            <v>삼일용역</v>
          </cell>
          <cell r="C123" t="str">
            <v>600920-1390816</v>
          </cell>
          <cell r="D123" t="str">
            <v>충북 증평군 도안면 도당리 131</v>
          </cell>
          <cell r="E123" t="str">
            <v>국민</v>
          </cell>
          <cell r="F123" t="str">
            <v>삼일용역</v>
          </cell>
          <cell r="G123" t="str">
            <v>722125-95-102456</v>
          </cell>
          <cell r="H123">
            <v>165000</v>
          </cell>
        </row>
        <row r="123">
          <cell r="K123">
            <v>27906</v>
          </cell>
        </row>
        <row r="124">
          <cell r="A124" t="str">
            <v>연영수</v>
          </cell>
          <cell r="B124" t="str">
            <v>삼일용역</v>
          </cell>
          <cell r="C124" t="str">
            <v>610228-1390814</v>
          </cell>
          <cell r="D124" t="str">
            <v>충북 증평군 증평읍 진지내1길 21, 3호</v>
          </cell>
          <cell r="E124" t="str">
            <v>국민</v>
          </cell>
          <cell r="F124" t="str">
            <v>삼일용역</v>
          </cell>
          <cell r="G124" t="str">
            <v>722125-95-102456</v>
          </cell>
          <cell r="H124">
            <v>165000</v>
          </cell>
        </row>
        <row r="124">
          <cell r="K124" t="str">
            <v>27933</v>
          </cell>
        </row>
        <row r="125">
          <cell r="A125" t="str">
            <v>정규성</v>
          </cell>
          <cell r="B125" t="str">
            <v>삼일용역</v>
          </cell>
          <cell r="C125" t="str">
            <v>721023-1904418</v>
          </cell>
          <cell r="D125" t="str">
            <v>울산광역시 울주군 삼남면 서향교1길 59-9</v>
          </cell>
          <cell r="E125" t="str">
            <v>국민</v>
          </cell>
          <cell r="F125" t="str">
            <v>삼일용역</v>
          </cell>
          <cell r="G125" t="str">
            <v>722125-95-102456</v>
          </cell>
          <cell r="H125">
            <v>175000</v>
          </cell>
        </row>
        <row r="125">
          <cell r="K125">
            <v>44950</v>
          </cell>
        </row>
        <row r="126">
          <cell r="A126" t="str">
            <v>이승태</v>
          </cell>
          <cell r="B126" t="str">
            <v>삼일용역</v>
          </cell>
          <cell r="C126" t="str">
            <v>760221-1537211</v>
          </cell>
          <cell r="D126" t="str">
            <v>충북 청주시 청원구 오창읍 양청2길29-38</v>
          </cell>
          <cell r="E126" t="str">
            <v>국민</v>
          </cell>
          <cell r="F126" t="str">
            <v>삼일용역</v>
          </cell>
          <cell r="G126" t="str">
            <v>722125-95-102456</v>
          </cell>
          <cell r="H126">
            <v>165000</v>
          </cell>
        </row>
        <row r="126">
          <cell r="K126">
            <v>28115</v>
          </cell>
        </row>
        <row r="127">
          <cell r="A127" t="str">
            <v>이성길</v>
          </cell>
          <cell r="B127" t="str">
            <v>삼일용역</v>
          </cell>
          <cell r="C127" t="str">
            <v>651105-1046117</v>
          </cell>
          <cell r="D127" t="str">
            <v>경기도 안성시 원곡면 강문길 31</v>
          </cell>
          <cell r="E127" t="str">
            <v>국민</v>
          </cell>
          <cell r="F127" t="str">
            <v>삼일용역</v>
          </cell>
          <cell r="G127" t="str">
            <v>722125-95-102456</v>
          </cell>
          <cell r="H127">
            <v>180000</v>
          </cell>
        </row>
        <row r="127">
          <cell r="K127" t="str">
            <v>17555</v>
          </cell>
        </row>
        <row r="128">
          <cell r="A128" t="str">
            <v>김경선</v>
          </cell>
          <cell r="B128" t="str">
            <v>삼일용역</v>
          </cell>
          <cell r="C128" t="str">
            <v>590703-1047120</v>
          </cell>
          <cell r="D128" t="str">
            <v>경기도 화성시 떡전골로 82, 7동 725호</v>
          </cell>
          <cell r="E128" t="str">
            <v>국민</v>
          </cell>
          <cell r="F128" t="str">
            <v>삼일용역</v>
          </cell>
          <cell r="G128" t="str">
            <v>722125-95-102456</v>
          </cell>
          <cell r="H128">
            <v>185000</v>
          </cell>
        </row>
        <row r="128">
          <cell r="K128">
            <v>18412</v>
          </cell>
        </row>
        <row r="129">
          <cell r="A129" t="str">
            <v>김주현</v>
          </cell>
          <cell r="B129" t="str">
            <v>삼일용역</v>
          </cell>
          <cell r="C129" t="str">
            <v>790210-1388411</v>
          </cell>
          <cell r="D129" t="str">
            <v>충북 증평군 증평읍 초중12길 50, 203호</v>
          </cell>
          <cell r="E129" t="str">
            <v>국민</v>
          </cell>
          <cell r="F129" t="str">
            <v>삼일용역</v>
          </cell>
          <cell r="G129" t="str">
            <v>722125-95-102456</v>
          </cell>
          <cell r="H129">
            <v>185000</v>
          </cell>
        </row>
        <row r="129">
          <cell r="K129">
            <v>27939</v>
          </cell>
        </row>
        <row r="130">
          <cell r="A130" t="str">
            <v>김경민</v>
          </cell>
          <cell r="B130" t="str">
            <v>삼일용역</v>
          </cell>
          <cell r="C130" t="str">
            <v>790618-1381016</v>
          </cell>
          <cell r="D130" t="str">
            <v>충북 청주시 청원구 내수읍 은곡묵방길28, 102동 510호</v>
          </cell>
          <cell r="E130" t="str">
            <v>국민</v>
          </cell>
          <cell r="F130" t="str">
            <v>삼일용역</v>
          </cell>
          <cell r="G130" t="str">
            <v>722125-95-102456</v>
          </cell>
          <cell r="H130">
            <v>165000</v>
          </cell>
        </row>
        <row r="130">
          <cell r="K130">
            <v>28151</v>
          </cell>
        </row>
        <row r="137">
          <cell r="A137" t="str">
            <v>이강윤</v>
          </cell>
        </row>
        <row r="137">
          <cell r="C137" t="str">
            <v>580301-1524520</v>
          </cell>
          <cell r="D137" t="str">
            <v>충북 영동군 영동읍 영산로6길 18-6</v>
          </cell>
          <cell r="E137" t="str">
            <v>농협</v>
          </cell>
          <cell r="F137" t="str">
            <v>이강윤</v>
          </cell>
          <cell r="G137" t="str">
            <v>407012-52-107196</v>
          </cell>
          <cell r="H137">
            <v>270000</v>
          </cell>
          <cell r="I137" t="str">
            <v>010-4420-0758</v>
          </cell>
        </row>
        <row r="137">
          <cell r="K137">
            <v>29147</v>
          </cell>
        </row>
        <row r="138">
          <cell r="A138" t="str">
            <v>곽정관</v>
          </cell>
        </row>
        <row r="138">
          <cell r="C138" t="str">
            <v>530112-1117421</v>
          </cell>
          <cell r="D138" t="str">
            <v>충북 영동군 영동읍 금동로3길 5-9</v>
          </cell>
          <cell r="E138" t="str">
            <v>농협</v>
          </cell>
          <cell r="F138" t="str">
            <v>곽정관</v>
          </cell>
          <cell r="G138" t="str">
            <v>319-12-247113</v>
          </cell>
          <cell r="H138">
            <v>240000</v>
          </cell>
          <cell r="I138" t="str">
            <v>010-5255-9807</v>
          </cell>
        </row>
        <row r="138">
          <cell r="K138" t="str">
            <v>29138</v>
          </cell>
        </row>
        <row r="139">
          <cell r="A139" t="str">
            <v>조원제</v>
          </cell>
        </row>
        <row r="139">
          <cell r="C139" t="str">
            <v>641120-1386124</v>
          </cell>
          <cell r="D139" t="str">
            <v>충북 영동군 영동읍 부용6길 20-39</v>
          </cell>
          <cell r="E139" t="str">
            <v>농협</v>
          </cell>
          <cell r="F139" t="str">
            <v>조원제</v>
          </cell>
          <cell r="G139" t="str">
            <v>319-12-230641</v>
          </cell>
          <cell r="H139">
            <v>250000</v>
          </cell>
        </row>
        <row r="139">
          <cell r="K139">
            <v>29149</v>
          </cell>
        </row>
        <row r="140">
          <cell r="A140" t="str">
            <v>최승열</v>
          </cell>
          <cell r="B140" t="str">
            <v>보통인부</v>
          </cell>
          <cell r="C140" t="str">
            <v>620724-1648219</v>
          </cell>
          <cell r="D140" t="str">
            <v>충북 영동군 영동읍 부용7길 12,가동 201호(남경빌라)</v>
          </cell>
        </row>
        <row r="140">
          <cell r="F140" t="str">
            <v>최승열</v>
          </cell>
          <cell r="G140" t="str">
            <v>상용직</v>
          </cell>
        </row>
        <row r="140">
          <cell r="I140">
            <v>1054644595</v>
          </cell>
        </row>
        <row r="140">
          <cell r="K140" t="str">
            <v>29147</v>
          </cell>
        </row>
        <row r="141">
          <cell r="A141" t="str">
            <v>박장현</v>
          </cell>
          <cell r="B141" t="str">
            <v>보통인부</v>
          </cell>
          <cell r="C141" t="str">
            <v>690615-1386125</v>
          </cell>
          <cell r="D141" t="str">
            <v>충북 영동군 영동읍 부용7안길 25</v>
          </cell>
        </row>
        <row r="141">
          <cell r="F141" t="str">
            <v>박장현</v>
          </cell>
          <cell r="G141" t="str">
            <v>상용직</v>
          </cell>
        </row>
        <row r="141">
          <cell r="I141" t="str">
            <v>010-9405-6479</v>
          </cell>
        </row>
        <row r="141">
          <cell r="K141" t="str">
            <v>29157</v>
          </cell>
        </row>
        <row r="142">
          <cell r="A142" t="str">
            <v>박래일</v>
          </cell>
        </row>
        <row r="142">
          <cell r="C142" t="str">
            <v>590108-1386126</v>
          </cell>
          <cell r="D142" t="str">
            <v>충북 영동군 영동읍 영산로7길 2, 가동 106호 (양지연립)</v>
          </cell>
          <cell r="E142" t="str">
            <v>농협</v>
          </cell>
          <cell r="F142" t="str">
            <v>박래일</v>
          </cell>
          <cell r="G142" t="str">
            <v>356-0895-8530-93</v>
          </cell>
          <cell r="H142">
            <v>150000</v>
          </cell>
          <cell r="I142" t="str">
            <v>010-4650-3480</v>
          </cell>
        </row>
        <row r="142">
          <cell r="K142" t="str">
            <v>29155</v>
          </cell>
        </row>
        <row r="143">
          <cell r="A143" t="str">
            <v>박범해</v>
          </cell>
        </row>
        <row r="143">
          <cell r="C143" t="str">
            <v>660105-1386714</v>
          </cell>
          <cell r="D143" t="str">
            <v>충북 영동군 양강면 남전2안길 4-17 (남전리 272)</v>
          </cell>
          <cell r="E143" t="str">
            <v>농협</v>
          </cell>
          <cell r="F143" t="str">
            <v>박범해</v>
          </cell>
          <cell r="G143" t="str">
            <v>356-1071-0591-83</v>
          </cell>
          <cell r="H143">
            <v>150000</v>
          </cell>
          <cell r="I143" t="str">
            <v>010-6356-5898</v>
          </cell>
        </row>
        <row r="143">
          <cell r="K143" t="str">
            <v>29155</v>
          </cell>
        </row>
        <row r="144">
          <cell r="A144" t="str">
            <v>이명철</v>
          </cell>
        </row>
        <row r="144">
          <cell r="C144" t="str">
            <v>000329-3691911</v>
          </cell>
          <cell r="D144" t="str">
            <v>충북 제천시 제천북로1길 75 (왕암동)</v>
          </cell>
          <cell r="E144" t="str">
            <v>농협</v>
          </cell>
          <cell r="F144" t="str">
            <v>이명철</v>
          </cell>
          <cell r="G144" t="str">
            <v>302-1531-6143-71</v>
          </cell>
          <cell r="H144">
            <v>150000</v>
          </cell>
          <cell r="I144" t="str">
            <v>010-5301-8775</v>
          </cell>
        </row>
        <row r="144">
          <cell r="K144" t="str">
            <v>29129</v>
          </cell>
        </row>
        <row r="145">
          <cell r="A145" t="str">
            <v>배진식</v>
          </cell>
        </row>
        <row r="145">
          <cell r="C145" t="str">
            <v>540910-1386711</v>
          </cell>
          <cell r="D145" t="str">
            <v>충북 영동군 양강면 국촌길16-11</v>
          </cell>
          <cell r="E145" t="str">
            <v>농협</v>
          </cell>
          <cell r="F145" t="str">
            <v>배진식</v>
          </cell>
          <cell r="G145" t="str">
            <v>069-01-106491</v>
          </cell>
          <cell r="H145">
            <v>150000</v>
          </cell>
          <cell r="I145" t="str">
            <v>010-4476-3636</v>
          </cell>
        </row>
        <row r="145">
          <cell r="K145" t="str">
            <v>29157</v>
          </cell>
        </row>
        <row r="146">
          <cell r="A146" t="str">
            <v>박헌태</v>
          </cell>
        </row>
        <row r="146">
          <cell r="C146" t="str">
            <v>551120-1455311</v>
          </cell>
          <cell r="D146" t="str">
            <v>충북 영동군 영동읍 눈어치2로 22</v>
          </cell>
          <cell r="E146" t="str">
            <v>농협</v>
          </cell>
          <cell r="F146" t="str">
            <v>박헌태</v>
          </cell>
          <cell r="G146" t="str">
            <v>356-0142-0083-23</v>
          </cell>
          <cell r="H146">
            <v>150000</v>
          </cell>
          <cell r="I146" t="str">
            <v>010-5450-0950</v>
          </cell>
        </row>
        <row r="146">
          <cell r="K146" t="str">
            <v>29140</v>
          </cell>
        </row>
        <row r="147">
          <cell r="A147" t="str">
            <v>민백규</v>
          </cell>
        </row>
        <row r="147">
          <cell r="C147" t="str">
            <v>600810-1386721</v>
          </cell>
          <cell r="D147" t="str">
            <v>충북 영동군 양강면 내만길 178-2</v>
          </cell>
          <cell r="E147" t="str">
            <v>농협</v>
          </cell>
          <cell r="F147" t="str">
            <v>민백규</v>
          </cell>
          <cell r="G147" t="str">
            <v>453060-52-207611</v>
          </cell>
          <cell r="H147">
            <v>150000</v>
          </cell>
          <cell r="I147" t="str">
            <v>010-7107-2693</v>
          </cell>
        </row>
        <row r="147">
          <cell r="K147" t="str">
            <v>37274</v>
          </cell>
        </row>
        <row r="148">
          <cell r="A148" t="str">
            <v>민헌기</v>
          </cell>
        </row>
        <row r="148">
          <cell r="C148" t="str">
            <v>601219-1386711</v>
          </cell>
          <cell r="D148" t="str">
            <v>충북 영동군 양강면 내만길 173 (만계리 156-4)</v>
          </cell>
          <cell r="E148" t="str">
            <v>농협</v>
          </cell>
          <cell r="F148" t="str">
            <v>민헌기</v>
          </cell>
          <cell r="G148" t="str">
            <v>352-0293-9952-13</v>
          </cell>
          <cell r="H148">
            <v>150000</v>
          </cell>
          <cell r="I148" t="str">
            <v>010-5338-5196</v>
          </cell>
        </row>
        <row r="148">
          <cell r="K148" t="str">
            <v>27116</v>
          </cell>
        </row>
        <row r="149">
          <cell r="A149" t="str">
            <v>박상복</v>
          </cell>
        </row>
        <row r="149">
          <cell r="C149" t="str">
            <v>800702-1386911</v>
          </cell>
          <cell r="D149" t="str">
            <v>충북 영동군 영동읍 동정리143</v>
          </cell>
          <cell r="E149" t="str">
            <v>중소기업</v>
          </cell>
          <cell r="F149" t="str">
            <v>박상복</v>
          </cell>
          <cell r="G149" t="str">
            <v>186-041383-01-012</v>
          </cell>
          <cell r="H149">
            <v>150000</v>
          </cell>
          <cell r="I149" t="str">
            <v>010-8597-4428</v>
          </cell>
        </row>
        <row r="149">
          <cell r="K149" t="str">
            <v>29140</v>
          </cell>
        </row>
        <row r="150">
          <cell r="A150" t="str">
            <v>황동주</v>
          </cell>
        </row>
        <row r="150">
          <cell r="C150" t="str">
            <v>571013-1805110</v>
          </cell>
          <cell r="D150" t="str">
            <v>경상북도 상주시 모동면 수봉리 546 </v>
          </cell>
          <cell r="E150" t="str">
            <v>우체국</v>
          </cell>
          <cell r="F150" t="str">
            <v>황동주</v>
          </cell>
          <cell r="G150" t="str">
            <v>701029-02-013954</v>
          </cell>
          <cell r="H150">
            <v>150000</v>
          </cell>
          <cell r="I150" t="str">
            <v>010-3432-0395</v>
          </cell>
        </row>
        <row r="150">
          <cell r="K150" t="str">
            <v>10501</v>
          </cell>
        </row>
        <row r="151">
          <cell r="A151" t="str">
            <v>이병문</v>
          </cell>
        </row>
        <row r="151">
          <cell r="C151" t="str">
            <v>570919-1401027</v>
          </cell>
          <cell r="D151" t="str">
            <v>충북 영동군 영동읍 동정리 143</v>
          </cell>
          <cell r="E151" t="str">
            <v>농협</v>
          </cell>
          <cell r="F151" t="str">
            <v>이병문</v>
          </cell>
          <cell r="G151" t="str">
            <v>302-0987-1761-21</v>
          </cell>
          <cell r="H151">
            <v>150000</v>
          </cell>
          <cell r="I151" t="str">
            <v>010-8975-6129</v>
          </cell>
        </row>
        <row r="151">
          <cell r="K151" t="str">
            <v>34516</v>
          </cell>
        </row>
        <row r="152">
          <cell r="A152" t="str">
            <v>정찬옥</v>
          </cell>
        </row>
        <row r="152">
          <cell r="C152" t="str">
            <v>610512-2328134</v>
          </cell>
          <cell r="D152" t="str">
            <v>대전광역시 동구 백룡로 35-10</v>
          </cell>
          <cell r="E152" t="str">
            <v>새마을</v>
          </cell>
          <cell r="F152" t="str">
            <v>정찬옥</v>
          </cell>
          <cell r="G152" t="str">
            <v>9002-1563-1485-9</v>
          </cell>
          <cell r="H152">
            <v>220000</v>
          </cell>
        </row>
        <row r="152">
          <cell r="K152" t="str">
            <v>29155</v>
          </cell>
        </row>
        <row r="153">
          <cell r="A153" t="str">
            <v>이창우</v>
          </cell>
        </row>
        <row r="153">
          <cell r="C153" t="str">
            <v>670620-1387124</v>
          </cell>
          <cell r="D153" t="str">
            <v>충북 영동군 심천면 지계길 113</v>
          </cell>
          <cell r="E153" t="str">
            <v>농협</v>
          </cell>
          <cell r="F153" t="str">
            <v>이창우</v>
          </cell>
          <cell r="G153" t="str">
            <v>4070-52-014063</v>
          </cell>
          <cell r="H153">
            <v>150000</v>
          </cell>
        </row>
        <row r="153">
          <cell r="K153" t="str">
            <v>29101</v>
          </cell>
        </row>
        <row r="154">
          <cell r="A154" t="str">
            <v>김환배</v>
          </cell>
        </row>
        <row r="154">
          <cell r="C154" t="str">
            <v>530810-1057646</v>
          </cell>
          <cell r="D154" t="str">
            <v>충북 영동군 양강면 남전2안길 4-20</v>
          </cell>
          <cell r="E154" t="str">
            <v>농협</v>
          </cell>
          <cell r="F154" t="str">
            <v>김환배</v>
          </cell>
          <cell r="G154" t="str">
            <v>352-0532-0302-03</v>
          </cell>
          <cell r="H154">
            <v>150000</v>
          </cell>
          <cell r="I154" t="str">
            <v>010-5326-2934</v>
          </cell>
        </row>
        <row r="154">
          <cell r="K154" t="str">
            <v>29139</v>
          </cell>
        </row>
        <row r="155">
          <cell r="A155" t="str">
            <v>정해성</v>
          </cell>
        </row>
        <row r="155">
          <cell r="C155" t="str">
            <v>600611-1453511</v>
          </cell>
          <cell r="D155" t="str">
            <v>충북 영동군 심천면 약목1길 25</v>
          </cell>
          <cell r="E155" t="str">
            <v>농협</v>
          </cell>
        </row>
        <row r="155">
          <cell r="H155">
            <v>150000</v>
          </cell>
          <cell r="I155" t="str">
            <v>010-3475-4236</v>
          </cell>
        </row>
        <row r="155">
          <cell r="K155" t="str">
            <v>29139</v>
          </cell>
        </row>
        <row r="156">
          <cell r="A156" t="str">
            <v>엄종섭</v>
          </cell>
        </row>
        <row r="156">
          <cell r="C156" t="str">
            <v>660719-1522231</v>
          </cell>
          <cell r="D156" t="str">
            <v>충북 영동군 용산면 율리4길 18-8</v>
          </cell>
          <cell r="E156" t="str">
            <v>농협</v>
          </cell>
          <cell r="F156" t="str">
            <v>엄종섭</v>
          </cell>
          <cell r="G156" t="str">
            <v>352-0772-2516-93</v>
          </cell>
          <cell r="H156">
            <v>150000</v>
          </cell>
          <cell r="I156" t="str">
            <v>010-2031-1002</v>
          </cell>
        </row>
        <row r="156">
          <cell r="K156" t="str">
            <v>29165</v>
          </cell>
        </row>
        <row r="157">
          <cell r="A157" t="str">
            <v>정구목</v>
          </cell>
        </row>
        <row r="157">
          <cell r="C157" t="str">
            <v>601005-1386727</v>
          </cell>
          <cell r="D157" t="str">
            <v>충북 영동군 영동읍 구교로 32-7, 307호 (대성@)</v>
          </cell>
          <cell r="E157" t="str">
            <v>농협</v>
          </cell>
          <cell r="F157" t="str">
            <v>정구목</v>
          </cell>
          <cell r="G157" t="str">
            <v>301-0283-3279-11</v>
          </cell>
          <cell r="H157">
            <v>150000</v>
          </cell>
        </row>
        <row r="157">
          <cell r="K157" t="str">
            <v>29155</v>
          </cell>
        </row>
        <row r="158">
          <cell r="A158" t="str">
            <v>전근정</v>
          </cell>
        </row>
        <row r="158">
          <cell r="C158" t="str">
            <v>721105-1386912</v>
          </cell>
          <cell r="D158" t="str">
            <v>충북 영동군 학산면 모정길 78 (황산리 843)</v>
          </cell>
          <cell r="E158" t="str">
            <v>농협</v>
          </cell>
          <cell r="F158" t="str">
            <v>전근정</v>
          </cell>
          <cell r="G158" t="str">
            <v>237824-52-034278</v>
          </cell>
          <cell r="H158">
            <v>150000</v>
          </cell>
          <cell r="I158" t="str">
            <v>010-4754-1141</v>
          </cell>
        </row>
        <row r="158">
          <cell r="K158" t="str">
            <v>29165</v>
          </cell>
        </row>
        <row r="159">
          <cell r="A159" t="str">
            <v>장갑진</v>
          </cell>
        </row>
        <row r="159">
          <cell r="C159" t="str">
            <v>610210-1386710</v>
          </cell>
          <cell r="D159" t="str">
            <v>충북 영동군 양강면 신기1길 21</v>
          </cell>
          <cell r="E159" t="str">
            <v>농협</v>
          </cell>
          <cell r="F159" t="str">
            <v>장갑진</v>
          </cell>
          <cell r="G159" t="str">
            <v>407023-51-026910</v>
          </cell>
          <cell r="H159">
            <v>150000</v>
          </cell>
        </row>
        <row r="159">
          <cell r="K159" t="str">
            <v>29146</v>
          </cell>
        </row>
        <row r="160">
          <cell r="A160" t="str">
            <v>박성안</v>
          </cell>
        </row>
        <row r="160">
          <cell r="C160" t="str">
            <v>570827-1386125</v>
          </cell>
          <cell r="D160" t="str">
            <v>충북 충북 영동군 영동읍 가리 755-2</v>
          </cell>
          <cell r="E160" t="str">
            <v>농협</v>
          </cell>
          <cell r="F160" t="str">
            <v>박성안</v>
          </cell>
          <cell r="G160" t="str">
            <v>407012-52-048265</v>
          </cell>
          <cell r="H160">
            <v>205000</v>
          </cell>
        </row>
        <row r="160">
          <cell r="K160" t="str">
            <v>29141</v>
          </cell>
        </row>
        <row r="161">
          <cell r="A161" t="str">
            <v>김이수</v>
          </cell>
        </row>
        <row r="161">
          <cell r="C161" t="str">
            <v>500226-1386711</v>
          </cell>
          <cell r="D161" t="str">
            <v>충북 영동군 영동읍 영동천1길 32-1</v>
          </cell>
          <cell r="E161" t="str">
            <v>농협</v>
          </cell>
          <cell r="F161" t="str">
            <v>김이수</v>
          </cell>
          <cell r="G161" t="str">
            <v>356-0817-4633-33</v>
          </cell>
          <cell r="H161">
            <v>160000</v>
          </cell>
          <cell r="I161" t="str">
            <v>010-5485-1909</v>
          </cell>
        </row>
        <row r="161">
          <cell r="K161" t="str">
            <v>29141</v>
          </cell>
        </row>
        <row r="162">
          <cell r="A162" t="str">
            <v>김양수</v>
          </cell>
        </row>
        <row r="162">
          <cell r="C162" t="str">
            <v>610205-2400329</v>
          </cell>
          <cell r="D162" t="str">
            <v>충북 영동군 영동읍 회동로 156-20</v>
          </cell>
          <cell r="E162" t="str">
            <v>농협</v>
          </cell>
          <cell r="F162" t="str">
            <v>김양수</v>
          </cell>
          <cell r="G162" t="str">
            <v>356-1603-8569-73</v>
          </cell>
          <cell r="H162">
            <v>150000</v>
          </cell>
          <cell r="I162" t="str">
            <v>010-4034-9739</v>
          </cell>
        </row>
        <row r="162">
          <cell r="K162" t="str">
            <v>34513</v>
          </cell>
        </row>
        <row r="163">
          <cell r="A163" t="str">
            <v>최순자</v>
          </cell>
        </row>
        <row r="163">
          <cell r="C163" t="str">
            <v>610604-2382923</v>
          </cell>
          <cell r="D163" t="str">
            <v>대전광역시 동구 충정로 136, 1102동 2006호 (가양동, 대주파크빌)</v>
          </cell>
          <cell r="E163" t="str">
            <v>농협</v>
          </cell>
          <cell r="F163" t="str">
            <v>최순자</v>
          </cell>
          <cell r="G163" t="str">
            <v>356-1585-3805-03</v>
          </cell>
          <cell r="H163">
            <v>150000</v>
          </cell>
          <cell r="I163" t="str">
            <v>010-5093-9072</v>
          </cell>
        </row>
        <row r="163">
          <cell r="K163" t="str">
            <v>03419</v>
          </cell>
        </row>
        <row r="164">
          <cell r="A164" t="str">
            <v>최순옥</v>
          </cell>
        </row>
        <row r="164">
          <cell r="C164" t="str">
            <v>661110-2382929</v>
          </cell>
          <cell r="D164" t="str">
            <v>대전광역시 동구 성동로7번길 58-11, 1동 107호 (자양동, 임광아파트)</v>
          </cell>
          <cell r="E164" t="str">
            <v>농협</v>
          </cell>
          <cell r="F164" t="str">
            <v>최순옥</v>
          </cell>
          <cell r="G164" t="str">
            <v>352-2099-8874-83</v>
          </cell>
          <cell r="H164">
            <v>150000</v>
          </cell>
          <cell r="I164" t="str">
            <v>010-8770-7249</v>
          </cell>
        </row>
        <row r="164">
          <cell r="K164" t="str">
            <v>29155</v>
          </cell>
        </row>
        <row r="165">
          <cell r="A165" t="str">
            <v>하재주</v>
          </cell>
        </row>
        <row r="165">
          <cell r="C165" t="str">
            <v>571020-1481929</v>
          </cell>
          <cell r="D165" t="str">
            <v>충북 영동군 양강면 묘동3길 31-3</v>
          </cell>
          <cell r="E165" t="str">
            <v>농협</v>
          </cell>
          <cell r="F165" t="str">
            <v>하재주</v>
          </cell>
          <cell r="G165" t="str">
            <v>356-0367-2587-73</v>
          </cell>
          <cell r="H165">
            <v>150000</v>
          </cell>
          <cell r="I165" t="str">
            <v>010-8770-7249</v>
          </cell>
        </row>
        <row r="165">
          <cell r="K165" t="str">
            <v>03419</v>
          </cell>
        </row>
        <row r="166">
          <cell r="A166" t="str">
            <v>전덕하</v>
          </cell>
        </row>
        <row r="166">
          <cell r="C166" t="str">
            <v>491107-1448813</v>
          </cell>
          <cell r="D166" t="str">
            <v>충북 영동군 양강면 국촌1길 6-6</v>
          </cell>
          <cell r="E166" t="str">
            <v>농협</v>
          </cell>
          <cell r="F166" t="str">
            <v>전덕하</v>
          </cell>
          <cell r="G166" t="str">
            <v>356-0791-8136-43</v>
          </cell>
          <cell r="H166">
            <v>150000</v>
          </cell>
        </row>
        <row r="166">
          <cell r="K166" t="str">
            <v>29156</v>
          </cell>
        </row>
        <row r="167">
          <cell r="A167" t="str">
            <v>김경옥</v>
          </cell>
        </row>
        <row r="167">
          <cell r="C167" t="str">
            <v>650424-2785412</v>
          </cell>
          <cell r="D167" t="str">
            <v>충북 영동군 영동읍 동정로 47, 103동 304호(영동가마실휴먼시아)</v>
          </cell>
        </row>
        <row r="167">
          <cell r="H167">
            <v>150000</v>
          </cell>
          <cell r="I167" t="str">
            <v>010-5483-0500</v>
          </cell>
        </row>
        <row r="167">
          <cell r="K167" t="str">
            <v>29156</v>
          </cell>
        </row>
        <row r="168">
          <cell r="A168" t="str">
            <v>임종관</v>
          </cell>
        </row>
        <row r="168">
          <cell r="C168" t="str">
            <v>660123-1386716</v>
          </cell>
          <cell r="D168" t="str">
            <v>충북 영동군 양강면 국촌1길10</v>
          </cell>
          <cell r="E168" t="str">
            <v>농협</v>
          </cell>
          <cell r="F168" t="str">
            <v>임종관</v>
          </cell>
          <cell r="G168" t="str">
            <v>352-1734-5415-23</v>
          </cell>
          <cell r="H168">
            <v>150000</v>
          </cell>
          <cell r="I168" t="str">
            <v>010-3039-3737</v>
          </cell>
        </row>
        <row r="168">
          <cell r="K168">
            <v>29142</v>
          </cell>
        </row>
        <row r="169">
          <cell r="A169" t="str">
            <v>양희옥</v>
          </cell>
        </row>
        <row r="169">
          <cell r="C169" t="str">
            <v>640320-2386922</v>
          </cell>
          <cell r="D169" t="str">
            <v>충북 영동군 양강면 양정리116-6</v>
          </cell>
          <cell r="E169" t="str">
            <v>농협</v>
          </cell>
          <cell r="F169" t="str">
            <v>양희옥</v>
          </cell>
          <cell r="G169" t="str">
            <v>407023-56-010784</v>
          </cell>
          <cell r="H169">
            <v>150000</v>
          </cell>
          <cell r="I169" t="str">
            <v>010-8982-1150</v>
          </cell>
        </row>
        <row r="169">
          <cell r="K169" t="str">
            <v>370811</v>
          </cell>
        </row>
        <row r="170">
          <cell r="A170" t="str">
            <v>박창선</v>
          </cell>
        </row>
        <row r="170">
          <cell r="C170" t="str">
            <v>940629-1386117</v>
          </cell>
          <cell r="D170" t="str">
            <v>충북 영동군 영동읍 새심길 18, 607호(조한드림플러스아파트)</v>
          </cell>
          <cell r="E170" t="str">
            <v>농협</v>
          </cell>
          <cell r="F170" t="str">
            <v>박창선</v>
          </cell>
          <cell r="G170" t="str">
            <v>302-8982-1150-11</v>
          </cell>
          <cell r="H170">
            <v>170000</v>
          </cell>
          <cell r="I170" t="str">
            <v>010-8982-1150</v>
          </cell>
        </row>
        <row r="170">
          <cell r="K170">
            <v>29142</v>
          </cell>
        </row>
        <row r="171">
          <cell r="A171" t="str">
            <v>도창문</v>
          </cell>
        </row>
        <row r="171">
          <cell r="C171" t="str">
            <v>651025-1652425</v>
          </cell>
          <cell r="D171" t="str">
            <v>대전광역시 동구 우암로 61-12 (삼성동)</v>
          </cell>
          <cell r="E171" t="str">
            <v>농협</v>
          </cell>
          <cell r="F171" t="str">
            <v>도창문</v>
          </cell>
          <cell r="G171" t="str">
            <v>352-0058-0889-83</v>
          </cell>
          <cell r="H171">
            <v>250000</v>
          </cell>
          <cell r="I171" t="str">
            <v>010-8380-1900</v>
          </cell>
        </row>
        <row r="171">
          <cell r="K171" t="str">
            <v>34619</v>
          </cell>
        </row>
        <row r="172">
          <cell r="A172" t="str">
            <v>김경희</v>
          </cell>
        </row>
        <row r="172">
          <cell r="C172" t="str">
            <v>761205-2386722</v>
          </cell>
          <cell r="D172" t="str">
            <v>서울특별시 은평구 은평로21가길 15-9, 201호</v>
          </cell>
          <cell r="E172" t="str">
            <v>농협</v>
          </cell>
          <cell r="F172" t="str">
            <v>김경희</v>
          </cell>
          <cell r="G172" t="str">
            <v>356-1415-1420-63</v>
          </cell>
          <cell r="H172">
            <v>150000</v>
          </cell>
        </row>
        <row r="172">
          <cell r="K172" t="str">
            <v>03381</v>
          </cell>
        </row>
        <row r="173">
          <cell r="A173" t="str">
            <v>김판수</v>
          </cell>
        </row>
        <row r="173">
          <cell r="C173" t="str">
            <v>720402-1798516</v>
          </cell>
          <cell r="D173" t="str">
            <v>경북 칠곡군 북삼읍 인강9길 10, 101동 1212호(로얄아파트)</v>
          </cell>
          <cell r="E173" t="str">
            <v>농협</v>
          </cell>
          <cell r="F173" t="str">
            <v>김판수</v>
          </cell>
          <cell r="G173" t="str">
            <v>735089-56-010696</v>
          </cell>
          <cell r="H173">
            <v>150000</v>
          </cell>
          <cell r="I173" t="str">
            <v>010-7520-7708</v>
          </cell>
        </row>
        <row r="173">
          <cell r="K173">
            <v>39810</v>
          </cell>
        </row>
        <row r="174">
          <cell r="A174" t="str">
            <v>강희동</v>
          </cell>
        </row>
        <row r="174">
          <cell r="C174" t="str">
            <v>610226-1386139</v>
          </cell>
          <cell r="D174" t="str">
            <v>대전광역시 중구 보문산로77번길 31-8, (산성동)</v>
          </cell>
        </row>
        <row r="174">
          <cell r="H174">
            <v>170000</v>
          </cell>
        </row>
        <row r="175">
          <cell r="A175" t="str">
            <v>장공섭</v>
          </cell>
        </row>
        <row r="175">
          <cell r="C175" t="str">
            <v>620729-1800210</v>
          </cell>
          <cell r="D175" t="str">
            <v>경상북도 구미시 형곡동 184 대원로얄타운 103호</v>
          </cell>
          <cell r="E175" t="str">
            <v>새마을금고</v>
          </cell>
          <cell r="F175" t="str">
            <v>장공섭</v>
          </cell>
          <cell r="G175" t="str">
            <v>5515-10-012951-5</v>
          </cell>
          <cell r="H175">
            <v>170000</v>
          </cell>
          <cell r="I175" t="str">
            <v>010-2065-8977</v>
          </cell>
        </row>
        <row r="176">
          <cell r="A176" t="str">
            <v>전민석</v>
          </cell>
        </row>
        <row r="176">
          <cell r="C176" t="str">
            <v>671205-1057614</v>
          </cell>
          <cell r="D176" t="str">
            <v>광주광역시 북구 금호로 28(운암동)</v>
          </cell>
          <cell r="E176" t="str">
            <v>농협</v>
          </cell>
          <cell r="F176" t="str">
            <v>전민석</v>
          </cell>
          <cell r="G176" t="str">
            <v>356-1190-0406-13</v>
          </cell>
          <cell r="H176">
            <v>150000</v>
          </cell>
        </row>
        <row r="177">
          <cell r="A177" t="str">
            <v>민병철</v>
          </cell>
        </row>
        <row r="177">
          <cell r="C177" t="str">
            <v>820918-1449412</v>
          </cell>
          <cell r="D177" t="str">
            <v>대전광역시 중구 산성동 96-4 동양빌라트 301호</v>
          </cell>
        </row>
        <row r="177">
          <cell r="H177">
            <v>150000</v>
          </cell>
        </row>
        <row r="178">
          <cell r="A178" t="str">
            <v>이의성</v>
          </cell>
        </row>
        <row r="178">
          <cell r="C178" t="str">
            <v>820103-1456017</v>
          </cell>
          <cell r="D178" t="str">
            <v>대전광역시 중구 대둔산로 364</v>
          </cell>
        </row>
        <row r="178">
          <cell r="H178">
            <v>200000</v>
          </cell>
        </row>
        <row r="180">
          <cell r="A180" t="str">
            <v>송석운</v>
          </cell>
        </row>
        <row r="180">
          <cell r="C180" t="str">
            <v>580819-1522921</v>
          </cell>
          <cell r="D180" t="str">
            <v>대전광역시 서구 둔산로 223, 2동 1405호(청솔)</v>
          </cell>
          <cell r="E180" t="str">
            <v>농협</v>
          </cell>
          <cell r="F180" t="str">
            <v>송석운</v>
          </cell>
          <cell r="G180" t="str">
            <v>356-1004-4757-53</v>
          </cell>
          <cell r="H180">
            <v>300000</v>
          </cell>
        </row>
        <row r="181">
          <cell r="A181" t="str">
            <v>송민기</v>
          </cell>
        </row>
        <row r="181">
          <cell r="C181" t="str">
            <v>740424-1522918</v>
          </cell>
          <cell r="D181" t="str">
            <v>대전광역시 동구 가양동 308-18</v>
          </cell>
          <cell r="E181" t="str">
            <v>하나</v>
          </cell>
          <cell r="F181" t="str">
            <v>송민기</v>
          </cell>
          <cell r="G181" t="str">
            <v>653-910309-35507</v>
          </cell>
          <cell r="H181">
            <v>350000</v>
          </cell>
        </row>
        <row r="184">
          <cell r="A184" t="str">
            <v>박병희</v>
          </cell>
        </row>
        <row r="184">
          <cell r="C184" t="str">
            <v>680210-1648718</v>
          </cell>
          <cell r="D184" t="str">
            <v>광주시 남구 군분로 77번길 26 명지로드힐 201동 1003호</v>
          </cell>
          <cell r="E184" t="str">
            <v>농협</v>
          </cell>
          <cell r="F184" t="str">
            <v>박형희</v>
          </cell>
          <cell r="G184" t="str">
            <v>356-0865-9462-13</v>
          </cell>
          <cell r="H184">
            <v>330000</v>
          </cell>
          <cell r="I184" t="str">
            <v>010-6293-9095</v>
          </cell>
        </row>
        <row r="185">
          <cell r="A185" t="str">
            <v>이춘재</v>
          </cell>
        </row>
        <row r="185">
          <cell r="C185" t="str">
            <v>740402-1639320</v>
          </cell>
          <cell r="D185" t="str">
            <v>광주시 광산구 수등로 123번길 21 호반아파트 102동 503호</v>
          </cell>
          <cell r="E185" t="str">
            <v>광주</v>
          </cell>
          <cell r="F185" t="str">
            <v>이춘재</v>
          </cell>
          <cell r="G185" t="str">
            <v>016-121-541417</v>
          </cell>
          <cell r="H185">
            <v>250000</v>
          </cell>
          <cell r="I185" t="str">
            <v>010-3641-8104</v>
          </cell>
        </row>
        <row r="186">
          <cell r="A186" t="str">
            <v>최승원</v>
          </cell>
        </row>
        <row r="186">
          <cell r="C186" t="str">
            <v>671004-1559218</v>
          </cell>
          <cell r="D186" t="str">
            <v>광주기 북구 용봉동 1242-1 호반아파트 101동 103호</v>
          </cell>
          <cell r="E186" t="str">
            <v>하나</v>
          </cell>
          <cell r="F186" t="str">
            <v>최승원</v>
          </cell>
          <cell r="G186" t="str">
            <v>126-890893-28807</v>
          </cell>
          <cell r="H186">
            <v>250000</v>
          </cell>
          <cell r="I186" t="str">
            <v>010-6653-6903</v>
          </cell>
        </row>
        <row r="187">
          <cell r="A187" t="str">
            <v>최재혁</v>
          </cell>
        </row>
        <row r="187">
          <cell r="C187" t="str">
            <v>750612-1095412</v>
          </cell>
          <cell r="D187" t="str">
            <v>부산시 영도구 봉래2동 112 미광아파트 103동 1006호</v>
          </cell>
          <cell r="E187" t="str">
            <v>우체국</v>
          </cell>
          <cell r="F187" t="str">
            <v>최재혁</v>
          </cell>
          <cell r="G187" t="str">
            <v>502872-02-334473</v>
          </cell>
          <cell r="H187">
            <v>250000</v>
          </cell>
          <cell r="I187" t="str">
            <v>010-2117-0480</v>
          </cell>
        </row>
        <row r="188">
          <cell r="A188" t="str">
            <v>정환몽</v>
          </cell>
        </row>
        <row r="188">
          <cell r="C188" t="str">
            <v>630824-1558411</v>
          </cell>
          <cell r="D188" t="str">
            <v>광주시 북구 풍향동 598-19</v>
          </cell>
          <cell r="E188" t="str">
            <v>새마을</v>
          </cell>
          <cell r="F188" t="str">
            <v>정환몽</v>
          </cell>
          <cell r="G188" t="str">
            <v>9002-1781-35808</v>
          </cell>
          <cell r="H188">
            <v>290000</v>
          </cell>
          <cell r="I188" t="str">
            <v>010-3192-1283</v>
          </cell>
        </row>
        <row r="189">
          <cell r="A189" t="str">
            <v>이성진</v>
          </cell>
        </row>
        <row r="189">
          <cell r="C189" t="str">
            <v>700910-1630517</v>
          </cell>
          <cell r="D189" t="str">
            <v>광주시 광산구 오룡동길 127-29</v>
          </cell>
          <cell r="E189" t="str">
            <v>케이뱅크</v>
          </cell>
          <cell r="F189" t="str">
            <v>이성진</v>
          </cell>
          <cell r="G189" t="str">
            <v>100-135-116290</v>
          </cell>
          <cell r="H189">
            <v>250000</v>
          </cell>
          <cell r="I189" t="str">
            <v>010-3643-3773</v>
          </cell>
        </row>
        <row r="190">
          <cell r="A190" t="str">
            <v>이한빛</v>
          </cell>
        </row>
        <row r="190">
          <cell r="C190" t="str">
            <v>990612-1616821</v>
          </cell>
          <cell r="D190" t="str">
            <v>광주광역시 서구 상무오월로15번길 28-18</v>
          </cell>
          <cell r="E190" t="str">
            <v>케이뱅크</v>
          </cell>
          <cell r="F190" t="str">
            <v>이한빛</v>
          </cell>
          <cell r="G190" t="str">
            <v>100-129-100145</v>
          </cell>
          <cell r="H190">
            <v>250000</v>
          </cell>
          <cell r="I190" t="str">
            <v>010-5728-2332</v>
          </cell>
        </row>
        <row r="191">
          <cell r="A191" t="str">
            <v>강성철</v>
          </cell>
        </row>
        <row r="191">
          <cell r="C191" t="str">
            <v>001012-3561712</v>
          </cell>
          <cell r="D191" t="str">
            <v>광주광역시 서구 상무오월로15번길 28-18</v>
          </cell>
          <cell r="E191" t="str">
            <v>농협</v>
          </cell>
          <cell r="F191" t="str">
            <v>강성철</v>
          </cell>
          <cell r="G191">
            <v>3560204427083</v>
          </cell>
          <cell r="H191">
            <v>250000</v>
          </cell>
          <cell r="I191" t="str">
            <v>010-5759-7660</v>
          </cell>
        </row>
        <row r="193">
          <cell r="A193" t="str">
            <v>장경훈</v>
          </cell>
        </row>
        <row r="193">
          <cell r="C193" t="str">
            <v>540710-1332822</v>
          </cell>
          <cell r="D193" t="str">
            <v>충북 청주시 서원구 수곡로27번길 40, (수곡동)</v>
          </cell>
        </row>
        <row r="193">
          <cell r="H193">
            <v>270000</v>
          </cell>
        </row>
        <row r="194">
          <cell r="A194" t="str">
            <v>황지화</v>
          </cell>
        </row>
        <row r="194">
          <cell r="C194" t="str">
            <v>570814-2221110</v>
          </cell>
          <cell r="D194" t="str">
            <v>충북 청주시 서원구 수곡로27번길 40, (수곡동)</v>
          </cell>
        </row>
        <row r="194">
          <cell r="H194">
            <v>150000</v>
          </cell>
        </row>
        <row r="196">
          <cell r="A196" t="str">
            <v>곽영식</v>
          </cell>
        </row>
        <row r="196">
          <cell r="C196" t="str">
            <v>680119-1478919</v>
          </cell>
          <cell r="D196" t="str">
            <v>충북 영동군 영동읍 영산로3길 20</v>
          </cell>
        </row>
        <row r="196">
          <cell r="H196">
            <v>250000</v>
          </cell>
          <cell r="I196" t="str">
            <v>010-5431-6786</v>
          </cell>
        </row>
        <row r="197">
          <cell r="A197" t="str">
            <v>허대성</v>
          </cell>
        </row>
        <row r="197">
          <cell r="C197" t="str">
            <v>601023-1386121</v>
          </cell>
          <cell r="D197" t="str">
            <v>충북 영동군 영동읍 동정로47</v>
          </cell>
        </row>
        <row r="197">
          <cell r="H197">
            <v>150000</v>
          </cell>
        </row>
        <row r="198">
          <cell r="A198" t="str">
            <v>고병규</v>
          </cell>
        </row>
        <row r="198">
          <cell r="C198" t="str">
            <v>831017-1408211</v>
          </cell>
          <cell r="D198" t="str">
            <v>대전광역시 중구 문화동 644-5</v>
          </cell>
        </row>
        <row r="198">
          <cell r="H198">
            <v>150000</v>
          </cell>
        </row>
        <row r="199">
          <cell r="A199" t="str">
            <v>김근호</v>
          </cell>
        </row>
        <row r="199">
          <cell r="C199" t="str">
            <v>831111-1400419</v>
          </cell>
          <cell r="D199" t="str">
            <v>대전광역시 서구 대덕대로 150</v>
          </cell>
        </row>
        <row r="199">
          <cell r="H199">
            <v>150000</v>
          </cell>
        </row>
        <row r="201">
          <cell r="A201" t="str">
            <v>김성옥</v>
          </cell>
        </row>
        <row r="201">
          <cell r="C201" t="str">
            <v>580905-1647943</v>
          </cell>
          <cell r="D201" t="str">
            <v>충북 옥천군 군서면 하동3길 65</v>
          </cell>
        </row>
        <row r="201">
          <cell r="H201">
            <v>150000</v>
          </cell>
          <cell r="I201" t="str">
            <v>010-4931-8698</v>
          </cell>
        </row>
        <row r="205">
          <cell r="A205" t="str">
            <v>김재국</v>
          </cell>
        </row>
        <row r="205">
          <cell r="C205" t="str">
            <v>790911-1386312</v>
          </cell>
          <cell r="D205" t="str">
            <v>충북 영동군 황간면 서송원길 42</v>
          </cell>
          <cell r="E205" t="str">
            <v>농협</v>
          </cell>
          <cell r="F205" t="str">
            <v>김재국</v>
          </cell>
          <cell r="G205" t="str">
            <v>407089-52-145147</v>
          </cell>
          <cell r="H205">
            <v>150000</v>
          </cell>
        </row>
        <row r="205">
          <cell r="K205" t="str">
            <v>29113</v>
          </cell>
        </row>
        <row r="206">
          <cell r="A206" t="str">
            <v>김순자</v>
          </cell>
        </row>
        <row r="206">
          <cell r="C206" t="str">
            <v>630203-2386318</v>
          </cell>
          <cell r="D206" t="str">
            <v>충북 영동군 황간면 황간동로 156</v>
          </cell>
          <cell r="E206" t="str">
            <v>농협</v>
          </cell>
          <cell r="F206" t="str">
            <v>김순자</v>
          </cell>
          <cell r="G206" t="str">
            <v>352-1071-9542-13</v>
          </cell>
          <cell r="H206">
            <v>150000</v>
          </cell>
        </row>
        <row r="206">
          <cell r="K206">
            <v>29115</v>
          </cell>
        </row>
        <row r="207">
          <cell r="A207" t="str">
            <v>김필규</v>
          </cell>
        </row>
        <row r="207">
          <cell r="C207" t="str">
            <v>591014-1800411</v>
          </cell>
          <cell r="D207" t="str">
            <v>경기도 평택시 진위면 하북2길 87-14</v>
          </cell>
          <cell r="E207" t="str">
            <v>농협</v>
          </cell>
          <cell r="F207" t="str">
            <v>김필규</v>
          </cell>
          <cell r="G207" t="str">
            <v>207087-56-023088</v>
          </cell>
          <cell r="H207">
            <v>150000</v>
          </cell>
        </row>
        <row r="207">
          <cell r="K207">
            <v>17706</v>
          </cell>
        </row>
        <row r="208">
          <cell r="A208" t="str">
            <v>김정국</v>
          </cell>
        </row>
        <row r="208">
          <cell r="C208" t="str">
            <v>560125-1800011</v>
          </cell>
          <cell r="D208" t="str">
            <v>충북 영동군 영동읍 부용4안길 14</v>
          </cell>
          <cell r="E208" t="str">
            <v>우체국</v>
          </cell>
          <cell r="F208" t="str">
            <v>김정국</v>
          </cell>
          <cell r="G208" t="str">
            <v>300160-02-045983</v>
          </cell>
          <cell r="H208">
            <v>150000</v>
          </cell>
        </row>
        <row r="208">
          <cell r="K208">
            <v>29149</v>
          </cell>
        </row>
        <row r="209">
          <cell r="A209" t="str">
            <v>황규석</v>
          </cell>
        </row>
        <row r="209">
          <cell r="C209" t="str">
            <v>490122-1124112</v>
          </cell>
          <cell r="D209" t="str">
            <v>충북 영동군 영동읍 오정길 222-5</v>
          </cell>
          <cell r="E209" t="str">
            <v>농협</v>
          </cell>
          <cell r="F209" t="str">
            <v>황규석</v>
          </cell>
          <cell r="G209" t="str">
            <v>404015-56-040444</v>
          </cell>
          <cell r="H209">
            <v>250000</v>
          </cell>
        </row>
        <row r="209">
          <cell r="K209">
            <v>29129</v>
          </cell>
        </row>
        <row r="210">
          <cell r="A210" t="str">
            <v>황대영</v>
          </cell>
        </row>
        <row r="210">
          <cell r="C210" t="str">
            <v>570315-1386147</v>
          </cell>
          <cell r="D210" t="str">
            <v>충북 영동군 영동읍 오정길 103</v>
          </cell>
          <cell r="E210" t="str">
            <v>농협</v>
          </cell>
          <cell r="F210" t="str">
            <v>황대영</v>
          </cell>
          <cell r="G210" t="str">
            <v>352-1743-8534-13</v>
          </cell>
          <cell r="H210">
            <v>200000</v>
          </cell>
        </row>
        <row r="210">
          <cell r="K210">
            <v>29129</v>
          </cell>
        </row>
        <row r="211">
          <cell r="A211" t="str">
            <v>박종섭</v>
          </cell>
        </row>
        <row r="211">
          <cell r="C211" t="str">
            <v>550816-1386117</v>
          </cell>
          <cell r="D211" t="str">
            <v>충북 영동군 영동읍 영산로 63</v>
          </cell>
          <cell r="E211" t="str">
            <v>농협</v>
          </cell>
          <cell r="F211" t="str">
            <v>박종섭</v>
          </cell>
          <cell r="G211" t="str">
            <v>352-1743-8668-53</v>
          </cell>
          <cell r="H211">
            <v>200000</v>
          </cell>
        </row>
        <row r="211">
          <cell r="K211">
            <v>29147</v>
          </cell>
        </row>
        <row r="212">
          <cell r="A212" t="str">
            <v>장영석</v>
          </cell>
        </row>
        <row r="212">
          <cell r="C212" t="str">
            <v>611022-1386119</v>
          </cell>
          <cell r="D212" t="str">
            <v>충북 영동군 영동읍 영동황간로 27, 801호(금강타운)</v>
          </cell>
          <cell r="E212" t="str">
            <v>농협</v>
          </cell>
          <cell r="F212" t="str">
            <v>장영석</v>
          </cell>
          <cell r="G212" t="str">
            <v>356-1027-4314-93</v>
          </cell>
          <cell r="H212">
            <v>150000</v>
          </cell>
          <cell r="I212" t="str">
            <v>010-4021-4009</v>
          </cell>
        </row>
        <row r="212">
          <cell r="K212">
            <v>29150</v>
          </cell>
        </row>
        <row r="213">
          <cell r="A213" t="str">
            <v>이수환</v>
          </cell>
        </row>
        <row r="213">
          <cell r="C213" t="str">
            <v>960921-1351118</v>
          </cell>
          <cell r="D213" t="str">
            <v>충북 청주시 상당구 용정로 25,107동 1902호(용정동 ,청주용정 한라비발디)</v>
          </cell>
          <cell r="E213" t="str">
            <v>새마을금고</v>
          </cell>
          <cell r="F213" t="str">
            <v>이수환</v>
          </cell>
          <cell r="G213" t="str">
            <v>9003-2377-6890-0</v>
          </cell>
          <cell r="H213">
            <v>150000</v>
          </cell>
          <cell r="I213" t="str">
            <v>010-6431-7735</v>
          </cell>
        </row>
        <row r="213">
          <cell r="K213">
            <v>28748</v>
          </cell>
        </row>
        <row r="214">
          <cell r="A214" t="str">
            <v>우두환</v>
          </cell>
        </row>
        <row r="214">
          <cell r="C214" t="str">
            <v>700521-1380113</v>
          </cell>
          <cell r="D214" t="str">
            <v>충북 청주시 상당구 문의면 등동1길 47-15</v>
          </cell>
          <cell r="E214" t="str">
            <v>농협</v>
          </cell>
          <cell r="F214" t="str">
            <v>우두환</v>
          </cell>
          <cell r="G214" t="str">
            <v>401149-56-092984</v>
          </cell>
          <cell r="H214">
            <v>230000</v>
          </cell>
          <cell r="I214" t="str">
            <v>010-5626-7201</v>
          </cell>
        </row>
        <row r="214">
          <cell r="K214">
            <v>28206</v>
          </cell>
        </row>
        <row r="218">
          <cell r="A218" t="str">
            <v>김춘배</v>
          </cell>
        </row>
        <row r="218">
          <cell r="C218" t="str">
            <v>610723-1468712</v>
          </cell>
          <cell r="D218" t="str">
            <v>대전광역시 대덕구 대화4길 32</v>
          </cell>
          <cell r="E218" t="str">
            <v>농협</v>
          </cell>
          <cell r="F218" t="str">
            <v>김춘배</v>
          </cell>
          <cell r="G218" t="str">
            <v>351-0982-5121-63</v>
          </cell>
          <cell r="H218">
            <v>160000</v>
          </cell>
          <cell r="I218" t="str">
            <v>010-3407-8592</v>
          </cell>
          <cell r="J218" t="str">
            <v>지우개발</v>
          </cell>
        </row>
        <row r="219">
          <cell r="A219" t="str">
            <v>함기안</v>
          </cell>
        </row>
        <row r="219">
          <cell r="C219" t="str">
            <v>600115-1384635</v>
          </cell>
          <cell r="D219" t="str">
            <v>대전광역시 동구 대동 77-14, 13/3</v>
          </cell>
          <cell r="E219" t="str">
            <v>농협</v>
          </cell>
          <cell r="F219" t="str">
            <v>함기안</v>
          </cell>
          <cell r="G219" t="str">
            <v>351-1875-9754-73</v>
          </cell>
          <cell r="H219">
            <v>160000</v>
          </cell>
          <cell r="I219" t="str">
            <v>010-5432-6630</v>
          </cell>
          <cell r="J219" t="str">
            <v>지우개발</v>
          </cell>
        </row>
        <row r="220">
          <cell r="A220" t="str">
            <v>신양호</v>
          </cell>
        </row>
        <row r="220">
          <cell r="C220" t="str">
            <v>651221-1634810</v>
          </cell>
          <cell r="D220" t="str">
            <v>대전광역시 대덕구 대진로1385</v>
          </cell>
          <cell r="E220" t="str">
            <v>농협</v>
          </cell>
          <cell r="F220" t="str">
            <v>신양호</v>
          </cell>
          <cell r="G220" t="str">
            <v>302-1012-9400-11</v>
          </cell>
          <cell r="H220">
            <v>160000</v>
          </cell>
          <cell r="I220" t="str">
            <v>010-5853-1221</v>
          </cell>
          <cell r="J220" t="str">
            <v>지우개발</v>
          </cell>
        </row>
        <row r="221">
          <cell r="A221" t="str">
            <v>이용하</v>
          </cell>
        </row>
        <row r="221">
          <cell r="C221" t="str">
            <v>510410-1329421</v>
          </cell>
          <cell r="D221" t="str">
            <v>충북 영동군 용산면 용산로6길, 306호(진산아파트)</v>
          </cell>
          <cell r="E221" t="str">
            <v>농협</v>
          </cell>
          <cell r="F221" t="str">
            <v>이용하</v>
          </cell>
          <cell r="G221" t="str">
            <v>356-1499-3898-13</v>
          </cell>
          <cell r="H221">
            <v>160000</v>
          </cell>
        </row>
        <row r="221">
          <cell r="J221" t="str">
            <v>지우개발</v>
          </cell>
        </row>
        <row r="222">
          <cell r="A222" t="str">
            <v>한진구</v>
          </cell>
        </row>
        <row r="222">
          <cell r="C222" t="str">
            <v>550202-1324314</v>
          </cell>
          <cell r="D222" t="str">
            <v>경북 상주시 모서면 백화로 1146</v>
          </cell>
          <cell r="E222" t="str">
            <v>농협</v>
          </cell>
          <cell r="F222" t="str">
            <v>한진구</v>
          </cell>
          <cell r="G222" t="str">
            <v>351-0920-7111-13</v>
          </cell>
          <cell r="H222">
            <v>160000</v>
          </cell>
          <cell r="I222" t="str">
            <v>010-2305-0675</v>
          </cell>
          <cell r="J222" t="str">
            <v>지우개발</v>
          </cell>
        </row>
        <row r="223">
          <cell r="A223" t="str">
            <v>박용준</v>
          </cell>
        </row>
        <row r="223">
          <cell r="C223" t="str">
            <v>651203-1384811</v>
          </cell>
          <cell r="D223" t="str">
            <v>충북 음성군 금왕읍 무극리 77-70</v>
          </cell>
          <cell r="E223" t="str">
            <v>우체국</v>
          </cell>
          <cell r="F223" t="str">
            <v>장대섭</v>
          </cell>
          <cell r="G223" t="str">
            <v>300517-02-049771</v>
          </cell>
          <cell r="H223">
            <v>160000</v>
          </cell>
        </row>
        <row r="223">
          <cell r="J223" t="str">
            <v>지우개발</v>
          </cell>
        </row>
        <row r="224">
          <cell r="A224" t="str">
            <v>김영호</v>
          </cell>
        </row>
        <row r="224">
          <cell r="C224" t="str">
            <v>571217-1386215</v>
          </cell>
          <cell r="D224" t="str">
            <v>충북 영동군 영동읍 동정로1길 35</v>
          </cell>
          <cell r="E224" t="str">
            <v>우체국</v>
          </cell>
          <cell r="F224" t="str">
            <v>김영호</v>
          </cell>
          <cell r="G224" t="str">
            <v>301515-02-013501</v>
          </cell>
          <cell r="H224">
            <v>160000</v>
          </cell>
        </row>
        <row r="224">
          <cell r="J224" t="str">
            <v>지우개발</v>
          </cell>
        </row>
        <row r="225">
          <cell r="A225" t="str">
            <v>안상모</v>
          </cell>
        </row>
        <row r="225">
          <cell r="C225" t="str">
            <v>600708-1029530</v>
          </cell>
          <cell r="D225" t="str">
            <v>충북 옥천군 청산면 교평2길 14</v>
          </cell>
          <cell r="E225" t="str">
            <v>농협</v>
          </cell>
          <cell r="F225" t="str">
            <v>안상모</v>
          </cell>
          <cell r="G225" t="str">
            <v>356-1499-4515-43</v>
          </cell>
          <cell r="H225">
            <v>160000</v>
          </cell>
          <cell r="I225" t="str">
            <v>010-6657-4313</v>
          </cell>
          <cell r="J225" t="str">
            <v>지우개발</v>
          </cell>
        </row>
        <row r="226">
          <cell r="A226" t="str">
            <v>권영신</v>
          </cell>
        </row>
        <row r="226">
          <cell r="C226" t="str">
            <v>560109-1387013</v>
          </cell>
          <cell r="D226" t="str">
            <v>충북 영동군 영동읍 계산리 508-2</v>
          </cell>
          <cell r="E226" t="str">
            <v>농협</v>
          </cell>
          <cell r="F226" t="str">
            <v>권영신</v>
          </cell>
          <cell r="G226" t="str">
            <v>407014-52-037130</v>
          </cell>
          <cell r="H226">
            <v>350000</v>
          </cell>
        </row>
        <row r="226">
          <cell r="J226" t="str">
            <v>지우개발</v>
          </cell>
        </row>
        <row r="230">
          <cell r="A230" t="str">
            <v>곽문영</v>
          </cell>
        </row>
        <row r="230">
          <cell r="C230" t="str">
            <v>530510-1069114</v>
          </cell>
          <cell r="D230" t="str">
            <v>충북 영동군 양강면 남전3길 99</v>
          </cell>
        </row>
        <row r="230">
          <cell r="F230" t="str">
            <v>개미인력</v>
          </cell>
        </row>
        <row r="230">
          <cell r="H230">
            <v>150000</v>
          </cell>
          <cell r="I230" t="str">
            <v>010-4355-5173</v>
          </cell>
          <cell r="J230" t="str">
            <v>개미인력</v>
          </cell>
          <cell r="K230" t="str">
            <v>29157</v>
          </cell>
        </row>
        <row r="231">
          <cell r="A231" t="str">
            <v>김연부</v>
          </cell>
        </row>
        <row r="231">
          <cell r="C231" t="str">
            <v>700302-1380011</v>
          </cell>
          <cell r="D231" t="str">
            <v>충북 옥천군 옥천읍 성암응천길 41-10, 1동 410호(근로자복지@)</v>
          </cell>
        </row>
        <row r="231">
          <cell r="F231" t="str">
            <v>개미인력</v>
          </cell>
        </row>
        <row r="231">
          <cell r="H231">
            <v>150000</v>
          </cell>
          <cell r="I231" t="str">
            <v>010-9354-5882</v>
          </cell>
          <cell r="J231" t="str">
            <v>개미인력</v>
          </cell>
          <cell r="K231" t="str">
            <v>29050</v>
          </cell>
        </row>
        <row r="232">
          <cell r="A232" t="str">
            <v>장웅진</v>
          </cell>
        </row>
        <row r="232">
          <cell r="C232" t="str">
            <v>541215-1386718</v>
          </cell>
          <cell r="D232" t="str">
            <v>대전광역시 중구 모암로42번길 11,103동 103호</v>
          </cell>
        </row>
        <row r="232">
          <cell r="F232" t="str">
            <v>개미인력</v>
          </cell>
        </row>
        <row r="232">
          <cell r="H232">
            <v>150000</v>
          </cell>
        </row>
        <row r="232">
          <cell r="J232" t="str">
            <v>개미인력</v>
          </cell>
          <cell r="K232" t="str">
            <v>35070</v>
          </cell>
        </row>
        <row r="233">
          <cell r="A233" t="str">
            <v>이성희</v>
          </cell>
        </row>
        <row r="233">
          <cell r="C233" t="str">
            <v>570508-1024611</v>
          </cell>
          <cell r="D233" t="str">
            <v>서울특별시 성북구 정릉로32길 7</v>
          </cell>
        </row>
        <row r="233">
          <cell r="F233" t="str">
            <v>개미인력</v>
          </cell>
        </row>
        <row r="233">
          <cell r="H233">
            <v>150000</v>
          </cell>
        </row>
        <row r="233">
          <cell r="J233" t="str">
            <v>개미인력</v>
          </cell>
          <cell r="K233" t="str">
            <v>02816</v>
          </cell>
        </row>
        <row r="234">
          <cell r="A234" t="str">
            <v>박현태</v>
          </cell>
        </row>
        <row r="234">
          <cell r="C234" t="str">
            <v>581015-1109020</v>
          </cell>
          <cell r="D234" t="str">
            <v>전라북도 장수군 장수읍 장수북동길 16-9</v>
          </cell>
        </row>
        <row r="234">
          <cell r="F234" t="str">
            <v>개미인력</v>
          </cell>
        </row>
        <row r="234">
          <cell r="H234">
            <v>150000</v>
          </cell>
        </row>
        <row r="234">
          <cell r="J234" t="str">
            <v>개미인력</v>
          </cell>
          <cell r="K234" t="str">
            <v>55632</v>
          </cell>
        </row>
        <row r="235">
          <cell r="A235" t="str">
            <v>유영길</v>
          </cell>
        </row>
        <row r="235">
          <cell r="C235" t="str">
            <v>720307-1384520</v>
          </cell>
          <cell r="D235" t="str">
            <v>충북 옥천군 청성면 화성2길 39-22</v>
          </cell>
        </row>
        <row r="235">
          <cell r="F235" t="str">
            <v>개미인력</v>
          </cell>
        </row>
        <row r="235">
          <cell r="H235">
            <v>150000</v>
          </cell>
        </row>
        <row r="235">
          <cell r="J235" t="str">
            <v>개미인력</v>
          </cell>
          <cell r="K235" t="str">
            <v>29017</v>
          </cell>
        </row>
        <row r="236">
          <cell r="A236" t="str">
            <v>강순주</v>
          </cell>
        </row>
        <row r="236">
          <cell r="C236" t="str">
            <v>670814-1783610</v>
          </cell>
          <cell r="D236" t="str">
            <v>경기도 안양시 만안구 경수대로1213번길 22, 202호 (석수동)</v>
          </cell>
        </row>
        <row r="236">
          <cell r="F236" t="str">
            <v>개미인력</v>
          </cell>
        </row>
        <row r="236">
          <cell r="H236">
            <v>150000</v>
          </cell>
        </row>
        <row r="236">
          <cell r="J236" t="str">
            <v>개미인력</v>
          </cell>
        </row>
        <row r="237">
          <cell r="A237" t="str">
            <v>권혁재</v>
          </cell>
        </row>
        <row r="237">
          <cell r="C237" t="str">
            <v>671027-1798126</v>
          </cell>
          <cell r="D237" t="str">
            <v>웅북 영동군 영동읍 눈어치로 46, B동 406호</v>
          </cell>
        </row>
        <row r="237">
          <cell r="F237" t="str">
            <v>개미인력</v>
          </cell>
        </row>
        <row r="237">
          <cell r="H237">
            <v>170000</v>
          </cell>
        </row>
        <row r="237">
          <cell r="J237" t="str">
            <v>개미인력</v>
          </cell>
        </row>
        <row r="241">
          <cell r="A241" t="str">
            <v>이용</v>
          </cell>
        </row>
        <row r="241">
          <cell r="C241" t="str">
            <v>010820-3386115</v>
          </cell>
          <cell r="D241" t="str">
            <v>충북 영동군 영동읍 영산로6길 16-11, 102동 401호(j클래식)</v>
          </cell>
          <cell r="E241" t="str">
            <v>농협</v>
          </cell>
          <cell r="F241" t="str">
            <v>이성</v>
          </cell>
          <cell r="G241" t="str">
            <v>351-1142-0210-73</v>
          </cell>
          <cell r="H241">
            <v>160000</v>
          </cell>
          <cell r="I241" t="str">
            <v>010-4056-7141</v>
          </cell>
          <cell r="J241" t="str">
            <v>명장인력</v>
          </cell>
          <cell r="K241" t="str">
            <v>29147</v>
          </cell>
        </row>
        <row r="242">
          <cell r="A242" t="str">
            <v>김학형</v>
          </cell>
        </row>
        <row r="242">
          <cell r="C242" t="str">
            <v>680808-1386718</v>
          </cell>
          <cell r="D242" t="str">
            <v>충북 영동군 영동읍 영동시장1길 32 A동 202호</v>
          </cell>
          <cell r="E242" t="str">
            <v>농협</v>
          </cell>
          <cell r="F242" t="str">
            <v>이성</v>
          </cell>
          <cell r="G242" t="str">
            <v>351-1142-0210-73</v>
          </cell>
          <cell r="H242">
            <v>170000</v>
          </cell>
          <cell r="I242" t="str">
            <v>010-9979-9238</v>
          </cell>
          <cell r="J242" t="str">
            <v>명장인력</v>
          </cell>
          <cell r="K242" t="str">
            <v>29145</v>
          </cell>
        </row>
        <row r="243">
          <cell r="A243" t="str">
            <v>배권</v>
          </cell>
        </row>
        <row r="243">
          <cell r="C243" t="str">
            <v>661120-1386210</v>
          </cell>
          <cell r="D243" t="str">
            <v>충북 영동군 영동읍 상부용로 20 (지평더웰Ⅱ아파트) </v>
          </cell>
          <cell r="E243" t="str">
            <v>농협</v>
          </cell>
          <cell r="F243" t="str">
            <v>이성</v>
          </cell>
          <cell r="G243" t="str">
            <v>351-1142-0210-73</v>
          </cell>
          <cell r="H243">
            <v>150000</v>
          </cell>
          <cell r="I243" t="str">
            <v>010-2804-4792</v>
          </cell>
          <cell r="J243" t="str">
            <v>명장인력</v>
          </cell>
          <cell r="K243" t="str">
            <v>29145</v>
          </cell>
        </row>
        <row r="244">
          <cell r="A244" t="str">
            <v>이상찬</v>
          </cell>
        </row>
        <row r="244">
          <cell r="C244" t="str">
            <v>700201-1386132</v>
          </cell>
          <cell r="D244" t="str">
            <v>충북 영동군 영동읍 영동시장1길 18-3 </v>
          </cell>
          <cell r="E244" t="str">
            <v>농협</v>
          </cell>
          <cell r="F244" t="str">
            <v>이성</v>
          </cell>
          <cell r="G244" t="str">
            <v>351-1142-0210-73</v>
          </cell>
          <cell r="H244">
            <v>170000</v>
          </cell>
          <cell r="I244" t="str">
            <v>010-3117-7949</v>
          </cell>
          <cell r="J244" t="str">
            <v>석공</v>
          </cell>
          <cell r="K244" t="str">
            <v>35014</v>
          </cell>
        </row>
        <row r="245">
          <cell r="A245" t="str">
            <v>이효주</v>
          </cell>
        </row>
        <row r="245">
          <cell r="C245" t="str">
            <v>510217-1466413</v>
          </cell>
          <cell r="D245" t="str">
            <v>충북 영동군 영동읍 계산로1길 11 </v>
          </cell>
          <cell r="E245" t="str">
            <v>농협</v>
          </cell>
          <cell r="F245" t="str">
            <v>이성</v>
          </cell>
          <cell r="G245" t="str">
            <v>351-1142-0210-73</v>
          </cell>
          <cell r="H245">
            <v>160000</v>
          </cell>
        </row>
        <row r="245">
          <cell r="J245" t="str">
            <v>석공</v>
          </cell>
          <cell r="K245" t="str">
            <v>35011</v>
          </cell>
        </row>
        <row r="246">
          <cell r="A246" t="str">
            <v>최병길</v>
          </cell>
        </row>
        <row r="246">
          <cell r="C246" t="str">
            <v>511119-1460910</v>
          </cell>
          <cell r="D246" t="str">
            <v>대전광역시 중구 산성동 509-15</v>
          </cell>
          <cell r="E246" t="str">
            <v>농협</v>
          </cell>
          <cell r="F246" t="str">
            <v>최병길</v>
          </cell>
          <cell r="G246" t="str">
            <v>453029-52-022509</v>
          </cell>
          <cell r="H246">
            <v>150000</v>
          </cell>
        </row>
        <row r="246">
          <cell r="J246" t="str">
            <v>석공</v>
          </cell>
          <cell r="K246" t="str">
            <v>29144</v>
          </cell>
        </row>
        <row r="247">
          <cell r="A247" t="str">
            <v>이준우</v>
          </cell>
        </row>
        <row r="247">
          <cell r="C247" t="str">
            <v>520216-1408321</v>
          </cell>
          <cell r="D247" t="str">
            <v>대전광역시 중구 보문산로 157, 마동303호(문화동,동양맨션)</v>
          </cell>
          <cell r="E247" t="str">
            <v>농협</v>
          </cell>
          <cell r="F247" t="str">
            <v>이준우</v>
          </cell>
          <cell r="G247" t="str">
            <v>453029-51-013658</v>
          </cell>
          <cell r="H247">
            <v>150000</v>
          </cell>
        </row>
        <row r="247">
          <cell r="J247" t="str">
            <v>석공</v>
          </cell>
          <cell r="K247" t="str">
            <v>29149</v>
          </cell>
        </row>
        <row r="248">
          <cell r="A248" t="str">
            <v>이성돌</v>
          </cell>
        </row>
        <row r="248">
          <cell r="C248" t="str">
            <v>500414-1408219</v>
          </cell>
          <cell r="D248" t="str">
            <v>대전광역시 중구 대둔산로 414번길 75(산성동)</v>
          </cell>
          <cell r="E248" t="str">
            <v>농협</v>
          </cell>
          <cell r="F248" t="str">
            <v>이성돌</v>
          </cell>
          <cell r="G248" t="str">
            <v>453029-52-260357</v>
          </cell>
          <cell r="H248">
            <v>150000</v>
          </cell>
          <cell r="I248" t="str">
            <v>010-5490-9056</v>
          </cell>
          <cell r="J248" t="str">
            <v>석공</v>
          </cell>
          <cell r="K248" t="str">
            <v>34557</v>
          </cell>
        </row>
        <row r="249">
          <cell r="A249" t="str">
            <v>정태성</v>
          </cell>
        </row>
        <row r="249">
          <cell r="C249" t="str">
            <v>660501-1386134</v>
          </cell>
          <cell r="D249" t="str">
            <v>충북 영동군 영동읍 계산로 34-1</v>
          </cell>
          <cell r="E249" t="str">
            <v>농협</v>
          </cell>
          <cell r="F249" t="str">
            <v>정태성</v>
          </cell>
          <cell r="G249" t="str">
            <v>352-1006-9268-83</v>
          </cell>
          <cell r="H249">
            <v>150000</v>
          </cell>
          <cell r="I249" t="str">
            <v>010-6580-1303</v>
          </cell>
          <cell r="J249" t="str">
            <v>석공</v>
          </cell>
          <cell r="K249" t="str">
            <v>34506</v>
          </cell>
        </row>
        <row r="250">
          <cell r="A250" t="str">
            <v>배석득</v>
          </cell>
        </row>
        <row r="250">
          <cell r="C250" t="str">
            <v>501225-1386713</v>
          </cell>
          <cell r="D250" t="str">
            <v>충북 영동군 영동읍 부용7안길 2-13</v>
          </cell>
          <cell r="E250" t="str">
            <v>농협</v>
          </cell>
          <cell r="F250" t="str">
            <v>배석득</v>
          </cell>
          <cell r="G250" t="str">
            <v>356-1479-5477-73</v>
          </cell>
          <cell r="H250">
            <v>150000</v>
          </cell>
        </row>
        <row r="250">
          <cell r="J250" t="str">
            <v>석공</v>
          </cell>
          <cell r="K250" t="str">
            <v>34670</v>
          </cell>
        </row>
        <row r="251">
          <cell r="A251" t="str">
            <v>최석진</v>
          </cell>
        </row>
        <row r="251">
          <cell r="C251" t="str">
            <v>580324-1652410</v>
          </cell>
          <cell r="D251" t="str">
            <v>대전광역시 동구 동서대로 1579, 101동 1501호(홍도동,홍도@)</v>
          </cell>
          <cell r="E251" t="str">
            <v>하나</v>
          </cell>
          <cell r="F251" t="str">
            <v>최석진</v>
          </cell>
          <cell r="G251" t="str">
            <v>646-910748-77207</v>
          </cell>
          <cell r="H251">
            <v>150000</v>
          </cell>
          <cell r="I251" t="str">
            <v>010-4413-4583</v>
          </cell>
          <cell r="J251" t="str">
            <v>석공</v>
          </cell>
          <cell r="K251" t="str">
            <v>29155</v>
          </cell>
        </row>
        <row r="252">
          <cell r="A252" t="str">
            <v>권신홍</v>
          </cell>
        </row>
        <row r="252">
          <cell r="C252" t="str">
            <v>510315-1651218</v>
          </cell>
          <cell r="D252" t="str">
            <v>대전광역시 동구 가양동 149-30</v>
          </cell>
          <cell r="E252" t="str">
            <v>국민</v>
          </cell>
          <cell r="F252" t="str">
            <v>권신흥</v>
          </cell>
          <cell r="G252" t="str">
            <v>845901-22-004565</v>
          </cell>
          <cell r="H252">
            <v>150000</v>
          </cell>
        </row>
        <row r="252">
          <cell r="K252" t="str">
            <v>29147</v>
          </cell>
        </row>
        <row r="253">
          <cell r="A253" t="str">
            <v>조을순</v>
          </cell>
        </row>
        <row r="253">
          <cell r="C253" t="str">
            <v>560302-2400210</v>
          </cell>
          <cell r="D253" t="str">
            <v>대전광역시 동구 판암동 558-6 국민빌라 301호</v>
          </cell>
          <cell r="E253" t="str">
            <v>농협</v>
          </cell>
          <cell r="F253" t="str">
            <v>조을순</v>
          </cell>
          <cell r="G253" t="str">
            <v>352-0676-2630-53</v>
          </cell>
          <cell r="H253">
            <v>150000</v>
          </cell>
          <cell r="I253" t="str">
            <v>010-3976-2700</v>
          </cell>
        </row>
        <row r="253">
          <cell r="K253" t="str">
            <v>28773</v>
          </cell>
        </row>
        <row r="254">
          <cell r="A254" t="str">
            <v>한희열</v>
          </cell>
        </row>
        <row r="254">
          <cell r="C254" t="str">
            <v>590921-1709522</v>
          </cell>
          <cell r="D254" t="str">
            <v>충북 영동군 영동읍 상부용로 7-50, 101동1501호 (지평더웰@)</v>
          </cell>
          <cell r="E254" t="str">
            <v>농협</v>
          </cell>
          <cell r="F254" t="str">
            <v>한희열</v>
          </cell>
          <cell r="G254" t="str">
            <v>356-1123-9590-03</v>
          </cell>
          <cell r="H254">
            <v>150000</v>
          </cell>
        </row>
        <row r="254">
          <cell r="K254" t="str">
            <v>29116</v>
          </cell>
        </row>
        <row r="255">
          <cell r="A255" t="str">
            <v>박래화</v>
          </cell>
        </row>
        <row r="255">
          <cell r="C255" t="str">
            <v>470117-1018911</v>
          </cell>
          <cell r="D255" t="str">
            <v>충북 영동군 영동읍 영산로7길 2, 가동 106호(양지연립)</v>
          </cell>
          <cell r="E255" t="str">
            <v>농협</v>
          </cell>
          <cell r="F255" t="str">
            <v>박래화</v>
          </cell>
          <cell r="G255" t="str">
            <v>302-0822-9170-11</v>
          </cell>
          <cell r="H255">
            <v>150000</v>
          </cell>
        </row>
        <row r="255">
          <cell r="K255" t="str">
            <v>29155</v>
          </cell>
        </row>
        <row r="256">
          <cell r="A256" t="str">
            <v>권영안</v>
          </cell>
        </row>
        <row r="256">
          <cell r="C256" t="str">
            <v>570815-1380728</v>
          </cell>
          <cell r="D256" t="str">
            <v>충북 청주시 상당구 중흥로 71 109/1402</v>
          </cell>
          <cell r="E256" t="str">
            <v>농협</v>
          </cell>
          <cell r="F256" t="str">
            <v>권영안</v>
          </cell>
          <cell r="G256" t="str">
            <v>401147-52-151337</v>
          </cell>
          <cell r="H256">
            <v>150000</v>
          </cell>
        </row>
        <row r="256">
          <cell r="K256" t="str">
            <v>29155</v>
          </cell>
        </row>
        <row r="257">
          <cell r="A257" t="str">
            <v>최영희</v>
          </cell>
        </row>
        <row r="257">
          <cell r="C257" t="str">
            <v>641012-2478918</v>
          </cell>
          <cell r="D257" t="str">
            <v>충북 청주시 흥덕구 수곡동 328 산남주공@ 103동 501호</v>
          </cell>
          <cell r="E257" t="str">
            <v>국민</v>
          </cell>
          <cell r="F257" t="str">
            <v>최영희</v>
          </cell>
          <cell r="G257" t="str">
            <v>709802-01-046029</v>
          </cell>
          <cell r="H257">
            <v>150000</v>
          </cell>
          <cell r="I257" t="str">
            <v>010-7415-9300</v>
          </cell>
        </row>
        <row r="257">
          <cell r="K257" t="str">
            <v>21088</v>
          </cell>
        </row>
        <row r="258">
          <cell r="A258" t="str">
            <v>김재억</v>
          </cell>
        </row>
        <row r="258">
          <cell r="C258" t="str">
            <v>600605-1386718</v>
          </cell>
          <cell r="D258" t="str">
            <v>충북 영동군 양강면 괴목리 411</v>
          </cell>
          <cell r="E258" t="str">
            <v>농협</v>
          </cell>
          <cell r="F258" t="str">
            <v>김재억</v>
          </cell>
          <cell r="G258" t="str">
            <v>356-1337-2458-73</v>
          </cell>
          <cell r="H258">
            <v>150000</v>
          </cell>
        </row>
        <row r="258">
          <cell r="K258" t="str">
            <v>29116</v>
          </cell>
        </row>
        <row r="259">
          <cell r="A259" t="str">
            <v>박원회</v>
          </cell>
        </row>
        <row r="259">
          <cell r="C259" t="str">
            <v>600124-1386123</v>
          </cell>
          <cell r="D259" t="str">
            <v>인천시 계양구 계산로112번길 26</v>
          </cell>
          <cell r="E259" t="str">
            <v>농협</v>
          </cell>
          <cell r="F259" t="str">
            <v>박원회</v>
          </cell>
          <cell r="G259" t="str">
            <v>312-0171-3781-31</v>
          </cell>
          <cell r="H259">
            <v>150000</v>
          </cell>
        </row>
        <row r="259">
          <cell r="K259" t="str">
            <v>57958</v>
          </cell>
        </row>
        <row r="260">
          <cell r="A260" t="str">
            <v>신용철</v>
          </cell>
        </row>
        <row r="260">
          <cell r="C260" t="str">
            <v>651220-1228344</v>
          </cell>
          <cell r="D260" t="str">
            <v>충북 영동군 황간면 신흥1길 8</v>
          </cell>
          <cell r="E260" t="str">
            <v>농협</v>
          </cell>
          <cell r="F260" t="str">
            <v>신용철</v>
          </cell>
          <cell r="G260" t="str">
            <v>356-1329-6202-53</v>
          </cell>
          <cell r="H260">
            <v>150000</v>
          </cell>
          <cell r="I260" t="str">
            <v>010-3900-0965</v>
          </cell>
        </row>
        <row r="260">
          <cell r="K260" t="str">
            <v>28683</v>
          </cell>
        </row>
        <row r="261">
          <cell r="A261" t="str">
            <v>손경윤</v>
          </cell>
        </row>
        <row r="261">
          <cell r="C261" t="str">
            <v>780528-1386217</v>
          </cell>
          <cell r="D261" t="str">
            <v>전라남도 순천시 우석로 105, 2층(남정동)</v>
          </cell>
        </row>
        <row r="261">
          <cell r="H261">
            <v>150000</v>
          </cell>
          <cell r="I261" t="str">
            <v>010-8803-3163</v>
          </cell>
        </row>
        <row r="261">
          <cell r="K261" t="str">
            <v>28683</v>
          </cell>
        </row>
        <row r="262">
          <cell r="A262" t="str">
            <v>김정우</v>
          </cell>
        </row>
        <row r="262">
          <cell r="C262" t="str">
            <v>960116-1386119</v>
          </cell>
          <cell r="D262" t="str">
            <v>충북 영동군 영동읍 회동로 162</v>
          </cell>
          <cell r="E262" t="str">
            <v>농협</v>
          </cell>
          <cell r="F262" t="str">
            <v>김정우</v>
          </cell>
          <cell r="G262" t="str">
            <v>407013-52-111897</v>
          </cell>
          <cell r="H262">
            <v>150000</v>
          </cell>
        </row>
        <row r="262">
          <cell r="K262" t="str">
            <v>34509</v>
          </cell>
        </row>
        <row r="263">
          <cell r="A263" t="str">
            <v>성명식</v>
          </cell>
        </row>
        <row r="263">
          <cell r="C263" t="str">
            <v>590801-1386129</v>
          </cell>
          <cell r="D263" t="str">
            <v>경기도 고양시 덕양구 화신로298</v>
          </cell>
          <cell r="E263" t="str">
            <v>농협</v>
          </cell>
          <cell r="F263" t="str">
            <v>성명식</v>
          </cell>
          <cell r="G263" t="str">
            <v>049-02-203321</v>
          </cell>
          <cell r="H263">
            <v>150000</v>
          </cell>
          <cell r="I263" t="str">
            <v>010-8975-6129</v>
          </cell>
        </row>
        <row r="263">
          <cell r="K263" t="str">
            <v>29104</v>
          </cell>
        </row>
        <row r="264">
          <cell r="A264" t="str">
            <v>박봉환</v>
          </cell>
        </row>
        <row r="264">
          <cell r="C264" t="str">
            <v>600713-1182814</v>
          </cell>
          <cell r="D264" t="str">
            <v>경북 김천시 증산면황황2길31-6</v>
          </cell>
          <cell r="E264" t="str">
            <v>우체국</v>
          </cell>
          <cell r="F264" t="str">
            <v>박봉환</v>
          </cell>
          <cell r="G264" t="str">
            <v>312785-02-005538</v>
          </cell>
          <cell r="H264">
            <v>150000</v>
          </cell>
        </row>
        <row r="264">
          <cell r="K264" t="str">
            <v>29148</v>
          </cell>
        </row>
        <row r="265">
          <cell r="A265" t="str">
            <v>김기면</v>
          </cell>
        </row>
        <row r="265">
          <cell r="C265" t="str">
            <v>601010-1386125</v>
          </cell>
          <cell r="D265" t="str">
            <v>청주시 서원구 구룡산로 275-13,408동306호</v>
          </cell>
          <cell r="E265" t="str">
            <v>농협</v>
          </cell>
          <cell r="F265" t="str">
            <v>김기면</v>
          </cell>
          <cell r="G265" t="str">
            <v>356-0677-4691-13</v>
          </cell>
          <cell r="H265">
            <v>150000</v>
          </cell>
          <cell r="I265" t="str">
            <v>010-51094148</v>
          </cell>
        </row>
        <row r="265">
          <cell r="K265" t="str">
            <v>29140</v>
          </cell>
        </row>
        <row r="266">
          <cell r="A266" t="str">
            <v>김충식</v>
          </cell>
        </row>
        <row r="266">
          <cell r="C266" t="str">
            <v>520618-1384416</v>
          </cell>
          <cell r="D266" t="str">
            <v>충북 청원군 북이면 석성리448-2</v>
          </cell>
          <cell r="E266" t="str">
            <v>농협</v>
          </cell>
          <cell r="F266" t="str">
            <v>김충식</v>
          </cell>
          <cell r="G266" t="str">
            <v>302-0971-3212-91</v>
          </cell>
          <cell r="H266">
            <v>150000</v>
          </cell>
          <cell r="I266" t="str">
            <v>010-5547-6459</v>
          </cell>
        </row>
        <row r="267">
          <cell r="A267" t="str">
            <v>장신진</v>
          </cell>
        </row>
        <row r="267">
          <cell r="C267" t="str">
            <v>620908-1386710</v>
          </cell>
          <cell r="D267" t="str">
            <v>충북 영동군 영동읍 동정로 39-27, 현대아파트 101동 1501호</v>
          </cell>
          <cell r="E267" t="str">
            <v>농협</v>
          </cell>
          <cell r="F267" t="str">
            <v>장신진</v>
          </cell>
          <cell r="G267" t="str">
            <v>356-1353-2371-93</v>
          </cell>
          <cell r="H267">
            <v>150000</v>
          </cell>
          <cell r="I267" t="str">
            <v>010-8450-8819</v>
          </cell>
        </row>
        <row r="268">
          <cell r="A268" t="str">
            <v>김경순</v>
          </cell>
        </row>
        <row r="268">
          <cell r="C268" t="str">
            <v>621004-2069619</v>
          </cell>
          <cell r="D268" t="str">
            <v>충북 영동군 용산면 상용길 20-24</v>
          </cell>
        </row>
        <row r="268">
          <cell r="H268">
            <v>150000</v>
          </cell>
        </row>
        <row r="268">
          <cell r="K268">
            <v>29111</v>
          </cell>
        </row>
        <row r="272">
          <cell r="A272" t="str">
            <v>김동식</v>
          </cell>
        </row>
        <row r="272">
          <cell r="C272" t="str">
            <v>740416-1468915</v>
          </cell>
          <cell r="D272" t="str">
            <v>청주시 상당구 영운천로 159, 202호 (용정동)</v>
          </cell>
          <cell r="E272" t="str">
            <v>기업</v>
          </cell>
          <cell r="F272" t="str">
            <v>서만석</v>
          </cell>
          <cell r="G272" t="str">
            <v>293-020381-03-026</v>
          </cell>
          <cell r="H272">
            <v>180000</v>
          </cell>
        </row>
        <row r="273">
          <cell r="A273" t="str">
            <v>박문교</v>
          </cell>
        </row>
        <row r="273">
          <cell r="C273" t="str">
            <v>700724-1380511</v>
          </cell>
          <cell r="D273" t="str">
            <v>청주시 흥덕구 월명로 125, 가동 206호(봉명동,신흥@)</v>
          </cell>
          <cell r="E273" t="str">
            <v>기업</v>
          </cell>
          <cell r="F273" t="str">
            <v>서만석</v>
          </cell>
          <cell r="G273" t="str">
            <v>293-020381-03-026</v>
          </cell>
          <cell r="H273">
            <v>180000</v>
          </cell>
        </row>
        <row r="274">
          <cell r="A274" t="str">
            <v>안준범</v>
          </cell>
        </row>
        <row r="274">
          <cell r="C274" t="str">
            <v>681028-1820716</v>
          </cell>
          <cell r="D274" t="str">
            <v>경상남도 창원시 동읍 용잠리 419 신안@ 1-1505</v>
          </cell>
          <cell r="E274" t="str">
            <v>기업</v>
          </cell>
          <cell r="F274" t="str">
            <v>서만석</v>
          </cell>
          <cell r="G274" t="str">
            <v>293-020381-03-026</v>
          </cell>
          <cell r="H274">
            <v>180000</v>
          </cell>
        </row>
        <row r="275">
          <cell r="A275" t="str">
            <v>엄태섭</v>
          </cell>
        </row>
        <row r="275">
          <cell r="C275" t="str">
            <v>651117-1388314</v>
          </cell>
          <cell r="D275" t="str">
            <v>충북 진천군 덕산면 인산리 182-21</v>
          </cell>
          <cell r="E275" t="str">
            <v>기업</v>
          </cell>
          <cell r="F275" t="str">
            <v>서만석</v>
          </cell>
          <cell r="G275" t="str">
            <v>293-020381-03-026</v>
          </cell>
          <cell r="H275">
            <v>180000</v>
          </cell>
        </row>
        <row r="276">
          <cell r="A276" t="str">
            <v>황우하</v>
          </cell>
        </row>
        <row r="276">
          <cell r="C276" t="str">
            <v>870101-1384313</v>
          </cell>
          <cell r="D276" t="str">
            <v>충청북도 옥천군 안남면 도농리 538</v>
          </cell>
          <cell r="E276" t="str">
            <v>기업</v>
          </cell>
          <cell r="F276" t="str">
            <v>서만석</v>
          </cell>
          <cell r="G276" t="str">
            <v>293-020381-03-026</v>
          </cell>
          <cell r="H276">
            <v>180000</v>
          </cell>
        </row>
        <row r="277">
          <cell r="A277" t="str">
            <v>김흥식</v>
          </cell>
        </row>
        <row r="277">
          <cell r="C277" t="str">
            <v>690227-1382111</v>
          </cell>
          <cell r="D277" t="str">
            <v>청주시 서원구 모충로 61, 205-501 (모충동 주공2단지)</v>
          </cell>
          <cell r="E277" t="str">
            <v>기업</v>
          </cell>
          <cell r="F277" t="str">
            <v>서만석</v>
          </cell>
          <cell r="G277" t="str">
            <v>293-020381-03-026</v>
          </cell>
          <cell r="H277">
            <v>180000</v>
          </cell>
        </row>
        <row r="278">
          <cell r="A278" t="str">
            <v>김춘상</v>
          </cell>
        </row>
        <row r="278">
          <cell r="C278" t="str">
            <v>671115-1380612</v>
          </cell>
          <cell r="D278" t="str">
            <v>청주시 상당구 영운동 168-24 19/4</v>
          </cell>
          <cell r="E278" t="str">
            <v>기업</v>
          </cell>
          <cell r="F278" t="str">
            <v>서만석</v>
          </cell>
          <cell r="G278" t="str">
            <v>293-020381-03-026</v>
          </cell>
          <cell r="H278">
            <v>180000</v>
          </cell>
        </row>
        <row r="279">
          <cell r="A279" t="str">
            <v>김주웅</v>
          </cell>
        </row>
        <row r="279">
          <cell r="C279" t="str">
            <v>600405-1397114</v>
          </cell>
          <cell r="D279" t="str">
            <v>청주시 서원구 1순환로 1137번길 130,325-1306 (분평동 분평주공@)</v>
          </cell>
          <cell r="E279" t="str">
            <v>기업</v>
          </cell>
          <cell r="F279" t="str">
            <v>서만석</v>
          </cell>
          <cell r="G279" t="str">
            <v>293-020381-03-026</v>
          </cell>
          <cell r="H279">
            <v>180000</v>
          </cell>
        </row>
        <row r="280">
          <cell r="A280" t="str">
            <v>마상조</v>
          </cell>
        </row>
        <row r="280">
          <cell r="C280" t="str">
            <v>590619-1380817</v>
          </cell>
          <cell r="D280" t="str">
            <v>청주시 흥덕구 봉명로 209번길 17, 105호 (봉명동,그린빌라2차)</v>
          </cell>
          <cell r="E280" t="str">
            <v>기업</v>
          </cell>
          <cell r="F280" t="str">
            <v>서만석</v>
          </cell>
          <cell r="G280" t="str">
            <v>293-020381-03-026</v>
          </cell>
          <cell r="H280">
            <v>180000</v>
          </cell>
        </row>
        <row r="281">
          <cell r="A281" t="str">
            <v>임익기</v>
          </cell>
        </row>
        <row r="281">
          <cell r="C281" t="str">
            <v>650114-1037815</v>
          </cell>
          <cell r="D281" t="str">
            <v>청주시 상당구 가덕면 국전길 110-43</v>
          </cell>
          <cell r="E281" t="str">
            <v>기업</v>
          </cell>
          <cell r="F281" t="str">
            <v>서만석</v>
          </cell>
          <cell r="G281" t="str">
            <v>293-020381-03-026</v>
          </cell>
          <cell r="H281">
            <v>180000</v>
          </cell>
        </row>
        <row r="282">
          <cell r="A282" t="str">
            <v>안기남</v>
          </cell>
        </row>
        <row r="282">
          <cell r="C282" t="str">
            <v>630117-1644712</v>
          </cell>
          <cell r="D282" t="str">
            <v>청주시 상당구 남사로 80번길 9, 4층 402호 (남주동)</v>
          </cell>
          <cell r="E282" t="str">
            <v>기업</v>
          </cell>
          <cell r="F282" t="str">
            <v>서만석</v>
          </cell>
          <cell r="G282" t="str">
            <v>293-020381-03-026</v>
          </cell>
          <cell r="H282">
            <v>180000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지출결의서"/>
      <sheetName val="청구리스트"/>
      <sheetName val=" 노무비"/>
      <sheetName val="7월-형틀"/>
      <sheetName val="직영노임"/>
      <sheetName val="외주비"/>
      <sheetName val="자재비"/>
      <sheetName val="중기비"/>
      <sheetName val="장비출력"/>
      <sheetName val="경비"/>
      <sheetName val="경비사용(법카)"/>
      <sheetName val="업체계좌"/>
      <sheetName val="Sheet1"/>
      <sheetName val="Sheet2"/>
      <sheetName val="대정-2"/>
      <sheetName val="직영노임 (22-공-경계~~~)"/>
      <sheetName val="일용직명단"/>
      <sheetName val="현장관련업체"/>
      <sheetName val="특고직"/>
      <sheetName val="Sheet5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A3" t="str">
            <v>오정만</v>
          </cell>
          <cell r="B3" t="str">
            <v>직영인부</v>
          </cell>
          <cell r="C3" t="str">
            <v>520205-1057335</v>
          </cell>
          <cell r="D3" t="str">
            <v>충북 영동군 학산면 모산1길 16-14</v>
          </cell>
          <cell r="E3" t="str">
            <v>농협</v>
          </cell>
          <cell r="F3" t="str">
            <v>오정만</v>
          </cell>
          <cell r="G3" t="str">
            <v>302-0809-4379-11</v>
          </cell>
          <cell r="H3">
            <v>120000</v>
          </cell>
          <cell r="I3" t="str">
            <v>010-5334-6133</v>
          </cell>
        </row>
        <row r="3">
          <cell r="K3" t="str">
            <v>29164</v>
          </cell>
        </row>
        <row r="4">
          <cell r="A4" t="str">
            <v>금걸</v>
          </cell>
          <cell r="B4" t="str">
            <v>보통인부</v>
          </cell>
          <cell r="C4" t="str">
            <v>640415-1384716</v>
          </cell>
          <cell r="D4" t="str">
            <v>충북 옥천군 이원면 건진리 630-8</v>
          </cell>
          <cell r="E4" t="str">
            <v>국민</v>
          </cell>
          <cell r="F4" t="str">
            <v>금걸</v>
          </cell>
          <cell r="G4" t="str">
            <v> 405-21-0020-797</v>
          </cell>
          <cell r="H4">
            <v>160000</v>
          </cell>
          <cell r="I4" t="str">
            <v>010-9207-4425</v>
          </cell>
        </row>
        <row r="4">
          <cell r="K4" t="str">
            <v>29061</v>
          </cell>
        </row>
        <row r="5">
          <cell r="A5" t="str">
            <v>주도현</v>
          </cell>
          <cell r="B5" t="str">
            <v>보통인부</v>
          </cell>
          <cell r="C5" t="str">
            <v>990511-1384718</v>
          </cell>
          <cell r="D5" t="str">
            <v> 충북 옥천군 이원면 지탄6길 24</v>
          </cell>
          <cell r="E5" t="str">
            <v>농협</v>
          </cell>
          <cell r="F5" t="str">
            <v>주도현</v>
          </cell>
          <cell r="G5" t="str">
            <v> 351-1021-5063-63</v>
          </cell>
          <cell r="H5">
            <v>120000</v>
          </cell>
          <cell r="I5" t="str">
            <v>010-5402-6851</v>
          </cell>
        </row>
        <row r="5">
          <cell r="K5" t="str">
            <v>29062</v>
          </cell>
        </row>
        <row r="6">
          <cell r="A6" t="str">
            <v>채청기</v>
          </cell>
          <cell r="B6" t="str">
            <v>작업반장</v>
          </cell>
          <cell r="C6" t="str">
            <v>611117-1644319</v>
          </cell>
          <cell r="D6" t="str">
            <v> 충북 영동군 매천1길 11-10</v>
          </cell>
          <cell r="E6" t="str">
            <v>농협</v>
          </cell>
          <cell r="F6" t="str">
            <v>채청기</v>
          </cell>
          <cell r="G6" t="str">
            <v>403063-51-043152</v>
          </cell>
          <cell r="H6">
            <v>200000</v>
          </cell>
          <cell r="I6" t="str">
            <v>010-7357-9166</v>
          </cell>
        </row>
        <row r="7">
          <cell r="A7" t="str">
            <v>채성진</v>
          </cell>
          <cell r="B7" t="str">
            <v>보통인부</v>
          </cell>
          <cell r="C7" t="str">
            <v>930707-1386119</v>
          </cell>
          <cell r="D7" t="str">
            <v> 충북 영동군 영동읍 매천1길 11-10</v>
          </cell>
          <cell r="E7" t="str">
            <v>농협</v>
          </cell>
          <cell r="F7" t="str">
            <v>채성진</v>
          </cell>
          <cell r="G7" t="str">
            <v>356-0214-5208-83</v>
          </cell>
          <cell r="H7">
            <v>140000</v>
          </cell>
          <cell r="I7" t="str">
            <v>010-2842-9171</v>
          </cell>
        </row>
        <row r="7">
          <cell r="K7" t="str">
            <v>29150</v>
          </cell>
        </row>
        <row r="8">
          <cell r="A8" t="str">
            <v>이준호</v>
          </cell>
          <cell r="B8" t="str">
            <v>보통인부</v>
          </cell>
          <cell r="C8" t="str">
            <v>680526-1167726</v>
          </cell>
          <cell r="D8" t="str">
            <v> 충북 영동군 영동읍 성안길 20-7</v>
          </cell>
          <cell r="E8" t="str">
            <v>농협</v>
          </cell>
          <cell r="F8" t="str">
            <v>이준호</v>
          </cell>
          <cell r="G8" t="str">
            <v>356-0927-9268-73</v>
          </cell>
          <cell r="H8">
            <v>160000</v>
          </cell>
          <cell r="I8" t="str">
            <v>010-7324-3090</v>
          </cell>
        </row>
        <row r="8">
          <cell r="K8" t="str">
            <v>29149</v>
          </cell>
        </row>
        <row r="9">
          <cell r="A9" t="str">
            <v>박희석</v>
          </cell>
          <cell r="B9" t="str">
            <v>목공</v>
          </cell>
          <cell r="C9" t="str">
            <v>620320-1386717</v>
          </cell>
          <cell r="D9" t="str">
            <v> 충북 영동군 양강면 남전2안길 4-16</v>
          </cell>
          <cell r="E9" t="str">
            <v>농협</v>
          </cell>
          <cell r="F9" t="str">
            <v>박희석</v>
          </cell>
          <cell r="G9" t="str">
            <v>407023-52-023453</v>
          </cell>
          <cell r="H9">
            <v>180000</v>
          </cell>
          <cell r="I9" t="str">
            <v>010-3033-5024</v>
          </cell>
        </row>
        <row r="9">
          <cell r="K9" t="str">
            <v>29155</v>
          </cell>
        </row>
        <row r="10">
          <cell r="A10" t="str">
            <v>박희원</v>
          </cell>
          <cell r="B10" t="str">
            <v>목공</v>
          </cell>
          <cell r="C10" t="str">
            <v>591208-1386711</v>
          </cell>
          <cell r="D10" t="str">
            <v> 충북 영동군 양강면 남전2안길 4-17</v>
          </cell>
          <cell r="E10" t="str">
            <v>농협</v>
          </cell>
          <cell r="F10" t="str">
            <v>박희원</v>
          </cell>
          <cell r="G10" t="str">
            <v>352-1445-5223-63</v>
          </cell>
          <cell r="H10">
            <v>180000</v>
          </cell>
          <cell r="I10" t="str">
            <v>010-5461-8445</v>
          </cell>
        </row>
        <row r="10">
          <cell r="K10" t="str">
            <v>29155</v>
          </cell>
        </row>
        <row r="11">
          <cell r="A11" t="str">
            <v>김주열</v>
          </cell>
          <cell r="B11" t="str">
            <v>철근공</v>
          </cell>
          <cell r="C11" t="str">
            <v>661109-1384112</v>
          </cell>
          <cell r="D11" t="str">
            <v>충북 옥천군 옥천읍 관성로 29</v>
          </cell>
          <cell r="E11" t="str">
            <v>중소기업</v>
          </cell>
          <cell r="F11" t="str">
            <v>김주열</v>
          </cell>
          <cell r="G11" t="str">
            <v>010-5454-1383</v>
          </cell>
          <cell r="H11">
            <v>240000</v>
          </cell>
          <cell r="I11" t="str">
            <v>010-5454-1383</v>
          </cell>
        </row>
        <row r="11">
          <cell r="K11" t="str">
            <v>29039</v>
          </cell>
        </row>
        <row r="12">
          <cell r="A12" t="str">
            <v>김덕환</v>
          </cell>
          <cell r="B12" t="str">
            <v>철근공</v>
          </cell>
          <cell r="C12" t="str">
            <v>671203-1386930</v>
          </cell>
          <cell r="D12" t="str">
            <v>충북 옥천군 옥천읍 신기4길16,a동102</v>
          </cell>
          <cell r="E12" t="str">
            <v>농협</v>
          </cell>
          <cell r="F12" t="str">
            <v>김덕환</v>
          </cell>
          <cell r="G12" t="str">
            <v>356-0961-2797-13</v>
          </cell>
          <cell r="H12">
            <v>200000</v>
          </cell>
          <cell r="I12" t="str">
            <v>010-9422-5581</v>
          </cell>
        </row>
        <row r="13">
          <cell r="B13" t="str">
            <v>철근공</v>
          </cell>
          <cell r="C13" t="str">
            <v>740215-1384136</v>
          </cell>
          <cell r="D13" t="str">
            <v>충북 옥천군 옥천읍 성신로21-10</v>
          </cell>
          <cell r="E13" t="str">
            <v>농협</v>
          </cell>
        </row>
        <row r="13">
          <cell r="G13" t="str">
            <v>317-02-252767</v>
          </cell>
          <cell r="H13">
            <v>240000</v>
          </cell>
          <cell r="I13" t="str">
            <v>010-4569-4810</v>
          </cell>
        </row>
        <row r="13">
          <cell r="K13" t="str">
            <v>29048</v>
          </cell>
          <cell r="L13" t="str">
            <v>김동진</v>
          </cell>
        </row>
        <row r="14">
          <cell r="A14" t="str">
            <v>이영철</v>
          </cell>
          <cell r="B14" t="str">
            <v>철근공</v>
          </cell>
          <cell r="C14" t="str">
            <v>650222-1384139</v>
          </cell>
          <cell r="D14" t="str">
            <v>충북 옥천군 옥천읍 가화3길18,101동105호</v>
          </cell>
          <cell r="E14" t="str">
            <v>농협</v>
          </cell>
          <cell r="F14" t="str">
            <v>이영철</v>
          </cell>
          <cell r="G14" t="str">
            <v>317-12-395296</v>
          </cell>
          <cell r="H14">
            <v>240000</v>
          </cell>
          <cell r="I14" t="str">
            <v>010-5405-3976</v>
          </cell>
        </row>
        <row r="14">
          <cell r="K14" t="str">
            <v>29034</v>
          </cell>
        </row>
        <row r="15">
          <cell r="A15" t="str">
            <v>박용옥</v>
          </cell>
          <cell r="B15" t="str">
            <v>철근공</v>
          </cell>
          <cell r="C15" t="str">
            <v>580304-1384211</v>
          </cell>
          <cell r="D15" t="str">
            <v>충북 옥천군 옥천읍 금구리18-2</v>
          </cell>
          <cell r="E15" t="str">
            <v>농협</v>
          </cell>
          <cell r="F15" t="str">
            <v>박용옥</v>
          </cell>
          <cell r="G15" t="str">
            <v>317-12-351368</v>
          </cell>
          <cell r="H15">
            <v>240000</v>
          </cell>
          <cell r="I15" t="str">
            <v>010-6438-1661</v>
          </cell>
        </row>
        <row r="15">
          <cell r="K15" t="str">
            <v>29046</v>
          </cell>
        </row>
        <row r="16">
          <cell r="A16" t="str">
            <v>박종복</v>
          </cell>
          <cell r="B16" t="str">
            <v>철근공</v>
          </cell>
          <cell r="C16" t="str">
            <v>561005-1384211</v>
          </cell>
          <cell r="D16" t="str">
            <v>충북 옥천군 옥천읍 동부로16,102동901</v>
          </cell>
          <cell r="E16" t="str">
            <v>농협</v>
          </cell>
          <cell r="F16" t="str">
            <v>박종복</v>
          </cell>
          <cell r="G16" t="str">
            <v>302-0299-7809-11</v>
          </cell>
          <cell r="H16">
            <v>240000</v>
          </cell>
          <cell r="I16" t="str">
            <v>010-5457-5297</v>
          </cell>
        </row>
        <row r="16">
          <cell r="K16" t="str">
            <v>29039</v>
          </cell>
        </row>
        <row r="17">
          <cell r="A17" t="str">
            <v>김일용</v>
          </cell>
          <cell r="B17" t="str">
            <v>철근공</v>
          </cell>
          <cell r="C17" t="str">
            <v>580211-1403112</v>
          </cell>
          <cell r="D17" t="str">
            <v>충북 옥천군 옥천읍 신기4길18,나동201호</v>
          </cell>
          <cell r="E17" t="str">
            <v>새마을금고</v>
          </cell>
          <cell r="F17" t="str">
            <v>김일용</v>
          </cell>
          <cell r="G17" t="str">
            <v>9003-2149-2059-6</v>
          </cell>
          <cell r="H17">
            <v>200000</v>
          </cell>
          <cell r="I17" t="str">
            <v>010-9439-5026</v>
          </cell>
        </row>
        <row r="17">
          <cell r="K17" t="str">
            <v>29049</v>
          </cell>
        </row>
        <row r="18">
          <cell r="A18" t="str">
            <v>김일호</v>
          </cell>
          <cell r="B18" t="str">
            <v>보통인부</v>
          </cell>
          <cell r="C18" t="str">
            <v>600413-1386324</v>
          </cell>
          <cell r="D18" t="str">
            <v>충북 영동군 황간면 마산리109</v>
          </cell>
          <cell r="E18" t="str">
            <v>농협</v>
          </cell>
          <cell r="F18" t="str">
            <v>김일호</v>
          </cell>
          <cell r="G18" t="str">
            <v>407089-52-142573</v>
          </cell>
          <cell r="H18">
            <v>130000</v>
          </cell>
          <cell r="I18" t="str">
            <v>010-3060-5145</v>
          </cell>
        </row>
        <row r="18">
          <cell r="K18" t="str">
            <v>29114</v>
          </cell>
        </row>
        <row r="19">
          <cell r="A19" t="str">
            <v>정재인</v>
          </cell>
          <cell r="B19" t="str">
            <v>목공</v>
          </cell>
          <cell r="C19" t="str">
            <v>580217-1384115</v>
          </cell>
          <cell r="D19" t="str">
            <v>충북 옥천군 옥천읍 성신로27B동101호</v>
          </cell>
          <cell r="E19" t="str">
            <v>농협</v>
          </cell>
          <cell r="F19" t="str">
            <v>정재인</v>
          </cell>
          <cell r="G19" t="str">
            <v>405010-51-123375</v>
          </cell>
          <cell r="H19">
            <v>200000</v>
          </cell>
          <cell r="I19" t="str">
            <v>010-5493-3436</v>
          </cell>
        </row>
        <row r="20">
          <cell r="A20" t="str">
            <v>정백교</v>
          </cell>
          <cell r="B20" t="str">
            <v>목공</v>
          </cell>
          <cell r="C20" t="str">
            <v>561220-1812524</v>
          </cell>
          <cell r="D20" t="str">
            <v>대전광역시 동구 대동 33-119</v>
          </cell>
          <cell r="E20" t="str">
            <v>국민</v>
          </cell>
          <cell r="F20" t="str">
            <v>정백교</v>
          </cell>
          <cell r="G20" t="str">
            <v>734402-01-012660</v>
          </cell>
          <cell r="H20">
            <v>200000</v>
          </cell>
          <cell r="I20" t="str">
            <v>010-5408-8423</v>
          </cell>
        </row>
        <row r="20">
          <cell r="K20" t="str">
            <v>34657</v>
          </cell>
        </row>
        <row r="21">
          <cell r="A21" t="str">
            <v>공양록</v>
          </cell>
          <cell r="B21" t="str">
            <v>목공</v>
          </cell>
          <cell r="C21" t="str">
            <v>570505-1384112</v>
          </cell>
          <cell r="D21" t="str">
            <v>충북 옥천군 옥천읍 대천557-1   25</v>
          </cell>
          <cell r="E21" t="str">
            <v>국민</v>
          </cell>
          <cell r="F21" t="str">
            <v>공양록</v>
          </cell>
          <cell r="G21" t="str">
            <v>405-21-0588-793</v>
          </cell>
          <cell r="H21">
            <v>200000</v>
          </cell>
          <cell r="I21" t="str">
            <v>010-3456-5927</v>
          </cell>
        </row>
        <row r="22">
          <cell r="A22" t="str">
            <v>이정열</v>
          </cell>
          <cell r="B22" t="str">
            <v>목공</v>
          </cell>
          <cell r="C22" t="str">
            <v>590820-1384819</v>
          </cell>
          <cell r="D22" t="str">
            <v>충북 옥천군 옥천읍 중앙로2길24</v>
          </cell>
          <cell r="E22" t="str">
            <v>농협</v>
          </cell>
          <cell r="F22" t="str">
            <v>이정열</v>
          </cell>
          <cell r="G22" t="str">
            <v>356-1330-1383-03</v>
          </cell>
          <cell r="H22">
            <v>200000</v>
          </cell>
          <cell r="I22" t="str">
            <v>011-464-4388</v>
          </cell>
        </row>
        <row r="22">
          <cell r="K22" t="str">
            <v>29047</v>
          </cell>
        </row>
        <row r="23">
          <cell r="A23" t="str">
            <v>정경섭</v>
          </cell>
          <cell r="B23" t="str">
            <v>목공</v>
          </cell>
          <cell r="C23" t="str">
            <v>580319-1254218</v>
          </cell>
          <cell r="D23" t="str">
            <v>충북 옥천군 동이면 남곡리151</v>
          </cell>
          <cell r="E23" t="str">
            <v>농협</v>
          </cell>
          <cell r="F23" t="str">
            <v>정경섭</v>
          </cell>
          <cell r="G23" t="str">
            <v>173128-52-132419</v>
          </cell>
          <cell r="H23">
            <v>200000</v>
          </cell>
          <cell r="I23" t="str">
            <v>010-8808-1863</v>
          </cell>
        </row>
        <row r="23">
          <cell r="K23" t="str">
            <v>29021</v>
          </cell>
        </row>
        <row r="24">
          <cell r="A24" t="str">
            <v>이종선</v>
          </cell>
          <cell r="B24" t="str">
            <v>목공</v>
          </cell>
          <cell r="C24" t="str">
            <v>620315-1382711</v>
          </cell>
          <cell r="D24" t="str">
            <v>충북 보은군 수한면 차정리99-1</v>
          </cell>
          <cell r="E24" t="str">
            <v>농협</v>
          </cell>
          <cell r="F24" t="str">
            <v>이종선</v>
          </cell>
          <cell r="G24" t="str">
            <v>356-0638-7963-13</v>
          </cell>
          <cell r="H24">
            <v>200000</v>
          </cell>
          <cell r="I24" t="str">
            <v>010-3456-5927</v>
          </cell>
        </row>
        <row r="24">
          <cell r="K24" t="str">
            <v>28919</v>
          </cell>
        </row>
        <row r="25">
          <cell r="A25" t="str">
            <v>황인호</v>
          </cell>
          <cell r="B25" t="str">
            <v>목공</v>
          </cell>
          <cell r="C25" t="str">
            <v>570625-1384117</v>
          </cell>
          <cell r="D25" t="str">
            <v>대전 동구 자양35-14</v>
          </cell>
          <cell r="E25" t="str">
            <v>농협</v>
          </cell>
          <cell r="F25" t="str">
            <v>황인호</v>
          </cell>
          <cell r="G25" t="str">
            <v>356-1420-1868-53</v>
          </cell>
          <cell r="H25">
            <v>200000</v>
          </cell>
          <cell r="I25" t="str">
            <v>010-9874-7747</v>
          </cell>
        </row>
        <row r="26">
          <cell r="A26" t="str">
            <v>공양호</v>
          </cell>
          <cell r="B26" t="str">
            <v>목공</v>
          </cell>
          <cell r="C26" t="str">
            <v>620302-1384112</v>
          </cell>
          <cell r="D26" t="str">
            <v>충북 옥천군 옥천읍 장이1길1005호</v>
          </cell>
          <cell r="E26" t="str">
            <v>농협</v>
          </cell>
          <cell r="F26" t="str">
            <v>공양호</v>
          </cell>
          <cell r="G26" t="str">
            <v>356-1307-5702-93</v>
          </cell>
          <cell r="H26">
            <v>200000</v>
          </cell>
          <cell r="I26" t="str">
            <v>010-5450-2276</v>
          </cell>
        </row>
        <row r="27">
          <cell r="A27" t="str">
            <v>김홍성</v>
          </cell>
          <cell r="B27" t="str">
            <v>목공</v>
          </cell>
          <cell r="C27" t="str">
            <v>490418-1447611</v>
          </cell>
          <cell r="D27" t="str">
            <v>대전 대덕구 대덕대로1601번길40</v>
          </cell>
          <cell r="E27" t="str">
            <v>농협</v>
          </cell>
          <cell r="F27" t="str">
            <v>김홍성</v>
          </cell>
          <cell r="G27" t="str">
            <v>352-1448-3038-13</v>
          </cell>
          <cell r="H27">
            <v>200000</v>
          </cell>
          <cell r="I27" t="str">
            <v>010-5609-4913</v>
          </cell>
        </row>
        <row r="27">
          <cell r="K27" t="str">
            <v>34305</v>
          </cell>
        </row>
        <row r="28">
          <cell r="A28" t="str">
            <v>남상길</v>
          </cell>
          <cell r="B28" t="str">
            <v>목공</v>
          </cell>
          <cell r="C28" t="str">
            <v>550719-1805215</v>
          </cell>
          <cell r="D28" t="str">
            <v>충북 옥천군 옥천읍 서정1길5-40</v>
          </cell>
          <cell r="E28" t="str">
            <v>농협</v>
          </cell>
          <cell r="F28" t="str">
            <v>남상길</v>
          </cell>
          <cell r="G28" t="str">
            <v>356-1314-4411-13</v>
          </cell>
          <cell r="H28">
            <v>200000</v>
          </cell>
          <cell r="I28" t="str">
            <v>010-8826-8939</v>
          </cell>
        </row>
        <row r="28">
          <cell r="K28" t="str">
            <v>29025</v>
          </cell>
        </row>
        <row r="29">
          <cell r="A29" t="str">
            <v>최성환</v>
          </cell>
          <cell r="B29" t="str">
            <v>철근공</v>
          </cell>
          <cell r="C29" t="str">
            <v>660710-1386211</v>
          </cell>
          <cell r="D29" t="str">
            <v>충북 옥천군 옥천읍 삼양로2길 6-4</v>
          </cell>
          <cell r="E29" t="str">
            <v>중소기업</v>
          </cell>
          <cell r="F29" t="str">
            <v>최성환</v>
          </cell>
          <cell r="G29" t="str">
            <v>570-000536-02-026</v>
          </cell>
          <cell r="H29">
            <v>200000</v>
          </cell>
          <cell r="I29" t="str">
            <v>010-6641-6613</v>
          </cell>
        </row>
        <row r="29">
          <cell r="K29" t="str">
            <v>29032</v>
          </cell>
        </row>
        <row r="30">
          <cell r="A30" t="str">
            <v>진수영</v>
          </cell>
          <cell r="B30" t="str">
            <v>철근공</v>
          </cell>
          <cell r="C30" t="str">
            <v>550928-1384216</v>
          </cell>
          <cell r="D30" t="str">
            <v>충북 옥천군 동이면 무산리657</v>
          </cell>
          <cell r="E30" t="str">
            <v>신협</v>
          </cell>
          <cell r="F30" t="str">
            <v>진수영</v>
          </cell>
          <cell r="G30" t="str">
            <v>131-015-480063</v>
          </cell>
          <cell r="H30">
            <v>200000</v>
          </cell>
          <cell r="I30" t="str">
            <v>010-4352-2174</v>
          </cell>
        </row>
        <row r="31">
          <cell r="A31" t="str">
            <v>김종덕</v>
          </cell>
          <cell r="B31" t="str">
            <v>철근공</v>
          </cell>
          <cell r="C31" t="str">
            <v>551120-1449514</v>
          </cell>
          <cell r="D31" t="str">
            <v>대전 광역시 중구 유천동 340-51</v>
          </cell>
          <cell r="E31" t="str">
            <v>국민</v>
          </cell>
          <cell r="F31" t="str">
            <v>김종덕</v>
          </cell>
          <cell r="G31" t="str">
            <v>460001-04-016552</v>
          </cell>
          <cell r="H31">
            <v>200000</v>
          </cell>
          <cell r="I31" t="str">
            <v>010-3418-1669</v>
          </cell>
        </row>
        <row r="32">
          <cell r="A32" t="str">
            <v>김용근</v>
          </cell>
          <cell r="B32" t="str">
            <v>철근공</v>
          </cell>
          <cell r="C32" t="str">
            <v>491010-1403113</v>
          </cell>
          <cell r="D32" t="str">
            <v>충북 옥천군 동이면 무산리658</v>
          </cell>
          <cell r="E32" t="str">
            <v>국민</v>
          </cell>
          <cell r="F32" t="str">
            <v>김용근</v>
          </cell>
          <cell r="G32" t="str">
            <v>740902-93-109270</v>
          </cell>
          <cell r="H32">
            <v>200000</v>
          </cell>
          <cell r="I32" t="str">
            <v>010-5456-3529</v>
          </cell>
        </row>
        <row r="33">
          <cell r="A33" t="str">
            <v>윤진한</v>
          </cell>
          <cell r="B33" t="str">
            <v>석공</v>
          </cell>
          <cell r="C33" t="str">
            <v>760224-1386921</v>
          </cell>
          <cell r="D33" t="str">
            <v>충북 영동군 영동읍 계산리 197-2</v>
          </cell>
          <cell r="E33" t="str">
            <v>농협</v>
          </cell>
          <cell r="F33" t="str">
            <v>윤진한</v>
          </cell>
          <cell r="G33" t="str">
            <v>356-0991-0651-23</v>
          </cell>
          <cell r="H33">
            <v>250000</v>
          </cell>
          <cell r="I33" t="str">
            <v>010-7360-3345</v>
          </cell>
        </row>
        <row r="33">
          <cell r="K33" t="str">
            <v>29139</v>
          </cell>
        </row>
        <row r="34">
          <cell r="A34" t="str">
            <v>권오득</v>
          </cell>
          <cell r="B34" t="str">
            <v>보통인부</v>
          </cell>
          <cell r="C34" t="str">
            <v>640529-1386416</v>
          </cell>
          <cell r="D34" t="str">
            <v>충북영동군추풍령면추풍령로9길10-2</v>
          </cell>
          <cell r="E34" t="str">
            <v>농협</v>
          </cell>
          <cell r="F34" t="str">
            <v>권오득</v>
          </cell>
          <cell r="G34" t="str">
            <v>352-1857-0983-23</v>
          </cell>
          <cell r="H34">
            <v>150000</v>
          </cell>
          <cell r="I34" t="str">
            <v>010-9133-8928</v>
          </cell>
        </row>
        <row r="35">
          <cell r="A35" t="str">
            <v>손석래</v>
          </cell>
          <cell r="B35" t="str">
            <v>보통인부</v>
          </cell>
          <cell r="C35" t="str">
            <v>600404-1386121</v>
          </cell>
          <cell r="D35" t="str">
            <v>충북 영동군 영동읍 새심길18,1004호 조한드림플러스@</v>
          </cell>
          <cell r="E35" t="str">
            <v>농협</v>
          </cell>
          <cell r="F35" t="str">
            <v>손석래</v>
          </cell>
          <cell r="G35" t="str">
            <v>356-1493-9522-63</v>
          </cell>
          <cell r="H35">
            <v>160000</v>
          </cell>
          <cell r="I35" t="str">
            <v>043-744-5228</v>
          </cell>
        </row>
        <row r="35">
          <cell r="K35" t="str">
            <v>29142</v>
          </cell>
        </row>
        <row r="36">
          <cell r="A36" t="str">
            <v>조운규</v>
          </cell>
          <cell r="B36" t="str">
            <v>특별인부</v>
          </cell>
          <cell r="C36" t="str">
            <v>650305-1386131</v>
          </cell>
          <cell r="D36" t="str">
            <v>충북 영동군 영동읍 금동안길 60</v>
          </cell>
          <cell r="E36" t="str">
            <v>우체국</v>
          </cell>
          <cell r="F36" t="str">
            <v>조운규</v>
          </cell>
          <cell r="G36" t="str">
            <v>301515-02-022804</v>
          </cell>
          <cell r="H36">
            <v>170000</v>
          </cell>
          <cell r="I36" t="str">
            <v>010-8343-0468</v>
          </cell>
        </row>
        <row r="36">
          <cell r="K36" t="str">
            <v>29138</v>
          </cell>
        </row>
        <row r="37">
          <cell r="A37" t="str">
            <v>강희종</v>
          </cell>
          <cell r="B37" t="str">
            <v>단순노무자</v>
          </cell>
          <cell r="C37" t="str">
            <v>540612-1400325</v>
          </cell>
          <cell r="D37" t="str">
            <v>충북 영동군 추풍령면 추풍령로5안길8</v>
          </cell>
          <cell r="E37" t="str">
            <v>농협</v>
          </cell>
          <cell r="F37" t="str">
            <v>강희종</v>
          </cell>
          <cell r="G37" t="str">
            <v>351-1142-0210-73</v>
          </cell>
          <cell r="H37">
            <v>130000</v>
          </cell>
          <cell r="I37" t="str">
            <v>010-5028-0656</v>
          </cell>
          <cell r="J37" t="str">
            <v>명장인력</v>
          </cell>
          <cell r="K37" t="str">
            <v>29120</v>
          </cell>
        </row>
        <row r="38">
          <cell r="A38" t="str">
            <v>김기필</v>
          </cell>
          <cell r="B38" t="str">
            <v>단순노무자</v>
          </cell>
          <cell r="C38" t="str">
            <v>611022-1386251</v>
          </cell>
          <cell r="D38" t="str">
            <v>충북 영동군 용산면 금곡3길 19</v>
          </cell>
          <cell r="E38" t="str">
            <v>농협</v>
          </cell>
          <cell r="F38" t="str">
            <v>김기필</v>
          </cell>
          <cell r="G38" t="str">
            <v>351-1142-0210-73</v>
          </cell>
          <cell r="H38">
            <v>150000</v>
          </cell>
          <cell r="I38" t="str">
            <v>010-6428-8990</v>
          </cell>
          <cell r="J38" t="str">
            <v>명장인력</v>
          </cell>
          <cell r="K38" t="str">
            <v>29100</v>
          </cell>
        </row>
        <row r="39">
          <cell r="A39" t="str">
            <v>윤석률</v>
          </cell>
          <cell r="B39" t="str">
            <v>단순노무자</v>
          </cell>
          <cell r="C39" t="str">
            <v>681215-1384614</v>
          </cell>
          <cell r="D39" t="str">
            <v>충북 옥천군 청산면 효목1길 83</v>
          </cell>
          <cell r="E39" t="str">
            <v>농협</v>
          </cell>
          <cell r="F39" t="str">
            <v>윤석률</v>
          </cell>
          <cell r="G39" t="str">
            <v>351-1142-0210-73</v>
          </cell>
          <cell r="H39">
            <v>150000</v>
          </cell>
          <cell r="I39" t="str">
            <v>010-3425-9337</v>
          </cell>
          <cell r="J39" t="str">
            <v>명장인력</v>
          </cell>
          <cell r="K39" t="str">
            <v>29015</v>
          </cell>
        </row>
        <row r="40">
          <cell r="A40" t="str">
            <v>전근성</v>
          </cell>
          <cell r="B40" t="str">
            <v>단순노무자</v>
          </cell>
          <cell r="C40" t="str">
            <v>721105-1386912</v>
          </cell>
          <cell r="D40" t="str">
            <v>충북 영동군 학산면 모정길 78</v>
          </cell>
          <cell r="E40" t="str">
            <v>농협</v>
          </cell>
          <cell r="F40" t="str">
            <v>전근성</v>
          </cell>
          <cell r="G40" t="str">
            <v>351-1142-0210-73</v>
          </cell>
          <cell r="H40">
            <v>150000</v>
          </cell>
          <cell r="I40" t="str">
            <v>010-3405-4114</v>
          </cell>
          <cell r="J40" t="str">
            <v>명장인력</v>
          </cell>
          <cell r="K40" t="str">
            <v>29165</v>
          </cell>
        </row>
        <row r="41">
          <cell r="A41" t="str">
            <v>김병호</v>
          </cell>
          <cell r="B41" t="str">
            <v>철근공</v>
          </cell>
          <cell r="C41" t="str">
            <v>921202-1058619</v>
          </cell>
          <cell r="D41" t="str">
            <v>충북 옥천군 옥천읍 관성로 29</v>
          </cell>
          <cell r="E41" t="str">
            <v>우체국</v>
          </cell>
          <cell r="F41" t="str">
            <v>김병호</v>
          </cell>
          <cell r="G41" t="str">
            <v>300111-02-297282</v>
          </cell>
          <cell r="H41">
            <v>200000</v>
          </cell>
          <cell r="I41" t="str">
            <v>010-4904-9092</v>
          </cell>
        </row>
        <row r="41">
          <cell r="K41" t="str">
            <v>29039</v>
          </cell>
        </row>
        <row r="42">
          <cell r="A42" t="str">
            <v>최동섭</v>
          </cell>
          <cell r="B42" t="str">
            <v>특별인부</v>
          </cell>
          <cell r="C42" t="str">
            <v>670211-1386119</v>
          </cell>
          <cell r="D42" t="str">
            <v>충북 영동군 영동읍 부용7안길7-1</v>
          </cell>
          <cell r="E42" t="str">
            <v>농협</v>
          </cell>
          <cell r="F42" t="str">
            <v>최동섭</v>
          </cell>
          <cell r="G42" t="str">
            <v>173173-52-042958</v>
          </cell>
          <cell r="H42">
            <v>170000</v>
          </cell>
          <cell r="I42" t="str">
            <v>010-4114-2902</v>
          </cell>
        </row>
        <row r="42">
          <cell r="K42" t="str">
            <v>29149</v>
          </cell>
        </row>
        <row r="43">
          <cell r="A43" t="str">
            <v>김영환</v>
          </cell>
          <cell r="B43" t="str">
            <v>보통인부</v>
          </cell>
          <cell r="C43" t="str">
            <v>600925-1386115</v>
          </cell>
          <cell r="D43" t="str">
            <v>충북 영동군 영동읍 계산리 426-1</v>
          </cell>
          <cell r="E43" t="str">
            <v>농협</v>
          </cell>
          <cell r="F43" t="str">
            <v>김영환</v>
          </cell>
          <cell r="G43" t="str">
            <v>302-1601-4630-21</v>
          </cell>
          <cell r="H43">
            <v>130000</v>
          </cell>
        </row>
        <row r="43">
          <cell r="K43" t="str">
            <v>29138</v>
          </cell>
        </row>
        <row r="44">
          <cell r="A44" t="str">
            <v>김명숙</v>
          </cell>
          <cell r="B44" t="str">
            <v>보통인부</v>
          </cell>
          <cell r="C44" t="str">
            <v>660125-2524919</v>
          </cell>
          <cell r="D44" t="str">
            <v>대전 동구 판암동 328방주아파트101-604</v>
          </cell>
          <cell r="E44" t="str">
            <v>농협</v>
          </cell>
          <cell r="F44" t="str">
            <v>김명숙</v>
          </cell>
          <cell r="G44" t="str">
            <v>302-0957-7396-11</v>
          </cell>
          <cell r="H44">
            <v>150000</v>
          </cell>
        </row>
        <row r="45">
          <cell r="A45" t="str">
            <v>이홍성</v>
          </cell>
          <cell r="B45" t="str">
            <v>목공</v>
          </cell>
          <cell r="C45" t="str">
            <v>510520-1384216</v>
          </cell>
          <cell r="D45" t="str">
            <v>충북 옥천 옥천읍 미암리49-1</v>
          </cell>
          <cell r="E45" t="str">
            <v>농협</v>
          </cell>
          <cell r="F45" t="str">
            <v>이홍성</v>
          </cell>
          <cell r="G45" t="str">
            <v>356-1306-8954-13</v>
          </cell>
          <cell r="H45">
            <v>200000</v>
          </cell>
          <cell r="I45" t="str">
            <v>010-5100-7490</v>
          </cell>
        </row>
        <row r="46">
          <cell r="A46" t="str">
            <v>김장곤</v>
          </cell>
          <cell r="B46" t="str">
            <v>목공</v>
          </cell>
          <cell r="C46" t="str">
            <v>611211-1458428</v>
          </cell>
          <cell r="D46" t="str">
            <v>대전광역시 중구 산성동 304-18</v>
          </cell>
          <cell r="E46" t="str">
            <v>농협</v>
          </cell>
          <cell r="F46" t="str">
            <v>김장곤</v>
          </cell>
          <cell r="G46" t="str">
            <v>356-1483-5978-13</v>
          </cell>
          <cell r="H46">
            <v>200000</v>
          </cell>
          <cell r="I46" t="str">
            <v>010-4830-2110</v>
          </cell>
        </row>
        <row r="46">
          <cell r="K46" t="str">
            <v>35054</v>
          </cell>
        </row>
        <row r="47">
          <cell r="A47" t="str">
            <v>김효식</v>
          </cell>
          <cell r="B47" t="str">
            <v>목공</v>
          </cell>
          <cell r="C47" t="str">
            <v>630220-1384116</v>
          </cell>
          <cell r="D47" t="str">
            <v>충북 옥천 옥천읍 송신길 89-1</v>
          </cell>
          <cell r="E47" t="str">
            <v>농협</v>
          </cell>
          <cell r="F47" t="str">
            <v>김효식</v>
          </cell>
          <cell r="G47" t="str">
            <v>356-1306-7504-13</v>
          </cell>
          <cell r="H47">
            <v>200000</v>
          </cell>
          <cell r="I47" t="str">
            <v>010-3448-1889</v>
          </cell>
        </row>
        <row r="48">
          <cell r="A48" t="str">
            <v>김정자</v>
          </cell>
          <cell r="B48" t="str">
            <v>목공</v>
          </cell>
          <cell r="C48" t="str">
            <v>600225-2408313</v>
          </cell>
          <cell r="D48" t="str">
            <v>대전 동구 판암동236주공 508-1302</v>
          </cell>
          <cell r="E48" t="str">
            <v>농협</v>
          </cell>
          <cell r="F48" t="str">
            <v>김정자</v>
          </cell>
          <cell r="G48" t="str">
            <v>302-1299-6426-51</v>
          </cell>
          <cell r="H48">
            <v>150000</v>
          </cell>
          <cell r="I48" t="str">
            <v>010-5402-7460</v>
          </cell>
        </row>
        <row r="49">
          <cell r="A49" t="str">
            <v>이순희</v>
          </cell>
          <cell r="B49" t="str">
            <v>목공</v>
          </cell>
          <cell r="C49" t="str">
            <v>610808-2379713</v>
          </cell>
          <cell r="D49" t="str">
            <v>충북 옥천 옥천읍 마암리22-4은혜연립B동101</v>
          </cell>
          <cell r="E49" t="str">
            <v>농협</v>
          </cell>
          <cell r="F49" t="str">
            <v>이순희</v>
          </cell>
          <cell r="G49" t="str">
            <v>405013-52-039686</v>
          </cell>
          <cell r="H49">
            <v>150000</v>
          </cell>
          <cell r="I49" t="str">
            <v>010-9138-3436</v>
          </cell>
        </row>
        <row r="50">
          <cell r="A50" t="str">
            <v>김태식</v>
          </cell>
          <cell r="B50" t="str">
            <v>목공</v>
          </cell>
          <cell r="C50" t="str">
            <v>551215-1384133</v>
          </cell>
          <cell r="D50" t="str">
            <v>충북옥천 옥천읍문정리 62-1</v>
          </cell>
          <cell r="E50" t="str">
            <v>농협</v>
          </cell>
          <cell r="F50" t="str">
            <v>김태식</v>
          </cell>
          <cell r="G50" t="str">
            <v>302-5458-3411-01</v>
          </cell>
          <cell r="H50">
            <v>200000</v>
          </cell>
          <cell r="I50" t="str">
            <v>010-5458-3411</v>
          </cell>
        </row>
        <row r="51">
          <cell r="A51" t="str">
            <v>유현봉</v>
          </cell>
          <cell r="B51" t="str">
            <v>목공</v>
          </cell>
          <cell r="C51" t="str">
            <v>531210-1384312</v>
          </cell>
          <cell r="D51" t="str">
            <v>충북 옥천 옥천읍 양수로6길4</v>
          </cell>
          <cell r="E51" t="str">
            <v>국민</v>
          </cell>
          <cell r="F51" t="str">
            <v>유현봉</v>
          </cell>
          <cell r="G51" t="str">
            <v>405-24-0081-770</v>
          </cell>
          <cell r="H51">
            <v>200000</v>
          </cell>
          <cell r="I51" t="str">
            <v>010-5427-7937</v>
          </cell>
        </row>
        <row r="52">
          <cell r="A52" t="str">
            <v>신기창</v>
          </cell>
          <cell r="B52" t="str">
            <v>목공</v>
          </cell>
          <cell r="C52" t="str">
            <v>611028-1411611</v>
          </cell>
          <cell r="D52" t="str">
            <v>충북 옥천 옥천읍 성암2길30-1</v>
          </cell>
          <cell r="E52" t="str">
            <v>농협</v>
          </cell>
          <cell r="F52" t="str">
            <v>신기창</v>
          </cell>
          <cell r="G52" t="str">
            <v>356-1479-8602-73</v>
          </cell>
          <cell r="H52">
            <v>200000</v>
          </cell>
          <cell r="I52" t="str">
            <v>010-3893-7198</v>
          </cell>
        </row>
        <row r="53">
          <cell r="A53" t="str">
            <v>김충재</v>
          </cell>
          <cell r="B53" t="str">
            <v>목공</v>
          </cell>
          <cell r="C53" t="str">
            <v>590114-1384121</v>
          </cell>
          <cell r="D53" t="str">
            <v>충북 옥천 옥천읍 금구천길15나동103호</v>
          </cell>
          <cell r="E53" t="str">
            <v>농협</v>
          </cell>
          <cell r="F53" t="str">
            <v>김충재</v>
          </cell>
          <cell r="G53" t="str">
            <v>356-1488-3009-73</v>
          </cell>
          <cell r="H53">
            <v>200000</v>
          </cell>
          <cell r="I53" t="str">
            <v>010-5465-8302</v>
          </cell>
        </row>
        <row r="54">
          <cell r="A54" t="str">
            <v>김정식</v>
          </cell>
          <cell r="B54" t="str">
            <v>목공</v>
          </cell>
          <cell r="C54" t="str">
            <v>760110-1384826</v>
          </cell>
          <cell r="D54" t="str">
            <v>충북 옥천 옥천읍가화3길23</v>
          </cell>
          <cell r="E54" t="str">
            <v>농협</v>
          </cell>
          <cell r="F54" t="str">
            <v>김정식</v>
          </cell>
          <cell r="G54" t="str">
            <v>302-0953-8269-11</v>
          </cell>
          <cell r="H54">
            <v>200000</v>
          </cell>
          <cell r="I54" t="str">
            <v>010-6252-2437</v>
          </cell>
        </row>
        <row r="55">
          <cell r="A55" t="str">
            <v>소세영</v>
          </cell>
          <cell r="B55" t="str">
            <v>철근공</v>
          </cell>
          <cell r="C55" t="str">
            <v>661110-1403017</v>
          </cell>
          <cell r="D55" t="str">
            <v>대전 동구 번동 2길 25(천동)</v>
          </cell>
          <cell r="E55" t="str">
            <v>농협</v>
          </cell>
          <cell r="F55" t="str">
            <v>소세영</v>
          </cell>
          <cell r="G55" t="str">
            <v>351-0883-3616-63</v>
          </cell>
          <cell r="H55">
            <v>200000</v>
          </cell>
          <cell r="I55" t="str">
            <v>010-8859-2729</v>
          </cell>
          <cell r="J55" t="str">
            <v>010-5454-1383</v>
          </cell>
          <cell r="K55" t="str">
            <v>34683</v>
          </cell>
        </row>
        <row r="56">
          <cell r="A56" t="str">
            <v>이영훈</v>
          </cell>
          <cell r="B56" t="str">
            <v>철근공</v>
          </cell>
          <cell r="C56" t="str">
            <v>941126-1055311</v>
          </cell>
          <cell r="D56" t="str">
            <v>서울 영등포구 도신로29길28</v>
          </cell>
          <cell r="E56" t="str">
            <v>중소기업</v>
          </cell>
          <cell r="F56" t="str">
            <v>이영훈</v>
          </cell>
          <cell r="G56" t="str">
            <v>570-020656-01-010</v>
          </cell>
          <cell r="H56">
            <v>200000</v>
          </cell>
          <cell r="I56" t="str">
            <v>010-9358-8464</v>
          </cell>
          <cell r="J56" t="str">
            <v>010-5454-1383</v>
          </cell>
          <cell r="K56" t="str">
            <v>07365</v>
          </cell>
        </row>
        <row r="57">
          <cell r="A57" t="str">
            <v>박길환</v>
          </cell>
          <cell r="B57" t="str">
            <v>철근공</v>
          </cell>
          <cell r="C57" t="str">
            <v>671015-1920528</v>
          </cell>
          <cell r="D57" t="str">
            <v>충북 옥천 옥천읍 중앙로6길8</v>
          </cell>
          <cell r="E57" t="str">
            <v>중소기업</v>
          </cell>
          <cell r="F57" t="str">
            <v>박길환</v>
          </cell>
          <cell r="G57" t="str">
            <v>570-020656-01-010</v>
          </cell>
          <cell r="H57">
            <v>200000</v>
          </cell>
          <cell r="I57" t="str">
            <v>010-4486-7508</v>
          </cell>
          <cell r="J57" t="str">
            <v>010-5454-1383</v>
          </cell>
        </row>
        <row r="58">
          <cell r="A58" t="str">
            <v>원용길</v>
          </cell>
          <cell r="B58" t="str">
            <v>철근공</v>
          </cell>
          <cell r="C58" t="str">
            <v>640220-5141993</v>
          </cell>
          <cell r="D58" t="str">
            <v>재외동포(F-4)</v>
          </cell>
          <cell r="E58" t="str">
            <v>중소기업</v>
          </cell>
          <cell r="F58" t="str">
            <v>원용길</v>
          </cell>
          <cell r="G58" t="str">
            <v>570-020656-01-010</v>
          </cell>
          <cell r="H58">
            <v>200000</v>
          </cell>
          <cell r="I58" t="str">
            <v>010-2293-0638</v>
          </cell>
          <cell r="J58" t="str">
            <v>010-5454-1383</v>
          </cell>
        </row>
        <row r="59">
          <cell r="A59" t="str">
            <v>조갑성</v>
          </cell>
          <cell r="B59" t="str">
            <v>목공</v>
          </cell>
          <cell r="C59" t="str">
            <v>540619-1384810</v>
          </cell>
          <cell r="D59" t="str">
            <v>충북 옥천 옥천읍 문장로2길9</v>
          </cell>
          <cell r="E59" t="str">
            <v>우체국</v>
          </cell>
          <cell r="F59" t="str">
            <v>조갑성</v>
          </cell>
          <cell r="G59" t="str">
            <v>102434-02-170588</v>
          </cell>
          <cell r="H59">
            <v>200000</v>
          </cell>
          <cell r="I59" t="str">
            <v>010-3456-5927</v>
          </cell>
        </row>
        <row r="60">
          <cell r="A60" t="str">
            <v>박준용</v>
          </cell>
          <cell r="B60" t="str">
            <v>보통인부</v>
          </cell>
          <cell r="C60" t="str">
            <v>571003-1386215</v>
          </cell>
          <cell r="D60" t="str">
            <v>충북 영동군 영동읍 중앙로1길18</v>
          </cell>
          <cell r="E60" t="str">
            <v>농협</v>
          </cell>
          <cell r="F60" t="str">
            <v>박준용</v>
          </cell>
          <cell r="G60" t="str">
            <v>407034-52-068141</v>
          </cell>
          <cell r="H60">
            <v>150000</v>
          </cell>
        </row>
        <row r="60">
          <cell r="K60" t="str">
            <v>29145</v>
          </cell>
        </row>
        <row r="61">
          <cell r="A61" t="str">
            <v>백경훈</v>
          </cell>
          <cell r="B61" t="str">
            <v>단순노무자</v>
          </cell>
          <cell r="C61" t="str">
            <v>850202-1386312</v>
          </cell>
          <cell r="D61" t="str">
            <v>충북 영동군 황간면 남성동3길27</v>
          </cell>
        </row>
        <row r="61">
          <cell r="F61" t="str">
            <v>백경훈</v>
          </cell>
        </row>
        <row r="61">
          <cell r="H61">
            <v>170000</v>
          </cell>
        </row>
        <row r="61">
          <cell r="K61" t="str">
            <v>29115</v>
          </cell>
        </row>
        <row r="62">
          <cell r="A62" t="str">
            <v>이진권</v>
          </cell>
          <cell r="B62" t="str">
            <v>단순노무자</v>
          </cell>
          <cell r="C62" t="str">
            <v>610210-1238818</v>
          </cell>
          <cell r="D62" t="str">
            <v>경기도 연천군 전곡읍 전곡리 324-33세림빌라7동301호</v>
          </cell>
          <cell r="E62" t="str">
            <v>농협</v>
          </cell>
          <cell r="F62" t="str">
            <v>이진권</v>
          </cell>
          <cell r="G62" t="str">
            <v>356-0129-1298-13</v>
          </cell>
          <cell r="H62">
            <v>170000</v>
          </cell>
        </row>
        <row r="63">
          <cell r="A63" t="str">
            <v>김동식</v>
          </cell>
          <cell r="B63" t="str">
            <v>단순노무자</v>
          </cell>
          <cell r="C63" t="str">
            <v>760715-1386710</v>
          </cell>
          <cell r="D63" t="str">
            <v>충북 영동군 영동읍금동로1길6,202호(혜성빌라)</v>
          </cell>
          <cell r="E63" t="str">
            <v>우체국</v>
          </cell>
          <cell r="F63" t="str">
            <v>김동식</v>
          </cell>
          <cell r="G63" t="str">
            <v>301515-02-072801</v>
          </cell>
          <cell r="H63">
            <v>160000</v>
          </cell>
        </row>
        <row r="64">
          <cell r="A64" t="str">
            <v>정광일</v>
          </cell>
          <cell r="B64" t="str">
            <v>철근공</v>
          </cell>
          <cell r="C64" t="str">
            <v>600220-1041824</v>
          </cell>
          <cell r="D64" t="str">
            <v>충북 옥천군 옥천읍 동부로16 101동301호(하늘빛아파트)</v>
          </cell>
          <cell r="E64" t="str">
            <v>농협</v>
          </cell>
          <cell r="F64" t="str">
            <v>정광일</v>
          </cell>
          <cell r="G64" t="str">
            <v>351-0883-3616-63</v>
          </cell>
          <cell r="H64">
            <v>200000</v>
          </cell>
        </row>
        <row r="64">
          <cell r="K64" t="str">
            <v>29039</v>
          </cell>
        </row>
        <row r="65">
          <cell r="A65" t="str">
            <v>이윤건</v>
          </cell>
          <cell r="B65" t="str">
            <v>철근공</v>
          </cell>
          <cell r="C65" t="str">
            <v>630822-1229912</v>
          </cell>
          <cell r="D65" t="str">
            <v>충북 옥천군 군서면 성왕로 489-16</v>
          </cell>
          <cell r="E65" t="str">
            <v>농협</v>
          </cell>
          <cell r="F65" t="str">
            <v>이윤건</v>
          </cell>
          <cell r="G65" t="str">
            <v>351-0883-3616-63</v>
          </cell>
          <cell r="H65">
            <v>200000</v>
          </cell>
        </row>
        <row r="65">
          <cell r="K65" t="str">
            <v>29059</v>
          </cell>
        </row>
        <row r="66">
          <cell r="A66" t="str">
            <v>박래일</v>
          </cell>
          <cell r="B66" t="str">
            <v>보통인부</v>
          </cell>
          <cell r="C66" t="str">
            <v>590108-1386126</v>
          </cell>
          <cell r="D66" t="str">
            <v>충북 영동군 영동읍 양산로7길 2가동106호(양지연립)</v>
          </cell>
          <cell r="E66" t="str">
            <v>농협</v>
          </cell>
          <cell r="F66" t="str">
            <v>박래일</v>
          </cell>
          <cell r="G66" t="str">
            <v>774-02-269271</v>
          </cell>
          <cell r="H66">
            <v>170000</v>
          </cell>
          <cell r="I66" t="str">
            <v>010-9405-6479</v>
          </cell>
        </row>
        <row r="67">
          <cell r="A67" t="str">
            <v>이정근</v>
          </cell>
          <cell r="B67" t="str">
            <v>보통인부</v>
          </cell>
          <cell r="C67" t="str">
            <v>590825-1386143</v>
          </cell>
          <cell r="D67" t="str">
            <v>충북 영동군 영동읍 계산리280</v>
          </cell>
          <cell r="E67" t="str">
            <v>우체국</v>
          </cell>
          <cell r="F67" t="str">
            <v>이정근</v>
          </cell>
          <cell r="G67" t="str">
            <v>300160-02-240447</v>
          </cell>
          <cell r="H67">
            <v>160000</v>
          </cell>
        </row>
        <row r="67">
          <cell r="K67" t="str">
            <v>29139</v>
          </cell>
        </row>
        <row r="68">
          <cell r="A68" t="str">
            <v>육종필</v>
          </cell>
          <cell r="B68" t="str">
            <v>철근공</v>
          </cell>
          <cell r="C68" t="str">
            <v>681020-1384919</v>
          </cell>
          <cell r="D68" t="str">
            <v>충북 옥천군 옥천읍 장야리 313 장야1주공106-304</v>
          </cell>
          <cell r="E68" t="str">
            <v>중소기업</v>
          </cell>
          <cell r="F68" t="str">
            <v>육종필</v>
          </cell>
          <cell r="G68" t="str">
            <v>570-007217-02-013</v>
          </cell>
          <cell r="H68">
            <v>200000</v>
          </cell>
          <cell r="I68" t="str">
            <v>010-6800-2394</v>
          </cell>
        </row>
        <row r="68">
          <cell r="K68" t="str">
            <v>29045</v>
          </cell>
        </row>
        <row r="69">
          <cell r="A69" t="str">
            <v>조기혁</v>
          </cell>
          <cell r="B69" t="str">
            <v>목공</v>
          </cell>
          <cell r="C69" t="str">
            <v>630523-1402713</v>
          </cell>
          <cell r="D69" t="str">
            <v>대전광역시 동구 우암로326번길57-1(가양동)</v>
          </cell>
          <cell r="E69" t="str">
            <v>농협</v>
          </cell>
          <cell r="F69" t="str">
            <v>조기혁</v>
          </cell>
          <cell r="G69" t="str">
            <v>356-1497-0677-43</v>
          </cell>
          <cell r="H69">
            <v>200000</v>
          </cell>
          <cell r="I69" t="str">
            <v>010-8623-6218</v>
          </cell>
        </row>
        <row r="69">
          <cell r="K69" t="str">
            <v>34506</v>
          </cell>
        </row>
        <row r="70">
          <cell r="A70" t="str">
            <v>정일흥</v>
          </cell>
          <cell r="B70" t="str">
            <v>목공</v>
          </cell>
          <cell r="C70" t="str">
            <v>600605-1384810</v>
          </cell>
          <cell r="D70" t="str">
            <v>충북 옥천군 교서면 원전2길86-9</v>
          </cell>
          <cell r="E70" t="str">
            <v>농협</v>
          </cell>
          <cell r="F70" t="str">
            <v>정일흥</v>
          </cell>
          <cell r="G70" t="str">
            <v>352-1559-7324-93</v>
          </cell>
          <cell r="H70">
            <v>200000</v>
          </cell>
          <cell r="I70" t="str">
            <v>010-8843-0512</v>
          </cell>
        </row>
        <row r="71">
          <cell r="A71" t="str">
            <v>곽태</v>
          </cell>
          <cell r="B71" t="str">
            <v>목공</v>
          </cell>
          <cell r="C71" t="str">
            <v>551001-1448815</v>
          </cell>
          <cell r="D71" t="str">
            <v>충북 옥천군 옥천읍 중앙로1길 6-4602호</v>
          </cell>
          <cell r="E71" t="str">
            <v>농협</v>
          </cell>
          <cell r="F71" t="str">
            <v>곽태</v>
          </cell>
          <cell r="G71" t="str">
            <v>356-1434-8325-93</v>
          </cell>
          <cell r="H71">
            <v>200000</v>
          </cell>
          <cell r="I71" t="str">
            <v>0106423-3895</v>
          </cell>
        </row>
        <row r="71">
          <cell r="K71" t="str">
            <v>29037</v>
          </cell>
        </row>
        <row r="72">
          <cell r="A72" t="str">
            <v>박세호</v>
          </cell>
          <cell r="B72" t="str">
            <v>보통인부</v>
          </cell>
          <cell r="C72" t="str">
            <v>641015-1386715</v>
          </cell>
          <cell r="D72" t="str">
            <v>충북 영동군 영동읍 동정로 47,103동 1303호</v>
          </cell>
          <cell r="E72" t="str">
            <v>농협</v>
          </cell>
          <cell r="F72" t="str">
            <v>박세호</v>
          </cell>
          <cell r="G72" t="str">
            <v>356-1193-1604-23</v>
          </cell>
          <cell r="H72">
            <v>160000</v>
          </cell>
          <cell r="I72" t="str">
            <v>010-3896-8077</v>
          </cell>
        </row>
        <row r="72">
          <cell r="K72" t="str">
            <v>29140</v>
          </cell>
        </row>
        <row r="73">
          <cell r="A73" t="str">
            <v>정홍길</v>
          </cell>
          <cell r="B73" t="str">
            <v>목공</v>
          </cell>
          <cell r="C73" t="str">
            <v>821112-1384119</v>
          </cell>
          <cell r="D73" t="str">
            <v>충북 옥천군 옥천읍 대천길 159</v>
          </cell>
          <cell r="E73" t="str">
            <v>농협</v>
          </cell>
          <cell r="F73" t="str">
            <v>정홍길</v>
          </cell>
          <cell r="G73" t="str">
            <v>302-8622-0879-11</v>
          </cell>
          <cell r="H73">
            <v>200000</v>
          </cell>
          <cell r="I73" t="str">
            <v>010-8622-0879</v>
          </cell>
        </row>
        <row r="73">
          <cell r="K73" t="str">
            <v>29052</v>
          </cell>
        </row>
        <row r="74">
          <cell r="A74" t="str">
            <v>백정숙</v>
          </cell>
          <cell r="B74" t="str">
            <v>목공</v>
          </cell>
          <cell r="C74" t="str">
            <v>550420-2789718</v>
          </cell>
          <cell r="D74" t="str">
            <v>충북 옥천군 옥천읍 대천길 549</v>
          </cell>
          <cell r="E74" t="str">
            <v>새마을금고</v>
          </cell>
          <cell r="F74" t="str">
            <v>백정숙</v>
          </cell>
          <cell r="G74" t="str">
            <v>4614-09-003672-7</v>
          </cell>
          <cell r="H74">
            <v>150000</v>
          </cell>
          <cell r="I74" t="str">
            <v>010-8843-</v>
          </cell>
        </row>
        <row r="75">
          <cell r="A75" t="str">
            <v>배태봉</v>
          </cell>
          <cell r="B75" t="str">
            <v>목공</v>
          </cell>
          <cell r="C75" t="str">
            <v>610303-1386748</v>
          </cell>
          <cell r="D75" t="str">
            <v>충북 영동군 영동읍 당곡로14-1</v>
          </cell>
          <cell r="E75" t="str">
            <v>우체국</v>
          </cell>
          <cell r="F75" t="str">
            <v>배태봉</v>
          </cell>
          <cell r="G75" t="str">
            <v>300160-02-231942</v>
          </cell>
          <cell r="H75">
            <v>200000</v>
          </cell>
        </row>
        <row r="75">
          <cell r="K75" t="str">
            <v>29128</v>
          </cell>
        </row>
        <row r="76">
          <cell r="A76" t="str">
            <v>최승열</v>
          </cell>
          <cell r="B76" t="str">
            <v>보통인부</v>
          </cell>
          <cell r="C76" t="str">
            <v>620724-1648219</v>
          </cell>
          <cell r="D76" t="str">
            <v>충북 영동군 영동읍 부용7길 12,가동 201호(남경빌라)</v>
          </cell>
        </row>
        <row r="76">
          <cell r="F76" t="str">
            <v>최승열</v>
          </cell>
          <cell r="G76" t="str">
            <v>상용직</v>
          </cell>
        </row>
        <row r="76">
          <cell r="I76" t="str">
            <v>010-3435-3094</v>
          </cell>
        </row>
        <row r="76">
          <cell r="K76" t="str">
            <v>29149</v>
          </cell>
        </row>
        <row r="77">
          <cell r="A77" t="str">
            <v>박장현</v>
          </cell>
          <cell r="B77" t="str">
            <v>보통인부</v>
          </cell>
          <cell r="C77" t="str">
            <v>690615-1386125</v>
          </cell>
          <cell r="D77" t="str">
            <v>충북 영동군 영동읍 부용7안길 25</v>
          </cell>
        </row>
        <row r="77">
          <cell r="F77" t="str">
            <v>박장현</v>
          </cell>
          <cell r="G77" t="str">
            <v>상용직</v>
          </cell>
        </row>
        <row r="77">
          <cell r="I77">
            <v>1054644595</v>
          </cell>
        </row>
        <row r="77">
          <cell r="K77" t="str">
            <v>29149</v>
          </cell>
        </row>
        <row r="78">
          <cell r="A78" t="str">
            <v>박래일</v>
          </cell>
        </row>
        <row r="78">
          <cell r="C78" t="str">
            <v>590108-1386126</v>
          </cell>
          <cell r="D78" t="str">
            <v>충북 영동군 영동읍 영산로7길 2, 가동 106호 (양지연립)</v>
          </cell>
          <cell r="E78" t="str">
            <v>농협</v>
          </cell>
          <cell r="F78" t="str">
            <v>박래일</v>
          </cell>
          <cell r="G78" t="str">
            <v>356-0895-8530-93</v>
          </cell>
          <cell r="H78">
            <v>150000</v>
          </cell>
          <cell r="I78" t="str">
            <v>010-9405-6479</v>
          </cell>
        </row>
        <row r="78">
          <cell r="K78" t="str">
            <v>29147</v>
          </cell>
          <cell r="L78" t="str">
            <v>박래화</v>
          </cell>
        </row>
        <row r="79">
          <cell r="A79" t="str">
            <v>박래일</v>
          </cell>
        </row>
        <row r="79">
          <cell r="C79" t="str">
            <v>590108-1386126</v>
          </cell>
          <cell r="D79" t="str">
            <v>충북 영동군 영동읍 영산로7길 2, 가동 106호 (양지연립)</v>
          </cell>
          <cell r="E79" t="str">
            <v>농협</v>
          </cell>
          <cell r="F79" t="str">
            <v>박래일</v>
          </cell>
          <cell r="G79" t="str">
            <v>356-0895-8530-93</v>
          </cell>
          <cell r="H79">
            <v>150000</v>
          </cell>
          <cell r="I79" t="str">
            <v>010-9405-6479</v>
          </cell>
        </row>
        <row r="79">
          <cell r="K79" t="str">
            <v>29147</v>
          </cell>
          <cell r="L79" t="str">
            <v>박래화</v>
          </cell>
        </row>
        <row r="80">
          <cell r="A80" t="str">
            <v>민헌기</v>
          </cell>
        </row>
        <row r="80">
          <cell r="C80" t="str">
            <v>601219-1386711</v>
          </cell>
          <cell r="D80" t="str">
            <v>충북 영동군 양강면 내만길 173 (만계리 156-4)</v>
          </cell>
          <cell r="E80" t="str">
            <v>농협</v>
          </cell>
          <cell r="F80" t="str">
            <v>민헌기</v>
          </cell>
          <cell r="G80" t="str">
            <v>352-0293-9952-13</v>
          </cell>
          <cell r="H80">
            <v>150000</v>
          </cell>
          <cell r="I80" t="str">
            <v>010-4650-3480</v>
          </cell>
        </row>
        <row r="80">
          <cell r="K80" t="str">
            <v>29157</v>
          </cell>
          <cell r="L80" t="str">
            <v>통장갖고있어서 자유롭게 신고가능자</v>
          </cell>
        </row>
        <row r="81">
          <cell r="A81" t="str">
            <v>박범해</v>
          </cell>
        </row>
        <row r="81">
          <cell r="C81" t="str">
            <v>660105-1386714</v>
          </cell>
          <cell r="D81" t="str">
            <v>충북 영동군 양강면 남전2안길 4-17 (남전리 272)</v>
          </cell>
          <cell r="E81" t="str">
            <v>농협</v>
          </cell>
          <cell r="F81" t="str">
            <v>박범해</v>
          </cell>
          <cell r="G81" t="str">
            <v>356-1071-0591-83</v>
          </cell>
          <cell r="H81">
            <v>150000</v>
          </cell>
          <cell r="I81" t="str">
            <v>010-5338-5196</v>
          </cell>
        </row>
        <row r="81">
          <cell r="K81" t="str">
            <v>29155</v>
          </cell>
          <cell r="L81" t="str">
            <v>임종관 김재억 성명식 양희옥 김충식 박원회 박범해(7/15일부터)</v>
          </cell>
        </row>
        <row r="82">
          <cell r="A82" t="str">
            <v>이명철</v>
          </cell>
        </row>
        <row r="82">
          <cell r="C82" t="str">
            <v>000329-3691911</v>
          </cell>
          <cell r="D82" t="str">
            <v>충북 제천시 제천북로1길 75 (왕암동)</v>
          </cell>
          <cell r="E82" t="str">
            <v>농협</v>
          </cell>
          <cell r="F82" t="str">
            <v>이명철</v>
          </cell>
          <cell r="G82" t="str">
            <v>302-1531-6143-71</v>
          </cell>
          <cell r="H82">
            <v>150000</v>
          </cell>
          <cell r="I82" t="str">
            <v>010-6356-5898</v>
          </cell>
        </row>
        <row r="82">
          <cell r="K82" t="str">
            <v>27116</v>
          </cell>
          <cell r="L82" t="str">
            <v>한희열 민헌기(7/21일부터)</v>
          </cell>
        </row>
        <row r="83">
          <cell r="A83" t="str">
            <v>배진식</v>
          </cell>
        </row>
        <row r="83">
          <cell r="C83" t="str">
            <v>540910-1386711</v>
          </cell>
          <cell r="D83" t="str">
            <v>충북 영동군 양강면 국촌길16-11</v>
          </cell>
          <cell r="E83" t="str">
            <v>농협</v>
          </cell>
          <cell r="F83" t="str">
            <v>배진식</v>
          </cell>
          <cell r="G83" t="str">
            <v>069-01-106491</v>
          </cell>
          <cell r="H83">
            <v>150000</v>
          </cell>
          <cell r="I83" t="str">
            <v>010-5301-8775</v>
          </cell>
        </row>
        <row r="83">
          <cell r="K83" t="str">
            <v>29155</v>
          </cell>
        </row>
        <row r="84">
          <cell r="A84" t="str">
            <v>박헌태</v>
          </cell>
        </row>
        <row r="84">
          <cell r="C84" t="str">
            <v>551120-1455311</v>
          </cell>
          <cell r="D84" t="str">
            <v>충북 영동군 영동읍 오탄리20</v>
          </cell>
          <cell r="E84" t="str">
            <v>농협</v>
          </cell>
          <cell r="F84" t="str">
            <v>박헌태</v>
          </cell>
          <cell r="G84" t="str">
            <v>356-0142-0083-23</v>
          </cell>
          <cell r="H84">
            <v>150000</v>
          </cell>
          <cell r="I84" t="str">
            <v>010-4476-3636</v>
          </cell>
        </row>
        <row r="84">
          <cell r="K84" t="str">
            <v>29129</v>
          </cell>
          <cell r="L84" t="str">
            <v>통장은 없고 자유롭게 올릴수 있는분</v>
          </cell>
        </row>
        <row r="85">
          <cell r="A85" t="str">
            <v>민백규</v>
          </cell>
        </row>
        <row r="85">
          <cell r="C85" t="str">
            <v>600810-1386721</v>
          </cell>
          <cell r="D85" t="str">
            <v>충북 영동군 양강면 내만길 178-2</v>
          </cell>
          <cell r="E85" t="str">
            <v>농협</v>
          </cell>
          <cell r="F85" t="str">
            <v>민백규</v>
          </cell>
          <cell r="G85" t="str">
            <v>453060-52-207611</v>
          </cell>
          <cell r="H85">
            <v>150000</v>
          </cell>
          <cell r="I85" t="str">
            <v>010-5450-0950</v>
          </cell>
        </row>
        <row r="85">
          <cell r="K85" t="str">
            <v>29157</v>
          </cell>
          <cell r="L85" t="str">
            <v>배진식 박헌태 권영안 민백규 박상복</v>
          </cell>
        </row>
        <row r="86">
          <cell r="A86" t="str">
            <v>박상복</v>
          </cell>
        </row>
        <row r="86">
          <cell r="C86" t="str">
            <v>800702-1386911</v>
          </cell>
          <cell r="D86" t="str">
            <v>충북 영동군 영동읍 동정리143</v>
          </cell>
          <cell r="E86" t="str">
            <v>중소기업</v>
          </cell>
          <cell r="F86" t="str">
            <v>박상복</v>
          </cell>
          <cell r="G86" t="str">
            <v>186-041383-01-012</v>
          </cell>
          <cell r="H86">
            <v>150000</v>
          </cell>
          <cell r="I86" t="str">
            <v>010-7107-2693</v>
          </cell>
        </row>
        <row r="86">
          <cell r="K86" t="str">
            <v>29140</v>
          </cell>
        </row>
        <row r="87">
          <cell r="A87" t="str">
            <v>황동주</v>
          </cell>
        </row>
        <row r="87">
          <cell r="C87" t="str">
            <v>571013-1805110</v>
          </cell>
          <cell r="D87" t="str">
            <v>경상북도 상주시 모동면 수봉리 546 </v>
          </cell>
          <cell r="E87" t="str">
            <v>우체국</v>
          </cell>
          <cell r="F87" t="str">
            <v>황동주</v>
          </cell>
          <cell r="G87" t="str">
            <v>701029-02-013954</v>
          </cell>
          <cell r="H87">
            <v>150000</v>
          </cell>
          <cell r="I87" t="str">
            <v>010-8597-4428</v>
          </cell>
        </row>
        <row r="87">
          <cell r="K87" t="str">
            <v>37274</v>
          </cell>
          <cell r="L87" t="str">
            <v>모동면 수봉2길 29</v>
          </cell>
        </row>
        <row r="88">
          <cell r="A88" t="str">
            <v>이병문</v>
          </cell>
        </row>
        <row r="88">
          <cell r="C88" t="str">
            <v>570919-1401027</v>
          </cell>
          <cell r="D88" t="str">
            <v>충북 영동군 영동읍 동정리 143</v>
          </cell>
          <cell r="E88" t="str">
            <v>농협</v>
          </cell>
          <cell r="F88" t="str">
            <v>이병문</v>
          </cell>
          <cell r="G88" t="str">
            <v>302-0987-1761-21</v>
          </cell>
          <cell r="H88">
            <v>150000</v>
          </cell>
          <cell r="I88" t="str">
            <v>010-3432-0395</v>
          </cell>
        </row>
        <row r="88">
          <cell r="K88" t="str">
            <v>29140</v>
          </cell>
        </row>
        <row r="89">
          <cell r="A89" t="str">
            <v>성명식</v>
          </cell>
        </row>
        <row r="89">
          <cell r="C89" t="str">
            <v>590801-1386129</v>
          </cell>
          <cell r="D89" t="str">
            <v>경기도 고양시 덕양구 화신로298</v>
          </cell>
          <cell r="E89" t="str">
            <v>농협</v>
          </cell>
          <cell r="F89" t="str">
            <v>성명식</v>
          </cell>
          <cell r="G89" t="str">
            <v>049-02-203321</v>
          </cell>
          <cell r="H89">
            <v>150000</v>
          </cell>
          <cell r="I89" t="str">
            <v>010-8975-6129</v>
          </cell>
        </row>
        <row r="89">
          <cell r="K89" t="str">
            <v>10501</v>
          </cell>
        </row>
        <row r="90">
          <cell r="A90" t="str">
            <v>박원회</v>
          </cell>
        </row>
        <row r="90">
          <cell r="C90" t="str">
            <v>600124-1386123</v>
          </cell>
          <cell r="D90" t="str">
            <v>인천시 계양구 계산로112번길 26</v>
          </cell>
          <cell r="E90" t="str">
            <v>농협</v>
          </cell>
          <cell r="F90" t="str">
            <v>박원회</v>
          </cell>
          <cell r="G90" t="str">
            <v>312-0171-3781-31</v>
          </cell>
          <cell r="H90">
            <v>150000</v>
          </cell>
        </row>
        <row r="90">
          <cell r="K90" t="str">
            <v>21088</v>
          </cell>
        </row>
        <row r="91">
          <cell r="A91" t="str">
            <v>정찬옥</v>
          </cell>
        </row>
        <row r="91">
          <cell r="C91" t="str">
            <v>610512-2328134</v>
          </cell>
          <cell r="D91" t="str">
            <v>대전광역시 동구 백룡로 35-10</v>
          </cell>
          <cell r="E91" t="str">
            <v>새마을</v>
          </cell>
          <cell r="F91" t="str">
            <v>정찬옥</v>
          </cell>
          <cell r="G91" t="str">
            <v>9002-1563-1485-9</v>
          </cell>
          <cell r="H91">
            <v>220000</v>
          </cell>
        </row>
        <row r="91">
          <cell r="K91" t="str">
            <v>34516</v>
          </cell>
        </row>
        <row r="92">
          <cell r="A92" t="str">
            <v>이창우</v>
          </cell>
        </row>
        <row r="92">
          <cell r="C92" t="str">
            <v>670620-1387124</v>
          </cell>
          <cell r="D92" t="str">
            <v>충북 영동군 심천면 지계길 113</v>
          </cell>
          <cell r="E92" t="str">
            <v>농협</v>
          </cell>
          <cell r="F92" t="str">
            <v>이창우</v>
          </cell>
          <cell r="G92" t="str">
            <v>4070-52-014063</v>
          </cell>
          <cell r="H92">
            <v>150000</v>
          </cell>
        </row>
        <row r="92">
          <cell r="K92" t="str">
            <v>29104</v>
          </cell>
        </row>
        <row r="93">
          <cell r="A93" t="str">
            <v>김환배</v>
          </cell>
        </row>
        <row r="93">
          <cell r="C93" t="str">
            <v>530810-1057646</v>
          </cell>
          <cell r="D93" t="str">
            <v>충북 영동군 양강면 남전2안길 4-20</v>
          </cell>
          <cell r="E93" t="str">
            <v>농협</v>
          </cell>
          <cell r="F93" t="str">
            <v>김환배</v>
          </cell>
          <cell r="G93" t="str">
            <v>352-0532-0302-03</v>
          </cell>
          <cell r="H93">
            <v>180000</v>
          </cell>
        </row>
        <row r="93">
          <cell r="K93" t="str">
            <v>29155</v>
          </cell>
        </row>
        <row r="94">
          <cell r="A94" t="str">
            <v>엄종섭</v>
          </cell>
        </row>
        <row r="94">
          <cell r="C94" t="str">
            <v>660719-1522231</v>
          </cell>
          <cell r="D94" t="str">
            <v>충북 영동군 용산면 율리4길 18-8</v>
          </cell>
          <cell r="E94" t="str">
            <v>농협</v>
          </cell>
          <cell r="F94" t="str">
            <v>엄종섭</v>
          </cell>
          <cell r="G94" t="str">
            <v>352-0772-2516-93</v>
          </cell>
        </row>
        <row r="94">
          <cell r="K94" t="str">
            <v>29101</v>
          </cell>
          <cell r="L94" t="str">
            <v>비탄길 22로 적용함</v>
          </cell>
        </row>
        <row r="95">
          <cell r="A95" t="str">
            <v>정구목</v>
          </cell>
        </row>
        <row r="95">
          <cell r="C95" t="str">
            <v>601005-1386727</v>
          </cell>
          <cell r="D95" t="str">
            <v>충북 영동군 영동읍 구교로 32-7, 307호 (대성@)</v>
          </cell>
          <cell r="E95" t="str">
            <v>농협</v>
          </cell>
          <cell r="F95" t="str">
            <v>정구목</v>
          </cell>
          <cell r="G95" t="str">
            <v>301-0283-3279-11</v>
          </cell>
          <cell r="H95">
            <v>150000</v>
          </cell>
        </row>
        <row r="95">
          <cell r="K95" t="str">
            <v>29139</v>
          </cell>
        </row>
        <row r="96">
          <cell r="A96" t="str">
            <v>전근정</v>
          </cell>
        </row>
        <row r="96">
          <cell r="C96" t="str">
            <v>721105-1386912</v>
          </cell>
          <cell r="D96" t="str">
            <v>충북 영동군 학산면 모정길 78 (황산리 843)</v>
          </cell>
          <cell r="E96" t="str">
            <v>농협</v>
          </cell>
          <cell r="F96" t="str">
            <v>전근정</v>
          </cell>
          <cell r="G96" t="str">
            <v>237824-52-034278</v>
          </cell>
          <cell r="H96">
            <v>150000</v>
          </cell>
        </row>
        <row r="96">
          <cell r="K96" t="str">
            <v>29165</v>
          </cell>
        </row>
        <row r="97">
          <cell r="A97" t="str">
            <v>장갑진</v>
          </cell>
        </row>
        <row r="97">
          <cell r="C97" t="str">
            <v>610210-1386710</v>
          </cell>
          <cell r="D97" t="str">
            <v>충북 영동군 양강면 신기1길 21</v>
          </cell>
        </row>
        <row r="97">
          <cell r="F97" t="str">
            <v>장갑진</v>
          </cell>
        </row>
        <row r="97">
          <cell r="I97" t="str">
            <v>010-4754-1141</v>
          </cell>
        </row>
        <row r="97">
          <cell r="K97" t="str">
            <v>29155</v>
          </cell>
        </row>
        <row r="98">
          <cell r="A98" t="str">
            <v>박성안</v>
          </cell>
        </row>
        <row r="98">
          <cell r="C98" t="str">
            <v>570827-1386125</v>
          </cell>
          <cell r="D98" t="str">
            <v>충북 충북 영동군 영동읍 가리 755-2</v>
          </cell>
          <cell r="E98" t="str">
            <v>농협</v>
          </cell>
          <cell r="F98" t="str">
            <v>박성안</v>
          </cell>
          <cell r="G98" t="str">
            <v>407012-52-048265</v>
          </cell>
          <cell r="H98">
            <v>180000</v>
          </cell>
        </row>
        <row r="99">
          <cell r="A99" t="str">
            <v>김이수</v>
          </cell>
        </row>
        <row r="99">
          <cell r="C99" t="str">
            <v>500226-1386711</v>
          </cell>
          <cell r="D99" t="str">
            <v>충북 영동군 영동읍 영동천1길 32-1</v>
          </cell>
          <cell r="E99" t="str">
            <v>농협</v>
          </cell>
          <cell r="F99" t="str">
            <v>김이수</v>
          </cell>
          <cell r="G99" t="str">
            <v>356-0817-4633-33</v>
          </cell>
          <cell r="H99">
            <v>160000</v>
          </cell>
        </row>
        <row r="99">
          <cell r="K99" t="str">
            <v>29146</v>
          </cell>
        </row>
        <row r="100">
          <cell r="A100" t="str">
            <v>장신진</v>
          </cell>
        </row>
        <row r="100">
          <cell r="C100" t="str">
            <v>620908-1386710</v>
          </cell>
          <cell r="D100" t="str">
            <v>충북 영동군 영동읍 동정로 39-27, 현대아파트 101동 1501호</v>
          </cell>
        </row>
        <row r="100">
          <cell r="I100" t="str">
            <v>010-8450-8819</v>
          </cell>
        </row>
        <row r="100">
          <cell r="K100" t="str">
            <v>29140</v>
          </cell>
        </row>
        <row r="101">
          <cell r="A101" t="str">
            <v>김정우</v>
          </cell>
        </row>
        <row r="101">
          <cell r="C101" t="str">
            <v>960116-1386119</v>
          </cell>
          <cell r="D101" t="str">
            <v>충북 영동군 영동읍 회동로 162</v>
          </cell>
          <cell r="E101" t="str">
            <v>농협</v>
          </cell>
          <cell r="F101" t="str">
            <v>김정우</v>
          </cell>
          <cell r="G101" t="str">
            <v>407013-52-111897</v>
          </cell>
          <cell r="H101">
            <v>150000</v>
          </cell>
          <cell r="I101" t="str">
            <v>010-3198-3409</v>
          </cell>
        </row>
        <row r="101">
          <cell r="K101" t="str">
            <v>29141</v>
          </cell>
        </row>
        <row r="102">
          <cell r="A102" t="str">
            <v>김양수</v>
          </cell>
        </row>
        <row r="102">
          <cell r="C102" t="str">
            <v>610205-2400329</v>
          </cell>
          <cell r="D102" t="str">
            <v>충북 영동군 영동읍 회동로 156-20</v>
          </cell>
        </row>
        <row r="102">
          <cell r="H102">
            <v>150000</v>
          </cell>
        </row>
        <row r="102">
          <cell r="K102" t="str">
            <v>29141</v>
          </cell>
        </row>
        <row r="103">
          <cell r="A103" t="str">
            <v>최순자</v>
          </cell>
        </row>
        <row r="103">
          <cell r="C103" t="str">
            <v>610604-2382923</v>
          </cell>
          <cell r="D103" t="str">
            <v>대전광역시 동구 충정로 136, 1102동 2006호 (가양동, 대주파크빌)</v>
          </cell>
          <cell r="E103" t="str">
            <v>농협</v>
          </cell>
          <cell r="F103" t="str">
            <v>최순자</v>
          </cell>
          <cell r="G103" t="str">
            <v>356-1585-3805-03</v>
          </cell>
          <cell r="H103">
            <v>150000</v>
          </cell>
          <cell r="I103" t="str">
            <v>010-4034 9739</v>
          </cell>
        </row>
        <row r="103">
          <cell r="K103" t="str">
            <v>34509</v>
          </cell>
        </row>
        <row r="104">
          <cell r="A104" t="str">
            <v>최순옥</v>
          </cell>
        </row>
        <row r="104">
          <cell r="C104" t="str">
            <v>661110-2382929</v>
          </cell>
          <cell r="D104" t="str">
            <v>대전광역시 동구 성동로7번길 58-11, 1동 107호 (자양동, 임광아파트)</v>
          </cell>
          <cell r="E104" t="str">
            <v>농협</v>
          </cell>
          <cell r="F104" t="str">
            <v>최순옥</v>
          </cell>
          <cell r="G104" t="str">
            <v>352-2099-8874-83</v>
          </cell>
          <cell r="H104">
            <v>150000</v>
          </cell>
          <cell r="I104" t="str">
            <v>010-403- 9839</v>
          </cell>
        </row>
        <row r="104">
          <cell r="K104" t="str">
            <v>34513</v>
          </cell>
        </row>
        <row r="105">
          <cell r="A105" t="str">
            <v>손경윤</v>
          </cell>
        </row>
        <row r="105">
          <cell r="C105" t="str">
            <v>780528-1386217</v>
          </cell>
          <cell r="D105" t="str">
            <v>전라남도 순천시 우석로 105, 2층(남정동)</v>
          </cell>
        </row>
        <row r="105">
          <cell r="H105">
            <v>150000</v>
          </cell>
          <cell r="I105" t="str">
            <v>010-3900-0965</v>
          </cell>
        </row>
        <row r="105">
          <cell r="K105" t="str">
            <v>57958</v>
          </cell>
        </row>
        <row r="106">
          <cell r="A106" t="str">
            <v>하재주</v>
          </cell>
        </row>
        <row r="106">
          <cell r="C106" t="str">
            <v>571020-1481929</v>
          </cell>
          <cell r="D106" t="str">
            <v>서울특별시 은평구 역촌동 68-31 지층-2</v>
          </cell>
          <cell r="E106" t="str">
            <v>농협</v>
          </cell>
          <cell r="F106" t="str">
            <v>하재주</v>
          </cell>
          <cell r="G106" t="str">
            <v>356-0367-2587-73</v>
          </cell>
          <cell r="H106">
            <v>150000</v>
          </cell>
          <cell r="I106" t="str">
            <v>010-8770-7249</v>
          </cell>
        </row>
        <row r="106">
          <cell r="K106" t="str">
            <v>03419</v>
          </cell>
          <cell r="L106" t="str">
            <v>은평구 연서로3나길 11-33, 삼풍빌라</v>
          </cell>
        </row>
        <row r="107">
          <cell r="A107" t="str">
            <v>전덕하</v>
          </cell>
        </row>
        <row r="107">
          <cell r="C107" t="str">
            <v>491107-1448813</v>
          </cell>
          <cell r="D107" t="str">
            <v>충북 영동군 양강면 국촌1길 6-6</v>
          </cell>
          <cell r="E107" t="str">
            <v>농협</v>
          </cell>
          <cell r="F107" t="str">
            <v>전덕하</v>
          </cell>
          <cell r="G107" t="str">
            <v>356-0791-8136-43</v>
          </cell>
          <cell r="H107">
            <v>150000</v>
          </cell>
        </row>
        <row r="107">
          <cell r="K107" t="str">
            <v>29155</v>
          </cell>
        </row>
        <row r="108">
          <cell r="A108" t="str">
            <v>김경옥</v>
          </cell>
        </row>
        <row r="108">
          <cell r="C108" t="str">
            <v>650424-2785412</v>
          </cell>
          <cell r="D108" t="str">
            <v>충북 영동군 영동읍 동정로 47, 103동 304호(영동가마실휴먼시아)</v>
          </cell>
        </row>
        <row r="108">
          <cell r="H108">
            <v>150000</v>
          </cell>
        </row>
        <row r="108">
          <cell r="K108" t="str">
            <v>29140</v>
          </cell>
        </row>
        <row r="114">
          <cell r="A114" t="str">
            <v>곽정관</v>
          </cell>
        </row>
        <row r="114">
          <cell r="C114" t="str">
            <v>530112-1117421</v>
          </cell>
          <cell r="D114" t="str">
            <v>충북 영동군 영동읍 금동로3길 5-9</v>
          </cell>
          <cell r="E114" t="str">
            <v>농협</v>
          </cell>
          <cell r="F114" t="str">
            <v>곽정관</v>
          </cell>
          <cell r="G114" t="str">
            <v>319-12-247113</v>
          </cell>
          <cell r="H114">
            <v>150000</v>
          </cell>
          <cell r="I114" t="str">
            <v>010-9416-0264</v>
          </cell>
        </row>
        <row r="114">
          <cell r="K114" t="str">
            <v>29138</v>
          </cell>
        </row>
        <row r="115">
          <cell r="A115" t="str">
            <v>조원제</v>
          </cell>
        </row>
        <row r="115">
          <cell r="C115" t="str">
            <v>641120-1386124</v>
          </cell>
          <cell r="D115" t="str">
            <v>충북 영동군 영동읍 부용리 334-1</v>
          </cell>
          <cell r="E115" t="str">
            <v>농협</v>
          </cell>
          <cell r="F115" t="str">
            <v>조원제</v>
          </cell>
          <cell r="G115" t="str">
            <v>319-12-230641</v>
          </cell>
          <cell r="H115">
            <v>150000</v>
          </cell>
          <cell r="I115" t="str">
            <v>010-5255-9807</v>
          </cell>
        </row>
        <row r="115">
          <cell r="K115" t="str">
            <v>29149</v>
          </cell>
          <cell r="L115" t="str">
            <v>영동읍 부용6길 20-39</v>
          </cell>
        </row>
        <row r="116">
          <cell r="A116" t="str">
            <v>박재영</v>
          </cell>
          <cell r="B116" t="str">
            <v>굴삭기기사</v>
          </cell>
          <cell r="C116" t="str">
            <v>720815-1386721</v>
          </cell>
          <cell r="D116" t="str">
            <v>충북 옥천군 옥천읍 문장로2길 10, 304동 503호</v>
          </cell>
        </row>
        <row r="116">
          <cell r="F116" t="str">
            <v>박재영</v>
          </cell>
        </row>
        <row r="116">
          <cell r="H116">
            <v>150000</v>
          </cell>
        </row>
        <row r="116">
          <cell r="K116" t="str">
            <v>29040</v>
          </cell>
        </row>
        <row r="117">
          <cell r="A117" t="str">
            <v>이관우</v>
          </cell>
          <cell r="B117" t="str">
            <v>철근공</v>
          </cell>
          <cell r="C117" t="str">
            <v>590920-1383021</v>
          </cell>
          <cell r="D117" t="str">
            <v>충북 보은군 보은읍 중초2길 20</v>
          </cell>
          <cell r="E117" t="str">
            <v>농협</v>
          </cell>
          <cell r="F117" t="str">
            <v>이관우</v>
          </cell>
          <cell r="G117" t="str">
            <v>118012-00-9732</v>
          </cell>
          <cell r="H117">
            <v>250000</v>
          </cell>
        </row>
        <row r="117">
          <cell r="K117" t="str">
            <v>28917</v>
          </cell>
        </row>
        <row r="118">
          <cell r="A118" t="str">
            <v>주문식</v>
          </cell>
          <cell r="B118" t="str">
            <v>목공</v>
          </cell>
          <cell r="C118" t="str">
            <v>650310-1392622</v>
          </cell>
          <cell r="D118" t="str">
            <v>청주시 상당구 영운천로 187번길 7-5</v>
          </cell>
          <cell r="E118" t="str">
            <v>농협</v>
          </cell>
          <cell r="F118" t="str">
            <v>주하정</v>
          </cell>
          <cell r="G118" t="str">
            <v>356-1247-9282-33</v>
          </cell>
          <cell r="H118">
            <v>250000</v>
          </cell>
        </row>
        <row r="118">
          <cell r="K118" t="str">
            <v>28750</v>
          </cell>
        </row>
        <row r="119">
          <cell r="A119" t="str">
            <v>음희진</v>
          </cell>
          <cell r="B119" t="str">
            <v>목공</v>
          </cell>
          <cell r="C119" t="str">
            <v>591220-1392335</v>
          </cell>
          <cell r="D119" t="str">
            <v>청주시 흥덕구 장구봉로101번길27, 사랑동405호 (복대동,형석@)</v>
          </cell>
          <cell r="E119" t="str">
            <v>농협</v>
          </cell>
          <cell r="F119" t="str">
            <v>음희진</v>
          </cell>
          <cell r="G119" t="str">
            <v>401149-56-096884</v>
          </cell>
          <cell r="H119">
            <v>250000</v>
          </cell>
        </row>
        <row r="119">
          <cell r="K119" t="str">
            <v>28607</v>
          </cell>
        </row>
        <row r="120">
          <cell r="A120" t="str">
            <v>지창기</v>
          </cell>
          <cell r="B120" t="str">
            <v>울타리공</v>
          </cell>
          <cell r="C120" t="str">
            <v>681022-1446910</v>
          </cell>
          <cell r="D120" t="str">
            <v>대전광역시 중구 대흥동 현대@ 7동 1101호</v>
          </cell>
        </row>
        <row r="120">
          <cell r="F120" t="str">
            <v>지창기</v>
          </cell>
        </row>
        <row r="120">
          <cell r="H120">
            <v>250000</v>
          </cell>
        </row>
        <row r="120">
          <cell r="K120" t="str">
            <v>34929</v>
          </cell>
          <cell r="L120" t="str">
            <v>대전광역시 중구 대종로 425</v>
          </cell>
        </row>
        <row r="121">
          <cell r="A121" t="str">
            <v>김재수</v>
          </cell>
          <cell r="B121" t="str">
            <v>울타리공</v>
          </cell>
          <cell r="C121" t="str">
            <v>660202-1400210</v>
          </cell>
          <cell r="D121" t="str">
            <v>전북 무주군 부남면 유동길 7-4</v>
          </cell>
        </row>
        <row r="121">
          <cell r="F121" t="str">
            <v>김재수</v>
          </cell>
        </row>
        <row r="121">
          <cell r="H121">
            <v>250000</v>
          </cell>
        </row>
        <row r="121">
          <cell r="K121" t="str">
            <v>55501</v>
          </cell>
        </row>
        <row r="122">
          <cell r="A122" t="str">
            <v>지봉수</v>
          </cell>
        </row>
        <row r="122">
          <cell r="C122" t="str">
            <v>871003-</v>
          </cell>
          <cell r="D122" t="str">
            <v>충북 증평군 도안면 탑골길 1-22</v>
          </cell>
        </row>
        <row r="122">
          <cell r="K122" t="str">
            <v>27901</v>
          </cell>
        </row>
        <row r="123">
          <cell r="A123" t="str">
            <v>이기영</v>
          </cell>
        </row>
        <row r="123">
          <cell r="C123" t="str">
            <v>580824-1390815</v>
          </cell>
          <cell r="D123" t="str">
            <v>충청북도 증평군 도안면 탑골길 1-22</v>
          </cell>
          <cell r="E123" t="str">
            <v>농협</v>
          </cell>
          <cell r="F123" t="str">
            <v>이기영</v>
          </cell>
          <cell r="G123" t="str">
            <v>302-0589-3448-81</v>
          </cell>
          <cell r="H123">
            <v>165000</v>
          </cell>
          <cell r="I123" t="str">
            <v>010-9345-3633</v>
          </cell>
          <cell r="J123" t="str">
            <v>삼일용역</v>
          </cell>
          <cell r="K123" t="str">
            <v>27901</v>
          </cell>
        </row>
        <row r="124">
          <cell r="A124" t="str">
            <v>조남부</v>
          </cell>
        </row>
        <row r="124">
          <cell r="C124" t="str">
            <v>600417-1458432</v>
          </cell>
          <cell r="D124" t="str">
            <v>충북 청원군 낭성면 관정길 180-1</v>
          </cell>
          <cell r="E124" t="str">
            <v>국민</v>
          </cell>
          <cell r="F124" t="str">
            <v>삼일용역</v>
          </cell>
          <cell r="G124" t="str">
            <v>722125-95-102456</v>
          </cell>
          <cell r="H124">
            <v>150000</v>
          </cell>
        </row>
        <row r="124">
          <cell r="J124" t="str">
            <v>삼일용역</v>
          </cell>
          <cell r="K124" t="str">
            <v>28194</v>
          </cell>
        </row>
        <row r="125">
          <cell r="A125" t="str">
            <v>임종길</v>
          </cell>
        </row>
        <row r="125">
          <cell r="C125" t="str">
            <v>611204-1346019</v>
          </cell>
          <cell r="D125" t="str">
            <v>경상남도 고성군 거류면 화당2길 21-10</v>
          </cell>
          <cell r="E125" t="str">
            <v>국민</v>
          </cell>
          <cell r="F125" t="str">
            <v>삼일용역</v>
          </cell>
          <cell r="G125" t="str">
            <v>722125-95-102456</v>
          </cell>
          <cell r="H125">
            <v>175000</v>
          </cell>
        </row>
        <row r="125">
          <cell r="J125" t="str">
            <v>삼일용역</v>
          </cell>
          <cell r="K125" t="str">
            <v>52926</v>
          </cell>
        </row>
        <row r="126">
          <cell r="A126" t="str">
            <v>윤덕근</v>
          </cell>
        </row>
        <row r="126">
          <cell r="C126" t="str">
            <v>620209-1390912</v>
          </cell>
          <cell r="D126" t="str">
            <v>충청북도 증평군 증평읍 송산로4길 14,305동</v>
          </cell>
          <cell r="E126" t="str">
            <v>농협</v>
          </cell>
          <cell r="F126" t="str">
            <v>윤덕근</v>
          </cell>
          <cell r="G126" t="str">
            <v>302-0589-3448-81</v>
          </cell>
          <cell r="H126">
            <v>165000</v>
          </cell>
          <cell r="I126" t="str">
            <v>010-5498-6461</v>
          </cell>
          <cell r="J126" t="str">
            <v>삼일용역</v>
          </cell>
          <cell r="K126" t="str">
            <v>27917</v>
          </cell>
        </row>
        <row r="127">
          <cell r="A127" t="str">
            <v>김상만</v>
          </cell>
        </row>
        <row r="127">
          <cell r="C127" t="str">
            <v>730115-1781625</v>
          </cell>
          <cell r="D127" t="str">
            <v>울산광역시 동구 대송3길 63</v>
          </cell>
          <cell r="E127" t="str">
            <v>국민</v>
          </cell>
          <cell r="F127" t="str">
            <v>삼일용역</v>
          </cell>
          <cell r="G127" t="str">
            <v>722125-95-102456</v>
          </cell>
          <cell r="H127">
            <v>175000</v>
          </cell>
          <cell r="I127" t="str">
            <v>010-5498-6461</v>
          </cell>
          <cell r="J127" t="str">
            <v>삼일용역</v>
          </cell>
          <cell r="K127" t="str">
            <v>44062</v>
          </cell>
        </row>
        <row r="128">
          <cell r="A128" t="str">
            <v>이주은</v>
          </cell>
        </row>
        <row r="128">
          <cell r="C128" t="str">
            <v>930109-2409915</v>
          </cell>
          <cell r="D128" t="str">
            <v>대전광역시 서구 도솔로 324-5(괴정동)</v>
          </cell>
          <cell r="E128" t="str">
            <v>국민</v>
          </cell>
          <cell r="F128" t="str">
            <v>삼일용역</v>
          </cell>
          <cell r="G128" t="str">
            <v>722125-95-102456</v>
          </cell>
          <cell r="H128">
            <v>130000</v>
          </cell>
        </row>
        <row r="128">
          <cell r="J128" t="str">
            <v>삼일용역</v>
          </cell>
          <cell r="K128" t="str">
            <v>35295</v>
          </cell>
        </row>
        <row r="129">
          <cell r="A129" t="str">
            <v>김정태</v>
          </cell>
          <cell r="B129" t="str">
            <v>삼일용역</v>
          </cell>
          <cell r="C129" t="str">
            <v>650104-1380821</v>
          </cell>
          <cell r="D129" t="str">
            <v>충청북도 청주시 청원구 오창읍 여천2길 22-5</v>
          </cell>
          <cell r="E129" t="str">
            <v>국민</v>
          </cell>
          <cell r="F129" t="str">
            <v>삼일용역</v>
          </cell>
          <cell r="G129" t="str">
            <v>722125-95-102456</v>
          </cell>
          <cell r="H129">
            <v>175000</v>
          </cell>
        </row>
        <row r="129">
          <cell r="J129" t="str">
            <v>삼일용역</v>
          </cell>
          <cell r="K129" t="str">
            <v>28127</v>
          </cell>
        </row>
        <row r="130">
          <cell r="A130" t="str">
            <v>윤희주</v>
          </cell>
          <cell r="B130" t="str">
            <v>삼일용역</v>
          </cell>
          <cell r="C130" t="str">
            <v>520112-1621913</v>
          </cell>
          <cell r="D130" t="str">
            <v>충북 증평군 증평읍 쇠마루1길 45</v>
          </cell>
          <cell r="E130" t="str">
            <v>국민</v>
          </cell>
          <cell r="F130" t="str">
            <v>삼일용역</v>
          </cell>
          <cell r="G130" t="str">
            <v>722125-95-102456</v>
          </cell>
          <cell r="H130">
            <v>175000</v>
          </cell>
        </row>
        <row r="130">
          <cell r="J130" t="str">
            <v>삼일용역</v>
          </cell>
          <cell r="K130" t="str">
            <v>27913</v>
          </cell>
        </row>
        <row r="131">
          <cell r="A131" t="str">
            <v>최성학</v>
          </cell>
          <cell r="B131" t="str">
            <v>삼일용역</v>
          </cell>
          <cell r="C131" t="str">
            <v>630111-1268111</v>
          </cell>
          <cell r="D131" t="str">
            <v>충북 음성군 설성로 2</v>
          </cell>
          <cell r="E131" t="str">
            <v>국민</v>
          </cell>
          <cell r="F131" t="str">
            <v>삼일용역</v>
          </cell>
          <cell r="G131" t="str">
            <v>722125-95-102456</v>
          </cell>
          <cell r="H131">
            <v>165000</v>
          </cell>
        </row>
        <row r="131">
          <cell r="J131" t="str">
            <v>삼일용역</v>
          </cell>
          <cell r="K131" t="str">
            <v>21952</v>
          </cell>
        </row>
        <row r="132">
          <cell r="A132" t="str">
            <v>이종호</v>
          </cell>
          <cell r="B132" t="str">
            <v>울타리공</v>
          </cell>
          <cell r="C132" t="str">
            <v>740211-1149313</v>
          </cell>
          <cell r="D132" t="str">
            <v>인천시 연수구 옥련동 642-1</v>
          </cell>
          <cell r="E132" t="str">
            <v>기업</v>
          </cell>
          <cell r="F132" t="str">
            <v>이종호</v>
          </cell>
          <cell r="G132" t="str">
            <v>1064340831</v>
          </cell>
          <cell r="H132">
            <v>155000</v>
          </cell>
          <cell r="I132" t="str">
            <v>010-6434-0831</v>
          </cell>
        </row>
        <row r="132">
          <cell r="K132" t="str">
            <v>21952</v>
          </cell>
        </row>
        <row r="133">
          <cell r="A133" t="str">
            <v>이동헌</v>
          </cell>
          <cell r="B133" t="str">
            <v>울타리공</v>
          </cell>
          <cell r="C133" t="str">
            <v>900614-1674812</v>
          </cell>
          <cell r="D133" t="str">
            <v>인천시 부평구 부평대로 95번길 </v>
          </cell>
        </row>
        <row r="133">
          <cell r="I133" t="str">
            <v>010-4682-4812</v>
          </cell>
        </row>
        <row r="133">
          <cell r="K133" t="str">
            <v>21375</v>
          </cell>
        </row>
        <row r="134">
          <cell r="A134" t="str">
            <v>김동진</v>
          </cell>
          <cell r="B134" t="str">
            <v>울타리공</v>
          </cell>
          <cell r="C134" t="str">
            <v>980615-1094810</v>
          </cell>
          <cell r="D134" t="str">
            <v>전주시  덕진구 명주5길 41번지</v>
          </cell>
          <cell r="E134" t="str">
            <v>우리</v>
          </cell>
        </row>
        <row r="134">
          <cell r="G134" t="str">
            <v>1002763162620</v>
          </cell>
          <cell r="H134">
            <v>200000</v>
          </cell>
          <cell r="I134" t="str">
            <v>010-5738-4795</v>
          </cell>
        </row>
        <row r="134">
          <cell r="K134" t="str">
            <v>54918</v>
          </cell>
        </row>
        <row r="135">
          <cell r="A135" t="str">
            <v>정복용</v>
          </cell>
          <cell r="B135" t="str">
            <v>삼일용역</v>
          </cell>
          <cell r="C135" t="str">
            <v>651210-1337113</v>
          </cell>
          <cell r="D135" t="str">
            <v>강원도 화천군 간동면 오동나무길8-9</v>
          </cell>
          <cell r="E135" t="str">
            <v>국민</v>
          </cell>
          <cell r="F135" t="str">
            <v>삼일용역</v>
          </cell>
          <cell r="G135" t="str">
            <v>722125-95-102456</v>
          </cell>
          <cell r="H135">
            <v>175000</v>
          </cell>
        </row>
        <row r="135">
          <cell r="J135" t="str">
            <v>삼일용역</v>
          </cell>
          <cell r="K135" t="str">
            <v>24137</v>
          </cell>
        </row>
        <row r="136">
          <cell r="A136" t="str">
            <v>정인섭</v>
          </cell>
          <cell r="B136" t="str">
            <v>삼일용역</v>
          </cell>
          <cell r="C136" t="str">
            <v>610720-1452816</v>
          </cell>
          <cell r="D136" t="str">
            <v>충북 증평군 증평읍 삼보로 1길21 104동110호</v>
          </cell>
          <cell r="E136" t="str">
            <v>국민</v>
          </cell>
          <cell r="F136" t="str">
            <v>삼일용역</v>
          </cell>
          <cell r="G136" t="str">
            <v>722125-95-102456</v>
          </cell>
          <cell r="H136">
            <v>165000</v>
          </cell>
        </row>
        <row r="136">
          <cell r="J136" t="str">
            <v>삼일용역</v>
          </cell>
          <cell r="K136" t="str">
            <v>27928</v>
          </cell>
        </row>
        <row r="137">
          <cell r="A137" t="str">
            <v>연제선</v>
          </cell>
          <cell r="B137" t="str">
            <v>삼일용역</v>
          </cell>
          <cell r="C137" t="str">
            <v>880417-1390814</v>
          </cell>
          <cell r="D137" t="str">
            <v>충북 증평군 증평읍 송산로53 휴먼시아</v>
          </cell>
          <cell r="E137" t="str">
            <v>국민</v>
          </cell>
          <cell r="F137" t="str">
            <v>삼일용역</v>
          </cell>
          <cell r="G137" t="str">
            <v>722125-95-102456</v>
          </cell>
          <cell r="H137">
            <v>175000</v>
          </cell>
        </row>
        <row r="137">
          <cell r="J137" t="str">
            <v>삼일용역</v>
          </cell>
          <cell r="K137" t="str">
            <v>27918</v>
          </cell>
        </row>
        <row r="138">
          <cell r="A138" t="str">
            <v>이기범</v>
          </cell>
          <cell r="B138" t="str">
            <v>삼일용역</v>
          </cell>
          <cell r="C138" t="str">
            <v>840608-1227411</v>
          </cell>
          <cell r="D138" t="str">
            <v>경기도 평택시 새교동 560 향촌현대아파트</v>
          </cell>
          <cell r="E138" t="str">
            <v>국민</v>
          </cell>
          <cell r="F138" t="str">
            <v>삼일용역</v>
          </cell>
          <cell r="G138" t="str">
            <v>722125-95-102456</v>
          </cell>
          <cell r="H138">
            <v>165000</v>
          </cell>
        </row>
        <row r="138">
          <cell r="J138" t="str">
            <v>삼일용역</v>
          </cell>
          <cell r="K138" t="str">
            <v>17832</v>
          </cell>
        </row>
        <row r="139">
          <cell r="A139" t="str">
            <v>신기호</v>
          </cell>
          <cell r="B139" t="str">
            <v>삼일용역</v>
          </cell>
          <cell r="C139" t="str">
            <v>740917-1390110</v>
          </cell>
          <cell r="D139" t="str">
            <v>충북 청주시 청원구 오창읍 양천6길 4-10 104호</v>
          </cell>
          <cell r="E139" t="str">
            <v>국민</v>
          </cell>
          <cell r="F139" t="str">
            <v>삼일용역</v>
          </cell>
          <cell r="G139" t="str">
            <v>722125-95-102456</v>
          </cell>
          <cell r="H139">
            <v>165000</v>
          </cell>
        </row>
        <row r="139">
          <cell r="J139" t="str">
            <v>삼일용역</v>
          </cell>
          <cell r="K139" t="str">
            <v>28116</v>
          </cell>
        </row>
        <row r="140">
          <cell r="A140" t="str">
            <v>유상철</v>
          </cell>
          <cell r="B140" t="str">
            <v>울타리공</v>
          </cell>
          <cell r="C140" t="str">
            <v>780418-1411311</v>
          </cell>
          <cell r="D140" t="str">
            <v>인청광역시 남동구 간석동 188-7 203호</v>
          </cell>
          <cell r="E140" t="str">
            <v>농협</v>
          </cell>
          <cell r="F140" t="str">
            <v>유상철</v>
          </cell>
          <cell r="G140" t="str">
            <v>3020703001141</v>
          </cell>
          <cell r="H140">
            <v>230000</v>
          </cell>
          <cell r="I140" t="str">
            <v>010-8997-4235</v>
          </cell>
        </row>
        <row r="140">
          <cell r="K140" t="str">
            <v>21545</v>
          </cell>
        </row>
        <row r="141">
          <cell r="A141" t="str">
            <v>박건진</v>
          </cell>
          <cell r="B141" t="str">
            <v>울타리공</v>
          </cell>
          <cell r="C141" t="str">
            <v>730926-1182618</v>
          </cell>
          <cell r="D141" t="str">
            <v>인천시 연수구 옥련동 642-139</v>
          </cell>
          <cell r="E141" t="str">
            <v>신한</v>
          </cell>
          <cell r="F141" t="str">
            <v>박건진</v>
          </cell>
          <cell r="G141" t="str">
            <v>110531618208</v>
          </cell>
          <cell r="H141">
            <v>200000</v>
          </cell>
          <cell r="I141" t="str">
            <v>010-2520-9629</v>
          </cell>
        </row>
        <row r="141">
          <cell r="K141" t="str">
            <v>21952</v>
          </cell>
        </row>
        <row r="142">
          <cell r="A142" t="str">
            <v>김도운</v>
          </cell>
          <cell r="B142" t="str">
            <v>울타리공</v>
          </cell>
          <cell r="C142" t="str">
            <v>980424-1042216</v>
          </cell>
          <cell r="D142" t="str">
            <v>경기도 부천시 삼적로 395번길8 502호</v>
          </cell>
        </row>
        <row r="142">
          <cell r="I142" t="str">
            <v>010-4856-8783</v>
          </cell>
        </row>
        <row r="142">
          <cell r="K142" t="str">
            <v>14473</v>
          </cell>
        </row>
        <row r="143">
          <cell r="A143" t="str">
            <v>최진영</v>
          </cell>
          <cell r="B143" t="str">
            <v>울타리공</v>
          </cell>
          <cell r="C143" t="str">
            <v>830808-1273513</v>
          </cell>
          <cell r="D143" t="str">
            <v>경기도 군포시 군포로 767번길 35 </v>
          </cell>
          <cell r="E143" t="str">
            <v>신한</v>
          </cell>
          <cell r="F143" t="str">
            <v>최진영</v>
          </cell>
          <cell r="G143" t="str">
            <v>110309789591</v>
          </cell>
          <cell r="H143">
            <v>165000</v>
          </cell>
          <cell r="I143" t="str">
            <v>010-2537-9954</v>
          </cell>
        </row>
        <row r="143">
          <cell r="K143" t="str">
            <v>15805</v>
          </cell>
        </row>
        <row r="150">
          <cell r="A150" t="str">
            <v>청주건설기계
(오근장지게차,공항지게차)</v>
          </cell>
          <cell r="B150" t="str">
            <v>지게차</v>
          </cell>
          <cell r="C150" t="str">
            <v>490-40-00058</v>
          </cell>
          <cell r="D150" t="str">
            <v>농협010-8574-3343-09</v>
          </cell>
          <cell r="E150" t="str">
            <v>농협</v>
          </cell>
        </row>
        <row r="150">
          <cell r="G150" t="str">
            <v>010-8574-3343-09</v>
          </cell>
          <cell r="H150">
            <v>90000</v>
          </cell>
          <cell r="I150" t="str">
            <v>010-8574-3343</v>
          </cell>
        </row>
        <row r="151">
          <cell r="A151" t="str">
            <v>김학형</v>
          </cell>
        </row>
        <row r="151">
          <cell r="C151" t="str">
            <v>680808-1386718</v>
          </cell>
          <cell r="D151" t="str">
            <v>충북 영동군 영동읍 영동시장1길 32 A동 202호</v>
          </cell>
          <cell r="E151" t="str">
            <v>농협</v>
          </cell>
          <cell r="F151" t="str">
            <v>이성</v>
          </cell>
          <cell r="G151" t="str">
            <v>351-1142-0210-73</v>
          </cell>
          <cell r="H151">
            <v>170000</v>
          </cell>
          <cell r="I151" t="str">
            <v>010-7430-9885</v>
          </cell>
          <cell r="J151" t="str">
            <v>명장인력</v>
          </cell>
          <cell r="K151" t="str">
            <v>29146</v>
          </cell>
        </row>
        <row r="152">
          <cell r="A152" t="str">
            <v>배권</v>
          </cell>
        </row>
        <row r="152">
          <cell r="C152" t="str">
            <v>661120-1386210</v>
          </cell>
          <cell r="D152" t="str">
            <v>충북 영동군 영동읍 상부용로 20 (지평더웰Ⅱ아파트) </v>
          </cell>
          <cell r="E152" t="str">
            <v>농협</v>
          </cell>
          <cell r="F152" t="str">
            <v>이성</v>
          </cell>
          <cell r="G152" t="str">
            <v>351-1142-0210-73</v>
          </cell>
          <cell r="H152">
            <v>150000</v>
          </cell>
          <cell r="I152" t="str">
            <v>010-9979-9238</v>
          </cell>
          <cell r="J152" t="str">
            <v>명장인력</v>
          </cell>
          <cell r="K152" t="str">
            <v>29148</v>
          </cell>
        </row>
        <row r="153">
          <cell r="A153" t="str">
            <v>이상찬</v>
          </cell>
        </row>
        <row r="153">
          <cell r="C153" t="str">
            <v>700201-1386132</v>
          </cell>
          <cell r="D153" t="str">
            <v>충북 영동군 영동읍 영동시장1길 18-3 </v>
          </cell>
          <cell r="E153" t="str">
            <v>농협</v>
          </cell>
          <cell r="F153" t="str">
            <v>이성</v>
          </cell>
          <cell r="G153" t="str">
            <v>351-1142-0210-73</v>
          </cell>
          <cell r="H153">
            <v>170000</v>
          </cell>
          <cell r="I153" t="str">
            <v>010-2804-4792</v>
          </cell>
          <cell r="J153" t="str">
            <v>명장인력</v>
          </cell>
          <cell r="K153" t="str">
            <v>29146</v>
          </cell>
        </row>
        <row r="154">
          <cell r="A154" t="str">
            <v>이효주</v>
          </cell>
        </row>
        <row r="154">
          <cell r="C154" t="str">
            <v>510217-1466413</v>
          </cell>
          <cell r="D154" t="str">
            <v>충북 영동군 영동읍 계산로1길 11 </v>
          </cell>
          <cell r="E154" t="str">
            <v>농협</v>
          </cell>
          <cell r="F154" t="str">
            <v>이성</v>
          </cell>
          <cell r="G154" t="str">
            <v>351-1142-0210-73</v>
          </cell>
          <cell r="H154">
            <v>160000</v>
          </cell>
          <cell r="I154" t="str">
            <v>010-3117-7949</v>
          </cell>
          <cell r="J154" t="str">
            <v>명장인력</v>
          </cell>
          <cell r="K154" t="str">
            <v>29145</v>
          </cell>
        </row>
        <row r="155">
          <cell r="A155" t="str">
            <v>최병길</v>
          </cell>
        </row>
        <row r="155">
          <cell r="C155" t="str">
            <v>511119-1460910</v>
          </cell>
          <cell r="D155" t="str">
            <v>대전광역시 중구 산성동 509-15</v>
          </cell>
          <cell r="E155" t="str">
            <v>농협</v>
          </cell>
          <cell r="F155" t="str">
            <v>최병길</v>
          </cell>
          <cell r="G155" t="str">
            <v>453029-52-022509</v>
          </cell>
          <cell r="H155">
            <v>150000</v>
          </cell>
        </row>
        <row r="155">
          <cell r="J155" t="str">
            <v>석공</v>
          </cell>
        </row>
        <row r="156">
          <cell r="A156" t="str">
            <v>이준우</v>
          </cell>
        </row>
        <row r="156">
          <cell r="C156" t="str">
            <v>520216-1408321</v>
          </cell>
          <cell r="D156" t="str">
            <v>대전광역시 중구 보문산로 157, 마동303호(문화동,동양맨션)</v>
          </cell>
          <cell r="E156" t="str">
            <v>농협</v>
          </cell>
          <cell r="F156" t="str">
            <v>이준우</v>
          </cell>
          <cell r="G156" t="str">
            <v>453029-51-013658</v>
          </cell>
          <cell r="H156">
            <v>150000</v>
          </cell>
        </row>
        <row r="156">
          <cell r="J156" t="str">
            <v>석공</v>
          </cell>
          <cell r="K156" t="str">
            <v>35014</v>
          </cell>
        </row>
        <row r="157">
          <cell r="A157" t="str">
            <v>이성돌</v>
          </cell>
        </row>
        <row r="157">
          <cell r="C157" t="str">
            <v>500414-1408219</v>
          </cell>
          <cell r="D157" t="str">
            <v>대전광역시 중구 대둔산로 414번길 75(산성동)</v>
          </cell>
          <cell r="E157" t="str">
            <v>농협</v>
          </cell>
          <cell r="F157" t="str">
            <v>이성돌</v>
          </cell>
          <cell r="G157" t="str">
            <v>453029-52-260357</v>
          </cell>
          <cell r="H157">
            <v>150000</v>
          </cell>
        </row>
        <row r="157">
          <cell r="J157" t="str">
            <v>석공</v>
          </cell>
          <cell r="K157" t="str">
            <v>35011</v>
          </cell>
        </row>
        <row r="158">
          <cell r="A158" t="str">
            <v>정태성</v>
          </cell>
        </row>
        <row r="158">
          <cell r="C158" t="str">
            <v>660501-1386134</v>
          </cell>
          <cell r="D158" t="str">
            <v>충북 영동군 영동읍 계산로 34-1</v>
          </cell>
          <cell r="E158" t="str">
            <v>농협</v>
          </cell>
          <cell r="F158" t="str">
            <v>정태성</v>
          </cell>
          <cell r="G158" t="str">
            <v>352-1006-9268-83</v>
          </cell>
          <cell r="H158">
            <v>150000</v>
          </cell>
          <cell r="I158" t="str">
            <v>010-5490-9056</v>
          </cell>
          <cell r="J158" t="str">
            <v>석공</v>
          </cell>
          <cell r="K158" t="str">
            <v>29144</v>
          </cell>
        </row>
        <row r="159">
          <cell r="A159" t="str">
            <v>배석득</v>
          </cell>
        </row>
        <row r="159">
          <cell r="C159" t="str">
            <v>501225-1386713</v>
          </cell>
          <cell r="D159" t="str">
            <v>충북 영동군 영동읍 부용7안길 2-13</v>
          </cell>
          <cell r="E159" t="str">
            <v>농협</v>
          </cell>
          <cell r="F159" t="str">
            <v>배석득</v>
          </cell>
          <cell r="G159" t="str">
            <v>356-1479-5477-73</v>
          </cell>
          <cell r="H159">
            <v>150000</v>
          </cell>
          <cell r="I159" t="str">
            <v>010-6580-1303</v>
          </cell>
          <cell r="J159" t="str">
            <v>석공</v>
          </cell>
          <cell r="K159" t="str">
            <v>29149</v>
          </cell>
        </row>
        <row r="160">
          <cell r="A160" t="str">
            <v>최석진</v>
          </cell>
        </row>
        <row r="160">
          <cell r="C160" t="str">
            <v>580324-1652410</v>
          </cell>
          <cell r="D160" t="str">
            <v>대전광역시 동구 동서대로 1579, 101동 1501호(홍도동,홍도@)</v>
          </cell>
          <cell r="E160" t="str">
            <v>하나</v>
          </cell>
          <cell r="F160" t="str">
            <v>최석진</v>
          </cell>
          <cell r="G160" t="str">
            <v>646-910748-77207</v>
          </cell>
          <cell r="H160">
            <v>150000</v>
          </cell>
        </row>
        <row r="160">
          <cell r="J160" t="str">
            <v>석공</v>
          </cell>
          <cell r="K160" t="str">
            <v>34557</v>
          </cell>
        </row>
        <row r="161">
          <cell r="A161" t="str">
            <v>권신홍</v>
          </cell>
        </row>
        <row r="161">
          <cell r="C161" t="str">
            <v>510315-1651218</v>
          </cell>
          <cell r="D161" t="str">
            <v>대전광역시 동구 가양동 149-30</v>
          </cell>
          <cell r="E161" t="str">
            <v>국민</v>
          </cell>
          <cell r="F161" t="str">
            <v>권신흥</v>
          </cell>
          <cell r="G161" t="str">
            <v>845901-22-004565</v>
          </cell>
          <cell r="H161">
            <v>150000</v>
          </cell>
          <cell r="I161" t="str">
            <v>010-4413-4583</v>
          </cell>
          <cell r="J161" t="str">
            <v>석공</v>
          </cell>
          <cell r="K161" t="str">
            <v>34506</v>
          </cell>
        </row>
        <row r="162">
          <cell r="A162" t="str">
            <v>조을순</v>
          </cell>
        </row>
        <row r="162">
          <cell r="C162" t="str">
            <v>560302-2400210</v>
          </cell>
          <cell r="D162" t="str">
            <v>대전광역시 동구 판암동 558-6 국민빌라 301호</v>
          </cell>
          <cell r="E162" t="str">
            <v>농협</v>
          </cell>
          <cell r="F162" t="str">
            <v>조을순</v>
          </cell>
          <cell r="G162" t="str">
            <v>352-0676-2630-53</v>
          </cell>
          <cell r="H162">
            <v>150000</v>
          </cell>
        </row>
        <row r="162">
          <cell r="J162" t="str">
            <v>석공</v>
          </cell>
          <cell r="K162" t="str">
            <v>34670</v>
          </cell>
          <cell r="L162" t="str">
            <v>대전광역시 동구 용운로 80, 309동 1201호(용운동,용방마을@)</v>
          </cell>
          <cell r="M162" t="str">
            <v>조을송</v>
          </cell>
        </row>
        <row r="163">
          <cell r="A163" t="str">
            <v>임종관</v>
          </cell>
        </row>
        <row r="163">
          <cell r="C163" t="str">
            <v>660123-1386716</v>
          </cell>
          <cell r="D163" t="str">
            <v>충북 영동군 양강면 국촌1길10</v>
          </cell>
          <cell r="E163" t="str">
            <v>농협</v>
          </cell>
          <cell r="F163" t="str">
            <v>임종관</v>
          </cell>
          <cell r="G163" t="str">
            <v>352-1734-5415-23</v>
          </cell>
          <cell r="H163">
            <v>150000</v>
          </cell>
          <cell r="I163" t="str">
            <v>010-5483-0500</v>
          </cell>
        </row>
        <row r="163">
          <cell r="K163" t="str">
            <v>29155</v>
          </cell>
        </row>
        <row r="164">
          <cell r="A164" t="str">
            <v>양희옥</v>
          </cell>
        </row>
        <row r="164">
          <cell r="C164" t="str">
            <v>640320-2386922</v>
          </cell>
          <cell r="D164" t="str">
            <v>충북 영동군 양강면 양정리116-6</v>
          </cell>
          <cell r="E164" t="str">
            <v>농협</v>
          </cell>
          <cell r="F164" t="str">
            <v>양희옥</v>
          </cell>
          <cell r="G164" t="str">
            <v>407023-56-010784</v>
          </cell>
          <cell r="H164">
            <v>130000</v>
          </cell>
          <cell r="I164" t="str">
            <v>010-3039-3737</v>
          </cell>
        </row>
        <row r="164">
          <cell r="K164" t="str">
            <v>29156</v>
          </cell>
        </row>
        <row r="165">
          <cell r="A165" t="str">
            <v>김충식</v>
          </cell>
        </row>
        <row r="165">
          <cell r="C165" t="str">
            <v>520618-1384416</v>
          </cell>
          <cell r="D165" t="str">
            <v>충북 청원군 북이면 석성리448-2</v>
          </cell>
          <cell r="E165" t="str">
            <v>농협</v>
          </cell>
          <cell r="F165" t="str">
            <v>김충식</v>
          </cell>
          <cell r="G165" t="str">
            <v>302-0971-3212-91</v>
          </cell>
          <cell r="H165">
            <v>150000</v>
          </cell>
          <cell r="I165" t="str">
            <v>010-5547-6459</v>
          </cell>
        </row>
        <row r="166">
          <cell r="A166" t="str">
            <v>한희열</v>
          </cell>
        </row>
        <row r="166">
          <cell r="C166" t="str">
            <v>590921-1709522</v>
          </cell>
          <cell r="D166" t="str">
            <v>충북 영동군 영동읍 상부용로 7-50, 101동1501호 (지평더웰@)</v>
          </cell>
          <cell r="E166" t="str">
            <v>농협</v>
          </cell>
          <cell r="F166" t="str">
            <v>한희열</v>
          </cell>
          <cell r="G166" t="str">
            <v>356-1123-9590-03</v>
          </cell>
          <cell r="H166">
            <v>150000</v>
          </cell>
          <cell r="I166" t="str">
            <v>010-3976-2700</v>
          </cell>
        </row>
        <row r="166">
          <cell r="K166" t="str">
            <v>29148</v>
          </cell>
        </row>
        <row r="167">
          <cell r="A167" t="str">
            <v>박래화</v>
          </cell>
        </row>
        <row r="167">
          <cell r="C167" t="str">
            <v>470117-1018911</v>
          </cell>
          <cell r="D167" t="str">
            <v>충북 영동군 영동읍 영산로7길 2, 가동 106호(양지연립)</v>
          </cell>
          <cell r="E167" t="str">
            <v>농협</v>
          </cell>
          <cell r="F167" t="str">
            <v>박래화</v>
          </cell>
          <cell r="G167" t="str">
            <v>302-0822-9170-11</v>
          </cell>
          <cell r="H167">
            <v>150000</v>
          </cell>
        </row>
        <row r="167">
          <cell r="K167" t="str">
            <v>29147</v>
          </cell>
        </row>
        <row r="168">
          <cell r="A168" t="str">
            <v>권영안</v>
          </cell>
        </row>
        <row r="168">
          <cell r="C168" t="str">
            <v>570815-1380728</v>
          </cell>
          <cell r="D168" t="str">
            <v>충북 청주시 상당구 중흥로 71 109/1402</v>
          </cell>
          <cell r="E168" t="str">
            <v>농협</v>
          </cell>
          <cell r="F168" t="str">
            <v>권영안</v>
          </cell>
          <cell r="G168" t="str">
            <v>401147-52-151337</v>
          </cell>
          <cell r="H168">
            <v>150000</v>
          </cell>
        </row>
        <row r="168">
          <cell r="K168" t="str">
            <v>28773</v>
          </cell>
        </row>
        <row r="169">
          <cell r="A169" t="str">
            <v>신용철</v>
          </cell>
        </row>
        <row r="169">
          <cell r="C169" t="str">
            <v>651220-1228344</v>
          </cell>
          <cell r="D169" t="str">
            <v>충북 영동군 황간면 신흥1길 8</v>
          </cell>
          <cell r="E169" t="str">
            <v>농협</v>
          </cell>
          <cell r="F169" t="str">
            <v>신용철</v>
          </cell>
          <cell r="G169" t="str">
            <v>356-1329-6202-53</v>
          </cell>
          <cell r="H169">
            <v>150000</v>
          </cell>
        </row>
        <row r="169">
          <cell r="K169" t="str">
            <v>29116</v>
          </cell>
        </row>
        <row r="170">
          <cell r="A170" t="str">
            <v>최영희</v>
          </cell>
        </row>
        <row r="170">
          <cell r="C170" t="str">
            <v>641012-2478918</v>
          </cell>
          <cell r="D170" t="str">
            <v>충북 청주시 흥덕구 수곡동 328 산남주공@ 103동 501호</v>
          </cell>
          <cell r="E170" t="str">
            <v>국민</v>
          </cell>
          <cell r="F170" t="str">
            <v>최영희</v>
          </cell>
          <cell r="G170" t="str">
            <v>709802-01-046029</v>
          </cell>
          <cell r="H170">
            <v>150000</v>
          </cell>
        </row>
        <row r="171">
          <cell r="A171" t="str">
            <v>김재억</v>
          </cell>
        </row>
        <row r="171">
          <cell r="C171" t="str">
            <v>600605-1386718</v>
          </cell>
          <cell r="D171" t="str">
            <v>충북 영동군 양강면 괴목리 411</v>
          </cell>
          <cell r="E171" t="str">
            <v>농협</v>
          </cell>
          <cell r="F171" t="str">
            <v>김재억</v>
          </cell>
          <cell r="G171" t="str">
            <v>356-1337-2458-73</v>
          </cell>
          <cell r="H171">
            <v>150000</v>
          </cell>
          <cell r="I171" t="str">
            <v>010-7415-9300</v>
          </cell>
        </row>
        <row r="171">
          <cell r="K171" t="str">
            <v>29155</v>
          </cell>
          <cell r="L171" t="str">
            <v>사용불가(압류)</v>
          </cell>
        </row>
        <row r="172">
          <cell r="A172" t="str">
            <v>박봉환</v>
          </cell>
          <cell r="B172" t="str">
            <v>보통인부</v>
          </cell>
          <cell r="C172" t="str">
            <v>600713-1182814</v>
          </cell>
          <cell r="D172" t="str">
            <v>경북 김천시 증산면황황2길31-6</v>
          </cell>
          <cell r="E172" t="str">
            <v>우체국</v>
          </cell>
          <cell r="F172" t="str">
            <v>박봉환</v>
          </cell>
          <cell r="G172" t="str">
            <v>312785-02-005538</v>
          </cell>
          <cell r="H172">
            <v>150000</v>
          </cell>
          <cell r="I172" t="str">
            <v>010-8803-3163</v>
          </cell>
        </row>
        <row r="172">
          <cell r="L172" t="str">
            <v>사용불가(사용직)</v>
          </cell>
        </row>
        <row r="173">
          <cell r="A173" t="str">
            <v>김기면</v>
          </cell>
          <cell r="B173" t="str">
            <v>보통인부</v>
          </cell>
          <cell r="C173" t="str">
            <v>601010-1386125</v>
          </cell>
          <cell r="D173" t="str">
            <v>청주시 서원구 구룡산로 275-13,408동306호</v>
          </cell>
          <cell r="E173" t="str">
            <v>농협</v>
          </cell>
          <cell r="F173" t="str">
            <v>김기면</v>
          </cell>
          <cell r="G173" t="str">
            <v>356-0677-4691-13</v>
          </cell>
          <cell r="H173">
            <v>150000</v>
          </cell>
        </row>
        <row r="173">
          <cell r="K173" t="str">
            <v>28683</v>
          </cell>
          <cell r="L173" t="str">
            <v>사용불가(사용직)</v>
          </cell>
        </row>
      </sheetData>
      <sheetData sheetId="17"/>
      <sheetData sheetId="18"/>
      <sheetData sheetId="19"/>
      <sheetData sheetId="20"/>
      <sheetData sheetId="2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공문 (노무비)"/>
      <sheetName val="청구서"/>
      <sheetName val="청구내역서"/>
      <sheetName val="청구서(계약)"/>
      <sheetName val="지급내역서"/>
      <sheetName val="25년04월"/>
      <sheetName val="일용직명단"/>
      <sheetName val="근로자목록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 t="str">
            <v>오정만</v>
          </cell>
          <cell r="B3" t="str">
            <v>직영인부</v>
          </cell>
          <cell r="C3" t="str">
            <v>520205-1057335</v>
          </cell>
          <cell r="D3" t="str">
            <v>충북 영동군 학산면 모산1길 16-14</v>
          </cell>
          <cell r="E3" t="str">
            <v>농협</v>
          </cell>
          <cell r="F3" t="str">
            <v>오정만</v>
          </cell>
          <cell r="G3" t="str">
            <v>302-0809-4379-11</v>
          </cell>
          <cell r="H3">
            <v>120000</v>
          </cell>
          <cell r="I3" t="str">
            <v>010-5334-6133</v>
          </cell>
        </row>
        <row r="3">
          <cell r="K3" t="str">
            <v>29164</v>
          </cell>
        </row>
        <row r="4">
          <cell r="A4" t="str">
            <v>금걸</v>
          </cell>
          <cell r="B4" t="str">
            <v>보통인부</v>
          </cell>
          <cell r="C4" t="str">
            <v>640415-1384716</v>
          </cell>
          <cell r="D4" t="str">
            <v>충북 옥천군 이원면 건진리 630-8</v>
          </cell>
          <cell r="E4" t="str">
            <v>국민</v>
          </cell>
          <cell r="F4" t="str">
            <v>금걸</v>
          </cell>
          <cell r="G4" t="str">
            <v> 405-21-0020-797</v>
          </cell>
          <cell r="H4">
            <v>160000</v>
          </cell>
          <cell r="I4" t="str">
            <v>010-9207-4425</v>
          </cell>
        </row>
        <row r="4">
          <cell r="K4" t="str">
            <v>29061</v>
          </cell>
        </row>
        <row r="5">
          <cell r="A5" t="str">
            <v>주도현</v>
          </cell>
          <cell r="B5" t="str">
            <v>보통인부</v>
          </cell>
          <cell r="C5" t="str">
            <v>990511-1384718</v>
          </cell>
          <cell r="D5" t="str">
            <v> 충북 옥천군 이원면 지탄6길 24</v>
          </cell>
          <cell r="E5" t="str">
            <v>농협</v>
          </cell>
          <cell r="F5" t="str">
            <v>주도현</v>
          </cell>
          <cell r="G5" t="str">
            <v> 351-1021-5063-63</v>
          </cell>
          <cell r="H5">
            <v>120000</v>
          </cell>
          <cell r="I5" t="str">
            <v>010-5402-6851</v>
          </cell>
        </row>
        <row r="5">
          <cell r="K5" t="str">
            <v>29062</v>
          </cell>
        </row>
        <row r="6">
          <cell r="A6" t="str">
            <v>채청기</v>
          </cell>
          <cell r="B6" t="str">
            <v>작업반장</v>
          </cell>
          <cell r="C6" t="str">
            <v>611117-1644319</v>
          </cell>
          <cell r="D6" t="str">
            <v> 충북 영동군 매천1길 11-10</v>
          </cell>
          <cell r="E6" t="str">
            <v>농협</v>
          </cell>
          <cell r="F6" t="str">
            <v>채청기</v>
          </cell>
          <cell r="G6" t="str">
            <v>403063-51-043152</v>
          </cell>
          <cell r="H6">
            <v>200000</v>
          </cell>
          <cell r="I6" t="str">
            <v>010-7357-9166</v>
          </cell>
        </row>
        <row r="7">
          <cell r="A7" t="str">
            <v>채성진</v>
          </cell>
          <cell r="B7" t="str">
            <v>보통인부</v>
          </cell>
          <cell r="C7" t="str">
            <v>930707-1386119</v>
          </cell>
          <cell r="D7" t="str">
            <v> 충북 영동군 영동읍 매천1길 11-10</v>
          </cell>
          <cell r="E7" t="str">
            <v>농협</v>
          </cell>
          <cell r="F7" t="str">
            <v>채성진</v>
          </cell>
          <cell r="G7" t="str">
            <v>356-0214-5208-83</v>
          </cell>
          <cell r="H7">
            <v>140000</v>
          </cell>
          <cell r="I7" t="str">
            <v>010-2842-9171</v>
          </cell>
        </row>
        <row r="7">
          <cell r="K7" t="str">
            <v>29150</v>
          </cell>
        </row>
        <row r="8">
          <cell r="A8" t="str">
            <v>이준호</v>
          </cell>
          <cell r="B8" t="str">
            <v>보통인부</v>
          </cell>
          <cell r="C8" t="str">
            <v>680526-1167726</v>
          </cell>
          <cell r="D8" t="str">
            <v> 충북 영동군 영동읍 성안길 20-7</v>
          </cell>
          <cell r="E8" t="str">
            <v>농협</v>
          </cell>
          <cell r="F8" t="str">
            <v>이준호</v>
          </cell>
          <cell r="G8" t="str">
            <v>356-0927-9268-73</v>
          </cell>
          <cell r="H8">
            <v>160000</v>
          </cell>
          <cell r="I8" t="str">
            <v>010-7324-3090</v>
          </cell>
        </row>
        <row r="8">
          <cell r="K8" t="str">
            <v>29149</v>
          </cell>
        </row>
        <row r="9">
          <cell r="A9" t="str">
            <v>박희석</v>
          </cell>
          <cell r="B9" t="str">
            <v>목공</v>
          </cell>
          <cell r="C9" t="str">
            <v>620320-1386717</v>
          </cell>
          <cell r="D9" t="str">
            <v> 충북 영동군 양강면 남전2안길 4-16</v>
          </cell>
          <cell r="E9" t="str">
            <v>농협</v>
          </cell>
          <cell r="F9" t="str">
            <v>박희석</v>
          </cell>
          <cell r="G9" t="str">
            <v>407023-52-023453</v>
          </cell>
          <cell r="H9">
            <v>180000</v>
          </cell>
          <cell r="I9" t="str">
            <v>010-3033-5024</v>
          </cell>
        </row>
        <row r="9">
          <cell r="K9" t="str">
            <v>29155</v>
          </cell>
        </row>
        <row r="10">
          <cell r="A10" t="str">
            <v>박희원</v>
          </cell>
          <cell r="B10" t="str">
            <v>목공</v>
          </cell>
          <cell r="C10" t="str">
            <v>591208-1386711</v>
          </cell>
          <cell r="D10" t="str">
            <v> 충북 영동군 양강면 남전2안길 4-17</v>
          </cell>
          <cell r="E10" t="str">
            <v>농협</v>
          </cell>
          <cell r="F10" t="str">
            <v>박희원</v>
          </cell>
          <cell r="G10" t="str">
            <v>352-1445-5223-63</v>
          </cell>
          <cell r="H10">
            <v>180000</v>
          </cell>
          <cell r="I10" t="str">
            <v>010-5461-8445</v>
          </cell>
        </row>
        <row r="10">
          <cell r="K10" t="str">
            <v>29155</v>
          </cell>
        </row>
        <row r="11">
          <cell r="A11" t="str">
            <v>김주열</v>
          </cell>
          <cell r="B11" t="str">
            <v>철근공</v>
          </cell>
          <cell r="C11" t="str">
            <v>661109-1384112</v>
          </cell>
          <cell r="D11" t="str">
            <v>충북 옥천군 옥천읍 관성로 29</v>
          </cell>
          <cell r="E11" t="str">
            <v>중소기업</v>
          </cell>
          <cell r="F11" t="str">
            <v>김주열</v>
          </cell>
          <cell r="G11" t="str">
            <v>010-5454-1383</v>
          </cell>
          <cell r="H11">
            <v>240000</v>
          </cell>
          <cell r="I11" t="str">
            <v>010-5454-1383</v>
          </cell>
        </row>
        <row r="11">
          <cell r="K11" t="str">
            <v>29039</v>
          </cell>
        </row>
        <row r="12">
          <cell r="A12" t="str">
            <v>김덕환</v>
          </cell>
          <cell r="B12" t="str">
            <v>철근공</v>
          </cell>
          <cell r="C12" t="str">
            <v>671203-1386930</v>
          </cell>
          <cell r="D12" t="str">
            <v>충북 옥천군 옥천읍 신기4길16,a동102</v>
          </cell>
          <cell r="E12" t="str">
            <v>농협</v>
          </cell>
          <cell r="F12" t="str">
            <v>김덕환</v>
          </cell>
          <cell r="G12" t="str">
            <v>356-0961-2797-13</v>
          </cell>
          <cell r="H12">
            <v>200000</v>
          </cell>
          <cell r="I12" t="str">
            <v>010-9422-5581</v>
          </cell>
        </row>
        <row r="13">
          <cell r="A13" t="str">
            <v>김동진1</v>
          </cell>
          <cell r="B13" t="str">
            <v>철근공</v>
          </cell>
          <cell r="C13" t="str">
            <v>740215-1384136</v>
          </cell>
          <cell r="D13" t="str">
            <v>충북 옥천군 옥천읍 성신로21-10</v>
          </cell>
          <cell r="E13" t="str">
            <v>농협</v>
          </cell>
        </row>
        <row r="13">
          <cell r="G13" t="str">
            <v>317-02-252767</v>
          </cell>
          <cell r="H13">
            <v>240000</v>
          </cell>
          <cell r="I13" t="str">
            <v>010-4569-4810</v>
          </cell>
        </row>
        <row r="13">
          <cell r="K13" t="str">
            <v>29048</v>
          </cell>
        </row>
        <row r="14">
          <cell r="A14" t="str">
            <v>이영철</v>
          </cell>
          <cell r="B14" t="str">
            <v>철근공</v>
          </cell>
          <cell r="C14" t="str">
            <v>650222-1384139</v>
          </cell>
          <cell r="D14" t="str">
            <v>충북 옥천군 옥천읍 가화3길18,101동105호</v>
          </cell>
          <cell r="E14" t="str">
            <v>농협</v>
          </cell>
          <cell r="F14" t="str">
            <v>이영철</v>
          </cell>
          <cell r="G14" t="str">
            <v>317-12-395296</v>
          </cell>
          <cell r="H14">
            <v>240000</v>
          </cell>
          <cell r="I14" t="str">
            <v>010-5405-3976</v>
          </cell>
        </row>
        <row r="14">
          <cell r="K14" t="str">
            <v>29034</v>
          </cell>
        </row>
        <row r="15">
          <cell r="A15" t="str">
            <v>박용옥</v>
          </cell>
          <cell r="B15" t="str">
            <v>철근공</v>
          </cell>
          <cell r="C15" t="str">
            <v>580304-1384211</v>
          </cell>
          <cell r="D15" t="str">
            <v>충북 옥천군 옥천읍 금구리18-2</v>
          </cell>
          <cell r="E15" t="str">
            <v>농협</v>
          </cell>
          <cell r="F15" t="str">
            <v>박용옥</v>
          </cell>
          <cell r="G15" t="str">
            <v>317-12-351368</v>
          </cell>
          <cell r="H15">
            <v>240000</v>
          </cell>
          <cell r="I15" t="str">
            <v>010-6438-1661</v>
          </cell>
        </row>
        <row r="15">
          <cell r="K15" t="str">
            <v>29046</v>
          </cell>
        </row>
        <row r="16">
          <cell r="A16" t="str">
            <v>박종복</v>
          </cell>
          <cell r="B16" t="str">
            <v>철근공</v>
          </cell>
          <cell r="C16" t="str">
            <v>561005-1384211</v>
          </cell>
          <cell r="D16" t="str">
            <v>충북 옥천군 옥천읍 동부로16,102동901</v>
          </cell>
          <cell r="E16" t="str">
            <v>농협</v>
          </cell>
          <cell r="F16" t="str">
            <v>박종복</v>
          </cell>
          <cell r="G16" t="str">
            <v>302-0299-7809-11</v>
          </cell>
          <cell r="H16">
            <v>240000</v>
          </cell>
          <cell r="I16" t="str">
            <v>010-5457-5297</v>
          </cell>
        </row>
        <row r="16">
          <cell r="K16" t="str">
            <v>29039</v>
          </cell>
        </row>
        <row r="17">
          <cell r="A17" t="str">
            <v>김일용</v>
          </cell>
          <cell r="B17" t="str">
            <v>철근공</v>
          </cell>
          <cell r="C17" t="str">
            <v>580211-1403112</v>
          </cell>
          <cell r="D17" t="str">
            <v>충북 옥천군 옥천읍 신기4길18,나동201호</v>
          </cell>
          <cell r="E17" t="str">
            <v>새마을금고</v>
          </cell>
          <cell r="F17" t="str">
            <v>김일용</v>
          </cell>
          <cell r="G17" t="str">
            <v>9003-2149-2059-6</v>
          </cell>
          <cell r="H17">
            <v>200000</v>
          </cell>
          <cell r="I17" t="str">
            <v>010-9439-5026</v>
          </cell>
        </row>
        <row r="17">
          <cell r="K17" t="str">
            <v>29049</v>
          </cell>
        </row>
        <row r="18">
          <cell r="A18" t="str">
            <v>김일호</v>
          </cell>
          <cell r="B18" t="str">
            <v>보통인부</v>
          </cell>
          <cell r="C18" t="str">
            <v>600413-1386324</v>
          </cell>
          <cell r="D18" t="str">
            <v>충북 영동군 황간면 마산리109</v>
          </cell>
          <cell r="E18" t="str">
            <v>농협</v>
          </cell>
          <cell r="F18" t="str">
            <v>김일호</v>
          </cell>
          <cell r="G18" t="str">
            <v>407089-52-142573</v>
          </cell>
          <cell r="H18">
            <v>130000</v>
          </cell>
          <cell r="I18" t="str">
            <v>010-3060-5145</v>
          </cell>
        </row>
        <row r="18">
          <cell r="K18" t="str">
            <v>29114</v>
          </cell>
        </row>
        <row r="19">
          <cell r="A19" t="str">
            <v>정재인</v>
          </cell>
          <cell r="B19" t="str">
            <v>목공</v>
          </cell>
          <cell r="C19" t="str">
            <v>580217-1384115</v>
          </cell>
          <cell r="D19" t="str">
            <v>충북 옥천군 옥천읍 성신로27B동101호</v>
          </cell>
          <cell r="E19" t="str">
            <v>농협</v>
          </cell>
          <cell r="F19" t="str">
            <v>정재인</v>
          </cell>
          <cell r="G19" t="str">
            <v>405010-51-123375</v>
          </cell>
          <cell r="H19">
            <v>200000</v>
          </cell>
          <cell r="I19" t="str">
            <v>010-5493-3436</v>
          </cell>
        </row>
        <row r="20">
          <cell r="A20" t="str">
            <v>정백교</v>
          </cell>
          <cell r="B20" t="str">
            <v>목공</v>
          </cell>
          <cell r="C20" t="str">
            <v>561220-1812524</v>
          </cell>
          <cell r="D20" t="str">
            <v>대전광역시 동구 대동 33-119</v>
          </cell>
          <cell r="E20" t="str">
            <v>국민</v>
          </cell>
          <cell r="F20" t="str">
            <v>정백교</v>
          </cell>
          <cell r="G20" t="str">
            <v>734402-01-012660</v>
          </cell>
          <cell r="H20">
            <v>200000</v>
          </cell>
          <cell r="I20" t="str">
            <v>010-5408-8423</v>
          </cell>
        </row>
        <row r="21">
          <cell r="A21" t="str">
            <v>공양록</v>
          </cell>
          <cell r="B21" t="str">
            <v>목공</v>
          </cell>
          <cell r="C21" t="str">
            <v>570505-1384112</v>
          </cell>
          <cell r="D21" t="str">
            <v>충북 옥천군 옥천읍 대천557-1   25</v>
          </cell>
          <cell r="E21" t="str">
            <v>국민</v>
          </cell>
          <cell r="F21" t="str">
            <v>공양록</v>
          </cell>
          <cell r="G21" t="str">
            <v>405-21-0588-793</v>
          </cell>
          <cell r="H21">
            <v>200000</v>
          </cell>
          <cell r="I21" t="str">
            <v>010-3456-5927</v>
          </cell>
        </row>
        <row r="22">
          <cell r="A22" t="str">
            <v>이정열</v>
          </cell>
          <cell r="B22" t="str">
            <v>목공</v>
          </cell>
          <cell r="C22" t="str">
            <v>590820-1384819</v>
          </cell>
          <cell r="D22" t="str">
            <v>충북 옥천군 옥천읍 중앙로2길24</v>
          </cell>
          <cell r="E22" t="str">
            <v>농협</v>
          </cell>
          <cell r="F22" t="str">
            <v>이정열</v>
          </cell>
          <cell r="G22" t="str">
            <v>356-1330-1383-03</v>
          </cell>
          <cell r="H22">
            <v>200000</v>
          </cell>
          <cell r="I22" t="str">
            <v>011-464-4388</v>
          </cell>
        </row>
        <row r="22">
          <cell r="K22" t="str">
            <v>29047</v>
          </cell>
        </row>
        <row r="23">
          <cell r="A23" t="str">
            <v>정경섭</v>
          </cell>
          <cell r="B23" t="str">
            <v>목공</v>
          </cell>
          <cell r="C23" t="str">
            <v>580319-1254218</v>
          </cell>
          <cell r="D23" t="str">
            <v>충북 옥천군 동이면 남곡리151</v>
          </cell>
          <cell r="E23" t="str">
            <v>농협</v>
          </cell>
          <cell r="F23" t="str">
            <v>정경섭</v>
          </cell>
          <cell r="G23" t="str">
            <v>173128-52-132419</v>
          </cell>
          <cell r="H23">
            <v>200000</v>
          </cell>
          <cell r="I23" t="str">
            <v>010-8808-1863</v>
          </cell>
        </row>
        <row r="23">
          <cell r="K23" t="str">
            <v>29021</v>
          </cell>
        </row>
        <row r="24">
          <cell r="A24" t="str">
            <v>이종선</v>
          </cell>
          <cell r="B24" t="str">
            <v>목공</v>
          </cell>
          <cell r="C24" t="str">
            <v>620315-1382711</v>
          </cell>
          <cell r="D24" t="str">
            <v>충북 보은군 수한면 차정리99-1</v>
          </cell>
          <cell r="E24" t="str">
            <v>농협</v>
          </cell>
          <cell r="F24" t="str">
            <v>이종선</v>
          </cell>
          <cell r="G24" t="str">
            <v>356-0638-7963-13</v>
          </cell>
          <cell r="H24">
            <v>200000</v>
          </cell>
          <cell r="I24" t="str">
            <v>010-3456-5927</v>
          </cell>
        </row>
        <row r="24">
          <cell r="K24" t="str">
            <v>28919</v>
          </cell>
        </row>
        <row r="25">
          <cell r="A25" t="str">
            <v>황인호</v>
          </cell>
          <cell r="B25" t="str">
            <v>목공</v>
          </cell>
          <cell r="C25" t="str">
            <v>570625-1384117</v>
          </cell>
          <cell r="D25" t="str">
            <v>대전 동구 자양35-14</v>
          </cell>
          <cell r="E25" t="str">
            <v>농협</v>
          </cell>
          <cell r="F25" t="str">
            <v>황인호</v>
          </cell>
          <cell r="G25" t="str">
            <v>356-1420-1868-53</v>
          </cell>
          <cell r="H25">
            <v>200000</v>
          </cell>
          <cell r="I25" t="str">
            <v>010-9874-7747</v>
          </cell>
        </row>
        <row r="26">
          <cell r="A26" t="str">
            <v>공양호</v>
          </cell>
          <cell r="B26" t="str">
            <v>목공</v>
          </cell>
          <cell r="C26" t="str">
            <v>620302-1384112</v>
          </cell>
          <cell r="D26" t="str">
            <v>충북 옥천군 옥천읍 장이1길1005호</v>
          </cell>
          <cell r="E26" t="str">
            <v>농협</v>
          </cell>
          <cell r="F26" t="str">
            <v>공양호</v>
          </cell>
          <cell r="G26" t="str">
            <v>356-1307-5702-93</v>
          </cell>
          <cell r="H26">
            <v>200000</v>
          </cell>
          <cell r="I26" t="str">
            <v>010-5450-2276</v>
          </cell>
        </row>
        <row r="27">
          <cell r="A27" t="str">
            <v>김홍성</v>
          </cell>
          <cell r="B27" t="str">
            <v>목공</v>
          </cell>
          <cell r="C27" t="str">
            <v>490418-1447611</v>
          </cell>
          <cell r="D27" t="str">
            <v>대전 대덕구 대덕대로1601번길40</v>
          </cell>
          <cell r="E27" t="str">
            <v>농협</v>
          </cell>
          <cell r="F27" t="str">
            <v>김홍성</v>
          </cell>
          <cell r="G27" t="str">
            <v>352-1448-3038-13</v>
          </cell>
          <cell r="H27">
            <v>200000</v>
          </cell>
          <cell r="I27" t="str">
            <v>010-5609-4913</v>
          </cell>
        </row>
        <row r="27">
          <cell r="K27" t="str">
            <v>34305</v>
          </cell>
        </row>
        <row r="28">
          <cell r="A28" t="str">
            <v>남상길</v>
          </cell>
          <cell r="B28" t="str">
            <v>목공</v>
          </cell>
          <cell r="C28" t="str">
            <v>550719-1805215</v>
          </cell>
          <cell r="D28" t="str">
            <v>충북 옥천군 옥천읍 서정1길5-40</v>
          </cell>
          <cell r="E28" t="str">
            <v>농협</v>
          </cell>
          <cell r="F28" t="str">
            <v>남상길</v>
          </cell>
          <cell r="G28" t="str">
            <v>356-1314-4411-13</v>
          </cell>
          <cell r="H28">
            <v>200000</v>
          </cell>
          <cell r="I28" t="str">
            <v>010-8826-8939</v>
          </cell>
        </row>
        <row r="28">
          <cell r="K28" t="str">
            <v>29025</v>
          </cell>
        </row>
        <row r="29">
          <cell r="A29" t="str">
            <v>최성환</v>
          </cell>
          <cell r="B29" t="str">
            <v>철근공</v>
          </cell>
          <cell r="C29" t="str">
            <v>660710-1386211</v>
          </cell>
          <cell r="D29" t="str">
            <v>충북 옥천군 옥천읍 삼양로2길 6-4</v>
          </cell>
          <cell r="E29" t="str">
            <v>중소기업</v>
          </cell>
          <cell r="F29" t="str">
            <v>최성환</v>
          </cell>
          <cell r="G29" t="str">
            <v>570-000536-02-026</v>
          </cell>
          <cell r="H29">
            <v>200000</v>
          </cell>
          <cell r="I29" t="str">
            <v>010-6641-6613</v>
          </cell>
        </row>
        <row r="29">
          <cell r="K29" t="str">
            <v>29032</v>
          </cell>
        </row>
        <row r="30">
          <cell r="A30" t="str">
            <v>진수영</v>
          </cell>
          <cell r="B30" t="str">
            <v>철근공</v>
          </cell>
          <cell r="C30" t="str">
            <v>550928-1384216</v>
          </cell>
          <cell r="D30" t="str">
            <v>충북 옥천군 동이면 무산리657</v>
          </cell>
          <cell r="E30" t="str">
            <v>신협</v>
          </cell>
          <cell r="F30" t="str">
            <v>진수영</v>
          </cell>
          <cell r="G30" t="str">
            <v>131-015-480063</v>
          </cell>
          <cell r="H30">
            <v>200000</v>
          </cell>
          <cell r="I30" t="str">
            <v>010-4352-2174</v>
          </cell>
        </row>
        <row r="31">
          <cell r="A31" t="str">
            <v>김종덕</v>
          </cell>
          <cell r="B31" t="str">
            <v>철근공</v>
          </cell>
          <cell r="C31" t="str">
            <v>551120-1449514</v>
          </cell>
          <cell r="D31" t="str">
            <v>대전 광역시 중구 유천동 340-51</v>
          </cell>
          <cell r="E31" t="str">
            <v>국민</v>
          </cell>
          <cell r="F31" t="str">
            <v>김종덕</v>
          </cell>
          <cell r="G31" t="str">
            <v>460001-04-016552</v>
          </cell>
          <cell r="H31">
            <v>200000</v>
          </cell>
          <cell r="I31" t="str">
            <v>010-3418-1669</v>
          </cell>
        </row>
        <row r="32">
          <cell r="A32" t="str">
            <v>김용근</v>
          </cell>
          <cell r="B32" t="str">
            <v>철근공</v>
          </cell>
          <cell r="C32" t="str">
            <v>491010-1403113</v>
          </cell>
          <cell r="D32" t="str">
            <v>충북 옥천군 동이면 무산리658</v>
          </cell>
          <cell r="E32" t="str">
            <v>국민</v>
          </cell>
          <cell r="F32" t="str">
            <v>김용근</v>
          </cell>
          <cell r="G32" t="str">
            <v>740902-93-109270</v>
          </cell>
          <cell r="H32">
            <v>200000</v>
          </cell>
          <cell r="I32" t="str">
            <v>010-5456-3529</v>
          </cell>
        </row>
        <row r="33">
          <cell r="A33" t="str">
            <v>윤진한</v>
          </cell>
          <cell r="B33" t="str">
            <v>석공</v>
          </cell>
          <cell r="C33" t="str">
            <v>760224-1386921</v>
          </cell>
          <cell r="D33" t="str">
            <v>충북 영동군 영동읍 계산리 197-2</v>
          </cell>
          <cell r="E33" t="str">
            <v>농협</v>
          </cell>
          <cell r="F33" t="str">
            <v>윤진한</v>
          </cell>
          <cell r="G33" t="str">
            <v>356-0991-0651-23</v>
          </cell>
          <cell r="H33">
            <v>250000</v>
          </cell>
          <cell r="I33" t="str">
            <v>010-7360-3345</v>
          </cell>
        </row>
        <row r="33">
          <cell r="K33" t="str">
            <v>29139</v>
          </cell>
        </row>
        <row r="34">
          <cell r="A34" t="str">
            <v>권오득</v>
          </cell>
          <cell r="B34" t="str">
            <v>보통인부</v>
          </cell>
          <cell r="C34" t="str">
            <v>640529-1386416</v>
          </cell>
          <cell r="D34" t="str">
            <v>충북영동군추풍령면추풍령로9길10-2</v>
          </cell>
          <cell r="E34" t="str">
            <v>농협</v>
          </cell>
          <cell r="F34" t="str">
            <v>권오득</v>
          </cell>
          <cell r="G34" t="str">
            <v>352-1857-0983-23</v>
          </cell>
          <cell r="H34">
            <v>150000</v>
          </cell>
          <cell r="I34" t="str">
            <v>010-9133-8928</v>
          </cell>
        </row>
        <row r="35">
          <cell r="A35" t="str">
            <v>손석래</v>
          </cell>
          <cell r="B35" t="str">
            <v>보통인부</v>
          </cell>
          <cell r="C35" t="str">
            <v>600404-1386121</v>
          </cell>
          <cell r="D35" t="str">
            <v>충북 영동군 영동읍 새심길18,1004호 조한드림플러스@</v>
          </cell>
          <cell r="E35" t="str">
            <v>농협</v>
          </cell>
          <cell r="F35" t="str">
            <v>손석래</v>
          </cell>
          <cell r="G35" t="str">
            <v>356-1493-9522-63</v>
          </cell>
          <cell r="H35">
            <v>160000</v>
          </cell>
          <cell r="I35" t="str">
            <v>043-744-5228</v>
          </cell>
        </row>
        <row r="35">
          <cell r="K35" t="str">
            <v>29142</v>
          </cell>
        </row>
        <row r="36">
          <cell r="A36" t="str">
            <v>조운규</v>
          </cell>
          <cell r="B36" t="str">
            <v>특별인부</v>
          </cell>
          <cell r="C36" t="str">
            <v>650305-1386131</v>
          </cell>
          <cell r="D36" t="str">
            <v>충북 영동군 영동읍 금동안길 60</v>
          </cell>
          <cell r="E36" t="str">
            <v>우체국</v>
          </cell>
          <cell r="F36" t="str">
            <v>조운규</v>
          </cell>
          <cell r="G36" t="str">
            <v>301515-02-022804</v>
          </cell>
          <cell r="H36">
            <v>170000</v>
          </cell>
          <cell r="I36" t="str">
            <v>010-8343-0468</v>
          </cell>
        </row>
        <row r="36">
          <cell r="K36" t="str">
            <v>29138</v>
          </cell>
        </row>
        <row r="37">
          <cell r="A37" t="str">
            <v>강희종</v>
          </cell>
          <cell r="B37" t="str">
            <v>단순노무자</v>
          </cell>
          <cell r="C37" t="str">
            <v>540612-1400325</v>
          </cell>
          <cell r="D37" t="str">
            <v>충북 영동군 추풍령면 추풍령로5안길8</v>
          </cell>
          <cell r="E37" t="str">
            <v>농협</v>
          </cell>
          <cell r="F37" t="str">
            <v>강희종</v>
          </cell>
          <cell r="G37" t="str">
            <v>351-1142-0210-73</v>
          </cell>
          <cell r="H37">
            <v>130000</v>
          </cell>
          <cell r="I37" t="str">
            <v>010-5028-0656</v>
          </cell>
          <cell r="J37" t="str">
            <v>명장인력</v>
          </cell>
          <cell r="K37" t="str">
            <v>29120</v>
          </cell>
        </row>
        <row r="38">
          <cell r="A38" t="str">
            <v>김기필</v>
          </cell>
          <cell r="B38" t="str">
            <v>단순노무자</v>
          </cell>
          <cell r="C38" t="str">
            <v>611022-1386251</v>
          </cell>
          <cell r="D38" t="str">
            <v>충북 영동군 용산면 금곡3길 19</v>
          </cell>
          <cell r="E38" t="str">
            <v>농협</v>
          </cell>
          <cell r="F38" t="str">
            <v>김기필</v>
          </cell>
          <cell r="G38" t="str">
            <v>351-1142-0210-73</v>
          </cell>
          <cell r="H38">
            <v>150000</v>
          </cell>
          <cell r="I38" t="str">
            <v>010-6428-8990</v>
          </cell>
          <cell r="J38" t="str">
            <v>명장인력</v>
          </cell>
          <cell r="K38" t="str">
            <v>29100</v>
          </cell>
        </row>
        <row r="39">
          <cell r="A39" t="str">
            <v>윤석률</v>
          </cell>
          <cell r="B39" t="str">
            <v>단순노무자</v>
          </cell>
          <cell r="C39" t="str">
            <v>681215-1384614</v>
          </cell>
          <cell r="D39" t="str">
            <v>충북 옥천군 청산면 효목1길 83</v>
          </cell>
          <cell r="E39" t="str">
            <v>농협</v>
          </cell>
          <cell r="F39" t="str">
            <v>윤석률</v>
          </cell>
          <cell r="G39" t="str">
            <v>351-1142-0210-73</v>
          </cell>
          <cell r="H39">
            <v>150000</v>
          </cell>
          <cell r="I39" t="str">
            <v>010-3425-9337</v>
          </cell>
          <cell r="J39" t="str">
            <v>명장인력</v>
          </cell>
          <cell r="K39" t="str">
            <v>29015</v>
          </cell>
        </row>
        <row r="40">
          <cell r="A40" t="str">
            <v>전근성</v>
          </cell>
          <cell r="B40" t="str">
            <v>단순노무자</v>
          </cell>
          <cell r="C40" t="str">
            <v>721105-1386912</v>
          </cell>
          <cell r="D40" t="str">
            <v>충북 영동군 학산면 모정길 78</v>
          </cell>
          <cell r="E40" t="str">
            <v>농협</v>
          </cell>
          <cell r="F40" t="str">
            <v>전근성</v>
          </cell>
          <cell r="G40" t="str">
            <v>351-1142-0210-73</v>
          </cell>
          <cell r="H40">
            <v>150000</v>
          </cell>
          <cell r="I40" t="str">
            <v>010-3405-4114</v>
          </cell>
          <cell r="J40" t="str">
            <v>명장인력</v>
          </cell>
          <cell r="K40" t="str">
            <v>29165</v>
          </cell>
        </row>
        <row r="41">
          <cell r="A41" t="str">
            <v>김병호</v>
          </cell>
          <cell r="B41" t="str">
            <v>철근공</v>
          </cell>
          <cell r="C41" t="str">
            <v>921202-1058619</v>
          </cell>
          <cell r="D41" t="str">
            <v>충북 옥천군 옥천읍 관성로 29</v>
          </cell>
          <cell r="E41" t="str">
            <v>우체국</v>
          </cell>
          <cell r="F41" t="str">
            <v>김병호</v>
          </cell>
          <cell r="G41" t="str">
            <v>300111-02-297282</v>
          </cell>
          <cell r="H41">
            <v>200000</v>
          </cell>
          <cell r="I41" t="str">
            <v>010-4904-9092</v>
          </cell>
        </row>
        <row r="41">
          <cell r="K41" t="str">
            <v>29039</v>
          </cell>
        </row>
        <row r="42">
          <cell r="A42" t="str">
            <v>최동섭</v>
          </cell>
          <cell r="B42" t="str">
            <v>특별인부</v>
          </cell>
          <cell r="C42" t="str">
            <v>670211-1386119</v>
          </cell>
          <cell r="D42" t="str">
            <v>충북 영동군 영동읍 부용7안길7-1</v>
          </cell>
          <cell r="E42" t="str">
            <v>농협</v>
          </cell>
          <cell r="F42" t="str">
            <v>최동섭</v>
          </cell>
          <cell r="G42" t="str">
            <v>173173-52-042958</v>
          </cell>
          <cell r="H42">
            <v>170000</v>
          </cell>
          <cell r="I42" t="str">
            <v>010-4114-2902</v>
          </cell>
        </row>
        <row r="42">
          <cell r="K42" t="str">
            <v>29149</v>
          </cell>
        </row>
        <row r="43">
          <cell r="A43" t="str">
            <v>김영환</v>
          </cell>
          <cell r="B43" t="str">
            <v>보통인부</v>
          </cell>
          <cell r="C43" t="str">
            <v>600925-1386115</v>
          </cell>
          <cell r="D43" t="str">
            <v>충북 영동군 영동읍 계산리 426-1</v>
          </cell>
          <cell r="E43" t="str">
            <v>농협</v>
          </cell>
          <cell r="F43" t="str">
            <v>김영환</v>
          </cell>
          <cell r="G43" t="str">
            <v>302-1601-4630-21</v>
          </cell>
          <cell r="H43">
            <v>130000</v>
          </cell>
        </row>
        <row r="43">
          <cell r="K43" t="str">
            <v>29138</v>
          </cell>
        </row>
        <row r="44">
          <cell r="A44" t="str">
            <v>김명숙</v>
          </cell>
          <cell r="B44" t="str">
            <v>보통인부</v>
          </cell>
          <cell r="C44" t="str">
            <v>660125-2524919</v>
          </cell>
          <cell r="D44" t="str">
            <v>대전 동구 판암동 328방주아파트101-604</v>
          </cell>
          <cell r="E44" t="str">
            <v>농협</v>
          </cell>
          <cell r="F44" t="str">
            <v>김명숙</v>
          </cell>
          <cell r="G44" t="str">
            <v>302-0957-7396-11</v>
          </cell>
          <cell r="H44">
            <v>150000</v>
          </cell>
        </row>
        <row r="45">
          <cell r="A45" t="str">
            <v>이홍성</v>
          </cell>
          <cell r="B45" t="str">
            <v>목공</v>
          </cell>
          <cell r="C45" t="str">
            <v>510520-1384216</v>
          </cell>
          <cell r="D45" t="str">
            <v>충북 옥천 옥천읍 미암리49-1</v>
          </cell>
          <cell r="E45" t="str">
            <v>농협</v>
          </cell>
          <cell r="F45" t="str">
            <v>이홍성</v>
          </cell>
          <cell r="G45" t="str">
            <v>356-1306-8954-13</v>
          </cell>
          <cell r="H45">
            <v>200000</v>
          </cell>
          <cell r="I45" t="str">
            <v>010-5100-7490</v>
          </cell>
        </row>
        <row r="46">
          <cell r="A46" t="str">
            <v>김장곤</v>
          </cell>
          <cell r="B46" t="str">
            <v>목공</v>
          </cell>
          <cell r="C46" t="str">
            <v>611211-1458428</v>
          </cell>
          <cell r="D46" t="str">
            <v>대전광역시 중구 산성동 304-18</v>
          </cell>
          <cell r="E46" t="str">
            <v>농협</v>
          </cell>
          <cell r="F46" t="str">
            <v>김장곤</v>
          </cell>
          <cell r="G46" t="str">
            <v>356-1483-5978-13</v>
          </cell>
          <cell r="H46">
            <v>200000</v>
          </cell>
          <cell r="I46" t="str">
            <v>010-4830-2110</v>
          </cell>
        </row>
        <row r="46">
          <cell r="K46" t="str">
            <v>35054</v>
          </cell>
        </row>
        <row r="47">
          <cell r="A47" t="str">
            <v>김효식</v>
          </cell>
          <cell r="B47" t="str">
            <v>목공</v>
          </cell>
          <cell r="C47" t="str">
            <v>630220-1384116</v>
          </cell>
          <cell r="D47" t="str">
            <v>충북 옥천 옥천읍 송신길 89-1</v>
          </cell>
          <cell r="E47" t="str">
            <v>농협</v>
          </cell>
          <cell r="F47" t="str">
            <v>김효식</v>
          </cell>
          <cell r="G47" t="str">
            <v>356-1306-7504-13</v>
          </cell>
          <cell r="H47">
            <v>200000</v>
          </cell>
          <cell r="I47" t="str">
            <v>010-3448-1889</v>
          </cell>
        </row>
        <row r="48">
          <cell r="A48" t="str">
            <v>김정자</v>
          </cell>
          <cell r="B48" t="str">
            <v>목공</v>
          </cell>
          <cell r="C48" t="str">
            <v>600225-2408313</v>
          </cell>
          <cell r="D48" t="str">
            <v>대전 동구 판암동236주공 508-1302</v>
          </cell>
          <cell r="E48" t="str">
            <v>농협</v>
          </cell>
          <cell r="F48" t="str">
            <v>김정자</v>
          </cell>
        </row>
        <row r="48">
          <cell r="I48" t="str">
            <v>010-5402-7460</v>
          </cell>
        </row>
        <row r="49">
          <cell r="A49" t="str">
            <v>이순희</v>
          </cell>
          <cell r="B49" t="str">
            <v>목공</v>
          </cell>
          <cell r="C49" t="str">
            <v>610808-2379713</v>
          </cell>
          <cell r="D49" t="str">
            <v>충북 옥천 옥천읍 마암리22-4은혜연립B동101</v>
          </cell>
          <cell r="E49" t="str">
            <v>농협</v>
          </cell>
          <cell r="F49" t="str">
            <v>이순희</v>
          </cell>
        </row>
        <row r="49">
          <cell r="I49" t="str">
            <v>010-9138-3436</v>
          </cell>
        </row>
        <row r="50">
          <cell r="A50" t="str">
            <v>김태식</v>
          </cell>
          <cell r="B50" t="str">
            <v>목공</v>
          </cell>
          <cell r="C50" t="str">
            <v>551215-1384133</v>
          </cell>
          <cell r="D50" t="str">
            <v>충북옥천 옥천읍문정리 62-1</v>
          </cell>
          <cell r="E50" t="str">
            <v>농협</v>
          </cell>
          <cell r="F50" t="str">
            <v>김태식</v>
          </cell>
          <cell r="G50" t="str">
            <v>302-5458-3411-01</v>
          </cell>
          <cell r="H50">
            <v>200000</v>
          </cell>
          <cell r="I50" t="str">
            <v>010-5458-3411</v>
          </cell>
        </row>
        <row r="51">
          <cell r="A51" t="str">
            <v>유현봉</v>
          </cell>
          <cell r="B51" t="str">
            <v>목공</v>
          </cell>
          <cell r="C51" t="str">
            <v>531210-1384312</v>
          </cell>
          <cell r="D51" t="str">
            <v>충북 옥천 옥천읍 양수로6길4</v>
          </cell>
          <cell r="E51" t="str">
            <v>국민</v>
          </cell>
          <cell r="F51" t="str">
            <v>유현봉</v>
          </cell>
          <cell r="G51" t="str">
            <v>405-24-0081-770</v>
          </cell>
          <cell r="H51">
            <v>200000</v>
          </cell>
          <cell r="I51" t="str">
            <v>010-5427-7937</v>
          </cell>
        </row>
        <row r="52">
          <cell r="A52" t="str">
            <v>신기창</v>
          </cell>
          <cell r="B52" t="str">
            <v>목공</v>
          </cell>
          <cell r="C52" t="str">
            <v>611028-1411611</v>
          </cell>
          <cell r="D52" t="str">
            <v>충북 옥천 옥천읍 성암2길30-1</v>
          </cell>
          <cell r="E52" t="str">
            <v>농협</v>
          </cell>
          <cell r="F52" t="str">
            <v>신기창</v>
          </cell>
          <cell r="G52" t="str">
            <v>356-1479-8602-73</v>
          </cell>
          <cell r="H52">
            <v>200000</v>
          </cell>
          <cell r="I52" t="str">
            <v>010-3893-7198</v>
          </cell>
        </row>
        <row r="53">
          <cell r="A53" t="str">
            <v>김충재</v>
          </cell>
          <cell r="B53" t="str">
            <v>목공</v>
          </cell>
          <cell r="C53" t="str">
            <v>590114-1384121</v>
          </cell>
          <cell r="D53" t="str">
            <v>충북 옥천 옥천읍 금구천길15나동103호</v>
          </cell>
          <cell r="E53" t="str">
            <v>농협</v>
          </cell>
          <cell r="F53" t="str">
            <v>김충재</v>
          </cell>
          <cell r="G53" t="str">
            <v>356-1488-3009-73</v>
          </cell>
          <cell r="H53">
            <v>200000</v>
          </cell>
          <cell r="I53" t="str">
            <v>010-5465-8302</v>
          </cell>
        </row>
        <row r="54">
          <cell r="A54" t="str">
            <v>김정식</v>
          </cell>
          <cell r="B54" t="str">
            <v>목공</v>
          </cell>
          <cell r="C54" t="str">
            <v>760110-1384826</v>
          </cell>
          <cell r="D54" t="str">
            <v>충북 옥천 옥천읍가화3길23</v>
          </cell>
          <cell r="E54" t="str">
            <v>농협</v>
          </cell>
          <cell r="F54" t="str">
            <v>김정식</v>
          </cell>
          <cell r="G54" t="str">
            <v>302-0953-8269-11</v>
          </cell>
          <cell r="H54">
            <v>200000</v>
          </cell>
          <cell r="I54" t="str">
            <v>010-6252-2437</v>
          </cell>
        </row>
        <row r="55">
          <cell r="A55" t="str">
            <v>소세영</v>
          </cell>
          <cell r="B55" t="str">
            <v>철근공</v>
          </cell>
          <cell r="C55" t="str">
            <v>661110-1403017</v>
          </cell>
          <cell r="D55" t="str">
            <v>대전 동구 번동 2길 25(천동)</v>
          </cell>
          <cell r="E55" t="str">
            <v>농협</v>
          </cell>
          <cell r="F55" t="str">
            <v>소세영</v>
          </cell>
          <cell r="G55" t="str">
            <v>351-0883-3616-63</v>
          </cell>
          <cell r="H55">
            <v>200000</v>
          </cell>
          <cell r="I55" t="str">
            <v>010-8859-2729</v>
          </cell>
          <cell r="J55" t="str">
            <v>010-5454-1383</v>
          </cell>
          <cell r="K55" t="str">
            <v>34683</v>
          </cell>
        </row>
        <row r="56">
          <cell r="A56" t="str">
            <v>이영훈</v>
          </cell>
          <cell r="B56" t="str">
            <v>철근공</v>
          </cell>
          <cell r="C56" t="str">
            <v>941126-1055311</v>
          </cell>
          <cell r="D56" t="str">
            <v>서울 영등포구 도신로29길28</v>
          </cell>
          <cell r="E56" t="str">
            <v>중소기업</v>
          </cell>
          <cell r="F56" t="str">
            <v>이영훈</v>
          </cell>
          <cell r="G56" t="str">
            <v>570-020656-01-010</v>
          </cell>
          <cell r="H56">
            <v>200000</v>
          </cell>
          <cell r="I56" t="str">
            <v>010-9358-8464</v>
          </cell>
          <cell r="J56" t="str">
            <v>010-5454-1383</v>
          </cell>
          <cell r="K56" t="str">
            <v>07365</v>
          </cell>
        </row>
        <row r="57">
          <cell r="A57" t="str">
            <v>박길환</v>
          </cell>
          <cell r="B57" t="str">
            <v>철근공</v>
          </cell>
          <cell r="C57" t="str">
            <v>671015-1920528</v>
          </cell>
          <cell r="D57" t="str">
            <v>충북 옥천 옥천읍 중앙로6길8</v>
          </cell>
          <cell r="E57" t="str">
            <v>중소기업</v>
          </cell>
          <cell r="F57" t="str">
            <v>박길환</v>
          </cell>
          <cell r="G57" t="str">
            <v>570-020656-01-010</v>
          </cell>
          <cell r="H57">
            <v>200000</v>
          </cell>
          <cell r="I57" t="str">
            <v>010-4486-7508</v>
          </cell>
          <cell r="J57" t="str">
            <v>010-5454-1383</v>
          </cell>
        </row>
        <row r="58">
          <cell r="A58" t="str">
            <v>원용길</v>
          </cell>
          <cell r="B58" t="str">
            <v>철근공</v>
          </cell>
          <cell r="C58" t="str">
            <v>640220-5141993</v>
          </cell>
          <cell r="D58" t="str">
            <v>재외동포(F-4)</v>
          </cell>
          <cell r="E58" t="str">
            <v>중소기업</v>
          </cell>
          <cell r="F58" t="str">
            <v>원용길</v>
          </cell>
          <cell r="G58" t="str">
            <v>570-020656-01-010</v>
          </cell>
          <cell r="H58">
            <v>200000</v>
          </cell>
          <cell r="I58" t="str">
            <v>010-2293-0638</v>
          </cell>
          <cell r="J58" t="str">
            <v>010-5454-1383</v>
          </cell>
        </row>
        <row r="59">
          <cell r="A59" t="str">
            <v>조갑성</v>
          </cell>
          <cell r="B59" t="str">
            <v>목공</v>
          </cell>
          <cell r="C59" t="str">
            <v>540619-1384810</v>
          </cell>
          <cell r="D59" t="str">
            <v>충북 옥천 옥천읍 문장로2길9</v>
          </cell>
          <cell r="E59" t="str">
            <v>우체국</v>
          </cell>
          <cell r="F59" t="str">
            <v>조갑성</v>
          </cell>
          <cell r="G59" t="str">
            <v>102434-02-170588</v>
          </cell>
          <cell r="H59">
            <v>200000</v>
          </cell>
          <cell r="I59" t="str">
            <v>010-3456-5927</v>
          </cell>
        </row>
        <row r="60">
          <cell r="A60" t="str">
            <v>박준용</v>
          </cell>
          <cell r="B60" t="str">
            <v>보통인부</v>
          </cell>
          <cell r="C60" t="str">
            <v>571003-1386215</v>
          </cell>
          <cell r="D60" t="str">
            <v>충북 영동군 영동읍 중앙로1길18</v>
          </cell>
          <cell r="E60" t="str">
            <v>농협</v>
          </cell>
          <cell r="F60" t="str">
            <v>박준용</v>
          </cell>
          <cell r="G60" t="str">
            <v>407034-52-068141</v>
          </cell>
          <cell r="H60">
            <v>150000</v>
          </cell>
        </row>
        <row r="60">
          <cell r="K60" t="str">
            <v>29145</v>
          </cell>
        </row>
        <row r="61">
          <cell r="A61" t="str">
            <v>백경훈</v>
          </cell>
          <cell r="B61" t="str">
            <v>단순노무자</v>
          </cell>
          <cell r="C61" t="str">
            <v>850202-1386312</v>
          </cell>
          <cell r="D61" t="str">
            <v>충북 영동군 황간면 남성동3길27</v>
          </cell>
        </row>
        <row r="61">
          <cell r="F61" t="str">
            <v>백경훈</v>
          </cell>
        </row>
        <row r="61">
          <cell r="H61">
            <v>170000</v>
          </cell>
        </row>
        <row r="61">
          <cell r="K61" t="str">
            <v>29115</v>
          </cell>
        </row>
        <row r="62">
          <cell r="A62" t="str">
            <v>이진권</v>
          </cell>
          <cell r="B62" t="str">
            <v>단순노무자</v>
          </cell>
          <cell r="C62" t="str">
            <v>610210-1238818</v>
          </cell>
          <cell r="D62" t="str">
            <v>경기도 연천군 전곡읍 전곡리 324-33세림빌라7동301호</v>
          </cell>
          <cell r="E62" t="str">
            <v>농협</v>
          </cell>
          <cell r="F62" t="str">
            <v>이진권</v>
          </cell>
          <cell r="G62" t="str">
            <v>356-0129-1298-13</v>
          </cell>
          <cell r="H62">
            <v>170000</v>
          </cell>
        </row>
        <row r="63">
          <cell r="B63" t="str">
            <v>단순노무자</v>
          </cell>
          <cell r="C63" t="str">
            <v>760715-1386710</v>
          </cell>
          <cell r="D63" t="str">
            <v>충북 영동군 영동읍금동로1길6,202호(혜성빌라)</v>
          </cell>
          <cell r="E63" t="str">
            <v>우체국</v>
          </cell>
        </row>
        <row r="63">
          <cell r="G63" t="str">
            <v>301515-02-072801</v>
          </cell>
          <cell r="H63">
            <v>160000</v>
          </cell>
        </row>
        <row r="64">
          <cell r="A64" t="str">
            <v>정광일</v>
          </cell>
          <cell r="B64" t="str">
            <v>철근공</v>
          </cell>
          <cell r="C64" t="str">
            <v>600220-1041824</v>
          </cell>
          <cell r="D64" t="str">
            <v>충북 옥천군 옥천읍 동부로16 101동301호(하늘빛아파트)</v>
          </cell>
          <cell r="E64" t="str">
            <v>농협</v>
          </cell>
          <cell r="F64" t="str">
            <v>정광일</v>
          </cell>
          <cell r="G64" t="str">
            <v>351-0883-3616-63</v>
          </cell>
          <cell r="H64">
            <v>200000</v>
          </cell>
        </row>
        <row r="64">
          <cell r="K64" t="str">
            <v>29039</v>
          </cell>
        </row>
        <row r="65">
          <cell r="A65" t="str">
            <v>이윤건</v>
          </cell>
          <cell r="B65" t="str">
            <v>철근공</v>
          </cell>
          <cell r="C65" t="str">
            <v>630822-1229912</v>
          </cell>
          <cell r="D65" t="str">
            <v>충북 옥천군 군서면 성왕로 489-16</v>
          </cell>
          <cell r="E65" t="str">
            <v>농협</v>
          </cell>
          <cell r="F65" t="str">
            <v>이윤건</v>
          </cell>
          <cell r="G65" t="str">
            <v>351-0883-3616-63</v>
          </cell>
          <cell r="H65">
            <v>200000</v>
          </cell>
        </row>
        <row r="65">
          <cell r="K65" t="str">
            <v>29059</v>
          </cell>
        </row>
        <row r="66">
          <cell r="A66" t="str">
            <v>박래일</v>
          </cell>
          <cell r="B66" t="str">
            <v>보통인부</v>
          </cell>
          <cell r="C66" t="str">
            <v>590108-1386126</v>
          </cell>
          <cell r="D66" t="str">
            <v>충북 영동군 영동읍 양산로7길 2가동106호(양지연립)</v>
          </cell>
          <cell r="E66" t="str">
            <v>농협</v>
          </cell>
          <cell r="F66" t="str">
            <v>박래일</v>
          </cell>
          <cell r="G66" t="str">
            <v>774-02-269271</v>
          </cell>
          <cell r="H66">
            <v>170000</v>
          </cell>
          <cell r="I66" t="str">
            <v>010-9405-6479</v>
          </cell>
        </row>
        <row r="67">
          <cell r="A67" t="str">
            <v>이정근</v>
          </cell>
          <cell r="B67" t="str">
            <v>보통인부</v>
          </cell>
          <cell r="C67" t="str">
            <v>590825-1386143</v>
          </cell>
          <cell r="D67" t="str">
            <v>충북 영동군 영동읍 계산리280</v>
          </cell>
          <cell r="E67" t="str">
            <v>우체국</v>
          </cell>
          <cell r="F67" t="str">
            <v>이정근</v>
          </cell>
          <cell r="G67" t="str">
            <v>300160-02-240447</v>
          </cell>
          <cell r="H67">
            <v>160000</v>
          </cell>
        </row>
        <row r="67">
          <cell r="K67" t="str">
            <v>29139</v>
          </cell>
        </row>
        <row r="68">
          <cell r="A68" t="str">
            <v>육종필</v>
          </cell>
          <cell r="B68" t="str">
            <v>철근공</v>
          </cell>
          <cell r="C68" t="str">
            <v>681020-1384919</v>
          </cell>
          <cell r="D68" t="str">
            <v>충북 옥천군 옥천읍 장야리 313 장야1주공106-304</v>
          </cell>
          <cell r="E68" t="str">
            <v>중소기업</v>
          </cell>
          <cell r="F68" t="str">
            <v>육종필</v>
          </cell>
          <cell r="G68" t="str">
            <v>570-007217-02-013</v>
          </cell>
          <cell r="H68">
            <v>200000</v>
          </cell>
          <cell r="I68" t="str">
            <v>010-6800-2394</v>
          </cell>
        </row>
        <row r="68">
          <cell r="K68" t="str">
            <v>29045</v>
          </cell>
        </row>
        <row r="69">
          <cell r="A69" t="str">
            <v>조기혁</v>
          </cell>
          <cell r="B69" t="str">
            <v>목공</v>
          </cell>
          <cell r="C69" t="str">
            <v>630523-1402713</v>
          </cell>
          <cell r="D69" t="str">
            <v>대전광역시 동구 우암로326번길57-1(가양동)</v>
          </cell>
          <cell r="E69" t="str">
            <v>농협</v>
          </cell>
          <cell r="F69" t="str">
            <v>조기혁</v>
          </cell>
          <cell r="G69" t="str">
            <v>356-1497-0677-43</v>
          </cell>
          <cell r="H69">
            <v>200000</v>
          </cell>
          <cell r="I69" t="str">
            <v>010-8623-6218</v>
          </cell>
        </row>
        <row r="69">
          <cell r="K69" t="str">
            <v>34506</v>
          </cell>
        </row>
        <row r="70">
          <cell r="A70" t="str">
            <v>정일흥</v>
          </cell>
          <cell r="B70" t="str">
            <v>목공</v>
          </cell>
          <cell r="C70" t="str">
            <v>600605-1384810</v>
          </cell>
          <cell r="D70" t="str">
            <v>충북 옥천군 교서면 원전2길86-9</v>
          </cell>
          <cell r="E70" t="str">
            <v>농협</v>
          </cell>
          <cell r="F70" t="str">
            <v>정일흥</v>
          </cell>
          <cell r="G70" t="str">
            <v>352-1559-7324-93</v>
          </cell>
          <cell r="H70">
            <v>200000</v>
          </cell>
          <cell r="I70" t="str">
            <v>010-8843-0512</v>
          </cell>
        </row>
        <row r="71">
          <cell r="A71" t="str">
            <v>곽태</v>
          </cell>
          <cell r="B71" t="str">
            <v>목공</v>
          </cell>
          <cell r="C71" t="str">
            <v>551001-1448815</v>
          </cell>
          <cell r="D71" t="str">
            <v>충북 옥천군 옥천읍 중앙로1길 6-4602호</v>
          </cell>
          <cell r="E71" t="str">
            <v>농협</v>
          </cell>
          <cell r="F71" t="str">
            <v>곽태</v>
          </cell>
          <cell r="G71" t="str">
            <v>356-1434-8325-93</v>
          </cell>
          <cell r="H71">
            <v>200000</v>
          </cell>
          <cell r="I71" t="str">
            <v>0106423-3895</v>
          </cell>
        </row>
        <row r="71">
          <cell r="K71" t="str">
            <v>29037</v>
          </cell>
        </row>
        <row r="72">
          <cell r="A72" t="str">
            <v>박세호</v>
          </cell>
          <cell r="B72" t="str">
            <v>보통인부</v>
          </cell>
          <cell r="C72" t="str">
            <v>641015-1386715</v>
          </cell>
          <cell r="D72" t="str">
            <v>충북 영동군 영동읍 동정로 47,103동 1303호</v>
          </cell>
          <cell r="E72" t="str">
            <v>농협</v>
          </cell>
          <cell r="F72" t="str">
            <v>박세호</v>
          </cell>
          <cell r="G72" t="str">
            <v>356-1193-1604-23</v>
          </cell>
          <cell r="H72">
            <v>160000</v>
          </cell>
          <cell r="I72" t="str">
            <v>010-3896-8077</v>
          </cell>
        </row>
        <row r="72">
          <cell r="K72" t="str">
            <v>29140</v>
          </cell>
        </row>
        <row r="73">
          <cell r="A73" t="str">
            <v>정홍길</v>
          </cell>
          <cell r="B73" t="str">
            <v>목공</v>
          </cell>
          <cell r="C73" t="str">
            <v>821112-1384119</v>
          </cell>
          <cell r="D73" t="str">
            <v>충북 옥천군 옥천읍 대천길 159</v>
          </cell>
          <cell r="E73" t="str">
            <v>농협</v>
          </cell>
          <cell r="F73" t="str">
            <v>정홍길</v>
          </cell>
          <cell r="G73" t="str">
            <v>302-8622-0879-11</v>
          </cell>
          <cell r="H73">
            <v>200000</v>
          </cell>
          <cell r="I73" t="str">
            <v>010-8622-0879</v>
          </cell>
        </row>
        <row r="73">
          <cell r="K73" t="str">
            <v>29052</v>
          </cell>
        </row>
        <row r="74">
          <cell r="A74" t="str">
            <v>백정숙</v>
          </cell>
          <cell r="B74" t="str">
            <v>목공</v>
          </cell>
          <cell r="C74" t="str">
            <v>550420-2789718</v>
          </cell>
          <cell r="D74" t="str">
            <v>충북 옥천군 옥천읍 대천길 549</v>
          </cell>
          <cell r="E74" t="str">
            <v>새마을금고</v>
          </cell>
          <cell r="F74" t="str">
            <v>백정숙</v>
          </cell>
          <cell r="G74" t="str">
            <v>4614-09-003672-7</v>
          </cell>
          <cell r="H74">
            <v>150000</v>
          </cell>
          <cell r="I74" t="str">
            <v>010-8843-</v>
          </cell>
        </row>
        <row r="75">
          <cell r="A75" t="str">
            <v>배태봉</v>
          </cell>
          <cell r="B75" t="str">
            <v>목공</v>
          </cell>
          <cell r="C75" t="str">
            <v>610303-1386748</v>
          </cell>
          <cell r="D75" t="str">
            <v>충북 영동군 영동읍 당곡로14-1</v>
          </cell>
          <cell r="E75" t="str">
            <v>우체국</v>
          </cell>
          <cell r="F75" t="str">
            <v>배태봉</v>
          </cell>
          <cell r="G75" t="str">
            <v>300160-02-231942</v>
          </cell>
          <cell r="H75">
            <v>200000</v>
          </cell>
        </row>
        <row r="75">
          <cell r="K75" t="str">
            <v>29128</v>
          </cell>
        </row>
        <row r="76">
          <cell r="A76" t="str">
            <v>박재영</v>
          </cell>
          <cell r="B76" t="str">
            <v>굴삭기기사</v>
          </cell>
          <cell r="C76" t="str">
            <v>720815-1386721</v>
          </cell>
          <cell r="D76" t="str">
            <v>충북 옥천군 옥천읍 문장로2길 10, 304동 503호</v>
          </cell>
        </row>
        <row r="76">
          <cell r="F76" t="str">
            <v>박재영</v>
          </cell>
        </row>
        <row r="76">
          <cell r="H76">
            <v>150000</v>
          </cell>
        </row>
        <row r="76">
          <cell r="K76" t="str">
            <v>29040</v>
          </cell>
        </row>
        <row r="77">
          <cell r="A77" t="str">
            <v>이관우</v>
          </cell>
          <cell r="B77" t="str">
            <v>철근공</v>
          </cell>
          <cell r="C77" t="str">
            <v>590920-1383021</v>
          </cell>
          <cell r="D77" t="str">
            <v>충북 보은군 보은읍 중초2길 20</v>
          </cell>
          <cell r="E77" t="str">
            <v>농협</v>
          </cell>
          <cell r="F77" t="str">
            <v>이관우</v>
          </cell>
          <cell r="G77" t="str">
            <v>118012-00-9732</v>
          </cell>
          <cell r="H77">
            <v>300000</v>
          </cell>
          <cell r="I77" t="str">
            <v>010-5464-3462</v>
          </cell>
        </row>
        <row r="77">
          <cell r="K77" t="str">
            <v>28917</v>
          </cell>
        </row>
        <row r="78">
          <cell r="A78" t="str">
            <v>주문식</v>
          </cell>
          <cell r="B78" t="str">
            <v>목공</v>
          </cell>
          <cell r="C78" t="str">
            <v>650310-1392622</v>
          </cell>
          <cell r="D78" t="str">
            <v>청주시 상당구 영운천로 187번길 7-5</v>
          </cell>
          <cell r="E78" t="str">
            <v>농협</v>
          </cell>
          <cell r="F78" t="str">
            <v>주하정</v>
          </cell>
          <cell r="G78" t="str">
            <v>356-1247-9282-33</v>
          </cell>
          <cell r="H78">
            <v>280000</v>
          </cell>
        </row>
        <row r="78">
          <cell r="K78" t="str">
            <v>28750</v>
          </cell>
        </row>
        <row r="79">
          <cell r="A79" t="str">
            <v>최동수</v>
          </cell>
          <cell r="B79" t="str">
            <v>목공</v>
          </cell>
          <cell r="C79" t="str">
            <v>600824-1392617</v>
          </cell>
          <cell r="D79" t="str">
            <v>충북 청주시 흥덕구 수곡동 34-23돌체빌라 나동102호</v>
          </cell>
          <cell r="E79" t="str">
            <v>신한</v>
          </cell>
          <cell r="F79" t="str">
            <v>최동수</v>
          </cell>
          <cell r="G79" t="str">
            <v>110-016-451351</v>
          </cell>
          <cell r="H79">
            <v>280000</v>
          </cell>
        </row>
        <row r="80">
          <cell r="A80" t="str">
            <v>박종우</v>
          </cell>
          <cell r="B80" t="str">
            <v>목공</v>
          </cell>
          <cell r="C80" t="str">
            <v>620125-1350833</v>
          </cell>
          <cell r="D80" t="str">
            <v>충북 청주시 상당구 용정로 38번길 27-23,204호(용정동)</v>
          </cell>
          <cell r="E80" t="str">
            <v>농협</v>
          </cell>
          <cell r="F80" t="str">
            <v>박종우</v>
          </cell>
          <cell r="G80" t="str">
            <v>401050-51-041386</v>
          </cell>
          <cell r="H80">
            <v>280000</v>
          </cell>
        </row>
        <row r="81">
          <cell r="A81" t="str">
            <v>김용국</v>
          </cell>
          <cell r="B81" t="str">
            <v>철근공</v>
          </cell>
          <cell r="C81" t="str">
            <v>590215-1455931</v>
          </cell>
          <cell r="D81" t="str">
            <v>충북 청주시 청원구 주성로216,101동 904호(율량동,재원@)</v>
          </cell>
          <cell r="E81" t="str">
            <v>농협</v>
          </cell>
          <cell r="F81" t="str">
            <v>김용국</v>
          </cell>
          <cell r="G81" t="str">
            <v>237097-56-122641</v>
          </cell>
          <cell r="H81">
            <v>250000</v>
          </cell>
        </row>
        <row r="82">
          <cell r="A82" t="str">
            <v>김진태</v>
          </cell>
          <cell r="B82" t="str">
            <v>철근공</v>
          </cell>
          <cell r="C82" t="str">
            <v>590227-1390025</v>
          </cell>
          <cell r="D82" t="str">
            <v>충북 청주시청원구 새터로125번길 13-1.102호</v>
          </cell>
          <cell r="E82" t="str">
            <v>신한</v>
          </cell>
          <cell r="F82" t="str">
            <v>김진태</v>
          </cell>
          <cell r="G82" t="str">
            <v>110-350-519515</v>
          </cell>
          <cell r="H82">
            <v>250000</v>
          </cell>
        </row>
        <row r="83">
          <cell r="A83" t="str">
            <v>이원우</v>
          </cell>
          <cell r="B83" t="str">
            <v>철근공</v>
          </cell>
          <cell r="C83" t="str">
            <v>650901-1351416</v>
          </cell>
          <cell r="D83" t="str">
            <v>충북 청주시 상당구 새터로73번길 17-1,(내덕동)</v>
          </cell>
          <cell r="E83" t="str">
            <v>농협</v>
          </cell>
          <cell r="F83" t="str">
            <v>이원우</v>
          </cell>
          <cell r="G83" t="str">
            <v>356-0421-8806-83</v>
          </cell>
          <cell r="H83">
            <v>270000</v>
          </cell>
        </row>
        <row r="84">
          <cell r="A84" t="str">
            <v>우성식</v>
          </cell>
          <cell r="B84" t="str">
            <v>철근공</v>
          </cell>
          <cell r="C84" t="str">
            <v>630108-1382116</v>
          </cell>
          <cell r="D84" t="str">
            <v>충북 청주시 흥덕구 신율로145번길 24-5,101호(복대동)</v>
          </cell>
          <cell r="E84" t="str">
            <v>농협</v>
          </cell>
          <cell r="F84" t="str">
            <v>우성식</v>
          </cell>
          <cell r="G84" t="str">
            <v>211042-52-114865</v>
          </cell>
          <cell r="H84">
            <v>240000</v>
          </cell>
        </row>
        <row r="85">
          <cell r="A85" t="str">
            <v>음희진</v>
          </cell>
          <cell r="B85" t="str">
            <v>목공</v>
          </cell>
          <cell r="C85" t="str">
            <v>591220-1392335</v>
          </cell>
          <cell r="D85" t="str">
            <v>청주시 흥덕구 장구봉로101번길27, 사랑동405호 (복대동,형석@)</v>
          </cell>
          <cell r="E85" t="str">
            <v>농협</v>
          </cell>
          <cell r="F85" t="str">
            <v>음희진</v>
          </cell>
          <cell r="G85" t="str">
            <v>401149-56-096884</v>
          </cell>
          <cell r="H85">
            <v>250000</v>
          </cell>
        </row>
        <row r="85">
          <cell r="K85" t="str">
            <v>28607</v>
          </cell>
        </row>
        <row r="86">
          <cell r="A86" t="str">
            <v>지창기</v>
          </cell>
          <cell r="B86" t="str">
            <v>울타리공</v>
          </cell>
          <cell r="C86" t="str">
            <v>681022-1446910</v>
          </cell>
          <cell r="D86" t="str">
            <v>대전광역시 중구 대흥동 현대@ 7동 1101호</v>
          </cell>
        </row>
        <row r="86">
          <cell r="F86" t="str">
            <v>지창기</v>
          </cell>
        </row>
        <row r="86">
          <cell r="H86">
            <v>250000</v>
          </cell>
        </row>
        <row r="86">
          <cell r="K86" t="str">
            <v>34929</v>
          </cell>
        </row>
        <row r="87">
          <cell r="A87" t="str">
            <v>김재수</v>
          </cell>
          <cell r="B87" t="str">
            <v>울타리공</v>
          </cell>
          <cell r="C87" t="str">
            <v>660202-1400210</v>
          </cell>
          <cell r="D87" t="str">
            <v>전북 무주군 부남면 유동길 7-4</v>
          </cell>
        </row>
        <row r="87">
          <cell r="F87" t="str">
            <v>김재수</v>
          </cell>
        </row>
        <row r="87">
          <cell r="H87">
            <v>250000</v>
          </cell>
        </row>
        <row r="87">
          <cell r="K87" t="str">
            <v>55501</v>
          </cell>
        </row>
        <row r="88">
          <cell r="A88" t="str">
            <v>김동진</v>
          </cell>
          <cell r="B88" t="str">
            <v>울타리공</v>
          </cell>
          <cell r="C88" t="str">
            <v>980615-1094810</v>
          </cell>
          <cell r="D88" t="str">
            <v>전북 전주시  덕진구 명주5길 41</v>
          </cell>
          <cell r="E88" t="str">
            <v>우리</v>
          </cell>
          <cell r="F88" t="str">
            <v>김동진</v>
          </cell>
          <cell r="G88" t="str">
            <v>1002763162620</v>
          </cell>
          <cell r="H88">
            <v>155000</v>
          </cell>
          <cell r="I88" t="str">
            <v>010-5738-4795</v>
          </cell>
        </row>
        <row r="88">
          <cell r="K88" t="str">
            <v>54918</v>
          </cell>
        </row>
        <row r="89">
          <cell r="A89" t="str">
            <v>이종호</v>
          </cell>
          <cell r="B89" t="str">
            <v>울타리공</v>
          </cell>
          <cell r="C89" t="str">
            <v>740211-1149313</v>
          </cell>
          <cell r="D89" t="str">
            <v>인천시 연수구 옥련동 642-1</v>
          </cell>
          <cell r="E89" t="str">
            <v>기업</v>
          </cell>
          <cell r="F89" t="str">
            <v>이종호</v>
          </cell>
          <cell r="G89" t="str">
            <v>1064340831</v>
          </cell>
          <cell r="H89">
            <v>155000</v>
          </cell>
          <cell r="I89" t="str">
            <v>010-6434-0831</v>
          </cell>
        </row>
        <row r="89">
          <cell r="K89" t="str">
            <v>21952</v>
          </cell>
        </row>
        <row r="90">
          <cell r="A90" t="str">
            <v>청주건설기계
(오근장지게차,공항지게차)</v>
          </cell>
          <cell r="B90" t="str">
            <v>지게차</v>
          </cell>
          <cell r="C90" t="str">
            <v>490-40-00058</v>
          </cell>
          <cell r="D90" t="str">
            <v>농협010-8574-3343-09</v>
          </cell>
          <cell r="E90" t="str">
            <v>농협</v>
          </cell>
        </row>
        <row r="90">
          <cell r="G90" t="str">
            <v>010-8574-3343-09</v>
          </cell>
          <cell r="H90">
            <v>90000</v>
          </cell>
          <cell r="I90" t="str">
            <v>010-8574-3343</v>
          </cell>
        </row>
        <row r="91">
          <cell r="A91" t="str">
            <v>유상철</v>
          </cell>
          <cell r="B91" t="str">
            <v>울타리공</v>
          </cell>
          <cell r="C91" t="str">
            <v>780418-1411311</v>
          </cell>
          <cell r="D91" t="str">
            <v>인청광역시 남동구 간석동 188-7 203호</v>
          </cell>
          <cell r="E91" t="str">
            <v>농협</v>
          </cell>
          <cell r="F91" t="str">
            <v>유상철</v>
          </cell>
          <cell r="G91" t="str">
            <v>3020703001141</v>
          </cell>
          <cell r="H91">
            <v>180000</v>
          </cell>
          <cell r="I91" t="str">
            <v>010-8997-4235</v>
          </cell>
        </row>
        <row r="91">
          <cell r="K91" t="str">
            <v>21952</v>
          </cell>
        </row>
        <row r="92">
          <cell r="A92" t="str">
            <v>박건진</v>
          </cell>
          <cell r="B92" t="str">
            <v>울타리공</v>
          </cell>
          <cell r="C92" t="str">
            <v>730926-1182618</v>
          </cell>
          <cell r="D92" t="str">
            <v>인천시 연수구 옥련동 642-139</v>
          </cell>
          <cell r="E92" t="str">
            <v>신한</v>
          </cell>
          <cell r="F92" t="str">
            <v>박건진</v>
          </cell>
          <cell r="G92" t="str">
            <v>110531618208</v>
          </cell>
          <cell r="H92">
            <v>150000</v>
          </cell>
          <cell r="I92" t="str">
            <v>010-2520-9629</v>
          </cell>
        </row>
        <row r="92">
          <cell r="K92" t="str">
            <v>14473</v>
          </cell>
        </row>
        <row r="93">
          <cell r="A93" t="str">
            <v>김도운</v>
          </cell>
          <cell r="B93" t="str">
            <v>울타리공</v>
          </cell>
          <cell r="C93" t="str">
            <v>980424-1042216</v>
          </cell>
          <cell r="D93" t="str">
            <v>경기도 부천시 삼적로 395번길8 502호</v>
          </cell>
          <cell r="E93" t="str">
            <v>카카오뱅크</v>
          </cell>
          <cell r="F93" t="str">
            <v>김도운</v>
          </cell>
          <cell r="G93" t="str">
            <v>3333-16-5110770</v>
          </cell>
          <cell r="H93">
            <v>140000</v>
          </cell>
          <cell r="I93" t="str">
            <v>010-4856-8783</v>
          </cell>
        </row>
        <row r="93">
          <cell r="K93" t="str">
            <v>15805</v>
          </cell>
        </row>
        <row r="94">
          <cell r="A94" t="str">
            <v>최진영</v>
          </cell>
          <cell r="B94" t="str">
            <v>울타리공</v>
          </cell>
          <cell r="C94" t="str">
            <v>830808-1273513</v>
          </cell>
          <cell r="D94" t="str">
            <v>경기도 군포시 군포로 767번길 35 </v>
          </cell>
          <cell r="E94" t="str">
            <v>신한</v>
          </cell>
          <cell r="F94" t="str">
            <v>최진영</v>
          </cell>
          <cell r="G94" t="str">
            <v>110309789591</v>
          </cell>
          <cell r="H94">
            <v>165000</v>
          </cell>
          <cell r="I94" t="str">
            <v>010-2537-9954</v>
          </cell>
        </row>
        <row r="94">
          <cell r="K94" t="str">
            <v>15805</v>
          </cell>
        </row>
        <row r="95">
          <cell r="A95" t="str">
            <v>조영준</v>
          </cell>
          <cell r="B95" t="str">
            <v>울타리공</v>
          </cell>
          <cell r="C95" t="str">
            <v>890115-1673921</v>
          </cell>
          <cell r="D95" t="str">
            <v>대구광역시 달서구 상화로373.202동214호</v>
          </cell>
          <cell r="E95" t="str">
            <v>대구</v>
          </cell>
          <cell r="F95" t="str">
            <v>조영준</v>
          </cell>
          <cell r="G95" t="str">
            <v>508116402427</v>
          </cell>
          <cell r="H95">
            <v>135000</v>
          </cell>
          <cell r="I95" t="str">
            <v>010-2523-2611</v>
          </cell>
        </row>
        <row r="96">
          <cell r="A96" t="str">
            <v>정해용</v>
          </cell>
          <cell r="B96" t="str">
            <v>울타리공</v>
          </cell>
          <cell r="C96" t="str">
            <v>880309-1144517</v>
          </cell>
          <cell r="D96" t="str">
            <v>인천광역시시 미추홀구 도화동 6-26</v>
          </cell>
          <cell r="E96" t="str">
            <v>국민</v>
          </cell>
          <cell r="F96" t="str">
            <v>정해용</v>
          </cell>
          <cell r="G96" t="str">
            <v>722125-95-102456</v>
          </cell>
          <cell r="H96">
            <v>165000</v>
          </cell>
        </row>
        <row r="97">
          <cell r="A97" t="str">
            <v>박동호</v>
          </cell>
          <cell r="B97" t="str">
            <v>울타리공</v>
          </cell>
          <cell r="C97" t="str">
            <v>740123-1150216</v>
          </cell>
          <cell r="D97" t="str">
            <v>인천광역시 연수구 학나래로34, 101동501호</v>
          </cell>
          <cell r="E97" t="str">
            <v>신한</v>
          </cell>
          <cell r="F97" t="str">
            <v>박동호</v>
          </cell>
          <cell r="G97" t="str">
            <v>110388363575</v>
          </cell>
          <cell r="H97">
            <v>250000</v>
          </cell>
        </row>
        <row r="97">
          <cell r="K97">
            <v>21911</v>
          </cell>
        </row>
        <row r="98">
          <cell r="A98" t="str">
            <v>이동헌</v>
          </cell>
          <cell r="B98" t="str">
            <v>울타리공</v>
          </cell>
          <cell r="C98" t="str">
            <v>900614-1674812</v>
          </cell>
          <cell r="D98" t="str">
            <v>인천광역시 부평구 부평대로 95</v>
          </cell>
          <cell r="E98" t="str">
            <v>새마을금고</v>
          </cell>
          <cell r="F98" t="str">
            <v>이동헌</v>
          </cell>
          <cell r="G98" t="str">
            <v>9002172373929</v>
          </cell>
          <cell r="H98">
            <v>230000</v>
          </cell>
          <cell r="I98" t="str">
            <v>010-4682-4812</v>
          </cell>
        </row>
        <row r="98">
          <cell r="K98" t="str">
            <v>21379</v>
          </cell>
        </row>
        <row r="99">
          <cell r="A99" t="str">
            <v>김경윤</v>
          </cell>
          <cell r="B99" t="str">
            <v>울타리공</v>
          </cell>
          <cell r="C99">
            <v>19981119</v>
          </cell>
        </row>
        <row r="99">
          <cell r="E99" t="str">
            <v>국민</v>
          </cell>
          <cell r="F99" t="str">
            <v>김경윤</v>
          </cell>
          <cell r="G99" t="str">
            <v>722125-95-102456</v>
          </cell>
          <cell r="H99">
            <v>165000</v>
          </cell>
        </row>
        <row r="100">
          <cell r="A100" t="str">
            <v>지봉수</v>
          </cell>
        </row>
        <row r="100">
          <cell r="C100" t="str">
            <v>871003-</v>
          </cell>
          <cell r="D100" t="str">
            <v>충북 증평군 도안면 탑골길 1-22</v>
          </cell>
        </row>
        <row r="100">
          <cell r="K100" t="str">
            <v>27901</v>
          </cell>
        </row>
        <row r="101">
          <cell r="A101" t="str">
            <v>이기영</v>
          </cell>
        </row>
        <row r="101">
          <cell r="C101" t="str">
            <v>580824-1390815</v>
          </cell>
          <cell r="D101" t="str">
            <v>충청북도 증평군 도안면 탑골길 1-22</v>
          </cell>
          <cell r="E101" t="str">
            <v>국민</v>
          </cell>
          <cell r="F101" t="str">
            <v>삼일용역</v>
          </cell>
          <cell r="G101" t="str">
            <v>722125-95-102456</v>
          </cell>
          <cell r="H101">
            <v>165000</v>
          </cell>
          <cell r="I101" t="str">
            <v>010-9345-3633</v>
          </cell>
          <cell r="J101" t="str">
            <v>삼일용역</v>
          </cell>
          <cell r="K101" t="str">
            <v>27901</v>
          </cell>
        </row>
        <row r="102">
          <cell r="A102" t="str">
            <v>조남부</v>
          </cell>
        </row>
        <row r="102">
          <cell r="C102" t="str">
            <v>600417-1458432</v>
          </cell>
          <cell r="D102" t="str">
            <v>충북 청원군 낭성면 관정길 180-1</v>
          </cell>
          <cell r="E102" t="str">
            <v>국민</v>
          </cell>
          <cell r="F102" t="str">
            <v>삼일용역</v>
          </cell>
          <cell r="G102" t="str">
            <v>722125-95-102456</v>
          </cell>
          <cell r="H102">
            <v>165000</v>
          </cell>
        </row>
        <row r="102">
          <cell r="J102" t="str">
            <v>삼일용역</v>
          </cell>
          <cell r="K102" t="str">
            <v>28194</v>
          </cell>
        </row>
        <row r="103">
          <cell r="A103" t="str">
            <v>임종길</v>
          </cell>
        </row>
        <row r="103">
          <cell r="C103" t="str">
            <v>611204-1346019</v>
          </cell>
          <cell r="D103" t="str">
            <v>경상남도 고성군 거류면 화당2길 21-10</v>
          </cell>
          <cell r="E103" t="str">
            <v>국민</v>
          </cell>
          <cell r="F103" t="str">
            <v>삼일용역</v>
          </cell>
          <cell r="G103" t="str">
            <v>722125-95-102456</v>
          </cell>
          <cell r="H103">
            <v>175000</v>
          </cell>
        </row>
        <row r="103">
          <cell r="J103" t="str">
            <v>삼일용역</v>
          </cell>
          <cell r="K103" t="str">
            <v>52926</v>
          </cell>
        </row>
        <row r="104">
          <cell r="A104" t="str">
            <v>윤덕근</v>
          </cell>
        </row>
        <row r="104">
          <cell r="C104" t="str">
            <v>620209-1390912</v>
          </cell>
          <cell r="D104" t="str">
            <v>충청북도 증평군 증평읍 송산로4길 14,305동</v>
          </cell>
          <cell r="E104" t="str">
            <v>국민</v>
          </cell>
          <cell r="F104" t="str">
            <v>삼일용역</v>
          </cell>
          <cell r="G104" t="str">
            <v>722125-95-102456</v>
          </cell>
          <cell r="H104">
            <v>170000</v>
          </cell>
          <cell r="I104" t="str">
            <v>010-5498-6461</v>
          </cell>
          <cell r="J104" t="str">
            <v>삼일용역</v>
          </cell>
          <cell r="K104" t="str">
            <v>27917</v>
          </cell>
        </row>
        <row r="105">
          <cell r="A105" t="str">
            <v>김상만</v>
          </cell>
        </row>
        <row r="105">
          <cell r="C105" t="str">
            <v>730115-1781625</v>
          </cell>
          <cell r="D105" t="str">
            <v>울산광역시 동구 대송3길 63</v>
          </cell>
          <cell r="E105" t="str">
            <v>국민</v>
          </cell>
          <cell r="F105" t="str">
            <v>삼일용역</v>
          </cell>
          <cell r="G105" t="str">
            <v>722125-95-102456</v>
          </cell>
          <cell r="H105">
            <v>175000</v>
          </cell>
          <cell r="I105" t="str">
            <v>010-5498-6461</v>
          </cell>
          <cell r="J105" t="str">
            <v>삼일용역</v>
          </cell>
          <cell r="K105" t="str">
            <v>44062</v>
          </cell>
        </row>
        <row r="106">
          <cell r="A106" t="str">
            <v>이주은</v>
          </cell>
        </row>
        <row r="106">
          <cell r="C106" t="str">
            <v>930109-2409915</v>
          </cell>
          <cell r="D106" t="str">
            <v>대전광역시 서구 도솔로 324-5(괴정동)</v>
          </cell>
          <cell r="E106" t="str">
            <v>국민</v>
          </cell>
          <cell r="F106" t="str">
            <v>삼일용역</v>
          </cell>
          <cell r="G106" t="str">
            <v>722125-95-102456</v>
          </cell>
          <cell r="H106">
            <v>130000</v>
          </cell>
        </row>
        <row r="106">
          <cell r="J106" t="str">
            <v>삼일용역</v>
          </cell>
          <cell r="K106" t="str">
            <v>35295</v>
          </cell>
        </row>
        <row r="107">
          <cell r="A107" t="str">
            <v>김정태</v>
          </cell>
          <cell r="B107" t="str">
            <v>삼일용역</v>
          </cell>
          <cell r="C107" t="str">
            <v>650104-1380821</v>
          </cell>
          <cell r="D107" t="str">
            <v>충청북도 청주시 청원구 오창읍 여천2길 22-5</v>
          </cell>
          <cell r="E107" t="str">
            <v>국민</v>
          </cell>
          <cell r="F107" t="str">
            <v>삼일용역</v>
          </cell>
          <cell r="G107" t="str">
            <v>722125-95-102456</v>
          </cell>
          <cell r="H107">
            <v>175000</v>
          </cell>
        </row>
        <row r="107">
          <cell r="J107" t="str">
            <v>삼일용역</v>
          </cell>
          <cell r="K107" t="str">
            <v>28127</v>
          </cell>
        </row>
        <row r="108">
          <cell r="A108" t="str">
            <v>윤희주</v>
          </cell>
          <cell r="B108" t="str">
            <v>삼일용역</v>
          </cell>
          <cell r="C108" t="str">
            <v>520112-1621913</v>
          </cell>
          <cell r="D108" t="str">
            <v>충북 증평군 증평읍 쇠마루1길 45</v>
          </cell>
          <cell r="E108" t="str">
            <v>국민</v>
          </cell>
          <cell r="F108" t="str">
            <v>삼일용역</v>
          </cell>
          <cell r="G108" t="str">
            <v>722125-95-102456</v>
          </cell>
          <cell r="H108">
            <v>175000</v>
          </cell>
        </row>
        <row r="108">
          <cell r="J108" t="str">
            <v>삼일용역</v>
          </cell>
          <cell r="K108" t="str">
            <v>27913</v>
          </cell>
        </row>
        <row r="109">
          <cell r="A109" t="str">
            <v>최성학</v>
          </cell>
          <cell r="B109" t="str">
            <v>삼일용역</v>
          </cell>
          <cell r="C109" t="str">
            <v>630111-1268111</v>
          </cell>
          <cell r="D109" t="str">
            <v>충북 음성군 설성로 2</v>
          </cell>
          <cell r="E109" t="str">
            <v>국민</v>
          </cell>
          <cell r="F109" t="str">
            <v>삼일용역</v>
          </cell>
          <cell r="G109" t="str">
            <v>722125-95-102456</v>
          </cell>
          <cell r="H109">
            <v>165000</v>
          </cell>
        </row>
        <row r="109">
          <cell r="J109" t="str">
            <v>삼일용역</v>
          </cell>
          <cell r="K109" t="str">
            <v>21952</v>
          </cell>
        </row>
        <row r="110">
          <cell r="A110" t="str">
            <v>정복용</v>
          </cell>
          <cell r="B110" t="str">
            <v>삼일용역</v>
          </cell>
          <cell r="C110" t="str">
            <v>651210-1337113</v>
          </cell>
          <cell r="D110" t="str">
            <v>강원도 화천군 간동면 오음리 오동나무길8-9</v>
          </cell>
          <cell r="E110" t="str">
            <v>국민</v>
          </cell>
          <cell r="F110" t="str">
            <v>삼일용역</v>
          </cell>
          <cell r="G110" t="str">
            <v>722125-95-102456</v>
          </cell>
          <cell r="H110">
            <v>180000</v>
          </cell>
        </row>
        <row r="110">
          <cell r="J110" t="str">
            <v>삼일용역</v>
          </cell>
          <cell r="K110" t="str">
            <v>24137</v>
          </cell>
        </row>
        <row r="111">
          <cell r="A111" t="str">
            <v>정인섭</v>
          </cell>
          <cell r="B111" t="str">
            <v>삼일용역</v>
          </cell>
          <cell r="C111" t="str">
            <v>610720-1452816</v>
          </cell>
          <cell r="D111" t="str">
            <v>충북 증평군 증평읍 삼보로1길 21, 104동110호</v>
          </cell>
          <cell r="E111" t="str">
            <v>국민</v>
          </cell>
          <cell r="F111" t="str">
            <v>삼일용역</v>
          </cell>
          <cell r="G111" t="str">
            <v>722125-95-102456</v>
          </cell>
          <cell r="H111">
            <v>165000</v>
          </cell>
        </row>
        <row r="111">
          <cell r="J111" t="str">
            <v>삼일용역</v>
          </cell>
          <cell r="K111" t="str">
            <v>27928</v>
          </cell>
        </row>
        <row r="112">
          <cell r="A112" t="str">
            <v>연제선</v>
          </cell>
          <cell r="B112" t="str">
            <v>삼일용역</v>
          </cell>
          <cell r="C112" t="str">
            <v>880417-1390814</v>
          </cell>
          <cell r="D112" t="str">
            <v>충북 증평군 증평읍 송산로 53 휴먼시아@</v>
          </cell>
          <cell r="E112" t="str">
            <v>국민</v>
          </cell>
          <cell r="F112" t="str">
            <v>삼일용역</v>
          </cell>
          <cell r="G112" t="str">
            <v>722125-95-102456</v>
          </cell>
          <cell r="H112">
            <v>175000</v>
          </cell>
        </row>
        <row r="112">
          <cell r="J112" t="str">
            <v>삼일용역</v>
          </cell>
          <cell r="K112" t="str">
            <v>27918</v>
          </cell>
        </row>
        <row r="113">
          <cell r="A113" t="str">
            <v>이기범</v>
          </cell>
          <cell r="B113" t="str">
            <v>삼일용역</v>
          </cell>
          <cell r="C113" t="str">
            <v>840608-1227411</v>
          </cell>
          <cell r="D113" t="str">
            <v>경기도 평택시 세교동 560, 향촌현대아파트</v>
          </cell>
          <cell r="E113" t="str">
            <v>국민</v>
          </cell>
          <cell r="F113" t="str">
            <v>삼일용역</v>
          </cell>
          <cell r="G113" t="str">
            <v>722125-95-102456</v>
          </cell>
          <cell r="H113">
            <v>165000</v>
          </cell>
        </row>
        <row r="113">
          <cell r="J113" t="str">
            <v>삼일용역</v>
          </cell>
          <cell r="K113" t="str">
            <v>17832</v>
          </cell>
        </row>
        <row r="114">
          <cell r="A114" t="str">
            <v>신기호</v>
          </cell>
          <cell r="B114" t="str">
            <v>삼일용역</v>
          </cell>
          <cell r="C114" t="str">
            <v>740917-1390110</v>
          </cell>
          <cell r="D114" t="str">
            <v>충북 청주시 청원구 오창읍 양천6길 4-10 104호</v>
          </cell>
          <cell r="E114" t="str">
            <v>국민</v>
          </cell>
          <cell r="F114" t="str">
            <v>삼일용역</v>
          </cell>
          <cell r="G114" t="str">
            <v>722125-95-102456</v>
          </cell>
          <cell r="H114">
            <v>165000</v>
          </cell>
        </row>
        <row r="114">
          <cell r="J114" t="str">
            <v>삼일용역</v>
          </cell>
          <cell r="K114" t="str">
            <v>28116</v>
          </cell>
        </row>
        <row r="115">
          <cell r="A115" t="str">
            <v>한승태</v>
          </cell>
          <cell r="B115" t="str">
            <v>삼일용역</v>
          </cell>
          <cell r="C115" t="str">
            <v>560216-1390811</v>
          </cell>
          <cell r="D115" t="str">
            <v>충북 증평군 도안면 백암길 31-10</v>
          </cell>
          <cell r="E115" t="str">
            <v>국민</v>
          </cell>
          <cell r="F115" t="str">
            <v>삼일용역</v>
          </cell>
          <cell r="G115" t="str">
            <v>722125-95-102456</v>
          </cell>
          <cell r="H115">
            <v>175000</v>
          </cell>
        </row>
        <row r="116">
          <cell r="A116" t="str">
            <v>한만선</v>
          </cell>
          <cell r="B116" t="str">
            <v>삼일용역</v>
          </cell>
          <cell r="C116" t="str">
            <v>600709-1398411</v>
          </cell>
          <cell r="D116" t="str">
            <v>대전광영시유성구유성대로668번길64 301호</v>
          </cell>
          <cell r="E116" t="str">
            <v>국민</v>
          </cell>
          <cell r="F116" t="str">
            <v>삼일용역</v>
          </cell>
          <cell r="G116" t="str">
            <v>722125-95-102456</v>
          </cell>
          <cell r="H116">
            <v>165000</v>
          </cell>
        </row>
        <row r="117">
          <cell r="A117" t="str">
            <v>정수용</v>
          </cell>
          <cell r="B117" t="str">
            <v>삼일용역</v>
          </cell>
          <cell r="C117" t="str">
            <v>610528-1390511</v>
          </cell>
          <cell r="D117" t="str">
            <v>충청북도 증평군 증평읍 광장로 534 (서호e타운아파트)</v>
          </cell>
          <cell r="E117" t="str">
            <v>국민</v>
          </cell>
          <cell r="F117" t="str">
            <v>삼일용역</v>
          </cell>
          <cell r="G117" t="str">
            <v>722125-95-102456</v>
          </cell>
          <cell r="H117">
            <v>165000</v>
          </cell>
        </row>
        <row r="117">
          <cell r="K117">
            <v>27909</v>
          </cell>
        </row>
        <row r="118">
          <cell r="A118" t="str">
            <v>한상원</v>
          </cell>
          <cell r="B118" t="str">
            <v>삼일용역</v>
          </cell>
          <cell r="C118" t="str">
            <v>700225-1390926</v>
          </cell>
          <cell r="D118" t="str">
            <v>충청북도 괴산군 사리면 방축리 768-130</v>
          </cell>
          <cell r="E118" t="str">
            <v>국민</v>
          </cell>
          <cell r="F118" t="str">
            <v>삼일용역</v>
          </cell>
          <cell r="G118" t="str">
            <v>722125-95-102456</v>
          </cell>
          <cell r="H118">
            <v>175000</v>
          </cell>
        </row>
        <row r="119">
          <cell r="A119" t="str">
            <v>정문기</v>
          </cell>
          <cell r="B119" t="str">
            <v>삼일용역</v>
          </cell>
          <cell r="C119" t="str">
            <v>670101-1926014</v>
          </cell>
          <cell r="D119" t="str">
            <v>경기도 김포시 대곶면 대곶서로 234번길 52-16</v>
          </cell>
          <cell r="E119" t="str">
            <v>국민</v>
          </cell>
          <cell r="F119" t="str">
            <v>삼일용역</v>
          </cell>
          <cell r="G119" t="str">
            <v>722125-95-102456</v>
          </cell>
          <cell r="H119">
            <v>165000</v>
          </cell>
        </row>
        <row r="120">
          <cell r="A120" t="str">
            <v>최영수</v>
          </cell>
          <cell r="B120" t="str">
            <v>삼일용역</v>
          </cell>
          <cell r="C120" t="str">
            <v>770131-1390916</v>
          </cell>
          <cell r="D120" t="str">
            <v>증평군 증평읍 충청대로 1746,105동 102호 </v>
          </cell>
          <cell r="E120" t="str">
            <v>국민</v>
          </cell>
          <cell r="F120" t="str">
            <v>삼일용역</v>
          </cell>
          <cell r="G120" t="str">
            <v>722125-95-102456</v>
          </cell>
          <cell r="H120">
            <v>175000</v>
          </cell>
        </row>
        <row r="121">
          <cell r="A121" t="str">
            <v>이권희</v>
          </cell>
          <cell r="B121" t="str">
            <v>삼일용역</v>
          </cell>
          <cell r="C121" t="str">
            <v>600920-1390816</v>
          </cell>
          <cell r="D121" t="str">
            <v>충북 증평군 도안면 도당리 131</v>
          </cell>
          <cell r="E121" t="str">
            <v>국민</v>
          </cell>
          <cell r="F121" t="str">
            <v>삼일용역</v>
          </cell>
          <cell r="G121" t="str">
            <v>722125-95-102456</v>
          </cell>
          <cell r="H121">
            <v>165000</v>
          </cell>
        </row>
        <row r="121">
          <cell r="K121">
            <v>27906</v>
          </cell>
        </row>
        <row r="122">
          <cell r="A122" t="str">
            <v>연영수</v>
          </cell>
          <cell r="B122" t="str">
            <v>삼일용역</v>
          </cell>
          <cell r="C122" t="str">
            <v>610228-1390814</v>
          </cell>
          <cell r="D122" t="str">
            <v>충북 증평군 증평읍 진지내1길 21, 3호</v>
          </cell>
          <cell r="E122" t="str">
            <v>국민</v>
          </cell>
          <cell r="F122" t="str">
            <v>삼일용역</v>
          </cell>
          <cell r="G122" t="str">
            <v>722125-95-102456</v>
          </cell>
          <cell r="H122">
            <v>165000</v>
          </cell>
        </row>
        <row r="122">
          <cell r="K122" t="str">
            <v>27933</v>
          </cell>
        </row>
        <row r="123">
          <cell r="A123" t="str">
            <v>정규성</v>
          </cell>
          <cell r="B123" t="str">
            <v>삼일용역</v>
          </cell>
          <cell r="C123" t="str">
            <v>721023-1904418</v>
          </cell>
          <cell r="D123" t="str">
            <v>울산광역시 울주군 삼남면 서향교1길 59-9</v>
          </cell>
          <cell r="E123" t="str">
            <v>국민</v>
          </cell>
          <cell r="F123" t="str">
            <v>삼일용역</v>
          </cell>
          <cell r="G123" t="str">
            <v>722125-95-102456</v>
          </cell>
          <cell r="H123">
            <v>175000</v>
          </cell>
        </row>
        <row r="123">
          <cell r="K123">
            <v>44950</v>
          </cell>
        </row>
        <row r="124">
          <cell r="A124" t="str">
            <v>이승태</v>
          </cell>
          <cell r="B124" t="str">
            <v>삼일용역</v>
          </cell>
          <cell r="C124" t="str">
            <v>760221-1537211</v>
          </cell>
          <cell r="D124" t="str">
            <v>충북 청주시 청원구 오창읍 양청2길29-38</v>
          </cell>
          <cell r="E124" t="str">
            <v>국민</v>
          </cell>
          <cell r="F124" t="str">
            <v>삼일용역</v>
          </cell>
          <cell r="G124" t="str">
            <v>722125-95-102456</v>
          </cell>
          <cell r="H124">
            <v>165000</v>
          </cell>
        </row>
        <row r="124">
          <cell r="K124">
            <v>28115</v>
          </cell>
        </row>
        <row r="125">
          <cell r="A125" t="str">
            <v>이성길</v>
          </cell>
          <cell r="B125" t="str">
            <v>삼일용역</v>
          </cell>
          <cell r="C125" t="str">
            <v>651105-1046117</v>
          </cell>
          <cell r="D125" t="str">
            <v>경기도 안성시 원곡면 강문길 31</v>
          </cell>
          <cell r="E125" t="str">
            <v>국민</v>
          </cell>
          <cell r="F125" t="str">
            <v>삼일용역</v>
          </cell>
          <cell r="G125" t="str">
            <v>722125-95-102456</v>
          </cell>
          <cell r="H125">
            <v>180000</v>
          </cell>
        </row>
        <row r="125">
          <cell r="K125" t="str">
            <v>17555</v>
          </cell>
        </row>
        <row r="126">
          <cell r="A126" t="str">
            <v>김경선</v>
          </cell>
          <cell r="B126" t="str">
            <v>삼일용역</v>
          </cell>
          <cell r="C126" t="str">
            <v>590703-1047120</v>
          </cell>
          <cell r="D126" t="str">
            <v>경기도 화성시 떡전골로 82, 7동 725호</v>
          </cell>
          <cell r="E126" t="str">
            <v>국민</v>
          </cell>
          <cell r="F126" t="str">
            <v>삼일용역</v>
          </cell>
          <cell r="G126" t="str">
            <v>722125-95-102456</v>
          </cell>
          <cell r="H126">
            <v>185000</v>
          </cell>
        </row>
        <row r="126">
          <cell r="K126">
            <v>18412</v>
          </cell>
        </row>
        <row r="127">
          <cell r="A127" t="str">
            <v>김주현</v>
          </cell>
          <cell r="B127" t="str">
            <v>삼일용역</v>
          </cell>
          <cell r="C127" t="str">
            <v>790210-1388411</v>
          </cell>
          <cell r="D127" t="str">
            <v>충북 증평군 증평읍 초중12길 50, 203호</v>
          </cell>
          <cell r="E127" t="str">
            <v>국민</v>
          </cell>
          <cell r="F127" t="str">
            <v>삼일용역</v>
          </cell>
          <cell r="G127" t="str">
            <v>722125-95-102456</v>
          </cell>
          <cell r="H127">
            <v>185000</v>
          </cell>
        </row>
        <row r="127">
          <cell r="K127">
            <v>27939</v>
          </cell>
        </row>
        <row r="128">
          <cell r="A128" t="str">
            <v>김경민</v>
          </cell>
          <cell r="B128" t="str">
            <v>삼일용역</v>
          </cell>
          <cell r="C128" t="str">
            <v>790618-1381016</v>
          </cell>
          <cell r="D128" t="str">
            <v>충북 청주시 청원구 내수읍 은곡묵방길28, 102동 510호</v>
          </cell>
          <cell r="E128" t="str">
            <v>국민</v>
          </cell>
          <cell r="F128" t="str">
            <v>삼일용역</v>
          </cell>
          <cell r="G128" t="str">
            <v>722125-95-102456</v>
          </cell>
          <cell r="H128">
            <v>165000</v>
          </cell>
        </row>
        <row r="128">
          <cell r="K128">
            <v>28151</v>
          </cell>
        </row>
        <row r="135">
          <cell r="A135" t="str">
            <v>이강윤</v>
          </cell>
        </row>
        <row r="135">
          <cell r="C135" t="str">
            <v>580301-1524520</v>
          </cell>
          <cell r="D135" t="str">
            <v>충북 영동군 영동읍 영산로6길 18-6</v>
          </cell>
          <cell r="E135" t="str">
            <v>농협</v>
          </cell>
          <cell r="F135" t="str">
            <v>이강윤</v>
          </cell>
          <cell r="G135" t="str">
            <v>407012-52-107196</v>
          </cell>
          <cell r="H135">
            <v>270000</v>
          </cell>
          <cell r="I135" t="str">
            <v>010-4420-0758</v>
          </cell>
        </row>
        <row r="135">
          <cell r="K135">
            <v>29147</v>
          </cell>
        </row>
        <row r="136">
          <cell r="A136" t="str">
            <v>곽정관</v>
          </cell>
        </row>
        <row r="136">
          <cell r="C136" t="str">
            <v>530112-1117421</v>
          </cell>
          <cell r="D136" t="str">
            <v>충북 영동군 영동읍 금동로3길 5-9</v>
          </cell>
          <cell r="E136" t="str">
            <v>농협</v>
          </cell>
          <cell r="F136" t="str">
            <v>곽정관</v>
          </cell>
          <cell r="G136" t="str">
            <v>319-12-247113</v>
          </cell>
          <cell r="H136">
            <v>240000</v>
          </cell>
          <cell r="I136" t="str">
            <v>010-5255-9807</v>
          </cell>
        </row>
        <row r="136">
          <cell r="K136" t="str">
            <v>29138</v>
          </cell>
        </row>
        <row r="137">
          <cell r="A137" t="str">
            <v>조원제</v>
          </cell>
        </row>
        <row r="137">
          <cell r="C137" t="str">
            <v>641120-1386124</v>
          </cell>
          <cell r="D137" t="str">
            <v>충북 영동군 영동읍 부용6길 20-39</v>
          </cell>
          <cell r="E137" t="str">
            <v>농협</v>
          </cell>
          <cell r="F137" t="str">
            <v>조원제</v>
          </cell>
          <cell r="G137" t="str">
            <v>319-12-230641</v>
          </cell>
          <cell r="H137">
            <v>250000</v>
          </cell>
        </row>
        <row r="137">
          <cell r="K137">
            <v>29149</v>
          </cell>
        </row>
        <row r="138">
          <cell r="A138" t="str">
            <v>최승열</v>
          </cell>
          <cell r="B138" t="str">
            <v>보통인부</v>
          </cell>
          <cell r="C138" t="str">
            <v>620724-1648219</v>
          </cell>
          <cell r="D138" t="str">
            <v>충북 영동군 영동읍 부용7길 12,가동 201호(남경빌라)</v>
          </cell>
        </row>
        <row r="138">
          <cell r="F138" t="str">
            <v>최승열</v>
          </cell>
          <cell r="G138" t="str">
            <v>상용직</v>
          </cell>
        </row>
        <row r="138">
          <cell r="I138">
            <v>1054644595</v>
          </cell>
        </row>
        <row r="138">
          <cell r="K138" t="str">
            <v>29147</v>
          </cell>
        </row>
        <row r="139">
          <cell r="A139" t="str">
            <v>박장현</v>
          </cell>
          <cell r="B139" t="str">
            <v>보통인부</v>
          </cell>
          <cell r="C139" t="str">
            <v>690615-1386125</v>
          </cell>
          <cell r="D139" t="str">
            <v>충북 영동군 영동읍 부용7안길 25</v>
          </cell>
        </row>
        <row r="139">
          <cell r="F139" t="str">
            <v>박장현</v>
          </cell>
          <cell r="G139" t="str">
            <v>상용직</v>
          </cell>
        </row>
        <row r="139">
          <cell r="I139" t="str">
            <v>010-9405-6479</v>
          </cell>
        </row>
        <row r="139">
          <cell r="K139" t="str">
            <v>29157</v>
          </cell>
        </row>
        <row r="140">
          <cell r="A140" t="str">
            <v>박래일</v>
          </cell>
        </row>
        <row r="140">
          <cell r="C140" t="str">
            <v>590108-1386126</v>
          </cell>
          <cell r="D140" t="str">
            <v>충북 영동군 영동읍 영산로7길 2, 가동 106호 (양지연립)</v>
          </cell>
          <cell r="E140" t="str">
            <v>농협</v>
          </cell>
          <cell r="F140" t="str">
            <v>박래일</v>
          </cell>
          <cell r="G140" t="str">
            <v>356-0895-8530-93</v>
          </cell>
          <cell r="H140">
            <v>150000</v>
          </cell>
          <cell r="I140" t="str">
            <v>010-4650-3480</v>
          </cell>
        </row>
        <row r="140">
          <cell r="K140" t="str">
            <v>29155</v>
          </cell>
        </row>
        <row r="141">
          <cell r="A141" t="str">
            <v>박범해</v>
          </cell>
        </row>
        <row r="141">
          <cell r="C141" t="str">
            <v>660105-1386714</v>
          </cell>
          <cell r="D141" t="str">
            <v>충북 영동군 양강면 남전2안길 4-17 (남전리 272)</v>
          </cell>
          <cell r="E141" t="str">
            <v>농협</v>
          </cell>
          <cell r="F141" t="str">
            <v>박범해</v>
          </cell>
          <cell r="G141" t="str">
            <v>356-1071-0591-83</v>
          </cell>
          <cell r="H141">
            <v>150000</v>
          </cell>
          <cell r="I141" t="str">
            <v>010-6356-5898</v>
          </cell>
        </row>
        <row r="141">
          <cell r="K141" t="str">
            <v>29155</v>
          </cell>
        </row>
        <row r="142">
          <cell r="A142" t="str">
            <v>이명철</v>
          </cell>
        </row>
        <row r="142">
          <cell r="C142" t="str">
            <v>000329-3691911</v>
          </cell>
          <cell r="D142" t="str">
            <v>충북 제천시 제천북로1길 75 (왕암동)</v>
          </cell>
          <cell r="E142" t="str">
            <v>농협</v>
          </cell>
          <cell r="F142" t="str">
            <v>이명철</v>
          </cell>
          <cell r="G142" t="str">
            <v>302-1531-6143-71</v>
          </cell>
          <cell r="H142">
            <v>150000</v>
          </cell>
          <cell r="I142" t="str">
            <v>010-5301-8775</v>
          </cell>
        </row>
        <row r="142">
          <cell r="K142" t="str">
            <v>29129</v>
          </cell>
        </row>
        <row r="143">
          <cell r="A143" t="str">
            <v>배진식</v>
          </cell>
        </row>
        <row r="143">
          <cell r="C143" t="str">
            <v>540910-1386711</v>
          </cell>
          <cell r="D143" t="str">
            <v>충북 영동군 양강면 국촌길16-11</v>
          </cell>
          <cell r="E143" t="str">
            <v>농협</v>
          </cell>
          <cell r="F143" t="str">
            <v>배진식</v>
          </cell>
          <cell r="G143" t="str">
            <v>069-01-106491</v>
          </cell>
          <cell r="H143">
            <v>150000</v>
          </cell>
          <cell r="I143" t="str">
            <v>010-4476-3636</v>
          </cell>
        </row>
        <row r="143">
          <cell r="K143" t="str">
            <v>29157</v>
          </cell>
        </row>
        <row r="144">
          <cell r="A144" t="str">
            <v>박헌태</v>
          </cell>
        </row>
        <row r="144">
          <cell r="C144" t="str">
            <v>551120-1455311</v>
          </cell>
          <cell r="D144" t="str">
            <v>충북 영동군 영동읍 눈어치2로 22</v>
          </cell>
          <cell r="E144" t="str">
            <v>농협</v>
          </cell>
          <cell r="F144" t="str">
            <v>박헌태</v>
          </cell>
          <cell r="G144" t="str">
            <v>356-0142-0083-23</v>
          </cell>
          <cell r="H144">
            <v>150000</v>
          </cell>
          <cell r="I144" t="str">
            <v>010-5450-0950</v>
          </cell>
        </row>
        <row r="144">
          <cell r="K144" t="str">
            <v>29140</v>
          </cell>
        </row>
        <row r="145">
          <cell r="A145" t="str">
            <v>민백규</v>
          </cell>
        </row>
        <row r="145">
          <cell r="C145" t="str">
            <v>600810-1386721</v>
          </cell>
          <cell r="D145" t="str">
            <v>충북 영동군 양강면 내만길 178-2</v>
          </cell>
          <cell r="E145" t="str">
            <v>농협</v>
          </cell>
          <cell r="F145" t="str">
            <v>민백규</v>
          </cell>
          <cell r="G145" t="str">
            <v>453060-52-207611</v>
          </cell>
          <cell r="H145">
            <v>150000</v>
          </cell>
          <cell r="I145" t="str">
            <v>010-7107-2693</v>
          </cell>
        </row>
        <row r="145">
          <cell r="K145" t="str">
            <v>37274</v>
          </cell>
        </row>
        <row r="146">
          <cell r="A146" t="str">
            <v>민헌기</v>
          </cell>
        </row>
        <row r="146">
          <cell r="C146" t="str">
            <v>601219-1386711</v>
          </cell>
          <cell r="D146" t="str">
            <v>충북 영동군 양강면 내만길 173 (만계리 156-4)</v>
          </cell>
          <cell r="E146" t="str">
            <v>농협</v>
          </cell>
          <cell r="F146" t="str">
            <v>민헌기</v>
          </cell>
          <cell r="G146" t="str">
            <v>352-0293-9952-13</v>
          </cell>
          <cell r="H146">
            <v>150000</v>
          </cell>
          <cell r="I146" t="str">
            <v>010-5338-5196</v>
          </cell>
        </row>
        <row r="146">
          <cell r="K146" t="str">
            <v>27116</v>
          </cell>
        </row>
        <row r="147">
          <cell r="A147" t="str">
            <v>박상복</v>
          </cell>
        </row>
        <row r="147">
          <cell r="C147" t="str">
            <v>800702-1386911</v>
          </cell>
          <cell r="D147" t="str">
            <v>충북 영동군 영동읍 동정리143</v>
          </cell>
          <cell r="E147" t="str">
            <v>중소기업</v>
          </cell>
          <cell r="F147" t="str">
            <v>박상복</v>
          </cell>
          <cell r="G147" t="str">
            <v>186-041383-01-012</v>
          </cell>
          <cell r="H147">
            <v>150000</v>
          </cell>
          <cell r="I147" t="str">
            <v>010-8597-4428</v>
          </cell>
        </row>
        <row r="147">
          <cell r="K147" t="str">
            <v>29140</v>
          </cell>
        </row>
        <row r="148">
          <cell r="A148" t="str">
            <v>황동주</v>
          </cell>
        </row>
        <row r="148">
          <cell r="C148" t="str">
            <v>571013-1805110</v>
          </cell>
          <cell r="D148" t="str">
            <v>경상북도 상주시 모동면 수봉리 546 </v>
          </cell>
          <cell r="E148" t="str">
            <v>우체국</v>
          </cell>
          <cell r="F148" t="str">
            <v>황동주</v>
          </cell>
          <cell r="G148" t="str">
            <v>701029-02-013954</v>
          </cell>
          <cell r="H148">
            <v>150000</v>
          </cell>
          <cell r="I148" t="str">
            <v>010-3432-0395</v>
          </cell>
        </row>
        <row r="148">
          <cell r="K148" t="str">
            <v>10501</v>
          </cell>
        </row>
        <row r="149">
          <cell r="A149" t="str">
            <v>이병문</v>
          </cell>
        </row>
        <row r="149">
          <cell r="C149" t="str">
            <v>570919-1401027</v>
          </cell>
          <cell r="D149" t="str">
            <v>충북 영동군 영동읍 동정리 143</v>
          </cell>
          <cell r="E149" t="str">
            <v>농협</v>
          </cell>
          <cell r="F149" t="str">
            <v>이병문</v>
          </cell>
          <cell r="G149" t="str">
            <v>302-0987-1761-21</v>
          </cell>
          <cell r="H149">
            <v>150000</v>
          </cell>
          <cell r="I149" t="str">
            <v>010-8975-6129</v>
          </cell>
        </row>
        <row r="149">
          <cell r="K149" t="str">
            <v>34516</v>
          </cell>
        </row>
        <row r="150">
          <cell r="A150" t="str">
            <v>정찬옥</v>
          </cell>
        </row>
        <row r="150">
          <cell r="C150" t="str">
            <v>610512-2328134</v>
          </cell>
          <cell r="D150" t="str">
            <v>대전광역시 동구 백룡로 35-10</v>
          </cell>
          <cell r="E150" t="str">
            <v>새마을</v>
          </cell>
          <cell r="F150" t="str">
            <v>정찬옥</v>
          </cell>
          <cell r="G150" t="str">
            <v>9002-1563-1485-9</v>
          </cell>
          <cell r="H150">
            <v>220000</v>
          </cell>
        </row>
        <row r="150">
          <cell r="K150" t="str">
            <v>29155</v>
          </cell>
        </row>
        <row r="151">
          <cell r="A151" t="str">
            <v>이창우</v>
          </cell>
        </row>
        <row r="151">
          <cell r="C151" t="str">
            <v>670620-1387124</v>
          </cell>
          <cell r="D151" t="str">
            <v>충북 영동군 심천면 지계길 113</v>
          </cell>
          <cell r="E151" t="str">
            <v>농협</v>
          </cell>
          <cell r="F151" t="str">
            <v>이창우</v>
          </cell>
          <cell r="G151" t="str">
            <v>4070-52-014063</v>
          </cell>
          <cell r="H151">
            <v>150000</v>
          </cell>
        </row>
        <row r="151">
          <cell r="K151" t="str">
            <v>29101</v>
          </cell>
        </row>
        <row r="152">
          <cell r="A152" t="str">
            <v>김환배</v>
          </cell>
        </row>
        <row r="152">
          <cell r="C152" t="str">
            <v>530810-1057646</v>
          </cell>
          <cell r="D152" t="str">
            <v>충북 영동군 양강면 남전2안길 4-20</v>
          </cell>
          <cell r="E152" t="str">
            <v>농협</v>
          </cell>
          <cell r="F152" t="str">
            <v>김환배</v>
          </cell>
          <cell r="G152" t="str">
            <v>352-0532-0302-03</v>
          </cell>
          <cell r="H152">
            <v>180000</v>
          </cell>
        </row>
        <row r="152">
          <cell r="K152" t="str">
            <v>29139</v>
          </cell>
        </row>
        <row r="153">
          <cell r="A153" t="str">
            <v>엄종섭</v>
          </cell>
        </row>
        <row r="153">
          <cell r="C153" t="str">
            <v>660719-1522231</v>
          </cell>
          <cell r="D153" t="str">
            <v>충북 영동군 용산면 율리4길 18-8</v>
          </cell>
          <cell r="E153" t="str">
            <v>농협</v>
          </cell>
          <cell r="F153" t="str">
            <v>엄종섭</v>
          </cell>
          <cell r="G153" t="str">
            <v>352-0772-2516-93</v>
          </cell>
          <cell r="H153">
            <v>150000</v>
          </cell>
          <cell r="I153" t="str">
            <v>010-2031-1002</v>
          </cell>
        </row>
        <row r="153">
          <cell r="K153" t="str">
            <v>29165</v>
          </cell>
        </row>
        <row r="154">
          <cell r="A154" t="str">
            <v>정구목</v>
          </cell>
        </row>
        <row r="154">
          <cell r="C154" t="str">
            <v>601005-1386727</v>
          </cell>
          <cell r="D154" t="str">
            <v>충북 영동군 영동읍 구교로 32-7, 307호 (대성@)</v>
          </cell>
          <cell r="E154" t="str">
            <v>농협</v>
          </cell>
          <cell r="F154" t="str">
            <v>정구목</v>
          </cell>
          <cell r="G154" t="str">
            <v>301-0283-3279-11</v>
          </cell>
          <cell r="H154">
            <v>150000</v>
          </cell>
        </row>
        <row r="154">
          <cell r="K154" t="str">
            <v>29155</v>
          </cell>
        </row>
        <row r="155">
          <cell r="A155" t="str">
            <v>전근정</v>
          </cell>
        </row>
        <row r="155">
          <cell r="C155" t="str">
            <v>721105-1386912</v>
          </cell>
          <cell r="D155" t="str">
            <v>충북 영동군 학산면 모정길 78 (황산리 843)</v>
          </cell>
          <cell r="E155" t="str">
            <v>농협</v>
          </cell>
          <cell r="F155" t="str">
            <v>전근정</v>
          </cell>
          <cell r="G155" t="str">
            <v>237824-52-034278</v>
          </cell>
          <cell r="H155">
            <v>150000</v>
          </cell>
          <cell r="I155" t="str">
            <v>010-4754-1141</v>
          </cell>
        </row>
        <row r="155">
          <cell r="K155" t="str">
            <v>29165</v>
          </cell>
        </row>
        <row r="156">
          <cell r="A156" t="str">
            <v>장갑진</v>
          </cell>
        </row>
        <row r="156">
          <cell r="C156" t="str">
            <v>610210-1386710</v>
          </cell>
          <cell r="D156" t="str">
            <v>충북 영동군 양강면 신기1길 21</v>
          </cell>
          <cell r="E156" t="str">
            <v>농협</v>
          </cell>
          <cell r="F156" t="str">
            <v>장갑진</v>
          </cell>
          <cell r="G156" t="str">
            <v>407023-51-026910</v>
          </cell>
          <cell r="H156">
            <v>150000</v>
          </cell>
        </row>
        <row r="156">
          <cell r="K156" t="str">
            <v>29146</v>
          </cell>
        </row>
        <row r="157">
          <cell r="A157" t="str">
            <v>박성안</v>
          </cell>
        </row>
        <row r="157">
          <cell r="C157" t="str">
            <v>570827-1386125</v>
          </cell>
          <cell r="D157" t="str">
            <v>충북 충북 영동군 영동읍 가리 755-2</v>
          </cell>
          <cell r="E157" t="str">
            <v>농협</v>
          </cell>
          <cell r="F157" t="str">
            <v>박성안</v>
          </cell>
          <cell r="G157" t="str">
            <v>407012-52-048265</v>
          </cell>
          <cell r="H157">
            <v>205000</v>
          </cell>
        </row>
        <row r="157">
          <cell r="K157" t="str">
            <v>29141</v>
          </cell>
        </row>
        <row r="158">
          <cell r="A158" t="str">
            <v>김이수</v>
          </cell>
        </row>
        <row r="158">
          <cell r="C158" t="str">
            <v>500226-1386711</v>
          </cell>
          <cell r="D158" t="str">
            <v>충북 영동군 영동읍 영동천1길 32-1</v>
          </cell>
          <cell r="E158" t="str">
            <v>농협</v>
          </cell>
          <cell r="F158" t="str">
            <v>김이수</v>
          </cell>
          <cell r="G158" t="str">
            <v>356-0817-4633-33</v>
          </cell>
          <cell r="H158">
            <v>160000</v>
          </cell>
          <cell r="I158" t="str">
            <v>010-5485-1909</v>
          </cell>
        </row>
        <row r="158">
          <cell r="K158" t="str">
            <v>29141</v>
          </cell>
        </row>
        <row r="159">
          <cell r="A159" t="str">
            <v>김양수</v>
          </cell>
        </row>
        <row r="159">
          <cell r="C159" t="str">
            <v>610205-2400329</v>
          </cell>
          <cell r="D159" t="str">
            <v>충북 영동군 영동읍 회동로 156-20</v>
          </cell>
          <cell r="E159" t="str">
            <v>농협</v>
          </cell>
          <cell r="F159" t="str">
            <v>김양수</v>
          </cell>
          <cell r="G159" t="str">
            <v>356-1603-8569-73</v>
          </cell>
          <cell r="H159">
            <v>150000</v>
          </cell>
          <cell r="I159" t="str">
            <v>010-4034-9739</v>
          </cell>
        </row>
        <row r="159">
          <cell r="K159" t="str">
            <v>34513</v>
          </cell>
        </row>
        <row r="160">
          <cell r="A160" t="str">
            <v>최순자</v>
          </cell>
        </row>
        <row r="160">
          <cell r="C160" t="str">
            <v>610604-2382923</v>
          </cell>
          <cell r="D160" t="str">
            <v>대전광역시 동구 충정로 136, 1102동 2006호 (가양동, 대주파크빌)</v>
          </cell>
          <cell r="E160" t="str">
            <v>농협</v>
          </cell>
          <cell r="F160" t="str">
            <v>최순자</v>
          </cell>
          <cell r="G160" t="str">
            <v>356-1585-3805-03</v>
          </cell>
          <cell r="H160">
            <v>150000</v>
          </cell>
          <cell r="I160" t="str">
            <v>010-5093-9072</v>
          </cell>
        </row>
        <row r="160">
          <cell r="K160" t="str">
            <v>03419</v>
          </cell>
        </row>
        <row r="161">
          <cell r="A161" t="str">
            <v>최순옥</v>
          </cell>
        </row>
        <row r="161">
          <cell r="C161" t="str">
            <v>661110-2382929</v>
          </cell>
          <cell r="D161" t="str">
            <v>대전광역시 동구 성동로7번길 58-11, 1동 107호 (자양동, 임광아파트)</v>
          </cell>
          <cell r="E161" t="str">
            <v>농협</v>
          </cell>
          <cell r="F161" t="str">
            <v>최순옥</v>
          </cell>
          <cell r="G161" t="str">
            <v>352-2099-8874-83</v>
          </cell>
          <cell r="H161">
            <v>150000</v>
          </cell>
          <cell r="I161" t="str">
            <v>010-8770-7249</v>
          </cell>
        </row>
        <row r="161">
          <cell r="K161" t="str">
            <v>29155</v>
          </cell>
        </row>
        <row r="162">
          <cell r="A162" t="str">
            <v>하재주</v>
          </cell>
        </row>
        <row r="162">
          <cell r="C162" t="str">
            <v>571020-1481929</v>
          </cell>
          <cell r="D162" t="str">
            <v>서울특별시 은평구 연서로3나길 11-33 지층-2 (역촌동)</v>
          </cell>
          <cell r="E162" t="str">
            <v>농협</v>
          </cell>
          <cell r="F162" t="str">
            <v>하재주</v>
          </cell>
          <cell r="G162" t="str">
            <v>356-0367-2587-73</v>
          </cell>
          <cell r="H162">
            <v>150000</v>
          </cell>
        </row>
        <row r="162">
          <cell r="K162" t="str">
            <v>03419</v>
          </cell>
        </row>
        <row r="163">
          <cell r="A163" t="str">
            <v>전덕하</v>
          </cell>
        </row>
        <row r="163">
          <cell r="C163" t="str">
            <v>491107-1448813</v>
          </cell>
          <cell r="D163" t="str">
            <v>충북 영동군 양강면 국촌1길 6-6</v>
          </cell>
          <cell r="E163" t="str">
            <v>농협</v>
          </cell>
          <cell r="F163" t="str">
            <v>전덕하</v>
          </cell>
          <cell r="G163" t="str">
            <v>356-0791-8136-43</v>
          </cell>
          <cell r="H163">
            <v>150000</v>
          </cell>
        </row>
        <row r="163">
          <cell r="K163" t="str">
            <v>29156</v>
          </cell>
        </row>
        <row r="164">
          <cell r="A164" t="str">
            <v>김경옥</v>
          </cell>
        </row>
        <row r="164">
          <cell r="C164" t="str">
            <v>650424-2785412</v>
          </cell>
          <cell r="D164" t="str">
            <v>충북 영동군 영동읍 동정로 47, 103동 304호(영동가마실휴먼시아)</v>
          </cell>
        </row>
        <row r="164">
          <cell r="H164">
            <v>150000</v>
          </cell>
          <cell r="I164" t="str">
            <v>010-5483-0500</v>
          </cell>
        </row>
        <row r="164">
          <cell r="K164" t="str">
            <v>29156</v>
          </cell>
        </row>
        <row r="165">
          <cell r="A165" t="str">
            <v>임종관</v>
          </cell>
        </row>
        <row r="165">
          <cell r="C165" t="str">
            <v>660123-1386716</v>
          </cell>
          <cell r="D165" t="str">
            <v>충북 영동군 양강면 국촌1길10</v>
          </cell>
          <cell r="E165" t="str">
            <v>농협</v>
          </cell>
          <cell r="F165" t="str">
            <v>임종관</v>
          </cell>
          <cell r="G165" t="str">
            <v>352-1734-5415-23</v>
          </cell>
          <cell r="H165">
            <v>150000</v>
          </cell>
          <cell r="I165" t="str">
            <v>010-3039-3737</v>
          </cell>
        </row>
        <row r="165">
          <cell r="K165">
            <v>29142</v>
          </cell>
        </row>
        <row r="166">
          <cell r="A166" t="str">
            <v>양희옥</v>
          </cell>
        </row>
        <row r="166">
          <cell r="C166" t="str">
            <v>640320-2386922</v>
          </cell>
          <cell r="D166" t="str">
            <v>충북 영동군 양강면 양정리116-6</v>
          </cell>
          <cell r="E166" t="str">
            <v>농협</v>
          </cell>
          <cell r="F166" t="str">
            <v>양희옥</v>
          </cell>
          <cell r="G166" t="str">
            <v>407023-56-010784</v>
          </cell>
          <cell r="H166">
            <v>150000</v>
          </cell>
          <cell r="I166" t="str">
            <v>010-8982-1150</v>
          </cell>
        </row>
        <row r="166">
          <cell r="K166" t="str">
            <v>370811</v>
          </cell>
        </row>
        <row r="167">
          <cell r="A167" t="str">
            <v>박창선</v>
          </cell>
        </row>
        <row r="167">
          <cell r="C167" t="str">
            <v>940629-1386117</v>
          </cell>
          <cell r="D167" t="str">
            <v>충북 영동군 영동읍 새심길 18, 607호(조한드림플러스아파트)</v>
          </cell>
          <cell r="E167" t="str">
            <v>농협</v>
          </cell>
          <cell r="F167" t="str">
            <v>박창선</v>
          </cell>
          <cell r="G167" t="str">
            <v>302-8982-1150-11</v>
          </cell>
          <cell r="H167">
            <v>170000</v>
          </cell>
          <cell r="I167" t="str">
            <v>010-8982-1150</v>
          </cell>
        </row>
        <row r="167">
          <cell r="K167">
            <v>29142</v>
          </cell>
        </row>
        <row r="168">
          <cell r="A168" t="str">
            <v>도창문</v>
          </cell>
        </row>
        <row r="168">
          <cell r="C168" t="str">
            <v>651025-1652425</v>
          </cell>
          <cell r="D168" t="str">
            <v>대전광역시 동구 우암로 61-12 (삼성동)</v>
          </cell>
          <cell r="E168" t="str">
            <v>농협</v>
          </cell>
          <cell r="F168" t="str">
            <v>도창문</v>
          </cell>
          <cell r="G168" t="str">
            <v>352-0058-0889-83</v>
          </cell>
          <cell r="H168">
            <v>250000</v>
          </cell>
          <cell r="I168" t="str">
            <v>010-8380-1900</v>
          </cell>
        </row>
        <row r="168">
          <cell r="K168" t="str">
            <v>34619</v>
          </cell>
        </row>
        <row r="169">
          <cell r="A169" t="str">
            <v>김경희</v>
          </cell>
        </row>
        <row r="169">
          <cell r="C169" t="str">
            <v>761205-2386722</v>
          </cell>
          <cell r="D169" t="str">
            <v>서울특별시 은평구 은평로21가길 15-9, 201호</v>
          </cell>
          <cell r="E169" t="str">
            <v>농협</v>
          </cell>
          <cell r="F169" t="str">
            <v>김경희</v>
          </cell>
          <cell r="G169" t="str">
            <v>356-1415-1420-63</v>
          </cell>
          <cell r="H169">
            <v>150000</v>
          </cell>
        </row>
        <row r="169">
          <cell r="K169" t="str">
            <v>03381</v>
          </cell>
        </row>
        <row r="170">
          <cell r="A170" t="str">
            <v>김경순</v>
          </cell>
        </row>
        <row r="170">
          <cell r="C170" t="str">
            <v>621004-2069619</v>
          </cell>
          <cell r="D170" t="str">
            <v>충북 영동군 용산면 상용길 20-24</v>
          </cell>
        </row>
        <row r="170">
          <cell r="H170">
            <v>150000</v>
          </cell>
        </row>
        <row r="170">
          <cell r="K170">
            <v>29111</v>
          </cell>
        </row>
        <row r="171">
          <cell r="A171" t="str">
            <v>김판수</v>
          </cell>
        </row>
        <row r="171">
          <cell r="C171" t="str">
            <v>720402-1798516</v>
          </cell>
          <cell r="D171" t="str">
            <v>경북 칠곡군 북삼읍 인강9길 10, 101동 1212호(로얄아파트)</v>
          </cell>
          <cell r="E171" t="str">
            <v>농협</v>
          </cell>
          <cell r="F171" t="str">
            <v>김판수</v>
          </cell>
          <cell r="G171" t="str">
            <v>735089-56-010696</v>
          </cell>
          <cell r="H171">
            <v>150000</v>
          </cell>
          <cell r="I171" t="str">
            <v>010-7520-7708</v>
          </cell>
        </row>
        <row r="171">
          <cell r="K171">
            <v>39810</v>
          </cell>
        </row>
        <row r="182">
          <cell r="A182" t="str">
            <v>김재국</v>
          </cell>
        </row>
        <row r="182">
          <cell r="C182" t="str">
            <v>790911-1386312</v>
          </cell>
          <cell r="D182" t="str">
            <v>충북 영동군 황간면 서송원길 42</v>
          </cell>
          <cell r="E182" t="str">
            <v>농협</v>
          </cell>
          <cell r="F182" t="str">
            <v>김재국</v>
          </cell>
          <cell r="G182" t="str">
            <v>407089-52-145147</v>
          </cell>
          <cell r="H182">
            <v>150000</v>
          </cell>
        </row>
        <row r="182">
          <cell r="K182" t="str">
            <v>29113</v>
          </cell>
        </row>
        <row r="183">
          <cell r="A183" t="str">
            <v>김순자</v>
          </cell>
        </row>
        <row r="183">
          <cell r="C183" t="str">
            <v>630203-2386318</v>
          </cell>
          <cell r="D183" t="str">
            <v>충북 영동군 황간면 황간동로 156</v>
          </cell>
          <cell r="E183" t="str">
            <v>농협</v>
          </cell>
          <cell r="F183" t="str">
            <v>김순자</v>
          </cell>
          <cell r="G183" t="str">
            <v>352-1071-9542-13</v>
          </cell>
          <cell r="H183">
            <v>150000</v>
          </cell>
        </row>
        <row r="183">
          <cell r="K183">
            <v>29115</v>
          </cell>
        </row>
        <row r="184">
          <cell r="A184" t="str">
            <v>김필규</v>
          </cell>
        </row>
        <row r="184">
          <cell r="C184" t="str">
            <v>591014-1800411</v>
          </cell>
          <cell r="D184" t="str">
            <v>경기도 평택시 진위면 하북2길 87-14</v>
          </cell>
          <cell r="E184" t="str">
            <v>농협</v>
          </cell>
          <cell r="F184" t="str">
            <v>김필규</v>
          </cell>
          <cell r="G184" t="str">
            <v>207087-56-023088</v>
          </cell>
          <cell r="H184">
            <v>150000</v>
          </cell>
        </row>
        <row r="184">
          <cell r="K184">
            <v>17706</v>
          </cell>
        </row>
        <row r="185">
          <cell r="A185" t="str">
            <v>김정국</v>
          </cell>
        </row>
        <row r="185">
          <cell r="C185" t="str">
            <v>560125-1800011</v>
          </cell>
          <cell r="D185" t="str">
            <v>충북 영동군 영동읍 부용4안길 14</v>
          </cell>
        </row>
        <row r="185">
          <cell r="H185">
            <v>150000</v>
          </cell>
        </row>
        <row r="185">
          <cell r="K185">
            <v>29149</v>
          </cell>
        </row>
        <row r="186">
          <cell r="A186" t="str">
            <v>황규석</v>
          </cell>
        </row>
        <row r="186">
          <cell r="C186" t="str">
            <v>490122-1124112</v>
          </cell>
          <cell r="D186" t="str">
            <v>충북 영동군 영동읍 오정길 222-5</v>
          </cell>
          <cell r="E186" t="str">
            <v>농협</v>
          </cell>
          <cell r="F186" t="str">
            <v>황규석</v>
          </cell>
          <cell r="G186" t="str">
            <v>404015-56-040444</v>
          </cell>
          <cell r="H186">
            <v>250000</v>
          </cell>
        </row>
        <row r="186">
          <cell r="K186">
            <v>29129</v>
          </cell>
        </row>
        <row r="187">
          <cell r="A187" t="str">
            <v>황대영</v>
          </cell>
        </row>
        <row r="187">
          <cell r="C187" t="str">
            <v>570315-1386147</v>
          </cell>
          <cell r="D187" t="str">
            <v>충북 영동군 영동읍 오정길 103</v>
          </cell>
          <cell r="E187" t="str">
            <v>농협</v>
          </cell>
          <cell r="F187" t="str">
            <v>황대영</v>
          </cell>
          <cell r="G187" t="str">
            <v>352-1743-8534-13</v>
          </cell>
          <cell r="H187">
            <v>200000</v>
          </cell>
        </row>
        <row r="187">
          <cell r="K187">
            <v>29129</v>
          </cell>
        </row>
        <row r="188">
          <cell r="A188" t="str">
            <v>박종섭</v>
          </cell>
        </row>
        <row r="188">
          <cell r="C188" t="str">
            <v>550816-1386117</v>
          </cell>
          <cell r="D188" t="str">
            <v>충북 영동군 영동읍 영산로 63</v>
          </cell>
          <cell r="E188" t="str">
            <v>농협</v>
          </cell>
          <cell r="F188" t="str">
            <v>박종섭</v>
          </cell>
          <cell r="G188" t="str">
            <v>352-1743-8668-53</v>
          </cell>
          <cell r="H188">
            <v>200000</v>
          </cell>
        </row>
        <row r="188">
          <cell r="K188">
            <v>29147</v>
          </cell>
        </row>
        <row r="189">
          <cell r="A189" t="str">
            <v>장영석</v>
          </cell>
        </row>
        <row r="189">
          <cell r="C189" t="str">
            <v>611022-1386119</v>
          </cell>
          <cell r="D189" t="str">
            <v>충북 영동군 영동읍 영동황간로 27, 801호(금강타운)</v>
          </cell>
          <cell r="E189" t="str">
            <v>농협</v>
          </cell>
          <cell r="F189" t="str">
            <v>장영석</v>
          </cell>
          <cell r="G189" t="str">
            <v>356-1027-4314-93</v>
          </cell>
          <cell r="H189">
            <v>150000</v>
          </cell>
        </row>
        <row r="189">
          <cell r="K189">
            <v>29150</v>
          </cell>
        </row>
        <row r="190">
          <cell r="A190" t="str">
            <v>이수환</v>
          </cell>
        </row>
        <row r="190">
          <cell r="C190" t="str">
            <v>960921-1351118</v>
          </cell>
          <cell r="D190" t="str">
            <v>충북 청주시 상당구 용정로 25,107동 1902호(용정동 ,청주용정 한라비발디)</v>
          </cell>
          <cell r="E190" t="str">
            <v>새마을금고</v>
          </cell>
          <cell r="F190" t="str">
            <v>이수환</v>
          </cell>
          <cell r="G190" t="str">
            <v>9003-2377-6890-0</v>
          </cell>
          <cell r="H190">
            <v>150000</v>
          </cell>
          <cell r="I190" t="str">
            <v>010-6431-7735</v>
          </cell>
        </row>
        <row r="190">
          <cell r="K190">
            <v>28748</v>
          </cell>
        </row>
        <row r="191">
          <cell r="A191" t="str">
            <v>우두환</v>
          </cell>
        </row>
        <row r="191">
          <cell r="C191" t="str">
            <v>700521-1380113</v>
          </cell>
          <cell r="D191" t="str">
            <v>충북 청주시 상당구 문의면 등동1길 47-15</v>
          </cell>
          <cell r="E191" t="str">
            <v>농협</v>
          </cell>
          <cell r="F191" t="str">
            <v>우두환</v>
          </cell>
          <cell r="G191" t="str">
            <v>401149-56-092984</v>
          </cell>
          <cell r="H191">
            <v>230000</v>
          </cell>
          <cell r="I191" t="str">
            <v>010-5626-7201</v>
          </cell>
        </row>
        <row r="191">
          <cell r="K191">
            <v>28206</v>
          </cell>
        </row>
        <row r="195">
          <cell r="A195" t="str">
            <v>곽문영</v>
          </cell>
        </row>
        <row r="195">
          <cell r="C195" t="str">
            <v>530510-1069114</v>
          </cell>
          <cell r="D195" t="str">
            <v>충북 영동군 양강면 남전3길 99</v>
          </cell>
        </row>
        <row r="195">
          <cell r="H195">
            <v>150000</v>
          </cell>
          <cell r="I195" t="str">
            <v>010-4355-5173</v>
          </cell>
          <cell r="J195" t="str">
            <v>개미인력</v>
          </cell>
          <cell r="K195" t="str">
            <v>29157</v>
          </cell>
        </row>
        <row r="196">
          <cell r="A196" t="str">
            <v>김연부</v>
          </cell>
        </row>
        <row r="196">
          <cell r="C196" t="str">
            <v>700302-1380011</v>
          </cell>
          <cell r="D196" t="str">
            <v>충북 옥천군 옥천읍 성암응천길 41-10, 1동 410호(근로자복지@)</v>
          </cell>
        </row>
        <row r="196">
          <cell r="H196">
            <v>150000</v>
          </cell>
          <cell r="I196" t="str">
            <v>010-9354-5882</v>
          </cell>
          <cell r="J196" t="str">
            <v>개미인력</v>
          </cell>
          <cell r="K196" t="str">
            <v>29050</v>
          </cell>
        </row>
        <row r="197">
          <cell r="A197" t="str">
            <v>장웅진</v>
          </cell>
        </row>
        <row r="197">
          <cell r="C197" t="str">
            <v>541215-1386718</v>
          </cell>
          <cell r="D197" t="str">
            <v>대전광역시 중구 모암로42번길 11,103동 103호</v>
          </cell>
        </row>
        <row r="197">
          <cell r="H197">
            <v>150000</v>
          </cell>
        </row>
        <row r="197">
          <cell r="J197" t="str">
            <v>개미인력</v>
          </cell>
          <cell r="K197" t="str">
            <v>35070</v>
          </cell>
        </row>
        <row r="198">
          <cell r="A198" t="str">
            <v>이성희</v>
          </cell>
        </row>
        <row r="198">
          <cell r="C198" t="str">
            <v>570508-1024611</v>
          </cell>
          <cell r="D198" t="str">
            <v>서울특별시 성북구 정릉로32길 7</v>
          </cell>
        </row>
        <row r="198">
          <cell r="H198">
            <v>150000</v>
          </cell>
        </row>
        <row r="198">
          <cell r="J198" t="str">
            <v>개미인력</v>
          </cell>
          <cell r="K198" t="str">
            <v>02816</v>
          </cell>
        </row>
        <row r="199">
          <cell r="A199" t="str">
            <v>박현태</v>
          </cell>
        </row>
        <row r="199">
          <cell r="C199" t="str">
            <v>581015-1109020</v>
          </cell>
          <cell r="D199" t="str">
            <v>전라북도 장수군 장수읍 장수북동길 16-9</v>
          </cell>
        </row>
        <row r="199">
          <cell r="H199">
            <v>150000</v>
          </cell>
        </row>
        <row r="199">
          <cell r="J199" t="str">
            <v>개미인력</v>
          </cell>
          <cell r="K199" t="str">
            <v>55632</v>
          </cell>
        </row>
        <row r="200">
          <cell r="A200" t="str">
            <v>장공섭</v>
          </cell>
        </row>
        <row r="200">
          <cell r="C200" t="str">
            <v>620729-1800210</v>
          </cell>
          <cell r="D200" t="str">
            <v>경상북도 구미시 형곡로8길 12, 103호</v>
          </cell>
        </row>
        <row r="200">
          <cell r="H200">
            <v>150000</v>
          </cell>
        </row>
        <row r="200">
          <cell r="J200" t="str">
            <v>개미인력</v>
          </cell>
          <cell r="K200" t="str">
            <v>39291</v>
          </cell>
        </row>
        <row r="201">
          <cell r="A201" t="str">
            <v>유영길</v>
          </cell>
        </row>
        <row r="201">
          <cell r="C201" t="str">
            <v>720307-1384520</v>
          </cell>
          <cell r="D201" t="str">
            <v>충북 옥천군 청성면 화성2길 39-22</v>
          </cell>
        </row>
        <row r="201">
          <cell r="H201">
            <v>150000</v>
          </cell>
        </row>
        <row r="201">
          <cell r="J201" t="str">
            <v>개미인력</v>
          </cell>
          <cell r="K201" t="str">
            <v>29017</v>
          </cell>
        </row>
        <row r="205">
          <cell r="A205" t="str">
            <v>이용</v>
          </cell>
        </row>
        <row r="205">
          <cell r="C205" t="str">
            <v>010820-3386115</v>
          </cell>
          <cell r="D205" t="str">
            <v>충북 영동군 영동읍 영산로6길 16-11, 102동 401호(j클래식)</v>
          </cell>
          <cell r="E205" t="str">
            <v>농협</v>
          </cell>
          <cell r="F205" t="str">
            <v>이성</v>
          </cell>
          <cell r="G205" t="str">
            <v>351-1142-0210-73</v>
          </cell>
          <cell r="H205">
            <v>160000</v>
          </cell>
          <cell r="I205" t="str">
            <v>010-4056-7141</v>
          </cell>
          <cell r="J205" t="str">
            <v>명장인력</v>
          </cell>
          <cell r="K205" t="str">
            <v>29147</v>
          </cell>
        </row>
        <row r="206">
          <cell r="A206" t="str">
            <v>김학형</v>
          </cell>
        </row>
        <row r="206">
          <cell r="C206" t="str">
            <v>680808-1386718</v>
          </cell>
          <cell r="D206" t="str">
            <v>충북 영동군 영동읍 영동시장1길 32 A동 202호</v>
          </cell>
          <cell r="E206" t="str">
            <v>농협</v>
          </cell>
          <cell r="F206" t="str">
            <v>이성</v>
          </cell>
          <cell r="G206" t="str">
            <v>351-1142-0210-73</v>
          </cell>
          <cell r="H206">
            <v>170000</v>
          </cell>
          <cell r="I206" t="str">
            <v>010-9979-9238</v>
          </cell>
          <cell r="J206" t="str">
            <v>명장인력</v>
          </cell>
          <cell r="K206" t="str">
            <v>29145</v>
          </cell>
        </row>
        <row r="207">
          <cell r="A207" t="str">
            <v>배권</v>
          </cell>
        </row>
        <row r="207">
          <cell r="C207" t="str">
            <v>661120-1386210</v>
          </cell>
          <cell r="D207" t="str">
            <v>충북 영동군 영동읍 상부용로 20 (지평더웰Ⅱ아파트) </v>
          </cell>
          <cell r="E207" t="str">
            <v>농협</v>
          </cell>
          <cell r="F207" t="str">
            <v>이성</v>
          </cell>
          <cell r="G207" t="str">
            <v>351-1142-0210-73</v>
          </cell>
          <cell r="H207">
            <v>150000</v>
          </cell>
          <cell r="I207" t="str">
            <v>010-2804-4792</v>
          </cell>
          <cell r="J207" t="str">
            <v>명장인력</v>
          </cell>
          <cell r="K207" t="str">
            <v>29145</v>
          </cell>
        </row>
        <row r="208">
          <cell r="A208" t="str">
            <v>이상찬</v>
          </cell>
        </row>
        <row r="208">
          <cell r="C208" t="str">
            <v>700201-1386132</v>
          </cell>
          <cell r="D208" t="str">
            <v>충북 영동군 영동읍 영동시장1길 18-3 </v>
          </cell>
          <cell r="E208" t="str">
            <v>농협</v>
          </cell>
          <cell r="F208" t="str">
            <v>이성</v>
          </cell>
          <cell r="G208" t="str">
            <v>351-1142-0210-73</v>
          </cell>
          <cell r="H208">
            <v>170000</v>
          </cell>
          <cell r="I208" t="str">
            <v>010-3117-7949</v>
          </cell>
          <cell r="J208" t="str">
            <v>석공</v>
          </cell>
          <cell r="K208" t="str">
            <v>35014</v>
          </cell>
        </row>
        <row r="209">
          <cell r="A209" t="str">
            <v>이효주</v>
          </cell>
        </row>
        <row r="209">
          <cell r="C209" t="str">
            <v>510217-1466413</v>
          </cell>
          <cell r="D209" t="str">
            <v>충북 영동군 영동읍 계산로1길 11 </v>
          </cell>
          <cell r="E209" t="str">
            <v>농협</v>
          </cell>
          <cell r="F209" t="str">
            <v>이성</v>
          </cell>
          <cell r="G209" t="str">
            <v>351-1142-0210-73</v>
          </cell>
          <cell r="H209">
            <v>160000</v>
          </cell>
        </row>
        <row r="209">
          <cell r="J209" t="str">
            <v>석공</v>
          </cell>
          <cell r="K209" t="str">
            <v>35011</v>
          </cell>
        </row>
        <row r="210">
          <cell r="A210" t="str">
            <v>최병길</v>
          </cell>
        </row>
        <row r="210">
          <cell r="C210" t="str">
            <v>511119-1460910</v>
          </cell>
          <cell r="D210" t="str">
            <v>대전광역시 중구 산성동 509-15</v>
          </cell>
          <cell r="E210" t="str">
            <v>농협</v>
          </cell>
          <cell r="F210" t="str">
            <v>최병길</v>
          </cell>
          <cell r="G210" t="str">
            <v>453029-52-022509</v>
          </cell>
          <cell r="H210">
            <v>150000</v>
          </cell>
        </row>
        <row r="210">
          <cell r="J210" t="str">
            <v>석공</v>
          </cell>
          <cell r="K210" t="str">
            <v>29144</v>
          </cell>
        </row>
        <row r="211">
          <cell r="A211" t="str">
            <v>이준우</v>
          </cell>
        </row>
        <row r="211">
          <cell r="C211" t="str">
            <v>520216-1408321</v>
          </cell>
          <cell r="D211" t="str">
            <v>대전광역시 중구 보문산로 157, 마동303호(문화동,동양맨션)</v>
          </cell>
          <cell r="E211" t="str">
            <v>농협</v>
          </cell>
          <cell r="F211" t="str">
            <v>이준우</v>
          </cell>
          <cell r="G211" t="str">
            <v>453029-51-013658</v>
          </cell>
          <cell r="H211">
            <v>150000</v>
          </cell>
        </row>
        <row r="211">
          <cell r="J211" t="str">
            <v>석공</v>
          </cell>
          <cell r="K211" t="str">
            <v>29149</v>
          </cell>
        </row>
        <row r="212">
          <cell r="A212" t="str">
            <v>이성돌</v>
          </cell>
        </row>
        <row r="212">
          <cell r="C212" t="str">
            <v>500414-1408219</v>
          </cell>
          <cell r="D212" t="str">
            <v>대전광역시 중구 대둔산로 414번길 75(산성동)</v>
          </cell>
          <cell r="E212" t="str">
            <v>농협</v>
          </cell>
          <cell r="F212" t="str">
            <v>이성돌</v>
          </cell>
          <cell r="G212" t="str">
            <v>453029-52-260357</v>
          </cell>
          <cell r="H212">
            <v>150000</v>
          </cell>
          <cell r="I212" t="str">
            <v>010-5490-9056</v>
          </cell>
          <cell r="J212" t="str">
            <v>석공</v>
          </cell>
          <cell r="K212" t="str">
            <v>34557</v>
          </cell>
        </row>
        <row r="213">
          <cell r="A213" t="str">
            <v>정태성</v>
          </cell>
        </row>
        <row r="213">
          <cell r="C213" t="str">
            <v>660501-1386134</v>
          </cell>
          <cell r="D213" t="str">
            <v>충북 영동군 영동읍 계산로 34-1</v>
          </cell>
          <cell r="E213" t="str">
            <v>농협</v>
          </cell>
          <cell r="F213" t="str">
            <v>정태성</v>
          </cell>
          <cell r="G213" t="str">
            <v>352-1006-9268-83</v>
          </cell>
          <cell r="H213">
            <v>150000</v>
          </cell>
          <cell r="I213" t="str">
            <v>010-6580-1303</v>
          </cell>
          <cell r="J213" t="str">
            <v>석공</v>
          </cell>
          <cell r="K213" t="str">
            <v>34506</v>
          </cell>
        </row>
        <row r="214">
          <cell r="A214" t="str">
            <v>배석득</v>
          </cell>
        </row>
        <row r="214">
          <cell r="C214" t="str">
            <v>501225-1386713</v>
          </cell>
          <cell r="D214" t="str">
            <v>충북 영동군 영동읍 부용7안길 2-13</v>
          </cell>
          <cell r="E214" t="str">
            <v>농협</v>
          </cell>
          <cell r="F214" t="str">
            <v>배석득</v>
          </cell>
          <cell r="G214" t="str">
            <v>356-1479-5477-73</v>
          </cell>
          <cell r="H214">
            <v>150000</v>
          </cell>
        </row>
        <row r="214">
          <cell r="J214" t="str">
            <v>석공</v>
          </cell>
          <cell r="K214" t="str">
            <v>34670</v>
          </cell>
        </row>
        <row r="215">
          <cell r="A215" t="str">
            <v>최석진</v>
          </cell>
        </row>
        <row r="215">
          <cell r="C215" t="str">
            <v>580324-1652410</v>
          </cell>
          <cell r="D215" t="str">
            <v>대전광역시 동구 동서대로 1579, 101동 1501호(홍도동,홍도@)</v>
          </cell>
          <cell r="E215" t="str">
            <v>하나</v>
          </cell>
          <cell r="F215" t="str">
            <v>최석진</v>
          </cell>
          <cell r="G215" t="str">
            <v>646-910748-77207</v>
          </cell>
          <cell r="H215">
            <v>150000</v>
          </cell>
          <cell r="I215" t="str">
            <v>010-4413-4583</v>
          </cell>
          <cell r="J215" t="str">
            <v>석공</v>
          </cell>
          <cell r="K215" t="str">
            <v>29155</v>
          </cell>
        </row>
        <row r="216">
          <cell r="A216" t="str">
            <v>권신홍</v>
          </cell>
        </row>
        <row r="216">
          <cell r="C216" t="str">
            <v>510315-1651218</v>
          </cell>
          <cell r="D216" t="str">
            <v>대전광역시 동구 가양동 149-30</v>
          </cell>
          <cell r="E216" t="str">
            <v>국민</v>
          </cell>
          <cell r="F216" t="str">
            <v>권신흥</v>
          </cell>
          <cell r="G216" t="str">
            <v>845901-22-004565</v>
          </cell>
          <cell r="H216">
            <v>150000</v>
          </cell>
        </row>
        <row r="216">
          <cell r="K216" t="str">
            <v>29147</v>
          </cell>
        </row>
        <row r="217">
          <cell r="A217" t="str">
            <v>조을순</v>
          </cell>
        </row>
        <row r="217">
          <cell r="C217" t="str">
            <v>560302-2400210</v>
          </cell>
          <cell r="D217" t="str">
            <v>대전광역시 동구 판암동 558-6 국민빌라 301호</v>
          </cell>
          <cell r="E217" t="str">
            <v>농협</v>
          </cell>
          <cell r="F217" t="str">
            <v>조을순</v>
          </cell>
          <cell r="G217" t="str">
            <v>352-0676-2630-53</v>
          </cell>
          <cell r="H217">
            <v>150000</v>
          </cell>
          <cell r="I217" t="str">
            <v>010-3976-2700</v>
          </cell>
        </row>
        <row r="217">
          <cell r="K217" t="str">
            <v>28773</v>
          </cell>
        </row>
        <row r="218">
          <cell r="A218" t="str">
            <v>한희열</v>
          </cell>
        </row>
        <row r="218">
          <cell r="C218" t="str">
            <v>590921-1709522</v>
          </cell>
          <cell r="D218" t="str">
            <v>충북 영동군 영동읍 상부용로 7-50, 101동1501호 (지평더웰@)</v>
          </cell>
          <cell r="E218" t="str">
            <v>농협</v>
          </cell>
          <cell r="F218" t="str">
            <v>한희열</v>
          </cell>
          <cell r="G218" t="str">
            <v>356-1123-9590-03</v>
          </cell>
          <cell r="H218">
            <v>150000</v>
          </cell>
        </row>
        <row r="218">
          <cell r="K218" t="str">
            <v>29116</v>
          </cell>
        </row>
        <row r="219">
          <cell r="A219" t="str">
            <v>박래화</v>
          </cell>
        </row>
        <row r="219">
          <cell r="C219" t="str">
            <v>470117-1018911</v>
          </cell>
          <cell r="D219" t="str">
            <v>충북 영동군 영동읍 영산로7길 2, 가동 106호(양지연립)</v>
          </cell>
          <cell r="E219" t="str">
            <v>농협</v>
          </cell>
          <cell r="F219" t="str">
            <v>박래화</v>
          </cell>
          <cell r="G219" t="str">
            <v>302-0822-9170-11</v>
          </cell>
          <cell r="H219">
            <v>150000</v>
          </cell>
        </row>
        <row r="219">
          <cell r="K219" t="str">
            <v>29155</v>
          </cell>
        </row>
        <row r="220">
          <cell r="A220" t="str">
            <v>권영안</v>
          </cell>
        </row>
        <row r="220">
          <cell r="C220" t="str">
            <v>570815-1380728</v>
          </cell>
          <cell r="D220" t="str">
            <v>충북 청주시 상당구 중흥로 71 109/1402</v>
          </cell>
          <cell r="E220" t="str">
            <v>농협</v>
          </cell>
          <cell r="F220" t="str">
            <v>권영안</v>
          </cell>
          <cell r="G220" t="str">
            <v>401147-52-151337</v>
          </cell>
          <cell r="H220">
            <v>150000</v>
          </cell>
        </row>
        <row r="220">
          <cell r="K220" t="str">
            <v>29155</v>
          </cell>
        </row>
        <row r="221">
          <cell r="A221" t="str">
            <v>최영희</v>
          </cell>
        </row>
        <row r="221">
          <cell r="C221" t="str">
            <v>641012-2478918</v>
          </cell>
          <cell r="D221" t="str">
            <v>충북 청주시 흥덕구 수곡동 328 산남주공@ 103동 501호</v>
          </cell>
          <cell r="E221" t="str">
            <v>국민</v>
          </cell>
          <cell r="F221" t="str">
            <v>최영희</v>
          </cell>
          <cell r="G221" t="str">
            <v>709802-01-046029</v>
          </cell>
          <cell r="H221">
            <v>150000</v>
          </cell>
          <cell r="I221" t="str">
            <v>010-7415-9300</v>
          </cell>
        </row>
        <row r="221">
          <cell r="K221" t="str">
            <v>21088</v>
          </cell>
        </row>
        <row r="222">
          <cell r="A222" t="str">
            <v>김재억</v>
          </cell>
        </row>
        <row r="222">
          <cell r="C222" t="str">
            <v>600605-1386718</v>
          </cell>
          <cell r="D222" t="str">
            <v>충북 영동군 양강면 괴목리 411</v>
          </cell>
          <cell r="E222" t="str">
            <v>농협</v>
          </cell>
          <cell r="F222" t="str">
            <v>김재억</v>
          </cell>
          <cell r="G222" t="str">
            <v>356-1337-2458-73</v>
          </cell>
          <cell r="H222">
            <v>150000</v>
          </cell>
        </row>
        <row r="222">
          <cell r="K222" t="str">
            <v>29116</v>
          </cell>
        </row>
        <row r="223">
          <cell r="A223" t="str">
            <v>박원회</v>
          </cell>
        </row>
        <row r="223">
          <cell r="C223" t="str">
            <v>600124-1386123</v>
          </cell>
          <cell r="D223" t="str">
            <v>인천시 계양구 계산로112번길 26</v>
          </cell>
          <cell r="E223" t="str">
            <v>농협</v>
          </cell>
          <cell r="F223" t="str">
            <v>박원회</v>
          </cell>
          <cell r="G223" t="str">
            <v>312-0171-3781-31</v>
          </cell>
          <cell r="H223">
            <v>150000</v>
          </cell>
        </row>
        <row r="223">
          <cell r="K223" t="str">
            <v>57958</v>
          </cell>
        </row>
        <row r="224">
          <cell r="A224" t="str">
            <v>신용철</v>
          </cell>
        </row>
        <row r="224">
          <cell r="C224" t="str">
            <v>651220-1228344</v>
          </cell>
          <cell r="D224" t="str">
            <v>충북 영동군 황간면 신흥1길 8</v>
          </cell>
          <cell r="E224" t="str">
            <v>농협</v>
          </cell>
          <cell r="F224" t="str">
            <v>신용철</v>
          </cell>
          <cell r="G224" t="str">
            <v>356-1329-6202-53</v>
          </cell>
          <cell r="H224">
            <v>150000</v>
          </cell>
          <cell r="I224" t="str">
            <v>010-3900-0965</v>
          </cell>
        </row>
        <row r="224">
          <cell r="K224" t="str">
            <v>28683</v>
          </cell>
        </row>
        <row r="225">
          <cell r="A225" t="str">
            <v>손경윤</v>
          </cell>
        </row>
        <row r="225">
          <cell r="C225" t="str">
            <v>780528-1386217</v>
          </cell>
          <cell r="D225" t="str">
            <v>전라남도 순천시 우석로 105, 2층(남정동)</v>
          </cell>
        </row>
        <row r="225">
          <cell r="H225">
            <v>150000</v>
          </cell>
          <cell r="I225" t="str">
            <v>010-8803-3163</v>
          </cell>
        </row>
        <row r="225">
          <cell r="K225" t="str">
            <v>28683</v>
          </cell>
        </row>
        <row r="226">
          <cell r="A226" t="str">
            <v>김정우</v>
          </cell>
        </row>
        <row r="226">
          <cell r="C226" t="str">
            <v>960116-1386119</v>
          </cell>
          <cell r="D226" t="str">
            <v>충북 영동군 영동읍 회동로 162</v>
          </cell>
          <cell r="E226" t="str">
            <v>농협</v>
          </cell>
          <cell r="F226" t="str">
            <v>김정우</v>
          </cell>
          <cell r="G226" t="str">
            <v>407013-52-111897</v>
          </cell>
          <cell r="H226">
            <v>150000</v>
          </cell>
        </row>
        <row r="226">
          <cell r="K226" t="str">
            <v>34509</v>
          </cell>
        </row>
        <row r="227">
          <cell r="A227" t="str">
            <v>성명식</v>
          </cell>
        </row>
        <row r="227">
          <cell r="C227" t="str">
            <v>590801-1386129</v>
          </cell>
          <cell r="D227" t="str">
            <v>경기도 고양시 덕양구 화신로298</v>
          </cell>
          <cell r="E227" t="str">
            <v>농협</v>
          </cell>
          <cell r="F227" t="str">
            <v>성명식</v>
          </cell>
          <cell r="G227" t="str">
            <v>049-02-203321</v>
          </cell>
          <cell r="H227">
            <v>150000</v>
          </cell>
          <cell r="I227" t="str">
            <v>010-8975-6129</v>
          </cell>
        </row>
        <row r="227">
          <cell r="K227" t="str">
            <v>29104</v>
          </cell>
        </row>
        <row r="228">
          <cell r="A228" t="str">
            <v>박봉환</v>
          </cell>
        </row>
        <row r="228">
          <cell r="C228" t="str">
            <v>600713-1182814</v>
          </cell>
          <cell r="D228" t="str">
            <v>경북 김천시 증산면황황2길31-6</v>
          </cell>
          <cell r="E228" t="str">
            <v>우체국</v>
          </cell>
          <cell r="F228" t="str">
            <v>박봉환</v>
          </cell>
          <cell r="G228" t="str">
            <v>312785-02-005538</v>
          </cell>
          <cell r="H228">
            <v>150000</v>
          </cell>
        </row>
        <row r="228">
          <cell r="K228" t="str">
            <v>29148</v>
          </cell>
        </row>
        <row r="229">
          <cell r="A229" t="str">
            <v>김기면</v>
          </cell>
        </row>
        <row r="229">
          <cell r="C229" t="str">
            <v>601010-1386125</v>
          </cell>
          <cell r="D229" t="str">
            <v>청주시 서원구 구룡산로 275-13,408동306호</v>
          </cell>
          <cell r="E229" t="str">
            <v>농협</v>
          </cell>
          <cell r="F229" t="str">
            <v>김기면</v>
          </cell>
          <cell r="G229" t="str">
            <v>356-0677-4691-13</v>
          </cell>
          <cell r="H229">
            <v>150000</v>
          </cell>
          <cell r="I229" t="str">
            <v>010-5547-6459</v>
          </cell>
        </row>
        <row r="229">
          <cell r="K229" t="str">
            <v>29140</v>
          </cell>
        </row>
        <row r="230">
          <cell r="A230" t="str">
            <v>김충식</v>
          </cell>
        </row>
        <row r="230">
          <cell r="C230" t="str">
            <v>520618-1384416</v>
          </cell>
          <cell r="D230" t="str">
            <v>충북 청원군 북이면 석성리448-2</v>
          </cell>
          <cell r="E230" t="str">
            <v>농협</v>
          </cell>
          <cell r="F230" t="str">
            <v>김충식</v>
          </cell>
          <cell r="G230" t="str">
            <v>302-0971-3212-91</v>
          </cell>
          <cell r="H230">
            <v>150000</v>
          </cell>
          <cell r="I230" t="str">
            <v>010-5547-6459</v>
          </cell>
        </row>
        <row r="231">
          <cell r="A231" t="str">
            <v>장신진</v>
          </cell>
        </row>
        <row r="231">
          <cell r="C231" t="str">
            <v>620908-1386710</v>
          </cell>
          <cell r="D231" t="str">
            <v>충북 영동군 영동읍 동정로 39-27, 현대아파트 101동 1501호</v>
          </cell>
          <cell r="E231" t="str">
            <v>농협</v>
          </cell>
          <cell r="F231" t="str">
            <v>장신진</v>
          </cell>
          <cell r="G231" t="str">
            <v>356-1353-2371-93</v>
          </cell>
          <cell r="H231">
            <v>150000</v>
          </cell>
          <cell r="I231" t="str">
            <v>010-8450-8819</v>
          </cell>
        </row>
        <row r="235">
          <cell r="A235" t="str">
            <v>김동식</v>
          </cell>
        </row>
        <row r="235">
          <cell r="C235" t="str">
            <v>740416-1468915</v>
          </cell>
          <cell r="D235" t="str">
            <v>청주시 상당구 영운천로 159, 202호 (용정동)</v>
          </cell>
          <cell r="E235" t="str">
            <v>기업</v>
          </cell>
          <cell r="F235" t="str">
            <v>서만석</v>
          </cell>
          <cell r="G235" t="str">
            <v>293-020381-03-026</v>
          </cell>
          <cell r="H235">
            <v>180000</v>
          </cell>
        </row>
        <row r="236">
          <cell r="A236" t="str">
            <v>박문교</v>
          </cell>
        </row>
        <row r="236">
          <cell r="C236" t="str">
            <v>700724-1380511</v>
          </cell>
          <cell r="D236" t="str">
            <v>청주시 흥덕구 월명로 125, 가동 206호(봉명동,신흥@)</v>
          </cell>
          <cell r="E236" t="str">
            <v>기업</v>
          </cell>
          <cell r="F236" t="str">
            <v>서만석</v>
          </cell>
          <cell r="G236" t="str">
            <v>293-020381-03-026</v>
          </cell>
          <cell r="H236">
            <v>180000</v>
          </cell>
        </row>
        <row r="237">
          <cell r="A237" t="str">
            <v>안준범</v>
          </cell>
        </row>
        <row r="237">
          <cell r="C237" t="str">
            <v>681028-1820716</v>
          </cell>
          <cell r="D237" t="str">
            <v>경상남도 창원시 동읍 용잠리 419 신안@ 1-1505</v>
          </cell>
          <cell r="E237" t="str">
            <v>기업</v>
          </cell>
          <cell r="F237" t="str">
            <v>서만석</v>
          </cell>
          <cell r="G237" t="str">
            <v>293-020381-03-026</v>
          </cell>
          <cell r="H237">
            <v>180000</v>
          </cell>
        </row>
        <row r="238">
          <cell r="A238" t="str">
            <v>엄태섭</v>
          </cell>
        </row>
        <row r="238">
          <cell r="C238" t="str">
            <v>651117-1388314</v>
          </cell>
          <cell r="D238" t="str">
            <v>충북 진천군 덕산면 인산리 182-21</v>
          </cell>
          <cell r="E238" t="str">
            <v>기업</v>
          </cell>
          <cell r="F238" t="str">
            <v>서만석</v>
          </cell>
          <cell r="G238" t="str">
            <v>293-020381-03-026</v>
          </cell>
          <cell r="H238">
            <v>180000</v>
          </cell>
        </row>
        <row r="239">
          <cell r="A239" t="str">
            <v>황우하</v>
          </cell>
        </row>
        <row r="239">
          <cell r="C239" t="str">
            <v>870101-1384313</v>
          </cell>
          <cell r="D239" t="str">
            <v>충청북도 옥천군 안남면 도농리 538</v>
          </cell>
          <cell r="E239" t="str">
            <v>기업</v>
          </cell>
          <cell r="F239" t="str">
            <v>서만석</v>
          </cell>
          <cell r="G239" t="str">
            <v>293-020381-03-026</v>
          </cell>
          <cell r="H239">
            <v>180000</v>
          </cell>
        </row>
        <row r="240">
          <cell r="A240" t="str">
            <v>김흥식</v>
          </cell>
        </row>
        <row r="240">
          <cell r="C240" t="str">
            <v>690227-1382111</v>
          </cell>
          <cell r="D240" t="str">
            <v>청주시 서원구 모충로 61, 205-501 (모충동 주공2단지)</v>
          </cell>
          <cell r="E240" t="str">
            <v>기업</v>
          </cell>
          <cell r="F240" t="str">
            <v>서만석</v>
          </cell>
          <cell r="G240" t="str">
            <v>293-020381-03-026</v>
          </cell>
          <cell r="H240">
            <v>180000</v>
          </cell>
        </row>
        <row r="241">
          <cell r="A241" t="str">
            <v>김춘상</v>
          </cell>
        </row>
        <row r="241">
          <cell r="C241" t="str">
            <v>671115-1380612</v>
          </cell>
          <cell r="D241" t="str">
            <v>청주시 상당구 영운동 168-24 19/4</v>
          </cell>
          <cell r="E241" t="str">
            <v>기업</v>
          </cell>
          <cell r="F241" t="str">
            <v>서만석</v>
          </cell>
          <cell r="G241" t="str">
            <v>293-020381-03-026</v>
          </cell>
          <cell r="H241">
            <v>180000</v>
          </cell>
        </row>
        <row r="242">
          <cell r="A242" t="str">
            <v>김주웅</v>
          </cell>
        </row>
        <row r="242">
          <cell r="C242" t="str">
            <v>600405-1397114</v>
          </cell>
          <cell r="D242" t="str">
            <v>청주시 서원구 1순환로 1137번길 130,325-1306 (분평동 분평주공@)</v>
          </cell>
          <cell r="E242" t="str">
            <v>기업</v>
          </cell>
          <cell r="F242" t="str">
            <v>서만석</v>
          </cell>
          <cell r="G242" t="str">
            <v>293-020381-03-026</v>
          </cell>
          <cell r="H242">
            <v>180000</v>
          </cell>
        </row>
        <row r="243">
          <cell r="A243" t="str">
            <v>마상조</v>
          </cell>
        </row>
        <row r="243">
          <cell r="C243" t="str">
            <v>590619-1380817</v>
          </cell>
          <cell r="D243" t="str">
            <v>청주시 흥덕구 봉명로 209번길 17, 105호 (봉명동,그린빌라2차)</v>
          </cell>
          <cell r="E243" t="str">
            <v>기업</v>
          </cell>
          <cell r="F243" t="str">
            <v>서만석</v>
          </cell>
          <cell r="G243" t="str">
            <v>293-020381-03-026</v>
          </cell>
          <cell r="H243">
            <v>180000</v>
          </cell>
        </row>
        <row r="244">
          <cell r="A244" t="str">
            <v>임익기</v>
          </cell>
        </row>
        <row r="244">
          <cell r="C244" t="str">
            <v>650114-1037815</v>
          </cell>
          <cell r="D244" t="str">
            <v>청주시 상당구 가덕면 국전길 110-43</v>
          </cell>
          <cell r="E244" t="str">
            <v>기업</v>
          </cell>
          <cell r="F244" t="str">
            <v>서만석</v>
          </cell>
          <cell r="G244" t="str">
            <v>293-020381-03-026</v>
          </cell>
          <cell r="H244">
            <v>180000</v>
          </cell>
        </row>
        <row r="245">
          <cell r="A245" t="str">
            <v>안기남</v>
          </cell>
        </row>
        <row r="245">
          <cell r="C245" t="str">
            <v>630117-1644712</v>
          </cell>
          <cell r="D245" t="str">
            <v>청주시 상당구 남사로 80번길 9, 4층 402호 (남주동)</v>
          </cell>
          <cell r="E245" t="str">
            <v>기업</v>
          </cell>
          <cell r="F245" t="str">
            <v>서만석</v>
          </cell>
          <cell r="G245" t="str">
            <v>293-020381-03-026</v>
          </cell>
          <cell r="H245">
            <v>180000</v>
          </cell>
        </row>
      </sheetData>
      <sheetData sheetId="7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지출결의서"/>
      <sheetName val="청구리스트"/>
      <sheetName val=" 노무비"/>
      <sheetName val="7월-형틀"/>
      <sheetName val="직영노임"/>
      <sheetName val="외주비"/>
      <sheetName val="자재비"/>
      <sheetName val="중기비"/>
      <sheetName val="장비출력"/>
      <sheetName val="경비"/>
      <sheetName val="경비사용(법카)"/>
      <sheetName val="업체계좌"/>
      <sheetName val="Sheet1"/>
      <sheetName val="Sheet2"/>
      <sheetName val="대정-2"/>
      <sheetName val="직영노임 (22-공-경계~~~)"/>
      <sheetName val="일용직명단"/>
      <sheetName val="현장관련업체"/>
      <sheetName val="특고직"/>
      <sheetName val="24년4대보험요율"/>
      <sheetName val="월별노무비현황"/>
      <sheetName val="월별노무비현황 (2)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A3" t="str">
            <v>오정만</v>
          </cell>
          <cell r="B3" t="str">
            <v>직영인부</v>
          </cell>
          <cell r="C3" t="str">
            <v>520205-1057335</v>
          </cell>
          <cell r="D3" t="str">
            <v>충북 영동군 학산면 모산1길 16-14</v>
          </cell>
          <cell r="E3" t="str">
            <v>농협</v>
          </cell>
          <cell r="F3" t="str">
            <v>오정만</v>
          </cell>
          <cell r="G3" t="str">
            <v>302-0809-4379-11</v>
          </cell>
          <cell r="H3">
            <v>120000</v>
          </cell>
          <cell r="I3" t="str">
            <v>010-5334-6133</v>
          </cell>
        </row>
        <row r="4">
          <cell r="A4" t="str">
            <v>금걸</v>
          </cell>
          <cell r="B4" t="str">
            <v>보통인부</v>
          </cell>
          <cell r="C4" t="str">
            <v>640415-1384716</v>
          </cell>
          <cell r="D4" t="str">
            <v>충북 옥천군 이원면 건진리 630-8</v>
          </cell>
          <cell r="E4" t="str">
            <v>국민</v>
          </cell>
          <cell r="F4" t="str">
            <v>금걸</v>
          </cell>
          <cell r="G4" t="str">
            <v> 405-21-0020-797</v>
          </cell>
          <cell r="H4">
            <v>160000</v>
          </cell>
          <cell r="I4" t="str">
            <v>010-9207-4425</v>
          </cell>
        </row>
        <row r="5">
          <cell r="A5" t="str">
            <v>주도현</v>
          </cell>
          <cell r="B5" t="str">
            <v>보통인부</v>
          </cell>
          <cell r="C5" t="str">
            <v>990511-1384718</v>
          </cell>
          <cell r="D5" t="str">
            <v> 충북 옥천군 이원면 지탄6길 24</v>
          </cell>
          <cell r="E5" t="str">
            <v>농협</v>
          </cell>
          <cell r="F5" t="str">
            <v>주도현</v>
          </cell>
          <cell r="G5" t="str">
            <v> 351-1021-5063-63</v>
          </cell>
          <cell r="H5">
            <v>120000</v>
          </cell>
          <cell r="I5" t="str">
            <v>010-5402-6851</v>
          </cell>
        </row>
        <row r="6">
          <cell r="A6" t="str">
            <v>채청기</v>
          </cell>
          <cell r="B6" t="str">
            <v>작업반장</v>
          </cell>
          <cell r="C6" t="str">
            <v>611117-1644319</v>
          </cell>
          <cell r="D6" t="str">
            <v> 충북 영동군 매천1길 11-10</v>
          </cell>
          <cell r="E6" t="str">
            <v>농협</v>
          </cell>
          <cell r="F6" t="str">
            <v>채청기</v>
          </cell>
          <cell r="G6" t="str">
            <v>403063-51-043152</v>
          </cell>
          <cell r="H6">
            <v>200000</v>
          </cell>
          <cell r="I6" t="str">
            <v>010-7357-9166</v>
          </cell>
        </row>
        <row r="7">
          <cell r="A7" t="str">
            <v>채성진</v>
          </cell>
          <cell r="B7" t="str">
            <v>보통인부</v>
          </cell>
          <cell r="C7" t="str">
            <v>930707-1386119</v>
          </cell>
          <cell r="D7" t="str">
            <v> 충북 영동군 영동읍 매천1길 11-10</v>
          </cell>
          <cell r="E7" t="str">
            <v>농협</v>
          </cell>
          <cell r="F7" t="str">
            <v>채성진</v>
          </cell>
          <cell r="G7" t="str">
            <v>356-0214-5208-83</v>
          </cell>
          <cell r="H7">
            <v>140000</v>
          </cell>
          <cell r="I7" t="str">
            <v>010-2842-9171</v>
          </cell>
        </row>
        <row r="8">
          <cell r="A8" t="str">
            <v>이준호</v>
          </cell>
          <cell r="B8" t="str">
            <v>보통인부</v>
          </cell>
          <cell r="C8" t="str">
            <v>680526-1167726</v>
          </cell>
          <cell r="D8" t="str">
            <v> 충북 영동군 영동읍 성안길 20-7</v>
          </cell>
          <cell r="E8" t="str">
            <v>농협</v>
          </cell>
          <cell r="F8" t="str">
            <v>이준호</v>
          </cell>
          <cell r="G8" t="str">
            <v>356-0927-9268-73</v>
          </cell>
          <cell r="H8">
            <v>160000</v>
          </cell>
          <cell r="I8" t="str">
            <v>010-7324-3090</v>
          </cell>
        </row>
        <row r="9">
          <cell r="A9" t="str">
            <v>박희석</v>
          </cell>
          <cell r="B9" t="str">
            <v>목공</v>
          </cell>
          <cell r="C9" t="str">
            <v>620320-1386717</v>
          </cell>
          <cell r="D9" t="str">
            <v> 충북 영동군 양강면 남전2안길 4-16</v>
          </cell>
          <cell r="E9" t="str">
            <v>농협</v>
          </cell>
          <cell r="F9" t="str">
            <v>박희석</v>
          </cell>
          <cell r="G9" t="str">
            <v>407023-52-023453</v>
          </cell>
          <cell r="H9">
            <v>180000</v>
          </cell>
          <cell r="I9" t="str">
            <v>010-3033-5024</v>
          </cell>
        </row>
        <row r="10">
          <cell r="A10" t="str">
            <v>박희원</v>
          </cell>
          <cell r="B10" t="str">
            <v>목공</v>
          </cell>
          <cell r="C10" t="str">
            <v>591208-1386711</v>
          </cell>
          <cell r="D10" t="str">
            <v> 충북 영동군 양강면 남전2안길 4-17</v>
          </cell>
          <cell r="E10" t="str">
            <v>농협</v>
          </cell>
          <cell r="F10" t="str">
            <v>박희원</v>
          </cell>
          <cell r="G10" t="str">
            <v>352-1445-5223-63</v>
          </cell>
          <cell r="H10">
            <v>180000</v>
          </cell>
          <cell r="I10" t="str">
            <v>010-5461-8445</v>
          </cell>
        </row>
        <row r="11">
          <cell r="A11" t="str">
            <v>김주열</v>
          </cell>
          <cell r="B11" t="str">
            <v>철근공</v>
          </cell>
          <cell r="C11" t="str">
            <v>661109-1384112</v>
          </cell>
          <cell r="D11" t="str">
            <v>충북 옥천군 옥천읍 관성로 29</v>
          </cell>
          <cell r="E11" t="str">
            <v>중소기업</v>
          </cell>
          <cell r="F11" t="str">
            <v>김주열</v>
          </cell>
          <cell r="G11" t="str">
            <v>010-5454-1383</v>
          </cell>
          <cell r="H11">
            <v>240000</v>
          </cell>
          <cell r="I11" t="str">
            <v>010-5454-1383</v>
          </cell>
        </row>
        <row r="12">
          <cell r="A12" t="str">
            <v>김덕환</v>
          </cell>
          <cell r="B12" t="str">
            <v>철근공</v>
          </cell>
          <cell r="C12" t="str">
            <v>671203-1386930</v>
          </cell>
          <cell r="D12" t="str">
            <v>충북 옥천군 옥천읍 신기4길16,a동102</v>
          </cell>
          <cell r="E12" t="str">
            <v>농협</v>
          </cell>
          <cell r="F12" t="str">
            <v>김덕환</v>
          </cell>
          <cell r="G12" t="str">
            <v>356-0961-2797-13</v>
          </cell>
          <cell r="H12">
            <v>200000</v>
          </cell>
          <cell r="I12" t="str">
            <v>010-9422-5581</v>
          </cell>
        </row>
        <row r="13">
          <cell r="A13" t="str">
            <v>김동진1</v>
          </cell>
          <cell r="B13" t="str">
            <v>철근공</v>
          </cell>
          <cell r="C13" t="str">
            <v>740215-1384136</v>
          </cell>
          <cell r="D13" t="str">
            <v>충북 옥천군 옥천읍 성신로21-10</v>
          </cell>
          <cell r="E13" t="str">
            <v>농협</v>
          </cell>
        </row>
        <row r="13">
          <cell r="G13" t="str">
            <v>317-02-252767</v>
          </cell>
          <cell r="H13">
            <v>240000</v>
          </cell>
          <cell r="I13" t="str">
            <v>010-4569-4810</v>
          </cell>
        </row>
        <row r="14">
          <cell r="A14" t="str">
            <v>이영철</v>
          </cell>
          <cell r="B14" t="str">
            <v>철근공</v>
          </cell>
          <cell r="C14" t="str">
            <v>650222-1384139</v>
          </cell>
          <cell r="D14" t="str">
            <v>충북 옥천군 옥천읍 가화3길18,101동105호</v>
          </cell>
          <cell r="E14" t="str">
            <v>농협</v>
          </cell>
          <cell r="F14" t="str">
            <v>이영철</v>
          </cell>
          <cell r="G14" t="str">
            <v>317-12-395296</v>
          </cell>
          <cell r="H14">
            <v>240000</v>
          </cell>
          <cell r="I14" t="str">
            <v>010-5405-3976</v>
          </cell>
        </row>
        <row r="15">
          <cell r="A15" t="str">
            <v>박용옥</v>
          </cell>
          <cell r="B15" t="str">
            <v>철근공</v>
          </cell>
          <cell r="C15" t="str">
            <v>580304-1384211</v>
          </cell>
          <cell r="D15" t="str">
            <v>충북 옥천군 옥천읍 금구리18-2</v>
          </cell>
          <cell r="E15" t="str">
            <v>농협</v>
          </cell>
          <cell r="F15" t="str">
            <v>박용옥</v>
          </cell>
          <cell r="G15" t="str">
            <v>317-12-351368</v>
          </cell>
          <cell r="H15">
            <v>240000</v>
          </cell>
          <cell r="I15" t="str">
            <v>010-6438-1661</v>
          </cell>
        </row>
        <row r="16">
          <cell r="A16" t="str">
            <v>박종복</v>
          </cell>
          <cell r="B16" t="str">
            <v>철근공</v>
          </cell>
          <cell r="C16" t="str">
            <v>561005-1384211</v>
          </cell>
          <cell r="D16" t="str">
            <v>충북 옥천군 옥천읍 동부로16,102동901</v>
          </cell>
          <cell r="E16" t="str">
            <v>농협</v>
          </cell>
          <cell r="F16" t="str">
            <v>박종복</v>
          </cell>
          <cell r="G16" t="str">
            <v>302-0299-7809-11</v>
          </cell>
          <cell r="H16">
            <v>240000</v>
          </cell>
          <cell r="I16" t="str">
            <v>010-5457-5297</v>
          </cell>
        </row>
        <row r="17">
          <cell r="A17" t="str">
            <v>김일용</v>
          </cell>
          <cell r="B17" t="str">
            <v>철근공</v>
          </cell>
          <cell r="C17" t="str">
            <v>580211-1403112</v>
          </cell>
          <cell r="D17" t="str">
            <v>충북 옥천군 옥천읍 신기4길18,나동201호</v>
          </cell>
          <cell r="E17" t="str">
            <v>새마을금고</v>
          </cell>
          <cell r="F17" t="str">
            <v>김일용</v>
          </cell>
          <cell r="G17" t="str">
            <v>9003-2149-2059-6</v>
          </cell>
          <cell r="H17">
            <v>200000</v>
          </cell>
          <cell r="I17" t="str">
            <v>010-9439-5026</v>
          </cell>
        </row>
        <row r="18">
          <cell r="A18" t="str">
            <v>김일호</v>
          </cell>
          <cell r="B18" t="str">
            <v>보통인부</v>
          </cell>
          <cell r="C18" t="str">
            <v>600413-1386324</v>
          </cell>
          <cell r="D18" t="str">
            <v>충북 영동군 황간면 마산리109</v>
          </cell>
          <cell r="E18" t="str">
            <v>농협</v>
          </cell>
          <cell r="F18" t="str">
            <v>김일호</v>
          </cell>
          <cell r="G18" t="str">
            <v>407089-52-142573</v>
          </cell>
          <cell r="H18">
            <v>130000</v>
          </cell>
          <cell r="I18" t="str">
            <v>010-3060-5145</v>
          </cell>
        </row>
        <row r="19">
          <cell r="A19" t="str">
            <v>정재인</v>
          </cell>
          <cell r="B19" t="str">
            <v>목공</v>
          </cell>
          <cell r="C19" t="str">
            <v>580217-1384115</v>
          </cell>
          <cell r="D19" t="str">
            <v>충북 옥천군 옥천읍 성신로27B동101호</v>
          </cell>
          <cell r="E19" t="str">
            <v>농협</v>
          </cell>
          <cell r="F19" t="str">
            <v>정재인</v>
          </cell>
          <cell r="G19" t="str">
            <v>405010-51-123375</v>
          </cell>
          <cell r="H19">
            <v>200000</v>
          </cell>
          <cell r="I19" t="str">
            <v>010-5493-3436</v>
          </cell>
        </row>
        <row r="20">
          <cell r="A20" t="str">
            <v>정백교</v>
          </cell>
          <cell r="B20" t="str">
            <v>목공</v>
          </cell>
          <cell r="C20" t="str">
            <v>561220-1812524</v>
          </cell>
          <cell r="D20" t="str">
            <v>대전광역시 동구 대동 33-119</v>
          </cell>
          <cell r="E20" t="str">
            <v>국민</v>
          </cell>
          <cell r="F20" t="str">
            <v>정백교</v>
          </cell>
          <cell r="G20" t="str">
            <v>734402-01-012660</v>
          </cell>
          <cell r="H20">
            <v>200000</v>
          </cell>
          <cell r="I20" t="str">
            <v>010-5408-8423</v>
          </cell>
        </row>
        <row r="21">
          <cell r="A21" t="str">
            <v>공양록</v>
          </cell>
          <cell r="B21" t="str">
            <v>목공</v>
          </cell>
          <cell r="C21" t="str">
            <v>570505-1384112</v>
          </cell>
          <cell r="D21" t="str">
            <v>충북 옥천군 옥천읍 대천557-1   25</v>
          </cell>
          <cell r="E21" t="str">
            <v>국민</v>
          </cell>
          <cell r="F21" t="str">
            <v>공양록</v>
          </cell>
          <cell r="G21" t="str">
            <v>405-21-0588-793</v>
          </cell>
          <cell r="H21">
            <v>200000</v>
          </cell>
          <cell r="I21" t="str">
            <v>010-3456-5927</v>
          </cell>
        </row>
        <row r="22">
          <cell r="A22" t="str">
            <v>이정열</v>
          </cell>
          <cell r="B22" t="str">
            <v>목공</v>
          </cell>
          <cell r="C22" t="str">
            <v>590820-1384819</v>
          </cell>
          <cell r="D22" t="str">
            <v>충북 옥천군 옥천읍 중앙로2길24</v>
          </cell>
          <cell r="E22" t="str">
            <v>농협</v>
          </cell>
          <cell r="F22" t="str">
            <v>이정열</v>
          </cell>
          <cell r="G22" t="str">
            <v>356-1330-1383-03</v>
          </cell>
          <cell r="H22">
            <v>200000</v>
          </cell>
          <cell r="I22" t="str">
            <v>011-464-4388</v>
          </cell>
        </row>
        <row r="23">
          <cell r="A23" t="str">
            <v>정경섭</v>
          </cell>
          <cell r="B23" t="str">
            <v>목공</v>
          </cell>
          <cell r="C23" t="str">
            <v>580319-1254218</v>
          </cell>
          <cell r="D23" t="str">
            <v>충북 옥천군 동이면 남곡리151</v>
          </cell>
          <cell r="E23" t="str">
            <v>농협</v>
          </cell>
          <cell r="F23" t="str">
            <v>정경섭</v>
          </cell>
          <cell r="G23" t="str">
            <v>173128-52-132419</v>
          </cell>
          <cell r="H23">
            <v>200000</v>
          </cell>
          <cell r="I23" t="str">
            <v>010-8808-1863</v>
          </cell>
        </row>
        <row r="24">
          <cell r="A24" t="str">
            <v>이종선</v>
          </cell>
          <cell r="B24" t="str">
            <v>목공</v>
          </cell>
          <cell r="C24" t="str">
            <v>620315-1382711</v>
          </cell>
          <cell r="D24" t="str">
            <v>충북 보은군 수한면 차정리99-1</v>
          </cell>
          <cell r="E24" t="str">
            <v>농협</v>
          </cell>
          <cell r="F24" t="str">
            <v>이종선</v>
          </cell>
          <cell r="G24" t="str">
            <v>356-0638-7963-13</v>
          </cell>
          <cell r="H24">
            <v>200000</v>
          </cell>
          <cell r="I24" t="str">
            <v>010-3456-5927</v>
          </cell>
        </row>
        <row r="25">
          <cell r="A25" t="str">
            <v>황인호</v>
          </cell>
          <cell r="B25" t="str">
            <v>목공</v>
          </cell>
          <cell r="C25" t="str">
            <v>570625-1384117</v>
          </cell>
          <cell r="D25" t="str">
            <v>대전 동구 자양35-14</v>
          </cell>
          <cell r="E25" t="str">
            <v>농협</v>
          </cell>
          <cell r="F25" t="str">
            <v>황인호</v>
          </cell>
          <cell r="G25" t="str">
            <v>356-1420-1868-53</v>
          </cell>
          <cell r="H25">
            <v>200000</v>
          </cell>
          <cell r="I25" t="str">
            <v>010-9874-7747</v>
          </cell>
        </row>
        <row r="26">
          <cell r="A26" t="str">
            <v>공양호</v>
          </cell>
          <cell r="B26" t="str">
            <v>목공</v>
          </cell>
          <cell r="C26" t="str">
            <v>620302-1384112</v>
          </cell>
          <cell r="D26" t="str">
            <v>충북 옥천군 옥천읍 장이1길1005호</v>
          </cell>
          <cell r="E26" t="str">
            <v>농협</v>
          </cell>
          <cell r="F26" t="str">
            <v>공양호</v>
          </cell>
          <cell r="G26" t="str">
            <v>356-1307-5702-93</v>
          </cell>
          <cell r="H26">
            <v>200000</v>
          </cell>
          <cell r="I26" t="str">
            <v>010-5450-2276</v>
          </cell>
        </row>
        <row r="27">
          <cell r="A27" t="str">
            <v>김홍성</v>
          </cell>
          <cell r="B27" t="str">
            <v>목공</v>
          </cell>
          <cell r="C27" t="str">
            <v>490418-1447611</v>
          </cell>
          <cell r="D27" t="str">
            <v>대전 대덕구 대덕대로1601번길40</v>
          </cell>
          <cell r="E27" t="str">
            <v>농협</v>
          </cell>
          <cell r="F27" t="str">
            <v>김홍성</v>
          </cell>
          <cell r="G27" t="str">
            <v>352-1448-3038-13</v>
          </cell>
          <cell r="H27">
            <v>200000</v>
          </cell>
          <cell r="I27" t="str">
            <v>010-5609-4913</v>
          </cell>
        </row>
        <row r="28">
          <cell r="A28" t="str">
            <v>남상길</v>
          </cell>
          <cell r="B28" t="str">
            <v>목공</v>
          </cell>
          <cell r="C28" t="str">
            <v>550719-1805215</v>
          </cell>
          <cell r="D28" t="str">
            <v>충북 옥천군 옥천읍 서정1길5-40</v>
          </cell>
          <cell r="E28" t="str">
            <v>농협</v>
          </cell>
          <cell r="F28" t="str">
            <v>남상길</v>
          </cell>
          <cell r="G28" t="str">
            <v>356-1314-4411-13</v>
          </cell>
          <cell r="H28">
            <v>200000</v>
          </cell>
          <cell r="I28" t="str">
            <v>010-8826-8939</v>
          </cell>
        </row>
        <row r="29">
          <cell r="A29" t="str">
            <v>최성환</v>
          </cell>
          <cell r="B29" t="str">
            <v>철근공</v>
          </cell>
          <cell r="C29" t="str">
            <v>660710-1386211</v>
          </cell>
          <cell r="D29" t="str">
            <v>충북 옥천군 옥천읍 삼양로2길 6-4</v>
          </cell>
          <cell r="E29" t="str">
            <v>중소기업</v>
          </cell>
          <cell r="F29" t="str">
            <v>최성환</v>
          </cell>
          <cell r="G29" t="str">
            <v>570-000536-02-026</v>
          </cell>
          <cell r="H29">
            <v>200000</v>
          </cell>
          <cell r="I29" t="str">
            <v>010-6641-6613</v>
          </cell>
        </row>
        <row r="30">
          <cell r="A30" t="str">
            <v>진수영</v>
          </cell>
          <cell r="B30" t="str">
            <v>철근공</v>
          </cell>
          <cell r="C30" t="str">
            <v>550928-1384216</v>
          </cell>
          <cell r="D30" t="str">
            <v>충북 옥천군 동이면 무산리657</v>
          </cell>
          <cell r="E30" t="str">
            <v>신협</v>
          </cell>
          <cell r="F30" t="str">
            <v>진수영</v>
          </cell>
          <cell r="G30" t="str">
            <v>131-015-480063</v>
          </cell>
          <cell r="H30">
            <v>200000</v>
          </cell>
          <cell r="I30" t="str">
            <v>010-4352-2174</v>
          </cell>
        </row>
        <row r="31">
          <cell r="A31" t="str">
            <v>김종덕</v>
          </cell>
          <cell r="B31" t="str">
            <v>철근공</v>
          </cell>
          <cell r="C31" t="str">
            <v>551120-1449514</v>
          </cell>
          <cell r="D31" t="str">
            <v>대전 광역시 중구 유천동 340-51</v>
          </cell>
          <cell r="E31" t="str">
            <v>국민</v>
          </cell>
          <cell r="F31" t="str">
            <v>김종덕</v>
          </cell>
          <cell r="G31" t="str">
            <v>460001-04-016552</v>
          </cell>
          <cell r="H31">
            <v>200000</v>
          </cell>
          <cell r="I31" t="str">
            <v>010-3418-1669</v>
          </cell>
        </row>
        <row r="32">
          <cell r="A32" t="str">
            <v>김용근</v>
          </cell>
          <cell r="B32" t="str">
            <v>철근공</v>
          </cell>
          <cell r="C32" t="str">
            <v>491010-1403113</v>
          </cell>
          <cell r="D32" t="str">
            <v>충북 옥천군 동이면 무산리658</v>
          </cell>
          <cell r="E32" t="str">
            <v>국민</v>
          </cell>
          <cell r="F32" t="str">
            <v>김용근</v>
          </cell>
          <cell r="G32" t="str">
            <v>740902-93-109270</v>
          </cell>
          <cell r="H32">
            <v>200000</v>
          </cell>
          <cell r="I32" t="str">
            <v>010-5456-3529</v>
          </cell>
        </row>
        <row r="33">
          <cell r="A33" t="str">
            <v>윤진한</v>
          </cell>
          <cell r="B33" t="str">
            <v>석공</v>
          </cell>
          <cell r="C33" t="str">
            <v>760224-1386921</v>
          </cell>
          <cell r="D33" t="str">
            <v>충북 영동군 영동읍 계산리 197-2</v>
          </cell>
          <cell r="E33" t="str">
            <v>농협</v>
          </cell>
          <cell r="F33" t="str">
            <v>윤진한</v>
          </cell>
          <cell r="G33" t="str">
            <v>356-0991-0651-23</v>
          </cell>
          <cell r="H33">
            <v>250000</v>
          </cell>
          <cell r="I33" t="str">
            <v>010-7360-3345</v>
          </cell>
        </row>
        <row r="34">
          <cell r="A34" t="str">
            <v>권오득</v>
          </cell>
          <cell r="B34" t="str">
            <v>보통인부</v>
          </cell>
          <cell r="C34" t="str">
            <v>640529-1386416</v>
          </cell>
          <cell r="D34" t="str">
            <v>충북영동군추풍령면추풍령로9길10-2</v>
          </cell>
          <cell r="E34" t="str">
            <v>농협</v>
          </cell>
          <cell r="F34" t="str">
            <v>권오득</v>
          </cell>
          <cell r="G34" t="str">
            <v>352-1857-0983-23</v>
          </cell>
          <cell r="H34">
            <v>150000</v>
          </cell>
          <cell r="I34" t="str">
            <v>010-9133-8928</v>
          </cell>
        </row>
        <row r="35">
          <cell r="A35" t="str">
            <v>손석래</v>
          </cell>
          <cell r="B35" t="str">
            <v>보통인부</v>
          </cell>
          <cell r="C35" t="str">
            <v>600404-1386121</v>
          </cell>
          <cell r="D35" t="str">
            <v>충북 영동군 영동읍 새심길18,1004호 조한드림플러스@</v>
          </cell>
          <cell r="E35" t="str">
            <v>농협</v>
          </cell>
          <cell r="F35" t="str">
            <v>손석래</v>
          </cell>
          <cell r="G35" t="str">
            <v>356-1493-9522-63</v>
          </cell>
          <cell r="H35">
            <v>160000</v>
          </cell>
          <cell r="I35" t="str">
            <v>043-744-5228</v>
          </cell>
        </row>
        <row r="36">
          <cell r="A36" t="str">
            <v>조운규</v>
          </cell>
          <cell r="B36" t="str">
            <v>특별인부</v>
          </cell>
          <cell r="C36" t="str">
            <v>650305-1386131</v>
          </cell>
          <cell r="D36" t="str">
            <v>충북 영동군 영동읍 금동안길 60</v>
          </cell>
          <cell r="E36" t="str">
            <v>우체국</v>
          </cell>
          <cell r="F36" t="str">
            <v>조운규</v>
          </cell>
          <cell r="G36" t="str">
            <v>301515-02-022804</v>
          </cell>
          <cell r="H36">
            <v>170000</v>
          </cell>
          <cell r="I36" t="str">
            <v>010-8343-0468</v>
          </cell>
        </row>
        <row r="37">
          <cell r="A37" t="str">
            <v>강희종</v>
          </cell>
          <cell r="B37" t="str">
            <v>단순노무자</v>
          </cell>
          <cell r="C37" t="str">
            <v>540612-1400325</v>
          </cell>
          <cell r="D37" t="str">
            <v>충북 영동군 추풍령면 추풍령로5안길8</v>
          </cell>
          <cell r="E37" t="str">
            <v>농협</v>
          </cell>
          <cell r="F37" t="str">
            <v>강희종</v>
          </cell>
          <cell r="G37" t="str">
            <v>351-1142-0210-73</v>
          </cell>
          <cell r="H37">
            <v>130000</v>
          </cell>
          <cell r="I37" t="str">
            <v>010-5028-0656</v>
          </cell>
        </row>
        <row r="38">
          <cell r="A38" t="str">
            <v>김기필</v>
          </cell>
          <cell r="B38" t="str">
            <v>단순노무자</v>
          </cell>
          <cell r="C38" t="str">
            <v>611022-1386251</v>
          </cell>
          <cell r="D38" t="str">
            <v>충북 영동군 용산면 금곡3길 19</v>
          </cell>
          <cell r="E38" t="str">
            <v>농협</v>
          </cell>
          <cell r="F38" t="str">
            <v>김기필</v>
          </cell>
          <cell r="G38" t="str">
            <v>351-1142-0210-73</v>
          </cell>
          <cell r="H38">
            <v>150000</v>
          </cell>
          <cell r="I38" t="str">
            <v>010-6428-8990</v>
          </cell>
        </row>
        <row r="39">
          <cell r="A39" t="str">
            <v>윤석률</v>
          </cell>
          <cell r="B39" t="str">
            <v>단순노무자</v>
          </cell>
          <cell r="C39" t="str">
            <v>681215-1384614</v>
          </cell>
          <cell r="D39" t="str">
            <v>충북 옥천군 청산면 효목1길 83</v>
          </cell>
          <cell r="E39" t="str">
            <v>농협</v>
          </cell>
          <cell r="F39" t="str">
            <v>윤석률</v>
          </cell>
          <cell r="G39" t="str">
            <v>351-1142-0210-73</v>
          </cell>
          <cell r="H39">
            <v>150000</v>
          </cell>
          <cell r="I39" t="str">
            <v>010-3425-9337</v>
          </cell>
        </row>
        <row r="40">
          <cell r="A40" t="str">
            <v>전근성</v>
          </cell>
          <cell r="B40" t="str">
            <v>단순노무자</v>
          </cell>
          <cell r="C40" t="str">
            <v>721105-1386912</v>
          </cell>
          <cell r="D40" t="str">
            <v>충북 영동군 학산면 모정길 78</v>
          </cell>
          <cell r="E40" t="str">
            <v>농협</v>
          </cell>
          <cell r="F40" t="str">
            <v>전근성</v>
          </cell>
          <cell r="G40" t="str">
            <v>351-1142-0210-73</v>
          </cell>
          <cell r="H40">
            <v>150000</v>
          </cell>
          <cell r="I40" t="str">
            <v>010-3405-4114</v>
          </cell>
        </row>
        <row r="41">
          <cell r="A41" t="str">
            <v>김병호</v>
          </cell>
          <cell r="B41" t="str">
            <v>철근공</v>
          </cell>
          <cell r="C41" t="str">
            <v>921202-1058619</v>
          </cell>
          <cell r="D41" t="str">
            <v>충북 옥천군 옥천읍 관성로 29</v>
          </cell>
          <cell r="E41" t="str">
            <v>우체국</v>
          </cell>
          <cell r="F41" t="str">
            <v>김병호</v>
          </cell>
          <cell r="G41" t="str">
            <v>300111-02-297282</v>
          </cell>
          <cell r="H41">
            <v>200000</v>
          </cell>
          <cell r="I41" t="str">
            <v>010-4904-9092</v>
          </cell>
        </row>
        <row r="42">
          <cell r="A42" t="str">
            <v>최동섭</v>
          </cell>
          <cell r="B42" t="str">
            <v>특별인부</v>
          </cell>
          <cell r="C42" t="str">
            <v>670211-1386119</v>
          </cell>
          <cell r="D42" t="str">
            <v>충북 영동군 영동읍 부용7안길7-1</v>
          </cell>
          <cell r="E42" t="str">
            <v>농협</v>
          </cell>
          <cell r="F42" t="str">
            <v>최동섭</v>
          </cell>
          <cell r="G42" t="str">
            <v>173173-52-042958</v>
          </cell>
          <cell r="H42">
            <v>170000</v>
          </cell>
          <cell r="I42" t="str">
            <v>010-4114-2902</v>
          </cell>
        </row>
        <row r="43">
          <cell r="A43" t="str">
            <v>김영환</v>
          </cell>
          <cell r="B43" t="str">
            <v>보통인부</v>
          </cell>
          <cell r="C43" t="str">
            <v>600925-1386115</v>
          </cell>
          <cell r="D43" t="str">
            <v>충북 영동군 영동읍 계산리 426-1</v>
          </cell>
          <cell r="E43" t="str">
            <v>농협</v>
          </cell>
          <cell r="F43" t="str">
            <v>김영환</v>
          </cell>
          <cell r="G43" t="str">
            <v>302-1601-4630-21</v>
          </cell>
          <cell r="H43">
            <v>130000</v>
          </cell>
        </row>
        <row r="44">
          <cell r="A44" t="str">
            <v>김명숙</v>
          </cell>
          <cell r="B44" t="str">
            <v>보통인부</v>
          </cell>
          <cell r="C44" t="str">
            <v>660125-2524919</v>
          </cell>
          <cell r="D44" t="str">
            <v>대전 동구 판암동 328방주아파트101-604</v>
          </cell>
          <cell r="E44" t="str">
            <v>농협</v>
          </cell>
          <cell r="F44" t="str">
            <v>김명숙</v>
          </cell>
          <cell r="G44" t="str">
            <v>302-0957-7396-11</v>
          </cell>
          <cell r="H44">
            <v>150000</v>
          </cell>
        </row>
        <row r="45">
          <cell r="A45" t="str">
            <v>이홍성</v>
          </cell>
          <cell r="B45" t="str">
            <v>목공</v>
          </cell>
          <cell r="C45" t="str">
            <v>510520-1384216</v>
          </cell>
          <cell r="D45" t="str">
            <v>충북 옥천 옥천읍 미암리49-1</v>
          </cell>
          <cell r="E45" t="str">
            <v>농협</v>
          </cell>
          <cell r="F45" t="str">
            <v>이홍성</v>
          </cell>
          <cell r="G45" t="str">
            <v>356-1306-8954-13</v>
          </cell>
          <cell r="H45">
            <v>200000</v>
          </cell>
          <cell r="I45" t="str">
            <v>010-5100-7490</v>
          </cell>
        </row>
        <row r="46">
          <cell r="A46" t="str">
            <v>김장곤</v>
          </cell>
          <cell r="B46" t="str">
            <v>목공</v>
          </cell>
          <cell r="C46" t="str">
            <v>611211-1458428</v>
          </cell>
          <cell r="D46" t="str">
            <v>대전광역시 중구 산성동 304-18</v>
          </cell>
          <cell r="E46" t="str">
            <v>농협</v>
          </cell>
          <cell r="F46" t="str">
            <v>김장곤</v>
          </cell>
          <cell r="G46" t="str">
            <v>356-1483-5978-13</v>
          </cell>
          <cell r="H46">
            <v>200000</v>
          </cell>
          <cell r="I46" t="str">
            <v>010-4830-2110</v>
          </cell>
        </row>
        <row r="47">
          <cell r="A47" t="str">
            <v>김효식</v>
          </cell>
          <cell r="B47" t="str">
            <v>목공</v>
          </cell>
          <cell r="C47" t="str">
            <v>630220-1384116</v>
          </cell>
          <cell r="D47" t="str">
            <v>충북 옥천 옥천읍 송신길 89-1</v>
          </cell>
          <cell r="E47" t="str">
            <v>농협</v>
          </cell>
          <cell r="F47" t="str">
            <v>김효식</v>
          </cell>
          <cell r="G47" t="str">
            <v>356-1306-7504-13</v>
          </cell>
          <cell r="H47">
            <v>200000</v>
          </cell>
          <cell r="I47" t="str">
            <v>010-3448-1889</v>
          </cell>
        </row>
        <row r="48">
          <cell r="A48" t="str">
            <v>김정자</v>
          </cell>
          <cell r="B48" t="str">
            <v>목공</v>
          </cell>
          <cell r="C48" t="str">
            <v>600225-2408313</v>
          </cell>
          <cell r="D48" t="str">
            <v>대전 동구 판암동236주공 508-1302</v>
          </cell>
          <cell r="E48" t="str">
            <v>농협</v>
          </cell>
          <cell r="F48" t="str">
            <v>김정자</v>
          </cell>
        </row>
        <row r="48">
          <cell r="I48" t="str">
            <v>010-5402-7460</v>
          </cell>
        </row>
        <row r="49">
          <cell r="A49" t="str">
            <v>이순희</v>
          </cell>
          <cell r="B49" t="str">
            <v>목공</v>
          </cell>
          <cell r="C49" t="str">
            <v>610808-2379713</v>
          </cell>
          <cell r="D49" t="str">
            <v>충북 옥천 옥천읍 마암리22-4은혜연립B동101</v>
          </cell>
          <cell r="E49" t="str">
            <v>농협</v>
          </cell>
          <cell r="F49" t="str">
            <v>이순희</v>
          </cell>
        </row>
        <row r="49">
          <cell r="I49" t="str">
            <v>010-9138-3436</v>
          </cell>
        </row>
        <row r="50">
          <cell r="A50" t="str">
            <v>김태식</v>
          </cell>
          <cell r="B50" t="str">
            <v>목공</v>
          </cell>
          <cell r="C50" t="str">
            <v>551215-1384133</v>
          </cell>
          <cell r="D50" t="str">
            <v>충북옥천 옥천읍문정리 62-1</v>
          </cell>
          <cell r="E50" t="str">
            <v>농협</v>
          </cell>
          <cell r="F50" t="str">
            <v>김태식</v>
          </cell>
          <cell r="G50" t="str">
            <v>302-5458-3411-01</v>
          </cell>
          <cell r="H50">
            <v>200000</v>
          </cell>
          <cell r="I50" t="str">
            <v>010-5458-3411</v>
          </cell>
        </row>
        <row r="51">
          <cell r="A51" t="str">
            <v>유현봉</v>
          </cell>
          <cell r="B51" t="str">
            <v>목공</v>
          </cell>
          <cell r="C51" t="str">
            <v>531210-1384312</v>
          </cell>
          <cell r="D51" t="str">
            <v>충북 옥천 옥천읍 양수로6길4</v>
          </cell>
          <cell r="E51" t="str">
            <v>국민</v>
          </cell>
          <cell r="F51" t="str">
            <v>유현봉</v>
          </cell>
          <cell r="G51" t="str">
            <v>405-24-0081-770</v>
          </cell>
          <cell r="H51">
            <v>200000</v>
          </cell>
          <cell r="I51" t="str">
            <v>010-5427-7937</v>
          </cell>
        </row>
        <row r="52">
          <cell r="A52" t="str">
            <v>신기창</v>
          </cell>
          <cell r="B52" t="str">
            <v>목공</v>
          </cell>
          <cell r="C52" t="str">
            <v>611028-1411611</v>
          </cell>
          <cell r="D52" t="str">
            <v>충북 옥천 옥천읍 성암2길30-1</v>
          </cell>
          <cell r="E52" t="str">
            <v>농협</v>
          </cell>
          <cell r="F52" t="str">
            <v>신기창</v>
          </cell>
          <cell r="G52" t="str">
            <v>356-1479-8602-73</v>
          </cell>
          <cell r="H52">
            <v>200000</v>
          </cell>
          <cell r="I52" t="str">
            <v>010-3893-7198</v>
          </cell>
        </row>
        <row r="53">
          <cell r="A53" t="str">
            <v>김충재</v>
          </cell>
          <cell r="B53" t="str">
            <v>목공</v>
          </cell>
          <cell r="C53" t="str">
            <v>590114-1384121</v>
          </cell>
          <cell r="D53" t="str">
            <v>충북 옥천 옥천읍 금구천길15나동103호</v>
          </cell>
          <cell r="E53" t="str">
            <v>농협</v>
          </cell>
          <cell r="F53" t="str">
            <v>김충재</v>
          </cell>
          <cell r="G53" t="str">
            <v>356-1488-3009-73</v>
          </cell>
          <cell r="H53">
            <v>200000</v>
          </cell>
          <cell r="I53" t="str">
            <v>010-5465-8302</v>
          </cell>
        </row>
        <row r="54">
          <cell r="A54" t="str">
            <v>김정식</v>
          </cell>
          <cell r="B54" t="str">
            <v>목공</v>
          </cell>
          <cell r="C54" t="str">
            <v>760110-1384826</v>
          </cell>
          <cell r="D54" t="str">
            <v>충북 옥천 옥천읍가화3길23</v>
          </cell>
          <cell r="E54" t="str">
            <v>농협</v>
          </cell>
          <cell r="F54" t="str">
            <v>김정식</v>
          </cell>
          <cell r="G54" t="str">
            <v>302-0953-8269-11</v>
          </cell>
          <cell r="H54">
            <v>200000</v>
          </cell>
          <cell r="I54" t="str">
            <v>010-6252-2437</v>
          </cell>
        </row>
        <row r="55">
          <cell r="A55" t="str">
            <v>소세영</v>
          </cell>
          <cell r="B55" t="str">
            <v>철근공</v>
          </cell>
          <cell r="C55" t="str">
            <v>661110-1403017</v>
          </cell>
          <cell r="D55" t="str">
            <v>대전 동구 번동 2길 25(천동)</v>
          </cell>
          <cell r="E55" t="str">
            <v>농협</v>
          </cell>
          <cell r="F55" t="str">
            <v>소세영</v>
          </cell>
          <cell r="G55" t="str">
            <v>351-0883-3616-63</v>
          </cell>
          <cell r="H55">
            <v>200000</v>
          </cell>
          <cell r="I55" t="str">
            <v>010-8859-2729</v>
          </cell>
        </row>
        <row r="56">
          <cell r="A56" t="str">
            <v>이영훈</v>
          </cell>
          <cell r="B56" t="str">
            <v>철근공</v>
          </cell>
          <cell r="C56" t="str">
            <v>941126-1055311</v>
          </cell>
          <cell r="D56" t="str">
            <v>서울 영등포구 도신로29길28</v>
          </cell>
          <cell r="E56" t="str">
            <v>중소기업</v>
          </cell>
          <cell r="F56" t="str">
            <v>이영훈</v>
          </cell>
          <cell r="G56" t="str">
            <v>570-020656-01-010</v>
          </cell>
          <cell r="H56">
            <v>200000</v>
          </cell>
          <cell r="I56" t="str">
            <v>010-9358-8464</v>
          </cell>
        </row>
        <row r="57">
          <cell r="A57" t="str">
            <v>박길환</v>
          </cell>
          <cell r="B57" t="str">
            <v>철근공</v>
          </cell>
          <cell r="C57" t="str">
            <v>671015-1920528</v>
          </cell>
          <cell r="D57" t="str">
            <v>충북 옥천 옥천읍 중앙로6길8</v>
          </cell>
          <cell r="E57" t="str">
            <v>중소기업</v>
          </cell>
          <cell r="F57" t="str">
            <v>박길환</v>
          </cell>
          <cell r="G57" t="str">
            <v>570-020656-01-010</v>
          </cell>
          <cell r="H57">
            <v>200000</v>
          </cell>
          <cell r="I57" t="str">
            <v>010-4486-7508</v>
          </cell>
        </row>
        <row r="58">
          <cell r="A58" t="str">
            <v>원용길</v>
          </cell>
          <cell r="B58" t="str">
            <v>철근공</v>
          </cell>
          <cell r="C58" t="str">
            <v>640220-5141993</v>
          </cell>
          <cell r="D58" t="str">
            <v>재외동포(F-4)</v>
          </cell>
          <cell r="E58" t="str">
            <v>중소기업</v>
          </cell>
          <cell r="F58" t="str">
            <v>원용길</v>
          </cell>
          <cell r="G58" t="str">
            <v>570-020656-01-010</v>
          </cell>
          <cell r="H58">
            <v>200000</v>
          </cell>
          <cell r="I58" t="str">
            <v>010-2293-0638</v>
          </cell>
        </row>
        <row r="59">
          <cell r="A59" t="str">
            <v>조갑성</v>
          </cell>
          <cell r="B59" t="str">
            <v>목공</v>
          </cell>
          <cell r="C59" t="str">
            <v>540619-1384810</v>
          </cell>
          <cell r="D59" t="str">
            <v>충북 옥천 옥천읍 문장로2길9</v>
          </cell>
          <cell r="E59" t="str">
            <v>우체국</v>
          </cell>
          <cell r="F59" t="str">
            <v>조갑성</v>
          </cell>
          <cell r="G59" t="str">
            <v>102434-02-170588</v>
          </cell>
          <cell r="H59">
            <v>200000</v>
          </cell>
          <cell r="I59" t="str">
            <v>010-3456-5927</v>
          </cell>
        </row>
        <row r="60">
          <cell r="A60" t="str">
            <v>박준용</v>
          </cell>
          <cell r="B60" t="str">
            <v>보통인부</v>
          </cell>
          <cell r="C60" t="str">
            <v>571003-1386215</v>
          </cell>
          <cell r="D60" t="str">
            <v>충북 영동군 영동읍 중앙로1길18</v>
          </cell>
          <cell r="E60" t="str">
            <v>농협</v>
          </cell>
          <cell r="F60" t="str">
            <v>박준용</v>
          </cell>
          <cell r="G60" t="str">
            <v>407034-52-068141</v>
          </cell>
          <cell r="H60">
            <v>150000</v>
          </cell>
        </row>
        <row r="61">
          <cell r="A61" t="str">
            <v>백경훈</v>
          </cell>
          <cell r="B61" t="str">
            <v>단순노무자</v>
          </cell>
          <cell r="C61" t="str">
            <v>850202-1386312</v>
          </cell>
          <cell r="D61" t="str">
            <v>충북 영동군 황간면 남성동3길27</v>
          </cell>
        </row>
        <row r="61">
          <cell r="F61" t="str">
            <v>백경훈</v>
          </cell>
        </row>
        <row r="61">
          <cell r="H61">
            <v>170000</v>
          </cell>
        </row>
        <row r="62">
          <cell r="A62" t="str">
            <v>이진권</v>
          </cell>
          <cell r="B62" t="str">
            <v>단순노무자</v>
          </cell>
          <cell r="C62" t="str">
            <v>610210-1238818</v>
          </cell>
          <cell r="D62" t="str">
            <v>경기도 연천군 전곡읍 전곡리 324-33세림빌라7동301호</v>
          </cell>
          <cell r="E62" t="str">
            <v>농협</v>
          </cell>
          <cell r="F62" t="str">
            <v>이진권</v>
          </cell>
          <cell r="G62" t="str">
            <v>356-0129-1298-13</v>
          </cell>
          <cell r="H62">
            <v>170000</v>
          </cell>
        </row>
        <row r="63">
          <cell r="B63" t="str">
            <v>단순노무자</v>
          </cell>
          <cell r="C63" t="str">
            <v>760715-1386710</v>
          </cell>
          <cell r="D63" t="str">
            <v>충북 영동군 영동읍금동로1길6,202호(혜성빌라)</v>
          </cell>
          <cell r="E63" t="str">
            <v>우체국</v>
          </cell>
        </row>
        <row r="63">
          <cell r="G63" t="str">
            <v>301515-02-072801</v>
          </cell>
          <cell r="H63">
            <v>160000</v>
          </cell>
        </row>
        <row r="64">
          <cell r="A64" t="str">
            <v>정광일</v>
          </cell>
          <cell r="B64" t="str">
            <v>철근공</v>
          </cell>
          <cell r="C64" t="str">
            <v>600220-1041824</v>
          </cell>
          <cell r="D64" t="str">
            <v>충북 옥천군 옥천읍 동부로16 101동301호(하늘빛아파트)</v>
          </cell>
          <cell r="E64" t="str">
            <v>농협</v>
          </cell>
          <cell r="F64" t="str">
            <v>정광일</v>
          </cell>
          <cell r="G64" t="str">
            <v>351-0883-3616-63</v>
          </cell>
          <cell r="H64">
            <v>200000</v>
          </cell>
        </row>
        <row r="65">
          <cell r="A65" t="str">
            <v>이윤건</v>
          </cell>
          <cell r="B65" t="str">
            <v>철근공</v>
          </cell>
          <cell r="C65" t="str">
            <v>630822-1229912</v>
          </cell>
          <cell r="D65" t="str">
            <v>충북 옥천군 군서면 성왕로 489-16</v>
          </cell>
          <cell r="E65" t="str">
            <v>농협</v>
          </cell>
          <cell r="F65" t="str">
            <v>이윤건</v>
          </cell>
          <cell r="G65" t="str">
            <v>351-0883-3616-63</v>
          </cell>
          <cell r="H65">
            <v>200000</v>
          </cell>
        </row>
        <row r="66">
          <cell r="A66" t="str">
            <v>박래일</v>
          </cell>
          <cell r="B66" t="str">
            <v>보통인부</v>
          </cell>
          <cell r="C66" t="str">
            <v>590108-1386126</v>
          </cell>
          <cell r="D66" t="str">
            <v>충북 영동군 영동읍 양산로7길 2가동106호(양지연립)</v>
          </cell>
          <cell r="E66" t="str">
            <v>농협</v>
          </cell>
          <cell r="F66" t="str">
            <v>박래일</v>
          </cell>
          <cell r="G66" t="str">
            <v>774-02-269271</v>
          </cell>
          <cell r="H66">
            <v>170000</v>
          </cell>
          <cell r="I66" t="str">
            <v>010-9405-6479</v>
          </cell>
        </row>
        <row r="67">
          <cell r="A67" t="str">
            <v>이정근</v>
          </cell>
          <cell r="B67" t="str">
            <v>보통인부</v>
          </cell>
          <cell r="C67" t="str">
            <v>590825-1386143</v>
          </cell>
          <cell r="D67" t="str">
            <v>충북 영동군 영동읍 계산리280</v>
          </cell>
          <cell r="E67" t="str">
            <v>우체국</v>
          </cell>
          <cell r="F67" t="str">
            <v>이정근</v>
          </cell>
          <cell r="G67" t="str">
            <v>300160-02-240447</v>
          </cell>
          <cell r="H67">
            <v>160000</v>
          </cell>
        </row>
        <row r="68">
          <cell r="A68" t="str">
            <v>육종필</v>
          </cell>
          <cell r="B68" t="str">
            <v>철근공</v>
          </cell>
          <cell r="C68" t="str">
            <v>681020-1384919</v>
          </cell>
          <cell r="D68" t="str">
            <v>충북 옥천군 옥천읍 장야리 313 장야1주공106-304</v>
          </cell>
          <cell r="E68" t="str">
            <v>중소기업</v>
          </cell>
          <cell r="F68" t="str">
            <v>육종필</v>
          </cell>
          <cell r="G68" t="str">
            <v>570-007217-02-013</v>
          </cell>
          <cell r="H68">
            <v>200000</v>
          </cell>
          <cell r="I68" t="str">
            <v>010-6800-2394</v>
          </cell>
        </row>
        <row r="69">
          <cell r="A69" t="str">
            <v>조기혁</v>
          </cell>
          <cell r="B69" t="str">
            <v>목공</v>
          </cell>
          <cell r="C69" t="str">
            <v>630523-1402713</v>
          </cell>
          <cell r="D69" t="str">
            <v>대전광역시 동구 우암로326번길57-1(가양동)</v>
          </cell>
          <cell r="E69" t="str">
            <v>농협</v>
          </cell>
          <cell r="F69" t="str">
            <v>조기혁</v>
          </cell>
          <cell r="G69" t="str">
            <v>356-1497-0677-43</v>
          </cell>
          <cell r="H69">
            <v>200000</v>
          </cell>
          <cell r="I69" t="str">
            <v>010-8623-6218</v>
          </cell>
        </row>
        <row r="70">
          <cell r="A70" t="str">
            <v>정일흥</v>
          </cell>
          <cell r="B70" t="str">
            <v>목공</v>
          </cell>
          <cell r="C70" t="str">
            <v>600605-1384810</v>
          </cell>
          <cell r="D70" t="str">
            <v>충북 옥천군 교서면 원전2길86-9</v>
          </cell>
          <cell r="E70" t="str">
            <v>농협</v>
          </cell>
          <cell r="F70" t="str">
            <v>정일흥</v>
          </cell>
          <cell r="G70" t="str">
            <v>352-1559-7324-93</v>
          </cell>
          <cell r="H70">
            <v>200000</v>
          </cell>
          <cell r="I70" t="str">
            <v>010-8843-0512</v>
          </cell>
        </row>
        <row r="71">
          <cell r="A71" t="str">
            <v>곽태</v>
          </cell>
          <cell r="B71" t="str">
            <v>목공</v>
          </cell>
          <cell r="C71" t="str">
            <v>551001-1448815</v>
          </cell>
          <cell r="D71" t="str">
            <v>충북 옥천군 옥천읍 중앙로1길 6-4602호</v>
          </cell>
          <cell r="E71" t="str">
            <v>농협</v>
          </cell>
          <cell r="F71" t="str">
            <v>곽태</v>
          </cell>
          <cell r="G71" t="str">
            <v>356-1434-8325-93</v>
          </cell>
          <cell r="H71">
            <v>200000</v>
          </cell>
          <cell r="I71" t="str">
            <v>0106423-3895</v>
          </cell>
        </row>
        <row r="72">
          <cell r="A72" t="str">
            <v>박세호</v>
          </cell>
          <cell r="B72" t="str">
            <v>보통인부</v>
          </cell>
          <cell r="C72" t="str">
            <v>641015-1386715</v>
          </cell>
          <cell r="D72" t="str">
            <v>충북 영동군 영동읍 동정로 47,103동 1303호</v>
          </cell>
          <cell r="E72" t="str">
            <v>농협</v>
          </cell>
          <cell r="F72" t="str">
            <v>박세호</v>
          </cell>
          <cell r="G72" t="str">
            <v>356-1193-1604-23</v>
          </cell>
          <cell r="H72">
            <v>160000</v>
          </cell>
          <cell r="I72" t="str">
            <v>010-3896-8077</v>
          </cell>
        </row>
        <row r="73">
          <cell r="A73" t="str">
            <v>정홍길</v>
          </cell>
          <cell r="B73" t="str">
            <v>목공</v>
          </cell>
          <cell r="C73" t="str">
            <v>821112-1384119</v>
          </cell>
          <cell r="D73" t="str">
            <v>충북 옥천군 옥천읍 대천길 159</v>
          </cell>
          <cell r="E73" t="str">
            <v>농협</v>
          </cell>
          <cell r="F73" t="str">
            <v>정홍길</v>
          </cell>
          <cell r="G73" t="str">
            <v>302-8622-0879-11</v>
          </cell>
          <cell r="H73">
            <v>200000</v>
          </cell>
          <cell r="I73" t="str">
            <v>010-8622-0879</v>
          </cell>
        </row>
        <row r="74">
          <cell r="A74" t="str">
            <v>백정숙</v>
          </cell>
          <cell r="B74" t="str">
            <v>목공</v>
          </cell>
          <cell r="C74" t="str">
            <v>550420-2789718</v>
          </cell>
          <cell r="D74" t="str">
            <v>충북 옥천군 옥천읍 대천길 549</v>
          </cell>
          <cell r="E74" t="str">
            <v>새마을금고</v>
          </cell>
          <cell r="F74" t="str">
            <v>백정숙</v>
          </cell>
          <cell r="G74" t="str">
            <v>4614-09-003672-7</v>
          </cell>
          <cell r="H74">
            <v>150000</v>
          </cell>
          <cell r="I74" t="str">
            <v>010-8843-</v>
          </cell>
        </row>
        <row r="75">
          <cell r="A75" t="str">
            <v>배태봉</v>
          </cell>
          <cell r="B75" t="str">
            <v>목공</v>
          </cell>
          <cell r="C75" t="str">
            <v>610303-1386748</v>
          </cell>
          <cell r="D75" t="str">
            <v>충북 영동군 영동읍 당곡로14-1</v>
          </cell>
          <cell r="E75" t="str">
            <v>우체국</v>
          </cell>
          <cell r="F75" t="str">
            <v>배태봉</v>
          </cell>
          <cell r="G75" t="str">
            <v>300160-02-231942</v>
          </cell>
          <cell r="H75">
            <v>200000</v>
          </cell>
        </row>
        <row r="76">
          <cell r="A76" t="str">
            <v>박재영</v>
          </cell>
          <cell r="B76" t="str">
            <v>굴삭기기사</v>
          </cell>
          <cell r="C76" t="str">
            <v>720815-1386721</v>
          </cell>
          <cell r="D76" t="str">
            <v>충북 옥천군 옥천읍 문장로2길 10, 304동 503호</v>
          </cell>
        </row>
        <row r="76">
          <cell r="F76" t="str">
            <v>박재영</v>
          </cell>
        </row>
        <row r="76">
          <cell r="H76">
            <v>150000</v>
          </cell>
        </row>
        <row r="77">
          <cell r="A77" t="str">
            <v>이관우</v>
          </cell>
          <cell r="B77" t="str">
            <v>철근공</v>
          </cell>
          <cell r="C77" t="str">
            <v>590920-1383021</v>
          </cell>
          <cell r="D77" t="str">
            <v>충북 보은군 보은읍 중초2길 20</v>
          </cell>
          <cell r="E77" t="str">
            <v>농협</v>
          </cell>
          <cell r="F77" t="str">
            <v>이관우</v>
          </cell>
          <cell r="G77" t="str">
            <v>118012-00-9732</v>
          </cell>
          <cell r="H77">
            <v>250000</v>
          </cell>
          <cell r="I77" t="str">
            <v>010-5464-3462</v>
          </cell>
        </row>
        <row r="78">
          <cell r="A78" t="str">
            <v>주문식</v>
          </cell>
          <cell r="B78" t="str">
            <v>목공</v>
          </cell>
          <cell r="C78" t="str">
            <v>650310-1392622</v>
          </cell>
          <cell r="D78" t="str">
            <v>청주시 상당구 영운천로 187번길 7-5</v>
          </cell>
          <cell r="E78" t="str">
            <v>농협</v>
          </cell>
          <cell r="F78" t="str">
            <v>주하정</v>
          </cell>
          <cell r="G78" t="str">
            <v>356-1247-9282-33</v>
          </cell>
          <cell r="H78">
            <v>250000</v>
          </cell>
        </row>
        <row r="79">
          <cell r="A79" t="str">
            <v>음희진</v>
          </cell>
          <cell r="B79" t="str">
            <v>목공</v>
          </cell>
          <cell r="C79" t="str">
            <v>591220-1392335</v>
          </cell>
          <cell r="D79" t="str">
            <v>청주시 흥덕구 장구봉로101번길27, 사랑동405호 (복대동,형석@)</v>
          </cell>
          <cell r="E79" t="str">
            <v>농협</v>
          </cell>
          <cell r="F79" t="str">
            <v>음희진</v>
          </cell>
          <cell r="G79" t="str">
            <v>401149-56-096884</v>
          </cell>
          <cell r="H79">
            <v>250000</v>
          </cell>
        </row>
        <row r="80">
          <cell r="A80" t="str">
            <v>지창기</v>
          </cell>
          <cell r="B80" t="str">
            <v>울타리공</v>
          </cell>
          <cell r="C80" t="str">
            <v>681022-1446910</v>
          </cell>
          <cell r="D80" t="str">
            <v>대전광역시 중구 대흥동 현대@ 7동 1101호</v>
          </cell>
        </row>
        <row r="80">
          <cell r="F80" t="str">
            <v>지창기</v>
          </cell>
        </row>
        <row r="80">
          <cell r="H80">
            <v>250000</v>
          </cell>
        </row>
        <row r="81">
          <cell r="A81" t="str">
            <v>김재수</v>
          </cell>
          <cell r="B81" t="str">
            <v>울타리공</v>
          </cell>
          <cell r="C81" t="str">
            <v>660202-1400210</v>
          </cell>
          <cell r="D81" t="str">
            <v>전북 무주군 부남면 유동길 7-4</v>
          </cell>
        </row>
        <row r="81">
          <cell r="F81" t="str">
            <v>김재수</v>
          </cell>
        </row>
        <row r="81">
          <cell r="H81">
            <v>250000</v>
          </cell>
        </row>
        <row r="82">
          <cell r="A82" t="str">
            <v>김동진</v>
          </cell>
          <cell r="B82" t="str">
            <v>울타리공</v>
          </cell>
          <cell r="C82" t="str">
            <v>980615-1094810</v>
          </cell>
          <cell r="D82" t="str">
            <v>전북 전주시  덕진구 명주5길 41</v>
          </cell>
          <cell r="E82" t="str">
            <v>우리</v>
          </cell>
          <cell r="F82" t="str">
            <v>김동진</v>
          </cell>
          <cell r="G82" t="str">
            <v>1002763162620</v>
          </cell>
          <cell r="H82">
            <v>155000</v>
          </cell>
          <cell r="I82" t="str">
            <v>010-5738-4795</v>
          </cell>
        </row>
        <row r="83">
          <cell r="A83" t="str">
            <v>이종호</v>
          </cell>
          <cell r="B83" t="str">
            <v>울타리공</v>
          </cell>
          <cell r="C83" t="str">
            <v>740211-1149313</v>
          </cell>
          <cell r="D83" t="str">
            <v>인천시 연수구 옥련동 642-1</v>
          </cell>
          <cell r="E83" t="str">
            <v>기업</v>
          </cell>
          <cell r="F83" t="str">
            <v>이종호</v>
          </cell>
          <cell r="G83" t="str">
            <v>1064340831</v>
          </cell>
          <cell r="H83">
            <v>155000</v>
          </cell>
          <cell r="I83" t="str">
            <v>010-6434-0831</v>
          </cell>
        </row>
        <row r="84">
          <cell r="A84" t="str">
            <v>청주건설기계
(오근장지게차,공항지게차)</v>
          </cell>
          <cell r="B84" t="str">
            <v>지게차</v>
          </cell>
          <cell r="C84" t="str">
            <v>490-40-00058</v>
          </cell>
          <cell r="D84" t="str">
            <v>농협010-8574-3343-09</v>
          </cell>
          <cell r="E84" t="str">
            <v>농협</v>
          </cell>
        </row>
        <row r="84">
          <cell r="G84" t="str">
            <v>010-8574-3343-09</v>
          </cell>
          <cell r="H84">
            <v>90000</v>
          </cell>
          <cell r="I84" t="str">
            <v>010-8574-3343</v>
          </cell>
        </row>
        <row r="85">
          <cell r="A85" t="str">
            <v>유상철</v>
          </cell>
          <cell r="B85" t="str">
            <v>울타리공</v>
          </cell>
          <cell r="C85" t="str">
            <v>780418-1411311</v>
          </cell>
          <cell r="D85" t="str">
            <v>인청광역시 남동구 간석동 188-7 203호</v>
          </cell>
          <cell r="E85" t="str">
            <v>농협</v>
          </cell>
          <cell r="F85" t="str">
            <v>유상철</v>
          </cell>
          <cell r="G85" t="str">
            <v>3020703001141</v>
          </cell>
          <cell r="H85">
            <v>180000</v>
          </cell>
          <cell r="I85" t="str">
            <v>010-8997-4235</v>
          </cell>
        </row>
        <row r="86">
          <cell r="A86" t="str">
            <v>박건진</v>
          </cell>
          <cell r="B86" t="str">
            <v>울타리공</v>
          </cell>
          <cell r="C86" t="str">
            <v>730926-1182618</v>
          </cell>
          <cell r="D86" t="str">
            <v>인천시 연수구 옥련동 642-139</v>
          </cell>
          <cell r="E86" t="str">
            <v>신한</v>
          </cell>
          <cell r="F86" t="str">
            <v>박건진</v>
          </cell>
          <cell r="G86" t="str">
            <v>110531618208</v>
          </cell>
          <cell r="H86">
            <v>150000</v>
          </cell>
          <cell r="I86" t="str">
            <v>010-2520-9629</v>
          </cell>
        </row>
        <row r="87">
          <cell r="A87" t="str">
            <v>김도운</v>
          </cell>
          <cell r="B87" t="str">
            <v>울타리공</v>
          </cell>
          <cell r="C87" t="str">
            <v>980424-1042216</v>
          </cell>
          <cell r="D87" t="str">
            <v>경기도 부천시 삼적로 395번길8 502호</v>
          </cell>
          <cell r="E87" t="str">
            <v>카카오뱅크</v>
          </cell>
          <cell r="F87" t="str">
            <v>김도운</v>
          </cell>
          <cell r="G87" t="str">
            <v>3333-16-5110770</v>
          </cell>
          <cell r="H87">
            <v>140000</v>
          </cell>
          <cell r="I87" t="str">
            <v>010-4856-8783</v>
          </cell>
        </row>
        <row r="88">
          <cell r="A88" t="str">
            <v>최진영</v>
          </cell>
          <cell r="B88" t="str">
            <v>울타리공</v>
          </cell>
          <cell r="C88" t="str">
            <v>830808-1273513</v>
          </cell>
          <cell r="D88" t="str">
            <v>경기도 군포시 군포로 767번길 35 </v>
          </cell>
          <cell r="E88" t="str">
            <v>신한</v>
          </cell>
          <cell r="F88" t="str">
            <v>최진영</v>
          </cell>
          <cell r="G88" t="str">
            <v>110309789591</v>
          </cell>
          <cell r="H88">
            <v>165000</v>
          </cell>
          <cell r="I88" t="str">
            <v>010-2537-9954</v>
          </cell>
        </row>
        <row r="89">
          <cell r="A89" t="str">
            <v>조영준</v>
          </cell>
          <cell r="B89" t="str">
            <v>울타리공</v>
          </cell>
          <cell r="C89" t="str">
            <v>890115-1673921</v>
          </cell>
          <cell r="D89" t="str">
            <v>대구광역시 달서구 상화로373.202동214호</v>
          </cell>
          <cell r="E89" t="str">
            <v>대구</v>
          </cell>
          <cell r="F89" t="str">
            <v>조영준</v>
          </cell>
          <cell r="G89" t="str">
            <v>508116402427</v>
          </cell>
          <cell r="H89">
            <v>135000</v>
          </cell>
          <cell r="I89" t="str">
            <v>010-2523-2611</v>
          </cell>
        </row>
        <row r="90">
          <cell r="A90" t="str">
            <v>정해용</v>
          </cell>
          <cell r="B90" t="str">
            <v>울타리공</v>
          </cell>
          <cell r="C90" t="str">
            <v>880309-1144517</v>
          </cell>
          <cell r="D90" t="str">
            <v>인천광역시시 미추홀구 도화동 6-26</v>
          </cell>
          <cell r="E90" t="str">
            <v>국민</v>
          </cell>
          <cell r="F90" t="str">
            <v>정해용</v>
          </cell>
          <cell r="G90" t="str">
            <v>722125-95-102456</v>
          </cell>
          <cell r="H90">
            <v>165000</v>
          </cell>
        </row>
        <row r="91">
          <cell r="A91" t="str">
            <v>박동호</v>
          </cell>
          <cell r="B91" t="str">
            <v>울타리공</v>
          </cell>
          <cell r="C91" t="str">
            <v>740123-1150216</v>
          </cell>
          <cell r="D91" t="str">
            <v>인천광역시 연수구 학나래로34, 101동501호</v>
          </cell>
          <cell r="E91" t="str">
            <v>신한</v>
          </cell>
          <cell r="F91" t="str">
            <v>박동호</v>
          </cell>
          <cell r="G91" t="str">
            <v>110388363575</v>
          </cell>
          <cell r="H91">
            <v>250000</v>
          </cell>
        </row>
        <row r="92">
          <cell r="A92" t="str">
            <v>이동헌</v>
          </cell>
          <cell r="B92" t="str">
            <v>울타리공</v>
          </cell>
          <cell r="C92" t="str">
            <v>900614-1674812</v>
          </cell>
          <cell r="D92" t="str">
            <v>인천광역시 부평구 부평대로 95</v>
          </cell>
          <cell r="E92" t="str">
            <v>새마을금고</v>
          </cell>
          <cell r="F92" t="str">
            <v>이동헌</v>
          </cell>
          <cell r="G92" t="str">
            <v>9002172373929</v>
          </cell>
          <cell r="H92">
            <v>230000</v>
          </cell>
          <cell r="I92" t="str">
            <v>010-4682-4812</v>
          </cell>
        </row>
        <row r="93">
          <cell r="A93" t="str">
            <v>김경윤</v>
          </cell>
          <cell r="B93" t="str">
            <v>울타리공</v>
          </cell>
          <cell r="C93">
            <v>19981119</v>
          </cell>
        </row>
        <row r="93">
          <cell r="E93" t="str">
            <v>국민</v>
          </cell>
          <cell r="F93" t="str">
            <v>김경윤</v>
          </cell>
          <cell r="G93" t="str">
            <v>722125-95-102456</v>
          </cell>
          <cell r="H93">
            <v>165000</v>
          </cell>
        </row>
        <row r="94">
          <cell r="A94" t="str">
            <v>지봉수</v>
          </cell>
        </row>
        <row r="94">
          <cell r="C94" t="str">
            <v>871003-</v>
          </cell>
          <cell r="D94" t="str">
            <v>충북 증평군 도안면 탑골길 1-22</v>
          </cell>
        </row>
        <row r="95">
          <cell r="A95" t="str">
            <v>이기영</v>
          </cell>
        </row>
        <row r="95">
          <cell r="C95" t="str">
            <v>580824-1390815</v>
          </cell>
          <cell r="D95" t="str">
            <v>충청북도 증평군 도안면 탑골길 1-22</v>
          </cell>
          <cell r="E95" t="str">
            <v>국민</v>
          </cell>
          <cell r="F95" t="str">
            <v>삼일용역</v>
          </cell>
          <cell r="G95" t="str">
            <v>722125-95-102456</v>
          </cell>
          <cell r="H95">
            <v>165000</v>
          </cell>
          <cell r="I95" t="str">
            <v>010-9345-3633</v>
          </cell>
        </row>
        <row r="96">
          <cell r="A96" t="str">
            <v>조남부</v>
          </cell>
        </row>
        <row r="96">
          <cell r="C96" t="str">
            <v>600417-1458432</v>
          </cell>
          <cell r="D96" t="str">
            <v>충북 청원군 낭성면 관정길 180-1</v>
          </cell>
          <cell r="E96" t="str">
            <v>국민</v>
          </cell>
          <cell r="F96" t="str">
            <v>삼일용역</v>
          </cell>
          <cell r="G96" t="str">
            <v>722125-95-102456</v>
          </cell>
          <cell r="H96">
            <v>165000</v>
          </cell>
        </row>
        <row r="97">
          <cell r="A97" t="str">
            <v>임종길</v>
          </cell>
        </row>
        <row r="97">
          <cell r="C97" t="str">
            <v>611204-1346019</v>
          </cell>
          <cell r="D97" t="str">
            <v>경상남도 고성군 거류면 화당2길 21-10</v>
          </cell>
          <cell r="E97" t="str">
            <v>국민</v>
          </cell>
          <cell r="F97" t="str">
            <v>삼일용역</v>
          </cell>
          <cell r="G97" t="str">
            <v>722125-95-102456</v>
          </cell>
          <cell r="H97">
            <v>175000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공문 (노무비)"/>
      <sheetName val="청구서"/>
      <sheetName val="청구내역서"/>
      <sheetName val="청구서(계약)"/>
      <sheetName val="25년04월"/>
      <sheetName val="일용직명단"/>
      <sheetName val="근로자목록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오정만</v>
          </cell>
          <cell r="B3" t="str">
            <v>직영인부</v>
          </cell>
          <cell r="C3" t="str">
            <v>520205-1057335</v>
          </cell>
          <cell r="D3" t="str">
            <v>충북 영동군 학산면 모산1길 16-14</v>
          </cell>
          <cell r="E3" t="str">
            <v>농협</v>
          </cell>
          <cell r="F3" t="str">
            <v>오정만</v>
          </cell>
          <cell r="G3" t="str">
            <v>302-0809-4379-11</v>
          </cell>
          <cell r="H3">
            <v>120000</v>
          </cell>
          <cell r="I3" t="str">
            <v>010-5334-6133</v>
          </cell>
        </row>
        <row r="3">
          <cell r="K3" t="str">
            <v>29164</v>
          </cell>
        </row>
        <row r="4">
          <cell r="A4" t="str">
            <v>금걸</v>
          </cell>
          <cell r="B4" t="str">
            <v>보통인부</v>
          </cell>
          <cell r="C4" t="str">
            <v>640415-1384716</v>
          </cell>
          <cell r="D4" t="str">
            <v>충북 옥천군 이원면 건진리 630-8</v>
          </cell>
          <cell r="E4" t="str">
            <v>국민</v>
          </cell>
          <cell r="F4" t="str">
            <v>금걸</v>
          </cell>
          <cell r="G4" t="str">
            <v> 405-21-0020-797</v>
          </cell>
          <cell r="H4">
            <v>160000</v>
          </cell>
          <cell r="I4" t="str">
            <v>010-9207-4425</v>
          </cell>
        </row>
        <row r="4">
          <cell r="K4" t="str">
            <v>29061</v>
          </cell>
        </row>
        <row r="5">
          <cell r="A5" t="str">
            <v>주도현</v>
          </cell>
          <cell r="B5" t="str">
            <v>보통인부</v>
          </cell>
          <cell r="C5" t="str">
            <v>990511-1384718</v>
          </cell>
          <cell r="D5" t="str">
            <v> 충북 옥천군 이원면 지탄6길 24</v>
          </cell>
          <cell r="E5" t="str">
            <v>농협</v>
          </cell>
          <cell r="F5" t="str">
            <v>주도현</v>
          </cell>
          <cell r="G5" t="str">
            <v> 351-1021-5063-63</v>
          </cell>
          <cell r="H5">
            <v>120000</v>
          </cell>
          <cell r="I5" t="str">
            <v>010-5402-6851</v>
          </cell>
        </row>
        <row r="5">
          <cell r="K5" t="str">
            <v>29062</v>
          </cell>
        </row>
        <row r="6">
          <cell r="A6" t="str">
            <v>채청기</v>
          </cell>
          <cell r="B6" t="str">
            <v>작업반장</v>
          </cell>
          <cell r="C6" t="str">
            <v>611117-1644319</v>
          </cell>
          <cell r="D6" t="str">
            <v> 충북 영동군 매천1길 11-10</v>
          </cell>
          <cell r="E6" t="str">
            <v>농협</v>
          </cell>
          <cell r="F6" t="str">
            <v>채청기</v>
          </cell>
          <cell r="G6" t="str">
            <v>403063-51-043152</v>
          </cell>
          <cell r="H6">
            <v>200000</v>
          </cell>
          <cell r="I6" t="str">
            <v>010-7357-9166</v>
          </cell>
        </row>
        <row r="7">
          <cell r="A7" t="str">
            <v>채성진</v>
          </cell>
          <cell r="B7" t="str">
            <v>보통인부</v>
          </cell>
          <cell r="C7" t="str">
            <v>930707-1386119</v>
          </cell>
          <cell r="D7" t="str">
            <v> 충북 영동군 영동읍 매천1길 11-10</v>
          </cell>
          <cell r="E7" t="str">
            <v>농협</v>
          </cell>
          <cell r="F7" t="str">
            <v>채성진</v>
          </cell>
          <cell r="G7" t="str">
            <v>356-0214-5208-83</v>
          </cell>
          <cell r="H7">
            <v>140000</v>
          </cell>
          <cell r="I7" t="str">
            <v>010-2842-9171</v>
          </cell>
        </row>
        <row r="7">
          <cell r="K7" t="str">
            <v>29150</v>
          </cell>
        </row>
        <row r="8">
          <cell r="A8" t="str">
            <v>이준호</v>
          </cell>
          <cell r="B8" t="str">
            <v>보통인부</v>
          </cell>
          <cell r="C8" t="str">
            <v>680526-1167726</v>
          </cell>
          <cell r="D8" t="str">
            <v> 충북 영동군 영동읍 성안길 20-7</v>
          </cell>
          <cell r="E8" t="str">
            <v>농협</v>
          </cell>
          <cell r="F8" t="str">
            <v>이준호</v>
          </cell>
          <cell r="G8" t="str">
            <v>356-0927-9268-73</v>
          </cell>
          <cell r="H8">
            <v>160000</v>
          </cell>
          <cell r="I8" t="str">
            <v>010-7324-3090</v>
          </cell>
        </row>
        <row r="8">
          <cell r="K8" t="str">
            <v>29149</v>
          </cell>
        </row>
        <row r="9">
          <cell r="A9" t="str">
            <v>박희석</v>
          </cell>
          <cell r="B9" t="str">
            <v>목공</v>
          </cell>
          <cell r="C9" t="str">
            <v>620320-1386717</v>
          </cell>
          <cell r="D9" t="str">
            <v> 충북 영동군 양강면 남전2안길 4-16</v>
          </cell>
          <cell r="E9" t="str">
            <v>농협</v>
          </cell>
          <cell r="F9" t="str">
            <v>박희석</v>
          </cell>
          <cell r="G9" t="str">
            <v>407023-52-023453</v>
          </cell>
          <cell r="H9">
            <v>180000</v>
          </cell>
          <cell r="I9" t="str">
            <v>010-3033-5024</v>
          </cell>
        </row>
        <row r="9">
          <cell r="K9" t="str">
            <v>29155</v>
          </cell>
        </row>
        <row r="10">
          <cell r="A10" t="str">
            <v>박희원</v>
          </cell>
          <cell r="B10" t="str">
            <v>목공</v>
          </cell>
          <cell r="C10" t="str">
            <v>591208-1386711</v>
          </cell>
          <cell r="D10" t="str">
            <v> 충북 영동군 양강면 남전2안길 4-17</v>
          </cell>
          <cell r="E10" t="str">
            <v>농협</v>
          </cell>
          <cell r="F10" t="str">
            <v>박희원</v>
          </cell>
          <cell r="G10" t="str">
            <v>352-1445-5223-63</v>
          </cell>
          <cell r="H10">
            <v>180000</v>
          </cell>
          <cell r="I10" t="str">
            <v>010-5461-8445</v>
          </cell>
        </row>
        <row r="10">
          <cell r="K10" t="str">
            <v>29155</v>
          </cell>
        </row>
        <row r="11">
          <cell r="A11" t="str">
            <v>김주열</v>
          </cell>
          <cell r="B11" t="str">
            <v>철근공</v>
          </cell>
          <cell r="C11" t="str">
            <v>661109-1384112</v>
          </cell>
          <cell r="D11" t="str">
            <v>충북 옥천군 옥천읍 관성로 29</v>
          </cell>
          <cell r="E11" t="str">
            <v>중소기업</v>
          </cell>
          <cell r="F11" t="str">
            <v>김주열</v>
          </cell>
          <cell r="G11" t="str">
            <v>010-5454-1383</v>
          </cell>
          <cell r="H11">
            <v>240000</v>
          </cell>
          <cell r="I11" t="str">
            <v>010-5454-1383</v>
          </cell>
        </row>
        <row r="11">
          <cell r="K11" t="str">
            <v>29039</v>
          </cell>
        </row>
        <row r="12">
          <cell r="A12" t="str">
            <v>김덕환</v>
          </cell>
          <cell r="B12" t="str">
            <v>철근공</v>
          </cell>
          <cell r="C12" t="str">
            <v>671203-1386930</v>
          </cell>
          <cell r="D12" t="str">
            <v>충북 옥천군 옥천읍 신기4길16,a동102</v>
          </cell>
          <cell r="E12" t="str">
            <v>농협</v>
          </cell>
          <cell r="F12" t="str">
            <v>김덕환</v>
          </cell>
          <cell r="G12" t="str">
            <v>356-0961-2797-13</v>
          </cell>
          <cell r="H12">
            <v>200000</v>
          </cell>
          <cell r="I12" t="str">
            <v>010-9422-5581</v>
          </cell>
        </row>
        <row r="13">
          <cell r="A13" t="str">
            <v>김동진1</v>
          </cell>
          <cell r="B13" t="str">
            <v>철근공</v>
          </cell>
          <cell r="C13" t="str">
            <v>740215-1384136</v>
          </cell>
          <cell r="D13" t="str">
            <v>충북 옥천군 옥천읍 성신로21-10</v>
          </cell>
          <cell r="E13" t="str">
            <v>농협</v>
          </cell>
        </row>
        <row r="13">
          <cell r="G13" t="str">
            <v>317-02-252767</v>
          </cell>
          <cell r="H13">
            <v>240000</v>
          </cell>
          <cell r="I13" t="str">
            <v>010-4569-4810</v>
          </cell>
        </row>
        <row r="13">
          <cell r="K13" t="str">
            <v>29048</v>
          </cell>
        </row>
        <row r="14">
          <cell r="A14" t="str">
            <v>이영철</v>
          </cell>
          <cell r="B14" t="str">
            <v>철근공</v>
          </cell>
          <cell r="C14" t="str">
            <v>650222-1384139</v>
          </cell>
          <cell r="D14" t="str">
            <v>충북 옥천군 옥천읍 가화3길18,101동105호</v>
          </cell>
          <cell r="E14" t="str">
            <v>농협</v>
          </cell>
          <cell r="F14" t="str">
            <v>이영철</v>
          </cell>
          <cell r="G14" t="str">
            <v>317-12-395296</v>
          </cell>
          <cell r="H14">
            <v>240000</v>
          </cell>
          <cell r="I14" t="str">
            <v>010-5405-3976</v>
          </cell>
        </row>
        <row r="14">
          <cell r="K14" t="str">
            <v>29034</v>
          </cell>
        </row>
        <row r="15">
          <cell r="A15" t="str">
            <v>박용옥</v>
          </cell>
          <cell r="B15" t="str">
            <v>철근공</v>
          </cell>
          <cell r="C15" t="str">
            <v>580304-1384211</v>
          </cell>
          <cell r="D15" t="str">
            <v>충북 옥천군 옥천읍 금구리18-2</v>
          </cell>
          <cell r="E15" t="str">
            <v>농협</v>
          </cell>
          <cell r="F15" t="str">
            <v>박용옥</v>
          </cell>
          <cell r="G15" t="str">
            <v>317-12-351368</v>
          </cell>
          <cell r="H15">
            <v>240000</v>
          </cell>
          <cell r="I15" t="str">
            <v>010-6438-1661</v>
          </cell>
        </row>
        <row r="15">
          <cell r="K15" t="str">
            <v>29046</v>
          </cell>
        </row>
        <row r="16">
          <cell r="A16" t="str">
            <v>박종복</v>
          </cell>
          <cell r="B16" t="str">
            <v>철근공</v>
          </cell>
          <cell r="C16" t="str">
            <v>561005-1384211</v>
          </cell>
          <cell r="D16" t="str">
            <v>충북 옥천군 옥천읍 동부로16,102동901</v>
          </cell>
          <cell r="E16" t="str">
            <v>농협</v>
          </cell>
          <cell r="F16" t="str">
            <v>박종복</v>
          </cell>
          <cell r="G16" t="str">
            <v>302-0299-7809-11</v>
          </cell>
          <cell r="H16">
            <v>240000</v>
          </cell>
          <cell r="I16" t="str">
            <v>010-5457-5297</v>
          </cell>
        </row>
        <row r="16">
          <cell r="K16" t="str">
            <v>29039</v>
          </cell>
        </row>
        <row r="17">
          <cell r="A17" t="str">
            <v>김일용</v>
          </cell>
          <cell r="B17" t="str">
            <v>철근공</v>
          </cell>
          <cell r="C17" t="str">
            <v>580211-1403112</v>
          </cell>
          <cell r="D17" t="str">
            <v>충북 옥천군 옥천읍 신기4길18,나동201호</v>
          </cell>
          <cell r="E17" t="str">
            <v>새마을금고</v>
          </cell>
          <cell r="F17" t="str">
            <v>김일용</v>
          </cell>
          <cell r="G17" t="str">
            <v>9003-2149-2059-6</v>
          </cell>
          <cell r="H17">
            <v>200000</v>
          </cell>
          <cell r="I17" t="str">
            <v>010-9439-5026</v>
          </cell>
        </row>
        <row r="17">
          <cell r="K17" t="str">
            <v>29049</v>
          </cell>
        </row>
        <row r="18">
          <cell r="A18" t="str">
            <v>김일호</v>
          </cell>
          <cell r="B18" t="str">
            <v>보통인부</v>
          </cell>
          <cell r="C18" t="str">
            <v>600413-1386324</v>
          </cell>
          <cell r="D18" t="str">
            <v>충북 영동군 황간면 마산리109</v>
          </cell>
          <cell r="E18" t="str">
            <v>농협</v>
          </cell>
          <cell r="F18" t="str">
            <v>김일호</v>
          </cell>
          <cell r="G18" t="str">
            <v>407089-52-142573</v>
          </cell>
          <cell r="H18">
            <v>130000</v>
          </cell>
          <cell r="I18" t="str">
            <v>010-3060-5145</v>
          </cell>
        </row>
        <row r="18">
          <cell r="K18" t="str">
            <v>29114</v>
          </cell>
        </row>
        <row r="19">
          <cell r="A19" t="str">
            <v>정재인</v>
          </cell>
          <cell r="B19" t="str">
            <v>목공</v>
          </cell>
          <cell r="C19" t="str">
            <v>580217-1384115</v>
          </cell>
          <cell r="D19" t="str">
            <v>충북 옥천군 옥천읍 성신로27B동101호</v>
          </cell>
          <cell r="E19" t="str">
            <v>농협</v>
          </cell>
          <cell r="F19" t="str">
            <v>정재인</v>
          </cell>
          <cell r="G19" t="str">
            <v>405010-51-123375</v>
          </cell>
          <cell r="H19">
            <v>200000</v>
          </cell>
          <cell r="I19" t="str">
            <v>010-5493-3436</v>
          </cell>
        </row>
        <row r="20">
          <cell r="A20" t="str">
            <v>정백교</v>
          </cell>
          <cell r="B20" t="str">
            <v>목공</v>
          </cell>
          <cell r="C20" t="str">
            <v>561220-1812524</v>
          </cell>
          <cell r="D20" t="str">
            <v>대전광역시 동구 대동 33-119</v>
          </cell>
          <cell r="E20" t="str">
            <v>국민</v>
          </cell>
          <cell r="F20" t="str">
            <v>정백교</v>
          </cell>
          <cell r="G20" t="str">
            <v>734402-01-012660</v>
          </cell>
          <cell r="H20">
            <v>200000</v>
          </cell>
          <cell r="I20" t="str">
            <v>010-5408-8423</v>
          </cell>
        </row>
        <row r="21">
          <cell r="A21" t="str">
            <v>공양록</v>
          </cell>
          <cell r="B21" t="str">
            <v>목공</v>
          </cell>
          <cell r="C21" t="str">
            <v>570505-1384112</v>
          </cell>
          <cell r="D21" t="str">
            <v>충북 옥천군 옥천읍 대천557-1   25</v>
          </cell>
          <cell r="E21" t="str">
            <v>국민</v>
          </cell>
          <cell r="F21" t="str">
            <v>공양록</v>
          </cell>
          <cell r="G21" t="str">
            <v>405-21-0588-793</v>
          </cell>
          <cell r="H21">
            <v>200000</v>
          </cell>
          <cell r="I21" t="str">
            <v>010-3456-5927</v>
          </cell>
        </row>
        <row r="22">
          <cell r="A22" t="str">
            <v>이정열</v>
          </cell>
          <cell r="B22" t="str">
            <v>목공</v>
          </cell>
          <cell r="C22" t="str">
            <v>590820-1384819</v>
          </cell>
          <cell r="D22" t="str">
            <v>충북 옥천군 옥천읍 중앙로2길24</v>
          </cell>
          <cell r="E22" t="str">
            <v>농협</v>
          </cell>
          <cell r="F22" t="str">
            <v>이정열</v>
          </cell>
          <cell r="G22" t="str">
            <v>356-1330-1383-03</v>
          </cell>
          <cell r="H22">
            <v>200000</v>
          </cell>
          <cell r="I22" t="str">
            <v>011-464-4388</v>
          </cell>
        </row>
        <row r="22">
          <cell r="K22" t="str">
            <v>29047</v>
          </cell>
        </row>
        <row r="23">
          <cell r="A23" t="str">
            <v>정경섭</v>
          </cell>
          <cell r="B23" t="str">
            <v>목공</v>
          </cell>
          <cell r="C23" t="str">
            <v>580319-1254218</v>
          </cell>
          <cell r="D23" t="str">
            <v>충북 옥천군 동이면 남곡리151</v>
          </cell>
          <cell r="E23" t="str">
            <v>농협</v>
          </cell>
          <cell r="F23" t="str">
            <v>정경섭</v>
          </cell>
          <cell r="G23" t="str">
            <v>173128-52-132419</v>
          </cell>
          <cell r="H23">
            <v>200000</v>
          </cell>
          <cell r="I23" t="str">
            <v>010-8808-1863</v>
          </cell>
        </row>
        <row r="23">
          <cell r="K23" t="str">
            <v>29021</v>
          </cell>
        </row>
        <row r="24">
          <cell r="A24" t="str">
            <v>이종선</v>
          </cell>
          <cell r="B24" t="str">
            <v>목공</v>
          </cell>
          <cell r="C24" t="str">
            <v>620315-1382711</v>
          </cell>
          <cell r="D24" t="str">
            <v>충북 보은군 수한면 차정리99-1</v>
          </cell>
          <cell r="E24" t="str">
            <v>농협</v>
          </cell>
          <cell r="F24" t="str">
            <v>이종선</v>
          </cell>
          <cell r="G24" t="str">
            <v>356-0638-7963-13</v>
          </cell>
          <cell r="H24">
            <v>200000</v>
          </cell>
          <cell r="I24" t="str">
            <v>010-3456-5927</v>
          </cell>
        </row>
        <row r="24">
          <cell r="K24" t="str">
            <v>28919</v>
          </cell>
        </row>
        <row r="25">
          <cell r="A25" t="str">
            <v>황인호</v>
          </cell>
          <cell r="B25" t="str">
            <v>목공</v>
          </cell>
          <cell r="C25" t="str">
            <v>570625-1384117</v>
          </cell>
          <cell r="D25" t="str">
            <v>대전 동구 자양35-14</v>
          </cell>
          <cell r="E25" t="str">
            <v>농협</v>
          </cell>
          <cell r="F25" t="str">
            <v>황인호</v>
          </cell>
          <cell r="G25" t="str">
            <v>356-1420-1868-53</v>
          </cell>
          <cell r="H25">
            <v>200000</v>
          </cell>
          <cell r="I25" t="str">
            <v>010-9874-7747</v>
          </cell>
        </row>
        <row r="26">
          <cell r="A26" t="str">
            <v>공양호</v>
          </cell>
          <cell r="B26" t="str">
            <v>목공</v>
          </cell>
          <cell r="C26" t="str">
            <v>620302-1384112</v>
          </cell>
          <cell r="D26" t="str">
            <v>충북 옥천군 옥천읍 장이1길1005호</v>
          </cell>
          <cell r="E26" t="str">
            <v>농협</v>
          </cell>
          <cell r="F26" t="str">
            <v>공양호</v>
          </cell>
          <cell r="G26" t="str">
            <v>356-1307-5702-93</v>
          </cell>
          <cell r="H26">
            <v>200000</v>
          </cell>
          <cell r="I26" t="str">
            <v>010-5450-2276</v>
          </cell>
        </row>
        <row r="27">
          <cell r="A27" t="str">
            <v>김홍성</v>
          </cell>
          <cell r="B27" t="str">
            <v>목공</v>
          </cell>
          <cell r="C27" t="str">
            <v>490418-1447611</v>
          </cell>
          <cell r="D27" t="str">
            <v>대전 대덕구 대덕대로1601번길40</v>
          </cell>
          <cell r="E27" t="str">
            <v>농협</v>
          </cell>
          <cell r="F27" t="str">
            <v>김홍성</v>
          </cell>
          <cell r="G27" t="str">
            <v>352-1448-3038-13</v>
          </cell>
          <cell r="H27">
            <v>200000</v>
          </cell>
          <cell r="I27" t="str">
            <v>010-5609-4913</v>
          </cell>
        </row>
        <row r="27">
          <cell r="K27" t="str">
            <v>34305</v>
          </cell>
        </row>
        <row r="28">
          <cell r="A28" t="str">
            <v>남상길</v>
          </cell>
          <cell r="B28" t="str">
            <v>목공</v>
          </cell>
          <cell r="C28" t="str">
            <v>550719-1805215</v>
          </cell>
          <cell r="D28" t="str">
            <v>충북 옥천군 옥천읍 서정1길5-40</v>
          </cell>
          <cell r="E28" t="str">
            <v>농협</v>
          </cell>
          <cell r="F28" t="str">
            <v>남상길</v>
          </cell>
          <cell r="G28" t="str">
            <v>356-1314-4411-13</v>
          </cell>
          <cell r="H28">
            <v>200000</v>
          </cell>
          <cell r="I28" t="str">
            <v>010-8826-8939</v>
          </cell>
        </row>
        <row r="28">
          <cell r="K28" t="str">
            <v>29025</v>
          </cell>
        </row>
        <row r="29">
          <cell r="A29" t="str">
            <v>최성환</v>
          </cell>
          <cell r="B29" t="str">
            <v>철근공</v>
          </cell>
          <cell r="C29" t="str">
            <v>660710-1386211</v>
          </cell>
          <cell r="D29" t="str">
            <v>충북 옥천군 옥천읍 삼양로2길 6-4</v>
          </cell>
          <cell r="E29" t="str">
            <v>중소기업</v>
          </cell>
          <cell r="F29" t="str">
            <v>최성환</v>
          </cell>
          <cell r="G29" t="str">
            <v>570-000536-02-026</v>
          </cell>
          <cell r="H29">
            <v>200000</v>
          </cell>
          <cell r="I29" t="str">
            <v>010-6641-6613</v>
          </cell>
        </row>
        <row r="29">
          <cell r="K29" t="str">
            <v>29032</v>
          </cell>
        </row>
        <row r="30">
          <cell r="A30" t="str">
            <v>진수영</v>
          </cell>
          <cell r="B30" t="str">
            <v>철근공</v>
          </cell>
          <cell r="C30" t="str">
            <v>550928-1384216</v>
          </cell>
          <cell r="D30" t="str">
            <v>충북 옥천군 동이면 무산리657</v>
          </cell>
          <cell r="E30" t="str">
            <v>신협</v>
          </cell>
          <cell r="F30" t="str">
            <v>진수영</v>
          </cell>
          <cell r="G30" t="str">
            <v>131-015-480063</v>
          </cell>
          <cell r="H30">
            <v>200000</v>
          </cell>
          <cell r="I30" t="str">
            <v>010-4352-2174</v>
          </cell>
        </row>
        <row r="31">
          <cell r="A31" t="str">
            <v>김종덕</v>
          </cell>
          <cell r="B31" t="str">
            <v>철근공</v>
          </cell>
          <cell r="C31" t="str">
            <v>551120-1449514</v>
          </cell>
          <cell r="D31" t="str">
            <v>대전 광역시 중구 유천동 340-51</v>
          </cell>
          <cell r="E31" t="str">
            <v>국민</v>
          </cell>
          <cell r="F31" t="str">
            <v>김종덕</v>
          </cell>
          <cell r="G31" t="str">
            <v>460001-04-016552</v>
          </cell>
          <cell r="H31">
            <v>200000</v>
          </cell>
          <cell r="I31" t="str">
            <v>010-3418-1669</v>
          </cell>
        </row>
        <row r="32">
          <cell r="A32" t="str">
            <v>김용근</v>
          </cell>
          <cell r="B32" t="str">
            <v>철근공</v>
          </cell>
          <cell r="C32" t="str">
            <v>491010-1403113</v>
          </cell>
          <cell r="D32" t="str">
            <v>충북 옥천군 동이면 무산리658</v>
          </cell>
          <cell r="E32" t="str">
            <v>국민</v>
          </cell>
          <cell r="F32" t="str">
            <v>김용근</v>
          </cell>
          <cell r="G32" t="str">
            <v>740902-93-109270</v>
          </cell>
          <cell r="H32">
            <v>200000</v>
          </cell>
          <cell r="I32" t="str">
            <v>010-5456-3529</v>
          </cell>
        </row>
        <row r="33">
          <cell r="A33" t="str">
            <v>윤진한</v>
          </cell>
          <cell r="B33" t="str">
            <v>석공</v>
          </cell>
          <cell r="C33" t="str">
            <v>760224-1386921</v>
          </cell>
          <cell r="D33" t="str">
            <v>충북 영동군 영동읍 계산리 197-2</v>
          </cell>
          <cell r="E33" t="str">
            <v>농협</v>
          </cell>
          <cell r="F33" t="str">
            <v>윤진한</v>
          </cell>
          <cell r="G33" t="str">
            <v>356-0991-0651-23</v>
          </cell>
          <cell r="H33">
            <v>250000</v>
          </cell>
          <cell r="I33" t="str">
            <v>010-7360-3345</v>
          </cell>
        </row>
        <row r="33">
          <cell r="K33" t="str">
            <v>29139</v>
          </cell>
        </row>
        <row r="34">
          <cell r="A34" t="str">
            <v>권오득</v>
          </cell>
          <cell r="B34" t="str">
            <v>보통인부</v>
          </cell>
          <cell r="C34" t="str">
            <v>640529-1386416</v>
          </cell>
          <cell r="D34" t="str">
            <v>충북영동군추풍령면추풍령로9길10-2</v>
          </cell>
          <cell r="E34" t="str">
            <v>농협</v>
          </cell>
          <cell r="F34" t="str">
            <v>권오득</v>
          </cell>
          <cell r="G34" t="str">
            <v>352-1857-0983-23</v>
          </cell>
          <cell r="H34">
            <v>150000</v>
          </cell>
          <cell r="I34" t="str">
            <v>010-9133-8928</v>
          </cell>
        </row>
        <row r="35">
          <cell r="A35" t="str">
            <v>손석래</v>
          </cell>
          <cell r="B35" t="str">
            <v>보통인부</v>
          </cell>
          <cell r="C35" t="str">
            <v>600404-1386121</v>
          </cell>
          <cell r="D35" t="str">
            <v>충북 영동군 영동읍 새심길18,1004호 조한드림플러스@</v>
          </cell>
          <cell r="E35" t="str">
            <v>농협</v>
          </cell>
          <cell r="F35" t="str">
            <v>손석래</v>
          </cell>
          <cell r="G35" t="str">
            <v>356-1493-9522-63</v>
          </cell>
          <cell r="H35">
            <v>160000</v>
          </cell>
          <cell r="I35" t="str">
            <v>043-744-5228</v>
          </cell>
        </row>
        <row r="35">
          <cell r="K35" t="str">
            <v>29142</v>
          </cell>
        </row>
        <row r="36">
          <cell r="A36" t="str">
            <v>조운규</v>
          </cell>
          <cell r="B36" t="str">
            <v>특별인부</v>
          </cell>
          <cell r="C36" t="str">
            <v>650305-1386131</v>
          </cell>
          <cell r="D36" t="str">
            <v>충북 영동군 영동읍 금동안길 60</v>
          </cell>
          <cell r="E36" t="str">
            <v>우체국</v>
          </cell>
          <cell r="F36" t="str">
            <v>조운규</v>
          </cell>
          <cell r="G36" t="str">
            <v>301515-02-022804</v>
          </cell>
          <cell r="H36">
            <v>170000</v>
          </cell>
          <cell r="I36" t="str">
            <v>010-8343-0468</v>
          </cell>
        </row>
        <row r="36">
          <cell r="K36" t="str">
            <v>29138</v>
          </cell>
        </row>
        <row r="37">
          <cell r="A37" t="str">
            <v>강희종</v>
          </cell>
          <cell r="B37" t="str">
            <v>단순노무자</v>
          </cell>
          <cell r="C37" t="str">
            <v>540612-1400325</v>
          </cell>
          <cell r="D37" t="str">
            <v>충북 영동군 추풍령면 추풍령로5안길8</v>
          </cell>
          <cell r="E37" t="str">
            <v>농협</v>
          </cell>
          <cell r="F37" t="str">
            <v>강희종</v>
          </cell>
          <cell r="G37" t="str">
            <v>351-1142-0210-73</v>
          </cell>
          <cell r="H37">
            <v>130000</v>
          </cell>
          <cell r="I37" t="str">
            <v>010-5028-0656</v>
          </cell>
          <cell r="J37" t="str">
            <v>명장인력</v>
          </cell>
          <cell r="K37" t="str">
            <v>29120</v>
          </cell>
        </row>
        <row r="38">
          <cell r="A38" t="str">
            <v>김기필</v>
          </cell>
          <cell r="B38" t="str">
            <v>단순노무자</v>
          </cell>
          <cell r="C38" t="str">
            <v>611022-1386251</v>
          </cell>
          <cell r="D38" t="str">
            <v>충북 영동군 용산면 금곡3길 19</v>
          </cell>
          <cell r="E38" t="str">
            <v>농협</v>
          </cell>
          <cell r="F38" t="str">
            <v>김기필</v>
          </cell>
          <cell r="G38" t="str">
            <v>351-1142-0210-73</v>
          </cell>
          <cell r="H38">
            <v>150000</v>
          </cell>
          <cell r="I38" t="str">
            <v>010-6428-8990</v>
          </cell>
          <cell r="J38" t="str">
            <v>명장인력</v>
          </cell>
          <cell r="K38" t="str">
            <v>29100</v>
          </cell>
        </row>
        <row r="39">
          <cell r="A39" t="str">
            <v>윤석률</v>
          </cell>
          <cell r="B39" t="str">
            <v>단순노무자</v>
          </cell>
          <cell r="C39" t="str">
            <v>681215-1384614</v>
          </cell>
          <cell r="D39" t="str">
            <v>충북 옥천군 청산면 효목1길 83</v>
          </cell>
          <cell r="E39" t="str">
            <v>농협</v>
          </cell>
          <cell r="F39" t="str">
            <v>윤석률</v>
          </cell>
          <cell r="G39" t="str">
            <v>351-1142-0210-73</v>
          </cell>
          <cell r="H39">
            <v>150000</v>
          </cell>
          <cell r="I39" t="str">
            <v>010-3425-9337</v>
          </cell>
          <cell r="J39" t="str">
            <v>명장인력</v>
          </cell>
          <cell r="K39" t="str">
            <v>29015</v>
          </cell>
        </row>
        <row r="40">
          <cell r="A40" t="str">
            <v>전근성</v>
          </cell>
          <cell r="B40" t="str">
            <v>단순노무자</v>
          </cell>
          <cell r="C40" t="str">
            <v>721105-1386912</v>
          </cell>
          <cell r="D40" t="str">
            <v>충북 영동군 학산면 모정길 78</v>
          </cell>
          <cell r="E40" t="str">
            <v>농협</v>
          </cell>
          <cell r="F40" t="str">
            <v>전근성</v>
          </cell>
          <cell r="G40" t="str">
            <v>351-1142-0210-73</v>
          </cell>
          <cell r="H40">
            <v>150000</v>
          </cell>
          <cell r="I40" t="str">
            <v>010-3405-4114</v>
          </cell>
          <cell r="J40" t="str">
            <v>명장인력</v>
          </cell>
          <cell r="K40" t="str">
            <v>29165</v>
          </cell>
        </row>
        <row r="41">
          <cell r="A41" t="str">
            <v>김병호</v>
          </cell>
          <cell r="B41" t="str">
            <v>철근공</v>
          </cell>
          <cell r="C41" t="str">
            <v>921202-1058619</v>
          </cell>
          <cell r="D41" t="str">
            <v>충북 옥천군 옥천읍 관성로 29</v>
          </cell>
          <cell r="E41" t="str">
            <v>우체국</v>
          </cell>
          <cell r="F41" t="str">
            <v>김병호</v>
          </cell>
          <cell r="G41" t="str">
            <v>300111-02-297282</v>
          </cell>
          <cell r="H41">
            <v>200000</v>
          </cell>
          <cell r="I41" t="str">
            <v>010-4904-9092</v>
          </cell>
        </row>
        <row r="41">
          <cell r="K41" t="str">
            <v>29039</v>
          </cell>
        </row>
        <row r="42">
          <cell r="A42" t="str">
            <v>최동섭</v>
          </cell>
          <cell r="B42" t="str">
            <v>특별인부</v>
          </cell>
          <cell r="C42" t="str">
            <v>670211-1386119</v>
          </cell>
          <cell r="D42" t="str">
            <v>충북 영동군 영동읍 부용7안길7-1</v>
          </cell>
          <cell r="E42" t="str">
            <v>농협</v>
          </cell>
          <cell r="F42" t="str">
            <v>최동섭</v>
          </cell>
          <cell r="G42" t="str">
            <v>173173-52-042958</v>
          </cell>
          <cell r="H42">
            <v>170000</v>
          </cell>
          <cell r="I42" t="str">
            <v>010-4114-2902</v>
          </cell>
        </row>
        <row r="42">
          <cell r="K42" t="str">
            <v>29149</v>
          </cell>
        </row>
        <row r="43">
          <cell r="A43" t="str">
            <v>김영환</v>
          </cell>
          <cell r="B43" t="str">
            <v>보통인부</v>
          </cell>
          <cell r="C43" t="str">
            <v>600925-1386115</v>
          </cell>
          <cell r="D43" t="str">
            <v>충북 영동군 영동읍 계산리 426-1</v>
          </cell>
          <cell r="E43" t="str">
            <v>농협</v>
          </cell>
          <cell r="F43" t="str">
            <v>김영환</v>
          </cell>
          <cell r="G43" t="str">
            <v>302-1601-4630-21</v>
          </cell>
          <cell r="H43">
            <v>130000</v>
          </cell>
        </row>
        <row r="43">
          <cell r="K43" t="str">
            <v>29138</v>
          </cell>
        </row>
        <row r="44">
          <cell r="A44" t="str">
            <v>김명숙</v>
          </cell>
          <cell r="B44" t="str">
            <v>보통인부</v>
          </cell>
          <cell r="C44" t="str">
            <v>660125-2524919</v>
          </cell>
          <cell r="D44" t="str">
            <v>대전 동구 판암동 328방주아파트101-604</v>
          </cell>
          <cell r="E44" t="str">
            <v>농협</v>
          </cell>
          <cell r="F44" t="str">
            <v>김명숙</v>
          </cell>
          <cell r="G44" t="str">
            <v>302-0957-7396-11</v>
          </cell>
          <cell r="H44">
            <v>150000</v>
          </cell>
        </row>
        <row r="45">
          <cell r="A45" t="str">
            <v>이홍성</v>
          </cell>
          <cell r="B45" t="str">
            <v>목공</v>
          </cell>
          <cell r="C45" t="str">
            <v>510520-1384216</v>
          </cell>
          <cell r="D45" t="str">
            <v>충북 옥천 옥천읍 미암리49-1</v>
          </cell>
          <cell r="E45" t="str">
            <v>농협</v>
          </cell>
          <cell r="F45" t="str">
            <v>이홍성</v>
          </cell>
          <cell r="G45" t="str">
            <v>356-1306-8954-13</v>
          </cell>
          <cell r="H45">
            <v>200000</v>
          </cell>
          <cell r="I45" t="str">
            <v>010-5100-7490</v>
          </cell>
        </row>
        <row r="46">
          <cell r="A46" t="str">
            <v>김장곤</v>
          </cell>
          <cell r="B46" t="str">
            <v>목공</v>
          </cell>
          <cell r="C46" t="str">
            <v>611211-1458428</v>
          </cell>
          <cell r="D46" t="str">
            <v>대전광역시 중구 산성동 304-18</v>
          </cell>
          <cell r="E46" t="str">
            <v>농협</v>
          </cell>
          <cell r="F46" t="str">
            <v>김장곤</v>
          </cell>
          <cell r="G46" t="str">
            <v>356-1483-5978-13</v>
          </cell>
          <cell r="H46">
            <v>200000</v>
          </cell>
          <cell r="I46" t="str">
            <v>010-4830-2110</v>
          </cell>
        </row>
        <row r="46">
          <cell r="K46" t="str">
            <v>35054</v>
          </cell>
        </row>
        <row r="47">
          <cell r="A47" t="str">
            <v>김효식</v>
          </cell>
          <cell r="B47" t="str">
            <v>목공</v>
          </cell>
          <cell r="C47" t="str">
            <v>630220-1384116</v>
          </cell>
          <cell r="D47" t="str">
            <v>충북 옥천 옥천읍 송신길 89-1</v>
          </cell>
          <cell r="E47" t="str">
            <v>농협</v>
          </cell>
          <cell r="F47" t="str">
            <v>김효식</v>
          </cell>
          <cell r="G47" t="str">
            <v>356-1306-7504-13</v>
          </cell>
          <cell r="H47">
            <v>200000</v>
          </cell>
          <cell r="I47" t="str">
            <v>010-3448-1889</v>
          </cell>
        </row>
        <row r="48">
          <cell r="A48" t="str">
            <v>김정자</v>
          </cell>
          <cell r="B48" t="str">
            <v>목공</v>
          </cell>
          <cell r="C48" t="str">
            <v>600225-2408313</v>
          </cell>
          <cell r="D48" t="str">
            <v>대전 동구 판암동236주공 508-1302</v>
          </cell>
          <cell r="E48" t="str">
            <v>농협</v>
          </cell>
          <cell r="F48" t="str">
            <v>김정자</v>
          </cell>
        </row>
        <row r="48">
          <cell r="I48" t="str">
            <v>010-5402-7460</v>
          </cell>
        </row>
        <row r="49">
          <cell r="A49" t="str">
            <v>이순희</v>
          </cell>
          <cell r="B49" t="str">
            <v>목공</v>
          </cell>
          <cell r="C49" t="str">
            <v>610808-2379713</v>
          </cell>
          <cell r="D49" t="str">
            <v>충북 옥천 옥천읍 마암리22-4은혜연립B동101</v>
          </cell>
          <cell r="E49" t="str">
            <v>농협</v>
          </cell>
          <cell r="F49" t="str">
            <v>이순희</v>
          </cell>
        </row>
        <row r="49">
          <cell r="I49" t="str">
            <v>010-9138-3436</v>
          </cell>
        </row>
        <row r="50">
          <cell r="A50" t="str">
            <v>김태식</v>
          </cell>
          <cell r="B50" t="str">
            <v>목공</v>
          </cell>
          <cell r="C50" t="str">
            <v>551215-1384133</v>
          </cell>
          <cell r="D50" t="str">
            <v>충북옥천 옥천읍문정리 62-1</v>
          </cell>
          <cell r="E50" t="str">
            <v>농협</v>
          </cell>
          <cell r="F50" t="str">
            <v>김태식</v>
          </cell>
          <cell r="G50" t="str">
            <v>302-5458-3411-01</v>
          </cell>
          <cell r="H50">
            <v>200000</v>
          </cell>
          <cell r="I50" t="str">
            <v>010-5458-3411</v>
          </cell>
        </row>
        <row r="51">
          <cell r="A51" t="str">
            <v>유현봉</v>
          </cell>
          <cell r="B51" t="str">
            <v>목공</v>
          </cell>
          <cell r="C51" t="str">
            <v>531210-1384312</v>
          </cell>
          <cell r="D51" t="str">
            <v>충북 옥천 옥천읍 양수로6길4</v>
          </cell>
          <cell r="E51" t="str">
            <v>국민</v>
          </cell>
          <cell r="F51" t="str">
            <v>유현봉</v>
          </cell>
          <cell r="G51" t="str">
            <v>405-24-0081-770</v>
          </cell>
          <cell r="H51">
            <v>200000</v>
          </cell>
          <cell r="I51" t="str">
            <v>010-5427-7937</v>
          </cell>
        </row>
        <row r="52">
          <cell r="A52" t="str">
            <v>신기창</v>
          </cell>
          <cell r="B52" t="str">
            <v>목공</v>
          </cell>
          <cell r="C52" t="str">
            <v>611028-1411611</v>
          </cell>
          <cell r="D52" t="str">
            <v>충북 옥천 옥천읍 성암2길30-1</v>
          </cell>
          <cell r="E52" t="str">
            <v>농협</v>
          </cell>
          <cell r="F52" t="str">
            <v>신기창</v>
          </cell>
          <cell r="G52" t="str">
            <v>356-1479-8602-73</v>
          </cell>
          <cell r="H52">
            <v>200000</v>
          </cell>
          <cell r="I52" t="str">
            <v>010-3893-7198</v>
          </cell>
        </row>
        <row r="53">
          <cell r="A53" t="str">
            <v>김충재</v>
          </cell>
          <cell r="B53" t="str">
            <v>목공</v>
          </cell>
          <cell r="C53" t="str">
            <v>590114-1384121</v>
          </cell>
          <cell r="D53" t="str">
            <v>충북 옥천 옥천읍 금구천길15나동103호</v>
          </cell>
          <cell r="E53" t="str">
            <v>농협</v>
          </cell>
          <cell r="F53" t="str">
            <v>김충재</v>
          </cell>
          <cell r="G53" t="str">
            <v>356-1488-3009-73</v>
          </cell>
          <cell r="H53">
            <v>200000</v>
          </cell>
          <cell r="I53" t="str">
            <v>010-5465-8302</v>
          </cell>
        </row>
        <row r="54">
          <cell r="A54" t="str">
            <v>김정식</v>
          </cell>
          <cell r="B54" t="str">
            <v>목공</v>
          </cell>
          <cell r="C54" t="str">
            <v>760110-1384826</v>
          </cell>
          <cell r="D54" t="str">
            <v>충북 옥천 옥천읍가화3길23</v>
          </cell>
          <cell r="E54" t="str">
            <v>농협</v>
          </cell>
          <cell r="F54" t="str">
            <v>김정식</v>
          </cell>
          <cell r="G54" t="str">
            <v>302-0953-8269-11</v>
          </cell>
          <cell r="H54">
            <v>200000</v>
          </cell>
          <cell r="I54" t="str">
            <v>010-6252-2437</v>
          </cell>
        </row>
        <row r="55">
          <cell r="A55" t="str">
            <v>소세영</v>
          </cell>
          <cell r="B55" t="str">
            <v>철근공</v>
          </cell>
          <cell r="C55" t="str">
            <v>661110-1403017</v>
          </cell>
          <cell r="D55" t="str">
            <v>대전 동구 번동 2길 25(천동)</v>
          </cell>
          <cell r="E55" t="str">
            <v>농협</v>
          </cell>
          <cell r="F55" t="str">
            <v>소세영</v>
          </cell>
          <cell r="G55" t="str">
            <v>351-0883-3616-63</v>
          </cell>
          <cell r="H55">
            <v>200000</v>
          </cell>
          <cell r="I55" t="str">
            <v>010-8859-2729</v>
          </cell>
          <cell r="J55" t="str">
            <v>010-5454-1383</v>
          </cell>
          <cell r="K55" t="str">
            <v>34683</v>
          </cell>
        </row>
        <row r="56">
          <cell r="A56" t="str">
            <v>이영훈</v>
          </cell>
          <cell r="B56" t="str">
            <v>철근공</v>
          </cell>
          <cell r="C56" t="str">
            <v>941126-1055311</v>
          </cell>
          <cell r="D56" t="str">
            <v>서울 영등포구 도신로29길28</v>
          </cell>
          <cell r="E56" t="str">
            <v>중소기업</v>
          </cell>
          <cell r="F56" t="str">
            <v>이영훈</v>
          </cell>
          <cell r="G56" t="str">
            <v>570-020656-01-010</v>
          </cell>
          <cell r="H56">
            <v>200000</v>
          </cell>
          <cell r="I56" t="str">
            <v>010-9358-8464</v>
          </cell>
          <cell r="J56" t="str">
            <v>010-5454-1383</v>
          </cell>
          <cell r="K56" t="str">
            <v>07365</v>
          </cell>
        </row>
        <row r="57">
          <cell r="A57" t="str">
            <v>박길환</v>
          </cell>
          <cell r="B57" t="str">
            <v>철근공</v>
          </cell>
          <cell r="C57" t="str">
            <v>671015-1920528</v>
          </cell>
          <cell r="D57" t="str">
            <v>충북 옥천 옥천읍 중앙로6길8</v>
          </cell>
          <cell r="E57" t="str">
            <v>중소기업</v>
          </cell>
          <cell r="F57" t="str">
            <v>박길환</v>
          </cell>
          <cell r="G57" t="str">
            <v>570-020656-01-010</v>
          </cell>
          <cell r="H57">
            <v>200000</v>
          </cell>
          <cell r="I57" t="str">
            <v>010-4486-7508</v>
          </cell>
          <cell r="J57" t="str">
            <v>010-5454-1383</v>
          </cell>
        </row>
        <row r="58">
          <cell r="A58" t="str">
            <v>원용길</v>
          </cell>
          <cell r="B58" t="str">
            <v>철근공</v>
          </cell>
          <cell r="C58" t="str">
            <v>640220-5141993</v>
          </cell>
          <cell r="D58" t="str">
            <v>재외동포(F-4)</v>
          </cell>
          <cell r="E58" t="str">
            <v>중소기업</v>
          </cell>
          <cell r="F58" t="str">
            <v>원용길</v>
          </cell>
          <cell r="G58" t="str">
            <v>570-020656-01-010</v>
          </cell>
          <cell r="H58">
            <v>200000</v>
          </cell>
          <cell r="I58" t="str">
            <v>010-2293-0638</v>
          </cell>
          <cell r="J58" t="str">
            <v>010-5454-1383</v>
          </cell>
        </row>
        <row r="59">
          <cell r="A59" t="str">
            <v>조갑성</v>
          </cell>
          <cell r="B59" t="str">
            <v>목공</v>
          </cell>
          <cell r="C59" t="str">
            <v>540619-1384810</v>
          </cell>
          <cell r="D59" t="str">
            <v>충북 옥천 옥천읍 문장로2길9</v>
          </cell>
          <cell r="E59" t="str">
            <v>우체국</v>
          </cell>
          <cell r="F59" t="str">
            <v>조갑성</v>
          </cell>
          <cell r="G59" t="str">
            <v>102434-02-170588</v>
          </cell>
          <cell r="H59">
            <v>200000</v>
          </cell>
          <cell r="I59" t="str">
            <v>010-3456-5927</v>
          </cell>
        </row>
        <row r="60">
          <cell r="A60" t="str">
            <v>박준용</v>
          </cell>
          <cell r="B60" t="str">
            <v>보통인부</v>
          </cell>
          <cell r="C60" t="str">
            <v>571003-1386215</v>
          </cell>
          <cell r="D60" t="str">
            <v>충북 영동군 영동읍 중앙로1길18</v>
          </cell>
          <cell r="E60" t="str">
            <v>농협</v>
          </cell>
          <cell r="F60" t="str">
            <v>박준용</v>
          </cell>
          <cell r="G60" t="str">
            <v>407034-52-068141</v>
          </cell>
          <cell r="H60">
            <v>150000</v>
          </cell>
        </row>
        <row r="60">
          <cell r="K60" t="str">
            <v>29145</v>
          </cell>
        </row>
        <row r="61">
          <cell r="A61" t="str">
            <v>백경훈</v>
          </cell>
          <cell r="B61" t="str">
            <v>단순노무자</v>
          </cell>
          <cell r="C61" t="str">
            <v>850202-1386312</v>
          </cell>
          <cell r="D61" t="str">
            <v>충북 영동군 황간면 남성동3길27</v>
          </cell>
        </row>
        <row r="61">
          <cell r="F61" t="str">
            <v>백경훈</v>
          </cell>
        </row>
        <row r="61">
          <cell r="H61">
            <v>170000</v>
          </cell>
        </row>
        <row r="61">
          <cell r="K61" t="str">
            <v>29115</v>
          </cell>
        </row>
        <row r="62">
          <cell r="A62" t="str">
            <v>이진권</v>
          </cell>
          <cell r="B62" t="str">
            <v>단순노무자</v>
          </cell>
          <cell r="C62" t="str">
            <v>610210-1238818</v>
          </cell>
          <cell r="D62" t="str">
            <v>경기도 연천군 전곡읍 전곡리 324-33세림빌라7동301호</v>
          </cell>
          <cell r="E62" t="str">
            <v>농협</v>
          </cell>
          <cell r="F62" t="str">
            <v>이진권</v>
          </cell>
          <cell r="G62" t="str">
            <v>356-0129-1298-13</v>
          </cell>
          <cell r="H62">
            <v>170000</v>
          </cell>
        </row>
        <row r="63">
          <cell r="B63" t="str">
            <v>단순노무자</v>
          </cell>
          <cell r="C63" t="str">
            <v>760715-1386710</v>
          </cell>
          <cell r="D63" t="str">
            <v>충북 영동군 영동읍금동로1길6,202호(혜성빌라)</v>
          </cell>
          <cell r="E63" t="str">
            <v>우체국</v>
          </cell>
        </row>
        <row r="63">
          <cell r="G63" t="str">
            <v>301515-02-072801</v>
          </cell>
          <cell r="H63">
            <v>160000</v>
          </cell>
        </row>
        <row r="64">
          <cell r="A64" t="str">
            <v>정광일</v>
          </cell>
          <cell r="B64" t="str">
            <v>철근공</v>
          </cell>
          <cell r="C64" t="str">
            <v>600220-1041824</v>
          </cell>
          <cell r="D64" t="str">
            <v>충북 옥천군 옥천읍 동부로16 101동301호(하늘빛아파트)</v>
          </cell>
          <cell r="E64" t="str">
            <v>농협</v>
          </cell>
          <cell r="F64" t="str">
            <v>정광일</v>
          </cell>
          <cell r="G64" t="str">
            <v>351-0883-3616-63</v>
          </cell>
          <cell r="H64">
            <v>200000</v>
          </cell>
        </row>
        <row r="64">
          <cell r="K64" t="str">
            <v>29039</v>
          </cell>
        </row>
        <row r="65">
          <cell r="A65" t="str">
            <v>이윤건</v>
          </cell>
          <cell r="B65" t="str">
            <v>철근공</v>
          </cell>
          <cell r="C65" t="str">
            <v>630822-1229912</v>
          </cell>
          <cell r="D65" t="str">
            <v>충북 옥천군 군서면 성왕로 489-16</v>
          </cell>
          <cell r="E65" t="str">
            <v>농협</v>
          </cell>
          <cell r="F65" t="str">
            <v>이윤건</v>
          </cell>
          <cell r="G65" t="str">
            <v>351-0883-3616-63</v>
          </cell>
          <cell r="H65">
            <v>200000</v>
          </cell>
        </row>
        <row r="65">
          <cell r="K65" t="str">
            <v>29059</v>
          </cell>
        </row>
        <row r="66">
          <cell r="A66" t="str">
            <v>박래일</v>
          </cell>
          <cell r="B66" t="str">
            <v>보통인부</v>
          </cell>
          <cell r="C66" t="str">
            <v>590108-1386126</v>
          </cell>
          <cell r="D66" t="str">
            <v>충북 영동군 영동읍 양산로7길 2가동106호(양지연립)</v>
          </cell>
          <cell r="E66" t="str">
            <v>농협</v>
          </cell>
          <cell r="F66" t="str">
            <v>박래일</v>
          </cell>
          <cell r="G66" t="str">
            <v>774-02-269271</v>
          </cell>
          <cell r="H66">
            <v>170000</v>
          </cell>
          <cell r="I66" t="str">
            <v>010-9405-6479</v>
          </cell>
        </row>
        <row r="67">
          <cell r="A67" t="str">
            <v>이정근</v>
          </cell>
          <cell r="B67" t="str">
            <v>보통인부</v>
          </cell>
          <cell r="C67" t="str">
            <v>590825-1386143</v>
          </cell>
          <cell r="D67" t="str">
            <v>충북 영동군 영동읍 계산리280</v>
          </cell>
          <cell r="E67" t="str">
            <v>우체국</v>
          </cell>
          <cell r="F67" t="str">
            <v>이정근</v>
          </cell>
          <cell r="G67" t="str">
            <v>300160-02-240447</v>
          </cell>
          <cell r="H67">
            <v>160000</v>
          </cell>
        </row>
        <row r="67">
          <cell r="K67" t="str">
            <v>29139</v>
          </cell>
        </row>
        <row r="68">
          <cell r="A68" t="str">
            <v>육종필</v>
          </cell>
          <cell r="B68" t="str">
            <v>철근공</v>
          </cell>
          <cell r="C68" t="str">
            <v>681020-1384919</v>
          </cell>
          <cell r="D68" t="str">
            <v>충북 옥천군 옥천읍 장야리 313 장야1주공106-304</v>
          </cell>
          <cell r="E68" t="str">
            <v>중소기업</v>
          </cell>
          <cell r="F68" t="str">
            <v>육종필</v>
          </cell>
          <cell r="G68" t="str">
            <v>570-007217-02-013</v>
          </cell>
          <cell r="H68">
            <v>200000</v>
          </cell>
          <cell r="I68" t="str">
            <v>010-6800-2394</v>
          </cell>
        </row>
        <row r="68">
          <cell r="K68" t="str">
            <v>29045</v>
          </cell>
        </row>
        <row r="69">
          <cell r="A69" t="str">
            <v>조기혁</v>
          </cell>
          <cell r="B69" t="str">
            <v>목공</v>
          </cell>
          <cell r="C69" t="str">
            <v>630523-1402713</v>
          </cell>
          <cell r="D69" t="str">
            <v>대전광역시 동구 우암로326번길57-1(가양동)</v>
          </cell>
          <cell r="E69" t="str">
            <v>농협</v>
          </cell>
          <cell r="F69" t="str">
            <v>조기혁</v>
          </cell>
          <cell r="G69" t="str">
            <v>356-1497-0677-43</v>
          </cell>
          <cell r="H69">
            <v>200000</v>
          </cell>
          <cell r="I69" t="str">
            <v>010-8623-6218</v>
          </cell>
        </row>
        <row r="69">
          <cell r="K69" t="str">
            <v>34506</v>
          </cell>
        </row>
        <row r="70">
          <cell r="A70" t="str">
            <v>정일흥</v>
          </cell>
          <cell r="B70" t="str">
            <v>목공</v>
          </cell>
          <cell r="C70" t="str">
            <v>600605-1384810</v>
          </cell>
          <cell r="D70" t="str">
            <v>충북 옥천군 교서면 원전2길86-9</v>
          </cell>
          <cell r="E70" t="str">
            <v>농협</v>
          </cell>
          <cell r="F70" t="str">
            <v>정일흥</v>
          </cell>
          <cell r="G70" t="str">
            <v>352-1559-7324-93</v>
          </cell>
          <cell r="H70">
            <v>200000</v>
          </cell>
          <cell r="I70" t="str">
            <v>010-8843-0512</v>
          </cell>
        </row>
        <row r="71">
          <cell r="A71" t="str">
            <v>곽태</v>
          </cell>
          <cell r="B71" t="str">
            <v>목공</v>
          </cell>
          <cell r="C71" t="str">
            <v>551001-1448815</v>
          </cell>
          <cell r="D71" t="str">
            <v>충북 옥천군 옥천읍 중앙로1길 6-4602호</v>
          </cell>
          <cell r="E71" t="str">
            <v>농협</v>
          </cell>
          <cell r="F71" t="str">
            <v>곽태</v>
          </cell>
          <cell r="G71" t="str">
            <v>356-1434-8325-93</v>
          </cell>
          <cell r="H71">
            <v>200000</v>
          </cell>
          <cell r="I71" t="str">
            <v>0106423-3895</v>
          </cell>
        </row>
        <row r="71">
          <cell r="K71" t="str">
            <v>29037</v>
          </cell>
        </row>
        <row r="72">
          <cell r="A72" t="str">
            <v>박세호</v>
          </cell>
          <cell r="B72" t="str">
            <v>보통인부</v>
          </cell>
          <cell r="C72" t="str">
            <v>641015-1386715</v>
          </cell>
          <cell r="D72" t="str">
            <v>충북 영동군 영동읍 동정로 47,103동 1303호</v>
          </cell>
          <cell r="E72" t="str">
            <v>농협</v>
          </cell>
          <cell r="F72" t="str">
            <v>박세호</v>
          </cell>
          <cell r="G72" t="str">
            <v>356-1193-1604-23</v>
          </cell>
          <cell r="H72">
            <v>160000</v>
          </cell>
          <cell r="I72" t="str">
            <v>010-3896-8077</v>
          </cell>
        </row>
        <row r="72">
          <cell r="K72" t="str">
            <v>29140</v>
          </cell>
        </row>
        <row r="73">
          <cell r="A73" t="str">
            <v>정홍길</v>
          </cell>
          <cell r="B73" t="str">
            <v>목공</v>
          </cell>
          <cell r="C73" t="str">
            <v>821112-1384119</v>
          </cell>
          <cell r="D73" t="str">
            <v>충북 옥천군 옥천읍 대천길 159</v>
          </cell>
          <cell r="E73" t="str">
            <v>농협</v>
          </cell>
          <cell r="F73" t="str">
            <v>정홍길</v>
          </cell>
          <cell r="G73" t="str">
            <v>302-8622-0879-11</v>
          </cell>
          <cell r="H73">
            <v>200000</v>
          </cell>
          <cell r="I73" t="str">
            <v>010-8622-0879</v>
          </cell>
        </row>
        <row r="73">
          <cell r="K73" t="str">
            <v>29052</v>
          </cell>
        </row>
        <row r="74">
          <cell r="A74" t="str">
            <v>백정숙</v>
          </cell>
          <cell r="B74" t="str">
            <v>목공</v>
          </cell>
          <cell r="C74" t="str">
            <v>550420-2789718</v>
          </cell>
          <cell r="D74" t="str">
            <v>충북 옥천군 옥천읍 대천길 549</v>
          </cell>
          <cell r="E74" t="str">
            <v>새마을금고</v>
          </cell>
          <cell r="F74" t="str">
            <v>백정숙</v>
          </cell>
          <cell r="G74" t="str">
            <v>4614-09-003672-7</v>
          </cell>
          <cell r="H74">
            <v>150000</v>
          </cell>
          <cell r="I74" t="str">
            <v>010-8843-</v>
          </cell>
        </row>
        <row r="75">
          <cell r="A75" t="str">
            <v>배태봉</v>
          </cell>
          <cell r="B75" t="str">
            <v>목공</v>
          </cell>
          <cell r="C75" t="str">
            <v>610303-1386748</v>
          </cell>
          <cell r="D75" t="str">
            <v>충북 영동군 영동읍 당곡로14-1</v>
          </cell>
          <cell r="E75" t="str">
            <v>우체국</v>
          </cell>
          <cell r="F75" t="str">
            <v>배태봉</v>
          </cell>
          <cell r="G75" t="str">
            <v>300160-02-231942</v>
          </cell>
          <cell r="H75">
            <v>200000</v>
          </cell>
        </row>
        <row r="75">
          <cell r="K75" t="str">
            <v>29128</v>
          </cell>
        </row>
        <row r="76">
          <cell r="A76" t="str">
            <v>박재영</v>
          </cell>
          <cell r="B76" t="str">
            <v>굴삭기기사</v>
          </cell>
          <cell r="C76" t="str">
            <v>720815-1386721</v>
          </cell>
          <cell r="D76" t="str">
            <v>충북 옥천군 옥천읍 문장로2길 10, 304동 503호</v>
          </cell>
        </row>
        <row r="76">
          <cell r="F76" t="str">
            <v>박재영</v>
          </cell>
        </row>
        <row r="76">
          <cell r="H76">
            <v>150000</v>
          </cell>
        </row>
        <row r="76">
          <cell r="K76" t="str">
            <v>29040</v>
          </cell>
        </row>
        <row r="77">
          <cell r="A77" t="str">
            <v>이관우</v>
          </cell>
          <cell r="B77" t="str">
            <v>철근공</v>
          </cell>
          <cell r="C77" t="str">
            <v>590920-1383021</v>
          </cell>
          <cell r="D77" t="str">
            <v>충북 보은군 보은읍 중초2길 20</v>
          </cell>
          <cell r="E77" t="str">
            <v>농협</v>
          </cell>
          <cell r="F77" t="str">
            <v>이관우</v>
          </cell>
          <cell r="G77" t="str">
            <v>118012-00-9732</v>
          </cell>
          <cell r="H77">
            <v>250000</v>
          </cell>
          <cell r="I77" t="str">
            <v>010-5464-3462</v>
          </cell>
        </row>
        <row r="77">
          <cell r="K77" t="str">
            <v>28917</v>
          </cell>
        </row>
        <row r="78">
          <cell r="A78" t="str">
            <v>주문식</v>
          </cell>
          <cell r="B78" t="str">
            <v>목공</v>
          </cell>
          <cell r="C78" t="str">
            <v>650310-1392622</v>
          </cell>
          <cell r="D78" t="str">
            <v>청주시 상당구 영운천로 187번길 7-5</v>
          </cell>
          <cell r="E78" t="str">
            <v>농협</v>
          </cell>
          <cell r="F78" t="str">
            <v>주하정</v>
          </cell>
          <cell r="G78" t="str">
            <v>356-1247-9282-33</v>
          </cell>
          <cell r="H78">
            <v>250000</v>
          </cell>
        </row>
        <row r="78">
          <cell r="K78" t="str">
            <v>28750</v>
          </cell>
        </row>
        <row r="79">
          <cell r="A79" t="str">
            <v>음희진</v>
          </cell>
          <cell r="B79" t="str">
            <v>목공</v>
          </cell>
          <cell r="C79" t="str">
            <v>591220-1392335</v>
          </cell>
          <cell r="D79" t="str">
            <v>청주시 흥덕구 장구봉로101번길27, 사랑동405호 (복대동,형석@)</v>
          </cell>
          <cell r="E79" t="str">
            <v>농협</v>
          </cell>
          <cell r="F79" t="str">
            <v>음희진</v>
          </cell>
          <cell r="G79" t="str">
            <v>401149-56-096884</v>
          </cell>
          <cell r="H79">
            <v>250000</v>
          </cell>
        </row>
        <row r="79">
          <cell r="K79" t="str">
            <v>28607</v>
          </cell>
        </row>
        <row r="80">
          <cell r="A80" t="str">
            <v>지창기</v>
          </cell>
          <cell r="B80" t="str">
            <v>울타리공</v>
          </cell>
          <cell r="C80" t="str">
            <v>681022-1446910</v>
          </cell>
          <cell r="D80" t="str">
            <v>대전광역시 중구 대흥동 현대@ 7동 1101호</v>
          </cell>
        </row>
        <row r="80">
          <cell r="F80" t="str">
            <v>지창기</v>
          </cell>
        </row>
        <row r="80">
          <cell r="H80">
            <v>250000</v>
          </cell>
        </row>
        <row r="80">
          <cell r="K80" t="str">
            <v>34929</v>
          </cell>
        </row>
        <row r="81">
          <cell r="A81" t="str">
            <v>김재수</v>
          </cell>
          <cell r="B81" t="str">
            <v>울타리공</v>
          </cell>
          <cell r="C81" t="str">
            <v>660202-1400210</v>
          </cell>
          <cell r="D81" t="str">
            <v>전북 무주군 부남면 유동길 7-4</v>
          </cell>
        </row>
        <row r="81">
          <cell r="F81" t="str">
            <v>김재수</v>
          </cell>
        </row>
        <row r="81">
          <cell r="H81">
            <v>250000</v>
          </cell>
        </row>
        <row r="81">
          <cell r="K81" t="str">
            <v>55501</v>
          </cell>
        </row>
        <row r="82">
          <cell r="A82" t="str">
            <v>김동진</v>
          </cell>
          <cell r="B82" t="str">
            <v>울타리공</v>
          </cell>
          <cell r="C82" t="str">
            <v>980615-1094810</v>
          </cell>
          <cell r="D82" t="str">
            <v>전북 전주시  덕진구 명주5길 41</v>
          </cell>
          <cell r="E82" t="str">
            <v>우리</v>
          </cell>
          <cell r="F82" t="str">
            <v>김동진</v>
          </cell>
          <cell r="G82" t="str">
            <v>1002763162620</v>
          </cell>
          <cell r="H82">
            <v>155000</v>
          </cell>
          <cell r="I82" t="str">
            <v>010-5738-4795</v>
          </cell>
        </row>
        <row r="82">
          <cell r="K82" t="str">
            <v>54918</v>
          </cell>
        </row>
        <row r="83">
          <cell r="A83" t="str">
            <v>이종호</v>
          </cell>
          <cell r="B83" t="str">
            <v>울타리공</v>
          </cell>
          <cell r="C83" t="str">
            <v>740211-1149313</v>
          </cell>
          <cell r="D83" t="str">
            <v>인천시 연수구 옥련동 642-1</v>
          </cell>
          <cell r="E83" t="str">
            <v>기업</v>
          </cell>
          <cell r="F83" t="str">
            <v>이종호</v>
          </cell>
          <cell r="G83" t="str">
            <v>1064340831</v>
          </cell>
          <cell r="H83">
            <v>155000</v>
          </cell>
          <cell r="I83" t="str">
            <v>010-6434-0831</v>
          </cell>
        </row>
        <row r="83">
          <cell r="K83" t="str">
            <v>21952</v>
          </cell>
        </row>
        <row r="84">
          <cell r="A84" t="str">
            <v>청주건설기계
(오근장지게차,공항지게차)</v>
          </cell>
          <cell r="B84" t="str">
            <v>지게차</v>
          </cell>
          <cell r="C84" t="str">
            <v>490-40-00058</v>
          </cell>
          <cell r="D84" t="str">
            <v>농협010-8574-3343-09</v>
          </cell>
          <cell r="E84" t="str">
            <v>농협</v>
          </cell>
        </row>
        <row r="84">
          <cell r="G84" t="str">
            <v>010-8574-3343-09</v>
          </cell>
          <cell r="H84">
            <v>90000</v>
          </cell>
          <cell r="I84" t="str">
            <v>010-8574-3343</v>
          </cell>
        </row>
        <row r="85">
          <cell r="A85" t="str">
            <v>유상철</v>
          </cell>
          <cell r="B85" t="str">
            <v>울타리공</v>
          </cell>
          <cell r="C85" t="str">
            <v>780418-1411311</v>
          </cell>
          <cell r="D85" t="str">
            <v>인청광역시 남동구 간석동 188-7 203호</v>
          </cell>
          <cell r="E85" t="str">
            <v>농협</v>
          </cell>
          <cell r="F85" t="str">
            <v>유상철</v>
          </cell>
          <cell r="G85" t="str">
            <v>3020703001141</v>
          </cell>
          <cell r="H85">
            <v>180000</v>
          </cell>
          <cell r="I85" t="str">
            <v>010-8997-4235</v>
          </cell>
        </row>
        <row r="85">
          <cell r="K85" t="str">
            <v>21952</v>
          </cell>
        </row>
        <row r="86">
          <cell r="A86" t="str">
            <v>박건진</v>
          </cell>
          <cell r="B86" t="str">
            <v>울타리공</v>
          </cell>
          <cell r="C86" t="str">
            <v>730926-1182618</v>
          </cell>
          <cell r="D86" t="str">
            <v>인천시 연수구 옥련동 642-139</v>
          </cell>
          <cell r="E86" t="str">
            <v>신한</v>
          </cell>
          <cell r="F86" t="str">
            <v>박건진</v>
          </cell>
          <cell r="G86" t="str">
            <v>110531618208</v>
          </cell>
          <cell r="H86">
            <v>150000</v>
          </cell>
          <cell r="I86" t="str">
            <v>010-2520-9629</v>
          </cell>
        </row>
        <row r="86">
          <cell r="K86" t="str">
            <v>14473</v>
          </cell>
        </row>
        <row r="87">
          <cell r="A87" t="str">
            <v>김도운</v>
          </cell>
          <cell r="B87" t="str">
            <v>울타리공</v>
          </cell>
          <cell r="C87" t="str">
            <v>980424-1042216</v>
          </cell>
          <cell r="D87" t="str">
            <v>경기도 부천시 삼적로 395번길8 502호</v>
          </cell>
          <cell r="E87" t="str">
            <v>카카오뱅크</v>
          </cell>
          <cell r="F87" t="str">
            <v>김도운</v>
          </cell>
          <cell r="G87" t="str">
            <v>3333-16-5110770</v>
          </cell>
          <cell r="H87">
            <v>140000</v>
          </cell>
          <cell r="I87" t="str">
            <v>010-4856-8783</v>
          </cell>
        </row>
        <row r="87">
          <cell r="K87" t="str">
            <v>15805</v>
          </cell>
        </row>
        <row r="88">
          <cell r="A88" t="str">
            <v>최진영</v>
          </cell>
          <cell r="B88" t="str">
            <v>울타리공</v>
          </cell>
          <cell r="C88" t="str">
            <v>830808-1273513</v>
          </cell>
          <cell r="D88" t="str">
            <v>경기도 군포시 군포로 767번길 35 </v>
          </cell>
          <cell r="E88" t="str">
            <v>신한</v>
          </cell>
          <cell r="F88" t="str">
            <v>최진영</v>
          </cell>
          <cell r="G88" t="str">
            <v>110309789591</v>
          </cell>
          <cell r="H88">
            <v>165000</v>
          </cell>
          <cell r="I88" t="str">
            <v>010-2537-9954</v>
          </cell>
        </row>
        <row r="88">
          <cell r="K88" t="str">
            <v>15805</v>
          </cell>
        </row>
        <row r="89">
          <cell r="A89" t="str">
            <v>조영준</v>
          </cell>
          <cell r="B89" t="str">
            <v>울타리공</v>
          </cell>
          <cell r="C89" t="str">
            <v>890115-1673921</v>
          </cell>
          <cell r="D89" t="str">
            <v>대구광역시 달서구 상화로373.202동214호</v>
          </cell>
          <cell r="E89" t="str">
            <v>대구</v>
          </cell>
          <cell r="F89" t="str">
            <v>조영준</v>
          </cell>
          <cell r="G89" t="str">
            <v>508116402427</v>
          </cell>
          <cell r="H89">
            <v>135000</v>
          </cell>
          <cell r="I89" t="str">
            <v>010-2523-2611</v>
          </cell>
        </row>
        <row r="90">
          <cell r="A90" t="str">
            <v>정해용</v>
          </cell>
          <cell r="B90" t="str">
            <v>울타리공</v>
          </cell>
          <cell r="C90" t="str">
            <v>880309-1144517</v>
          </cell>
          <cell r="D90" t="str">
            <v>인천광역시시 미추홀구 도화동 6-26</v>
          </cell>
          <cell r="E90" t="str">
            <v>국민</v>
          </cell>
          <cell r="F90" t="str">
            <v>정해용</v>
          </cell>
          <cell r="G90" t="str">
            <v>722125-95-102456</v>
          </cell>
          <cell r="H90">
            <v>165000</v>
          </cell>
        </row>
        <row r="91">
          <cell r="A91" t="str">
            <v>박동호</v>
          </cell>
          <cell r="B91" t="str">
            <v>울타리공</v>
          </cell>
          <cell r="C91" t="str">
            <v>740123-1150216</v>
          </cell>
          <cell r="D91" t="str">
            <v>인천광역시 연수구 학나래로34, 101동501호</v>
          </cell>
          <cell r="E91" t="str">
            <v>신한</v>
          </cell>
          <cell r="F91" t="str">
            <v>박동호</v>
          </cell>
          <cell r="G91" t="str">
            <v>110388363575</v>
          </cell>
          <cell r="H91">
            <v>250000</v>
          </cell>
        </row>
        <row r="91">
          <cell r="K91">
            <v>21911</v>
          </cell>
        </row>
        <row r="92">
          <cell r="A92" t="str">
            <v>이동헌</v>
          </cell>
          <cell r="B92" t="str">
            <v>울타리공</v>
          </cell>
          <cell r="C92" t="str">
            <v>900614-1674812</v>
          </cell>
          <cell r="D92" t="str">
            <v>인천광역시 부평구 부평대로 95</v>
          </cell>
          <cell r="E92" t="str">
            <v>새마을금고</v>
          </cell>
          <cell r="F92" t="str">
            <v>이동헌</v>
          </cell>
          <cell r="G92" t="str">
            <v>9002172373929</v>
          </cell>
          <cell r="H92">
            <v>230000</v>
          </cell>
          <cell r="I92" t="str">
            <v>010-4682-4812</v>
          </cell>
        </row>
        <row r="92">
          <cell r="K92" t="str">
            <v>21379</v>
          </cell>
        </row>
        <row r="93">
          <cell r="A93" t="str">
            <v>김경윤</v>
          </cell>
          <cell r="B93" t="str">
            <v>울타리공</v>
          </cell>
          <cell r="C93">
            <v>19981119</v>
          </cell>
        </row>
        <row r="93">
          <cell r="E93" t="str">
            <v>국민</v>
          </cell>
          <cell r="F93" t="str">
            <v>김경윤</v>
          </cell>
          <cell r="G93" t="str">
            <v>722125-95-102456</v>
          </cell>
          <cell r="H93">
            <v>165000</v>
          </cell>
        </row>
        <row r="94">
          <cell r="A94" t="str">
            <v>지봉수</v>
          </cell>
        </row>
        <row r="94">
          <cell r="C94" t="str">
            <v>871003-</v>
          </cell>
          <cell r="D94" t="str">
            <v>충북 증평군 도안면 탑골길 1-22</v>
          </cell>
        </row>
        <row r="94">
          <cell r="K94" t="str">
            <v>27901</v>
          </cell>
        </row>
        <row r="95">
          <cell r="A95" t="str">
            <v>이기영</v>
          </cell>
        </row>
        <row r="95">
          <cell r="C95" t="str">
            <v>580824-1390815</v>
          </cell>
          <cell r="D95" t="str">
            <v>충청북도 증평군 도안면 탑골길 1-22</v>
          </cell>
          <cell r="E95" t="str">
            <v>국민</v>
          </cell>
          <cell r="F95" t="str">
            <v>삼일용역</v>
          </cell>
          <cell r="G95" t="str">
            <v>722125-95-102456</v>
          </cell>
          <cell r="H95">
            <v>165000</v>
          </cell>
          <cell r="I95" t="str">
            <v>010-9345-3633</v>
          </cell>
          <cell r="J95" t="str">
            <v>삼일용역</v>
          </cell>
          <cell r="K95" t="str">
            <v>27901</v>
          </cell>
        </row>
        <row r="96">
          <cell r="A96" t="str">
            <v>조남부</v>
          </cell>
        </row>
        <row r="96">
          <cell r="C96" t="str">
            <v>600417-1458432</v>
          </cell>
          <cell r="D96" t="str">
            <v>충북 청원군 낭성면 관정길 180-1</v>
          </cell>
          <cell r="E96" t="str">
            <v>국민</v>
          </cell>
          <cell r="F96" t="str">
            <v>삼일용역</v>
          </cell>
          <cell r="G96" t="str">
            <v>722125-95-102456</v>
          </cell>
          <cell r="H96">
            <v>165000</v>
          </cell>
        </row>
        <row r="96">
          <cell r="J96" t="str">
            <v>삼일용역</v>
          </cell>
          <cell r="K96" t="str">
            <v>28194</v>
          </cell>
        </row>
        <row r="97">
          <cell r="A97" t="str">
            <v>임종길</v>
          </cell>
        </row>
        <row r="97">
          <cell r="C97" t="str">
            <v>611204-1346019</v>
          </cell>
          <cell r="D97" t="str">
            <v>경상남도 고성군 거류면 화당2길 21-10</v>
          </cell>
          <cell r="E97" t="str">
            <v>국민</v>
          </cell>
          <cell r="F97" t="str">
            <v>삼일용역</v>
          </cell>
          <cell r="G97" t="str">
            <v>722125-95-102456</v>
          </cell>
          <cell r="H97">
            <v>175000</v>
          </cell>
        </row>
        <row r="97">
          <cell r="J97" t="str">
            <v>삼일용역</v>
          </cell>
          <cell r="K97" t="str">
            <v>52926</v>
          </cell>
        </row>
        <row r="98">
          <cell r="A98" t="str">
            <v>윤덕근</v>
          </cell>
        </row>
        <row r="98">
          <cell r="C98" t="str">
            <v>620209-1390912</v>
          </cell>
          <cell r="D98" t="str">
            <v>충청북도 증평군 증평읍 송산로4길 14,305동</v>
          </cell>
          <cell r="E98" t="str">
            <v>국민</v>
          </cell>
          <cell r="F98" t="str">
            <v>삼일용역</v>
          </cell>
          <cell r="G98" t="str">
            <v>722125-95-102456</v>
          </cell>
          <cell r="H98">
            <v>170000</v>
          </cell>
          <cell r="I98" t="str">
            <v>010-5498-6461</v>
          </cell>
          <cell r="J98" t="str">
            <v>삼일용역</v>
          </cell>
          <cell r="K98" t="str">
            <v>27917</v>
          </cell>
        </row>
        <row r="99">
          <cell r="A99" t="str">
            <v>김상만</v>
          </cell>
        </row>
        <row r="99">
          <cell r="C99" t="str">
            <v>730115-1781625</v>
          </cell>
          <cell r="D99" t="str">
            <v>울산광역시 동구 대송3길 63</v>
          </cell>
          <cell r="E99" t="str">
            <v>국민</v>
          </cell>
          <cell r="F99" t="str">
            <v>삼일용역</v>
          </cell>
          <cell r="G99" t="str">
            <v>722125-95-102456</v>
          </cell>
          <cell r="H99">
            <v>175000</v>
          </cell>
          <cell r="I99" t="str">
            <v>010-5498-6461</v>
          </cell>
          <cell r="J99" t="str">
            <v>삼일용역</v>
          </cell>
          <cell r="K99" t="str">
            <v>44062</v>
          </cell>
        </row>
        <row r="100">
          <cell r="A100" t="str">
            <v>이주은</v>
          </cell>
        </row>
        <row r="100">
          <cell r="C100" t="str">
            <v>930109-2409915</v>
          </cell>
          <cell r="D100" t="str">
            <v>대전광역시 서구 도솔로 324-5(괴정동)</v>
          </cell>
          <cell r="E100" t="str">
            <v>국민</v>
          </cell>
          <cell r="F100" t="str">
            <v>삼일용역</v>
          </cell>
          <cell r="G100" t="str">
            <v>722125-95-102456</v>
          </cell>
          <cell r="H100">
            <v>130000</v>
          </cell>
        </row>
        <row r="100">
          <cell r="J100" t="str">
            <v>삼일용역</v>
          </cell>
          <cell r="K100" t="str">
            <v>35295</v>
          </cell>
        </row>
        <row r="101">
          <cell r="A101" t="str">
            <v>김정태</v>
          </cell>
          <cell r="B101" t="str">
            <v>삼일용역</v>
          </cell>
          <cell r="C101" t="str">
            <v>650104-1380821</v>
          </cell>
          <cell r="D101" t="str">
            <v>충청북도 청주시 청원구 오창읍 여천2길 22-5</v>
          </cell>
          <cell r="E101" t="str">
            <v>국민</v>
          </cell>
          <cell r="F101" t="str">
            <v>삼일용역</v>
          </cell>
          <cell r="G101" t="str">
            <v>722125-95-102456</v>
          </cell>
          <cell r="H101">
            <v>175000</v>
          </cell>
        </row>
        <row r="101">
          <cell r="J101" t="str">
            <v>삼일용역</v>
          </cell>
          <cell r="K101" t="str">
            <v>28127</v>
          </cell>
        </row>
        <row r="102">
          <cell r="A102" t="str">
            <v>윤희주</v>
          </cell>
          <cell r="B102" t="str">
            <v>삼일용역</v>
          </cell>
          <cell r="C102" t="str">
            <v>520112-1621913</v>
          </cell>
          <cell r="D102" t="str">
            <v>충북 증평군 증평읍 쇠마루1길 45</v>
          </cell>
          <cell r="E102" t="str">
            <v>국민</v>
          </cell>
          <cell r="F102" t="str">
            <v>삼일용역</v>
          </cell>
          <cell r="G102" t="str">
            <v>722125-95-102456</v>
          </cell>
          <cell r="H102">
            <v>175000</v>
          </cell>
        </row>
        <row r="102">
          <cell r="J102" t="str">
            <v>삼일용역</v>
          </cell>
          <cell r="K102" t="str">
            <v>27913</v>
          </cell>
        </row>
        <row r="103">
          <cell r="A103" t="str">
            <v>최성학</v>
          </cell>
          <cell r="B103" t="str">
            <v>삼일용역</v>
          </cell>
          <cell r="C103" t="str">
            <v>630111-1268111</v>
          </cell>
          <cell r="D103" t="str">
            <v>충북 음성군 설성로 2</v>
          </cell>
          <cell r="E103" t="str">
            <v>국민</v>
          </cell>
          <cell r="F103" t="str">
            <v>삼일용역</v>
          </cell>
          <cell r="G103" t="str">
            <v>722125-95-102456</v>
          </cell>
          <cell r="H103">
            <v>165000</v>
          </cell>
        </row>
        <row r="103">
          <cell r="J103" t="str">
            <v>삼일용역</v>
          </cell>
          <cell r="K103" t="str">
            <v>21952</v>
          </cell>
        </row>
        <row r="104">
          <cell r="A104" t="str">
            <v>정복용</v>
          </cell>
          <cell r="B104" t="str">
            <v>삼일용역</v>
          </cell>
          <cell r="C104" t="str">
            <v>651210-1337113</v>
          </cell>
          <cell r="D104" t="str">
            <v>강원도 화천군 간동면 오음리 오동나무길8-9</v>
          </cell>
          <cell r="E104" t="str">
            <v>국민</v>
          </cell>
          <cell r="F104" t="str">
            <v>삼일용역</v>
          </cell>
          <cell r="G104" t="str">
            <v>722125-95-102456</v>
          </cell>
          <cell r="H104">
            <v>180000</v>
          </cell>
        </row>
        <row r="104">
          <cell r="J104" t="str">
            <v>삼일용역</v>
          </cell>
          <cell r="K104" t="str">
            <v>24137</v>
          </cell>
        </row>
        <row r="105">
          <cell r="A105" t="str">
            <v>정인섭</v>
          </cell>
          <cell r="B105" t="str">
            <v>삼일용역</v>
          </cell>
          <cell r="C105" t="str">
            <v>610720-1452816</v>
          </cell>
          <cell r="D105" t="str">
            <v>충북 증평군 증평읍 삼보로1길 21, 104동110호</v>
          </cell>
          <cell r="E105" t="str">
            <v>국민</v>
          </cell>
          <cell r="F105" t="str">
            <v>삼일용역</v>
          </cell>
          <cell r="G105" t="str">
            <v>722125-95-102456</v>
          </cell>
          <cell r="H105">
            <v>165000</v>
          </cell>
        </row>
        <row r="105">
          <cell r="J105" t="str">
            <v>삼일용역</v>
          </cell>
          <cell r="K105" t="str">
            <v>27928</v>
          </cell>
        </row>
        <row r="106">
          <cell r="A106" t="str">
            <v>연제선</v>
          </cell>
          <cell r="B106" t="str">
            <v>삼일용역</v>
          </cell>
          <cell r="C106" t="str">
            <v>880417-1390814</v>
          </cell>
          <cell r="D106" t="str">
            <v>충북 증평군 증평읍 송산로 53 휴먼시아@</v>
          </cell>
          <cell r="E106" t="str">
            <v>국민</v>
          </cell>
          <cell r="F106" t="str">
            <v>삼일용역</v>
          </cell>
          <cell r="G106" t="str">
            <v>722125-95-102456</v>
          </cell>
          <cell r="H106">
            <v>175000</v>
          </cell>
        </row>
        <row r="106">
          <cell r="J106" t="str">
            <v>삼일용역</v>
          </cell>
          <cell r="K106" t="str">
            <v>27918</v>
          </cell>
        </row>
        <row r="107">
          <cell r="A107" t="str">
            <v>이기범</v>
          </cell>
          <cell r="B107" t="str">
            <v>삼일용역</v>
          </cell>
          <cell r="C107" t="str">
            <v>840608-1227411</v>
          </cell>
          <cell r="D107" t="str">
            <v>경기도 평택시 세교동 560, 향촌현대아파트</v>
          </cell>
          <cell r="E107" t="str">
            <v>국민</v>
          </cell>
          <cell r="F107" t="str">
            <v>삼일용역</v>
          </cell>
          <cell r="G107" t="str">
            <v>722125-95-102456</v>
          </cell>
          <cell r="H107">
            <v>165000</v>
          </cell>
        </row>
        <row r="107">
          <cell r="J107" t="str">
            <v>삼일용역</v>
          </cell>
          <cell r="K107" t="str">
            <v>17832</v>
          </cell>
        </row>
        <row r="108">
          <cell r="A108" t="str">
            <v>신기호</v>
          </cell>
          <cell r="B108" t="str">
            <v>삼일용역</v>
          </cell>
          <cell r="C108" t="str">
            <v>740917-1390110</v>
          </cell>
          <cell r="D108" t="str">
            <v>충북 청주시 청원구 오창읍 양천6길 4-10 104호</v>
          </cell>
          <cell r="E108" t="str">
            <v>국민</v>
          </cell>
          <cell r="F108" t="str">
            <v>삼일용역</v>
          </cell>
          <cell r="G108" t="str">
            <v>722125-95-102456</v>
          </cell>
          <cell r="H108">
            <v>165000</v>
          </cell>
        </row>
        <row r="108">
          <cell r="J108" t="str">
            <v>삼일용역</v>
          </cell>
          <cell r="K108" t="str">
            <v>28116</v>
          </cell>
        </row>
        <row r="109">
          <cell r="A109" t="str">
            <v>한승태</v>
          </cell>
          <cell r="B109" t="str">
            <v>삼일용역</v>
          </cell>
          <cell r="C109" t="str">
            <v>560216-1390811</v>
          </cell>
          <cell r="D109" t="str">
            <v>충북 증평군 도안면 백암길 31-10</v>
          </cell>
          <cell r="E109" t="str">
            <v>국민</v>
          </cell>
          <cell r="F109" t="str">
            <v>삼일용역</v>
          </cell>
          <cell r="G109" t="str">
            <v>722125-95-102456</v>
          </cell>
          <cell r="H109">
            <v>175000</v>
          </cell>
        </row>
        <row r="110">
          <cell r="A110" t="str">
            <v>한만선</v>
          </cell>
          <cell r="B110" t="str">
            <v>삼일용역</v>
          </cell>
          <cell r="C110" t="str">
            <v>600709-1398411</v>
          </cell>
          <cell r="D110" t="str">
            <v>대전광영시유성구유성대로668번길64 301호</v>
          </cell>
          <cell r="E110" t="str">
            <v>국민</v>
          </cell>
          <cell r="F110" t="str">
            <v>삼일용역</v>
          </cell>
          <cell r="G110" t="str">
            <v>722125-95-102456</v>
          </cell>
          <cell r="H110">
            <v>165000</v>
          </cell>
        </row>
        <row r="111">
          <cell r="A111" t="str">
            <v>정수용</v>
          </cell>
          <cell r="B111" t="str">
            <v>삼일용역</v>
          </cell>
          <cell r="C111" t="str">
            <v>610528-1390511</v>
          </cell>
          <cell r="D111" t="str">
            <v>충청북도 증평군 증평읍 광장로 534 (서호e타운아파트)</v>
          </cell>
          <cell r="E111" t="str">
            <v>국민</v>
          </cell>
          <cell r="F111" t="str">
            <v>삼일용역</v>
          </cell>
          <cell r="G111" t="str">
            <v>722125-95-102456</v>
          </cell>
          <cell r="H111">
            <v>165000</v>
          </cell>
        </row>
        <row r="111">
          <cell r="K111">
            <v>27909</v>
          </cell>
        </row>
        <row r="112">
          <cell r="A112" t="str">
            <v>한상원</v>
          </cell>
          <cell r="B112" t="str">
            <v>삼일용역</v>
          </cell>
          <cell r="C112" t="str">
            <v>700225-1390926</v>
          </cell>
          <cell r="D112" t="str">
            <v>충청북도 괴산군 사리면 방축리 768-130</v>
          </cell>
          <cell r="E112" t="str">
            <v>국민</v>
          </cell>
          <cell r="F112" t="str">
            <v>삼일용역</v>
          </cell>
          <cell r="G112" t="str">
            <v>722125-95-102456</v>
          </cell>
          <cell r="H112">
            <v>175000</v>
          </cell>
        </row>
        <row r="113">
          <cell r="A113" t="str">
            <v>정문기</v>
          </cell>
          <cell r="B113" t="str">
            <v>삼일용역</v>
          </cell>
          <cell r="C113" t="str">
            <v>670101-1926014</v>
          </cell>
          <cell r="D113" t="str">
            <v>경기도 김포시 대곶면 대곶서로 234번길 52-16</v>
          </cell>
          <cell r="E113" t="str">
            <v>국민</v>
          </cell>
          <cell r="F113" t="str">
            <v>삼일용역</v>
          </cell>
          <cell r="G113" t="str">
            <v>722125-95-102456</v>
          </cell>
          <cell r="H113">
            <v>165000</v>
          </cell>
        </row>
        <row r="114">
          <cell r="A114" t="str">
            <v>최영수</v>
          </cell>
          <cell r="B114" t="str">
            <v>삼일용역</v>
          </cell>
          <cell r="C114" t="str">
            <v>770131-1390916</v>
          </cell>
          <cell r="D114" t="str">
            <v>증평군 증평읍 충청대로 1746,105동 102호 </v>
          </cell>
          <cell r="E114" t="str">
            <v>국민</v>
          </cell>
          <cell r="F114" t="str">
            <v>삼일용역</v>
          </cell>
          <cell r="G114" t="str">
            <v>722125-95-102456</v>
          </cell>
          <cell r="H114">
            <v>175000</v>
          </cell>
        </row>
        <row r="115">
          <cell r="A115" t="str">
            <v>이권희</v>
          </cell>
          <cell r="B115" t="str">
            <v>삼일용역</v>
          </cell>
          <cell r="C115" t="str">
            <v>600920-1390816</v>
          </cell>
          <cell r="D115" t="str">
            <v>충북 증평군 도안면 도당리 131</v>
          </cell>
          <cell r="E115" t="str">
            <v>국민</v>
          </cell>
          <cell r="F115" t="str">
            <v>삼일용역</v>
          </cell>
          <cell r="G115" t="str">
            <v>722125-95-102456</v>
          </cell>
          <cell r="H115">
            <v>165000</v>
          </cell>
        </row>
        <row r="115">
          <cell r="K115">
            <v>27906</v>
          </cell>
        </row>
        <row r="116">
          <cell r="A116" t="str">
            <v>연영수</v>
          </cell>
          <cell r="B116" t="str">
            <v>삼일용역</v>
          </cell>
          <cell r="C116" t="str">
            <v>610228-1390814</v>
          </cell>
          <cell r="D116" t="str">
            <v>충북 증평군 증평읍 진지내1길 21, 3호</v>
          </cell>
          <cell r="E116" t="str">
            <v>국민</v>
          </cell>
          <cell r="F116" t="str">
            <v>삼일용역</v>
          </cell>
          <cell r="G116" t="str">
            <v>722125-95-102456</v>
          </cell>
          <cell r="H116">
            <v>165000</v>
          </cell>
        </row>
        <row r="116">
          <cell r="K116" t="str">
            <v>27933</v>
          </cell>
        </row>
        <row r="117">
          <cell r="A117" t="str">
            <v>정규성</v>
          </cell>
          <cell r="B117" t="str">
            <v>삼일용역</v>
          </cell>
          <cell r="C117" t="str">
            <v>721023-1904418</v>
          </cell>
          <cell r="D117" t="str">
            <v>울산광역시 울주군 삼남면 서향교1길 59-9</v>
          </cell>
          <cell r="E117" t="str">
            <v>국민</v>
          </cell>
          <cell r="F117" t="str">
            <v>삼일용역</v>
          </cell>
          <cell r="G117" t="str">
            <v>722125-95-102456</v>
          </cell>
          <cell r="H117">
            <v>175000</v>
          </cell>
        </row>
        <row r="117">
          <cell r="K117">
            <v>44950</v>
          </cell>
        </row>
        <row r="118">
          <cell r="A118" t="str">
            <v>이승태</v>
          </cell>
          <cell r="B118" t="str">
            <v>삼일용역</v>
          </cell>
          <cell r="C118" t="str">
            <v>760221-1537211</v>
          </cell>
          <cell r="D118" t="str">
            <v>충북 청주시 청원구 오창읍 양청2길29-38</v>
          </cell>
          <cell r="E118" t="str">
            <v>국민</v>
          </cell>
          <cell r="F118" t="str">
            <v>삼일용역</v>
          </cell>
          <cell r="G118" t="str">
            <v>722125-95-102456</v>
          </cell>
          <cell r="H118">
            <v>165000</v>
          </cell>
        </row>
        <row r="118">
          <cell r="K118">
            <v>28115</v>
          </cell>
        </row>
        <row r="119">
          <cell r="A119" t="str">
            <v>이성길</v>
          </cell>
          <cell r="B119" t="str">
            <v>삼일용역</v>
          </cell>
          <cell r="C119" t="str">
            <v>651105-1046117</v>
          </cell>
          <cell r="D119" t="str">
            <v>경기도 안성시 원곡면 강문길 31</v>
          </cell>
          <cell r="E119" t="str">
            <v>국민</v>
          </cell>
          <cell r="F119" t="str">
            <v>삼일용역</v>
          </cell>
          <cell r="G119" t="str">
            <v>722125-95-102456</v>
          </cell>
          <cell r="H119">
            <v>180000</v>
          </cell>
        </row>
        <row r="119">
          <cell r="K119" t="str">
            <v>17555</v>
          </cell>
        </row>
        <row r="120">
          <cell r="A120" t="str">
            <v>김경선</v>
          </cell>
          <cell r="B120" t="str">
            <v>삼일용역</v>
          </cell>
          <cell r="C120" t="str">
            <v>590703-1047120</v>
          </cell>
          <cell r="D120" t="str">
            <v>경기도 화성시 떡전골로 82, 7동 725호</v>
          </cell>
          <cell r="E120" t="str">
            <v>국민</v>
          </cell>
          <cell r="F120" t="str">
            <v>삼일용역</v>
          </cell>
          <cell r="G120" t="str">
            <v>722125-95-102456</v>
          </cell>
          <cell r="H120">
            <v>185000</v>
          </cell>
        </row>
        <row r="120">
          <cell r="K120">
            <v>18412</v>
          </cell>
        </row>
        <row r="121">
          <cell r="A121" t="str">
            <v>김주현</v>
          </cell>
          <cell r="B121" t="str">
            <v>삼일용역</v>
          </cell>
          <cell r="C121" t="str">
            <v>790210-1388411</v>
          </cell>
          <cell r="D121" t="str">
            <v>충북 증평군 증평읍 초중12길 50, 203호</v>
          </cell>
          <cell r="E121" t="str">
            <v>국민</v>
          </cell>
          <cell r="F121" t="str">
            <v>삼일용역</v>
          </cell>
          <cell r="G121" t="str">
            <v>722125-95-102456</v>
          </cell>
          <cell r="H121">
            <v>185000</v>
          </cell>
        </row>
        <row r="121">
          <cell r="K121">
            <v>27939</v>
          </cell>
        </row>
        <row r="122">
          <cell r="A122" t="str">
            <v>김경민</v>
          </cell>
          <cell r="B122" t="str">
            <v>삼일용역</v>
          </cell>
          <cell r="C122" t="str">
            <v>790618-1381016</v>
          </cell>
          <cell r="D122" t="str">
            <v>충북 청주시 청원구 내수읍 은곡묵방길28, 102동 510호</v>
          </cell>
          <cell r="E122" t="str">
            <v>국민</v>
          </cell>
          <cell r="F122" t="str">
            <v>삼일용역</v>
          </cell>
          <cell r="G122" t="str">
            <v>722125-95-102456</v>
          </cell>
          <cell r="H122">
            <v>165000</v>
          </cell>
        </row>
        <row r="122">
          <cell r="K122">
            <v>28151</v>
          </cell>
        </row>
        <row r="129">
          <cell r="A129" t="str">
            <v>이강윤</v>
          </cell>
        </row>
        <row r="129">
          <cell r="C129" t="str">
            <v>580301-1524520</v>
          </cell>
          <cell r="D129" t="str">
            <v>충북 영동군 영동읍 영산로6길 18-6</v>
          </cell>
          <cell r="E129" t="str">
            <v>농협</v>
          </cell>
          <cell r="F129" t="str">
            <v>이강윤</v>
          </cell>
          <cell r="G129" t="str">
            <v>407012-52-107196</v>
          </cell>
          <cell r="H129">
            <v>270000</v>
          </cell>
          <cell r="I129" t="str">
            <v>010-4420-0758</v>
          </cell>
        </row>
        <row r="129">
          <cell r="K129">
            <v>29147</v>
          </cell>
        </row>
        <row r="130">
          <cell r="A130" t="str">
            <v>곽정관</v>
          </cell>
        </row>
        <row r="130">
          <cell r="C130" t="str">
            <v>530112-1117421</v>
          </cell>
          <cell r="D130" t="str">
            <v>충북 영동군 영동읍 금동로3길 5-9</v>
          </cell>
          <cell r="E130" t="str">
            <v>농협</v>
          </cell>
          <cell r="F130" t="str">
            <v>곽정관</v>
          </cell>
          <cell r="G130" t="str">
            <v>319-12-247113</v>
          </cell>
          <cell r="H130">
            <v>240000</v>
          </cell>
          <cell r="I130" t="str">
            <v>010-5255-9807</v>
          </cell>
        </row>
        <row r="130">
          <cell r="K130" t="str">
            <v>29138</v>
          </cell>
        </row>
        <row r="131">
          <cell r="A131" t="str">
            <v>조원제</v>
          </cell>
        </row>
        <row r="131">
          <cell r="C131" t="str">
            <v>641120-1386124</v>
          </cell>
          <cell r="D131" t="str">
            <v>충북 영동군 영동읍 부용6길 20-39</v>
          </cell>
          <cell r="E131" t="str">
            <v>농협</v>
          </cell>
          <cell r="F131" t="str">
            <v>조원제</v>
          </cell>
          <cell r="G131" t="str">
            <v>319-12-230641</v>
          </cell>
          <cell r="H131">
            <v>250000</v>
          </cell>
        </row>
        <row r="131">
          <cell r="K131">
            <v>29149</v>
          </cell>
        </row>
        <row r="132">
          <cell r="A132" t="str">
            <v>최승열</v>
          </cell>
          <cell r="B132" t="str">
            <v>보통인부</v>
          </cell>
          <cell r="C132" t="str">
            <v>620724-1648219</v>
          </cell>
          <cell r="D132" t="str">
            <v>충북 영동군 영동읍 부용7길 12,가동 201호(남경빌라)</v>
          </cell>
        </row>
        <row r="132">
          <cell r="F132" t="str">
            <v>최승열</v>
          </cell>
          <cell r="G132" t="str">
            <v>상용직</v>
          </cell>
        </row>
        <row r="132">
          <cell r="I132">
            <v>1054644595</v>
          </cell>
        </row>
        <row r="132">
          <cell r="K132" t="str">
            <v>29147</v>
          </cell>
        </row>
        <row r="133">
          <cell r="A133" t="str">
            <v>박장현</v>
          </cell>
          <cell r="B133" t="str">
            <v>보통인부</v>
          </cell>
          <cell r="C133" t="str">
            <v>690615-1386125</v>
          </cell>
          <cell r="D133" t="str">
            <v>충북 영동군 영동읍 부용7안길 25</v>
          </cell>
        </row>
        <row r="133">
          <cell r="F133" t="str">
            <v>박장현</v>
          </cell>
          <cell r="G133" t="str">
            <v>상용직</v>
          </cell>
        </row>
        <row r="133">
          <cell r="I133" t="str">
            <v>010-9405-6479</v>
          </cell>
        </row>
        <row r="133">
          <cell r="K133" t="str">
            <v>29157</v>
          </cell>
        </row>
        <row r="134">
          <cell r="A134" t="str">
            <v>박래일</v>
          </cell>
        </row>
        <row r="134">
          <cell r="C134" t="str">
            <v>590108-1386126</v>
          </cell>
          <cell r="D134" t="str">
            <v>충북 영동군 영동읍 영산로7길 2, 가동 106호 (양지연립)</v>
          </cell>
          <cell r="E134" t="str">
            <v>농협</v>
          </cell>
          <cell r="F134" t="str">
            <v>박래일</v>
          </cell>
          <cell r="G134" t="str">
            <v>356-0895-8530-93</v>
          </cell>
          <cell r="H134">
            <v>150000</v>
          </cell>
          <cell r="I134" t="str">
            <v>010-4650-3480</v>
          </cell>
        </row>
        <row r="134">
          <cell r="K134" t="str">
            <v>29155</v>
          </cell>
        </row>
        <row r="135">
          <cell r="A135" t="str">
            <v>박범해</v>
          </cell>
        </row>
        <row r="135">
          <cell r="C135" t="str">
            <v>660105-1386714</v>
          </cell>
          <cell r="D135" t="str">
            <v>충북 영동군 양강면 남전2안길 4-17 (남전리 272)</v>
          </cell>
          <cell r="E135" t="str">
            <v>농협</v>
          </cell>
          <cell r="F135" t="str">
            <v>박범해</v>
          </cell>
          <cell r="G135" t="str">
            <v>356-1071-0591-83</v>
          </cell>
          <cell r="H135">
            <v>150000</v>
          </cell>
          <cell r="I135" t="str">
            <v>010-6356-5898</v>
          </cell>
        </row>
        <row r="135">
          <cell r="K135" t="str">
            <v>29155</v>
          </cell>
        </row>
        <row r="136">
          <cell r="A136" t="str">
            <v>이명철</v>
          </cell>
        </row>
        <row r="136">
          <cell r="C136" t="str">
            <v>000329-3691911</v>
          </cell>
          <cell r="D136" t="str">
            <v>충북 제천시 제천북로1길 75 (왕암동)</v>
          </cell>
          <cell r="E136" t="str">
            <v>농협</v>
          </cell>
          <cell r="F136" t="str">
            <v>이명철</v>
          </cell>
          <cell r="G136" t="str">
            <v>302-1531-6143-71</v>
          </cell>
          <cell r="H136">
            <v>150000</v>
          </cell>
          <cell r="I136" t="str">
            <v>010-5301-8775</v>
          </cell>
        </row>
        <row r="136">
          <cell r="K136" t="str">
            <v>29129</v>
          </cell>
        </row>
        <row r="137">
          <cell r="A137" t="str">
            <v>배진식</v>
          </cell>
        </row>
        <row r="137">
          <cell r="C137" t="str">
            <v>540910-1386711</v>
          </cell>
          <cell r="D137" t="str">
            <v>충북 영동군 양강면 국촌길16-11</v>
          </cell>
          <cell r="E137" t="str">
            <v>농협</v>
          </cell>
          <cell r="F137" t="str">
            <v>배진식</v>
          </cell>
          <cell r="G137" t="str">
            <v>069-01-106491</v>
          </cell>
          <cell r="H137">
            <v>150000</v>
          </cell>
          <cell r="I137" t="str">
            <v>010-4476-3636</v>
          </cell>
        </row>
        <row r="137">
          <cell r="K137" t="str">
            <v>29157</v>
          </cell>
        </row>
        <row r="138">
          <cell r="A138" t="str">
            <v>박헌태</v>
          </cell>
        </row>
        <row r="138">
          <cell r="C138" t="str">
            <v>551120-1455311</v>
          </cell>
          <cell r="D138" t="str">
            <v>충북 영동군 영동읍 눈어치2로 22</v>
          </cell>
          <cell r="E138" t="str">
            <v>농협</v>
          </cell>
          <cell r="F138" t="str">
            <v>박헌태</v>
          </cell>
          <cell r="G138" t="str">
            <v>356-0142-0083-23</v>
          </cell>
          <cell r="H138">
            <v>150000</v>
          </cell>
          <cell r="I138" t="str">
            <v>010-5450-0950</v>
          </cell>
        </row>
        <row r="138">
          <cell r="K138" t="str">
            <v>29140</v>
          </cell>
        </row>
        <row r="139">
          <cell r="A139" t="str">
            <v>민백규</v>
          </cell>
        </row>
        <row r="139">
          <cell r="C139" t="str">
            <v>600810-1386721</v>
          </cell>
          <cell r="D139" t="str">
            <v>충북 영동군 양강면 내만길 178-2</v>
          </cell>
          <cell r="E139" t="str">
            <v>농협</v>
          </cell>
          <cell r="F139" t="str">
            <v>민백규</v>
          </cell>
          <cell r="G139" t="str">
            <v>453060-52-207611</v>
          </cell>
          <cell r="H139">
            <v>150000</v>
          </cell>
          <cell r="I139" t="str">
            <v>010-7107-2693</v>
          </cell>
        </row>
        <row r="139">
          <cell r="K139" t="str">
            <v>37274</v>
          </cell>
        </row>
        <row r="140">
          <cell r="A140" t="str">
            <v>민헌기</v>
          </cell>
        </row>
        <row r="140">
          <cell r="C140" t="str">
            <v>601219-1386711</v>
          </cell>
          <cell r="D140" t="str">
            <v>충북 영동군 양강면 내만길 173 (만계리 156-4)</v>
          </cell>
          <cell r="E140" t="str">
            <v>농협</v>
          </cell>
          <cell r="F140" t="str">
            <v>민헌기</v>
          </cell>
          <cell r="G140" t="str">
            <v>352-0293-9952-13</v>
          </cell>
          <cell r="H140">
            <v>150000</v>
          </cell>
          <cell r="I140" t="str">
            <v>010-5338-5196</v>
          </cell>
        </row>
        <row r="140">
          <cell r="K140" t="str">
            <v>27116</v>
          </cell>
        </row>
        <row r="141">
          <cell r="A141" t="str">
            <v>박상복</v>
          </cell>
        </row>
        <row r="141">
          <cell r="C141" t="str">
            <v>800702-1386911</v>
          </cell>
          <cell r="D141" t="str">
            <v>충북 영동군 영동읍 동정리143</v>
          </cell>
          <cell r="E141" t="str">
            <v>중소기업</v>
          </cell>
          <cell r="F141" t="str">
            <v>박상복</v>
          </cell>
          <cell r="G141" t="str">
            <v>186-041383-01-012</v>
          </cell>
          <cell r="H141">
            <v>150000</v>
          </cell>
          <cell r="I141" t="str">
            <v>010-8597-4428</v>
          </cell>
        </row>
        <row r="141">
          <cell r="K141" t="str">
            <v>29140</v>
          </cell>
        </row>
        <row r="142">
          <cell r="A142" t="str">
            <v>황동주</v>
          </cell>
        </row>
        <row r="142">
          <cell r="C142" t="str">
            <v>571013-1805110</v>
          </cell>
          <cell r="D142" t="str">
            <v>경상북도 상주시 모동면 수봉리 546 </v>
          </cell>
          <cell r="E142" t="str">
            <v>우체국</v>
          </cell>
          <cell r="F142" t="str">
            <v>황동주</v>
          </cell>
          <cell r="G142" t="str">
            <v>701029-02-013954</v>
          </cell>
          <cell r="H142">
            <v>150000</v>
          </cell>
          <cell r="I142" t="str">
            <v>010-3432-0395</v>
          </cell>
        </row>
        <row r="142">
          <cell r="K142" t="str">
            <v>10501</v>
          </cell>
        </row>
        <row r="143">
          <cell r="A143" t="str">
            <v>이병문</v>
          </cell>
        </row>
        <row r="143">
          <cell r="C143" t="str">
            <v>570919-1401027</v>
          </cell>
          <cell r="D143" t="str">
            <v>충북 영동군 영동읍 동정리 143</v>
          </cell>
          <cell r="E143" t="str">
            <v>농협</v>
          </cell>
          <cell r="F143" t="str">
            <v>이병문</v>
          </cell>
          <cell r="G143" t="str">
            <v>302-0987-1761-21</v>
          </cell>
          <cell r="H143">
            <v>150000</v>
          </cell>
          <cell r="I143" t="str">
            <v>010-8975-6129</v>
          </cell>
        </row>
        <row r="143">
          <cell r="K143" t="str">
            <v>34516</v>
          </cell>
        </row>
        <row r="144">
          <cell r="A144" t="str">
            <v>정찬옥</v>
          </cell>
        </row>
        <row r="144">
          <cell r="C144" t="str">
            <v>610512-2328134</v>
          </cell>
          <cell r="D144" t="str">
            <v>대전광역시 동구 백룡로 35-10</v>
          </cell>
          <cell r="E144" t="str">
            <v>새마을</v>
          </cell>
          <cell r="F144" t="str">
            <v>정찬옥</v>
          </cell>
          <cell r="G144" t="str">
            <v>9002-1563-1485-9</v>
          </cell>
          <cell r="H144">
            <v>220000</v>
          </cell>
        </row>
        <row r="144">
          <cell r="K144" t="str">
            <v>29155</v>
          </cell>
        </row>
        <row r="145">
          <cell r="A145" t="str">
            <v>이창우</v>
          </cell>
        </row>
        <row r="145">
          <cell r="C145" t="str">
            <v>670620-1387124</v>
          </cell>
          <cell r="D145" t="str">
            <v>충북 영동군 심천면 지계길 113</v>
          </cell>
          <cell r="E145" t="str">
            <v>농협</v>
          </cell>
          <cell r="F145" t="str">
            <v>이창우</v>
          </cell>
          <cell r="G145" t="str">
            <v>4070-52-014063</v>
          </cell>
          <cell r="H145">
            <v>150000</v>
          </cell>
        </row>
        <row r="145">
          <cell r="K145" t="str">
            <v>29101</v>
          </cell>
        </row>
        <row r="146">
          <cell r="A146" t="str">
            <v>김환배</v>
          </cell>
        </row>
        <row r="146">
          <cell r="C146" t="str">
            <v>530810-1057646</v>
          </cell>
          <cell r="D146" t="str">
            <v>충북 영동군 양강면 남전2안길 4-20</v>
          </cell>
          <cell r="E146" t="str">
            <v>농협</v>
          </cell>
          <cell r="F146" t="str">
            <v>김환배</v>
          </cell>
          <cell r="G146" t="str">
            <v>352-0532-0302-03</v>
          </cell>
          <cell r="H146">
            <v>180000</v>
          </cell>
        </row>
        <row r="146">
          <cell r="K146" t="str">
            <v>29139</v>
          </cell>
        </row>
        <row r="147">
          <cell r="A147" t="str">
            <v>엄종섭</v>
          </cell>
        </row>
        <row r="147">
          <cell r="C147" t="str">
            <v>660719-1522231</v>
          </cell>
          <cell r="D147" t="str">
            <v>충북 영동군 용산면 율리4길 18-8</v>
          </cell>
          <cell r="E147" t="str">
            <v>농협</v>
          </cell>
          <cell r="F147" t="str">
            <v>엄종섭</v>
          </cell>
          <cell r="G147" t="str">
            <v>352-0772-2516-93</v>
          </cell>
          <cell r="H147">
            <v>150000</v>
          </cell>
          <cell r="I147" t="str">
            <v>010-2031-1002</v>
          </cell>
        </row>
        <row r="147">
          <cell r="K147" t="str">
            <v>29165</v>
          </cell>
        </row>
        <row r="148">
          <cell r="A148" t="str">
            <v>정구목</v>
          </cell>
        </row>
        <row r="148">
          <cell r="C148" t="str">
            <v>601005-1386727</v>
          </cell>
          <cell r="D148" t="str">
            <v>충북 영동군 영동읍 구교로 32-7, 307호 (대성@)</v>
          </cell>
          <cell r="E148" t="str">
            <v>농협</v>
          </cell>
          <cell r="F148" t="str">
            <v>정구목</v>
          </cell>
          <cell r="G148" t="str">
            <v>301-0283-3279-11</v>
          </cell>
          <cell r="H148">
            <v>150000</v>
          </cell>
        </row>
        <row r="148">
          <cell r="K148" t="str">
            <v>29155</v>
          </cell>
        </row>
        <row r="149">
          <cell r="A149" t="str">
            <v>전근정</v>
          </cell>
        </row>
        <row r="149">
          <cell r="C149" t="str">
            <v>721105-1386912</v>
          </cell>
          <cell r="D149" t="str">
            <v>충북 영동군 학산면 모정길 78 (황산리 843)</v>
          </cell>
          <cell r="E149" t="str">
            <v>농협</v>
          </cell>
          <cell r="F149" t="str">
            <v>전근정</v>
          </cell>
          <cell r="G149" t="str">
            <v>237824-52-034278</v>
          </cell>
          <cell r="H149">
            <v>150000</v>
          </cell>
          <cell r="I149" t="str">
            <v>010-4754-1141</v>
          </cell>
        </row>
        <row r="149">
          <cell r="K149" t="str">
            <v>29165</v>
          </cell>
        </row>
        <row r="150">
          <cell r="A150" t="str">
            <v>장갑진</v>
          </cell>
        </row>
        <row r="150">
          <cell r="C150" t="str">
            <v>610210-1386710</v>
          </cell>
          <cell r="D150" t="str">
            <v>충북 영동군 양강면 신기1길 21</v>
          </cell>
          <cell r="E150" t="str">
            <v>농협</v>
          </cell>
          <cell r="F150" t="str">
            <v>장갑진</v>
          </cell>
          <cell r="G150" t="str">
            <v>407023-51-026910</v>
          </cell>
          <cell r="H150">
            <v>150000</v>
          </cell>
        </row>
        <row r="150">
          <cell r="K150" t="str">
            <v>29146</v>
          </cell>
        </row>
        <row r="151">
          <cell r="A151" t="str">
            <v>박성안</v>
          </cell>
        </row>
        <row r="151">
          <cell r="C151" t="str">
            <v>570827-1386125</v>
          </cell>
          <cell r="D151" t="str">
            <v>충북 충북 영동군 영동읍 가리 755-2</v>
          </cell>
          <cell r="E151" t="str">
            <v>농협</v>
          </cell>
          <cell r="F151" t="str">
            <v>박성안</v>
          </cell>
          <cell r="G151" t="str">
            <v>407012-52-048265</v>
          </cell>
          <cell r="H151">
            <v>205000</v>
          </cell>
        </row>
        <row r="151">
          <cell r="K151" t="str">
            <v>29141</v>
          </cell>
        </row>
        <row r="152">
          <cell r="A152" t="str">
            <v>김이수</v>
          </cell>
        </row>
        <row r="152">
          <cell r="C152" t="str">
            <v>500226-1386711</v>
          </cell>
          <cell r="D152" t="str">
            <v>충북 영동군 영동읍 영동천1길 32-1</v>
          </cell>
          <cell r="E152" t="str">
            <v>농협</v>
          </cell>
          <cell r="F152" t="str">
            <v>김이수</v>
          </cell>
          <cell r="G152" t="str">
            <v>356-0817-4633-33</v>
          </cell>
          <cell r="H152">
            <v>160000</v>
          </cell>
          <cell r="I152" t="str">
            <v>010-5485-1909</v>
          </cell>
        </row>
        <row r="152">
          <cell r="K152" t="str">
            <v>29141</v>
          </cell>
        </row>
        <row r="153">
          <cell r="A153" t="str">
            <v>김양수</v>
          </cell>
        </row>
        <row r="153">
          <cell r="C153" t="str">
            <v>610205-2400329</v>
          </cell>
          <cell r="D153" t="str">
            <v>충북 영동군 영동읍 회동로 156-20</v>
          </cell>
          <cell r="E153" t="str">
            <v>농협</v>
          </cell>
          <cell r="F153" t="str">
            <v>김양수</v>
          </cell>
          <cell r="G153" t="str">
            <v>356-1603-8569-73</v>
          </cell>
          <cell r="H153">
            <v>150000</v>
          </cell>
          <cell r="I153" t="str">
            <v>010-4034-9739</v>
          </cell>
        </row>
        <row r="153">
          <cell r="K153" t="str">
            <v>34513</v>
          </cell>
        </row>
        <row r="154">
          <cell r="A154" t="str">
            <v>최순자</v>
          </cell>
        </row>
        <row r="154">
          <cell r="C154" t="str">
            <v>610604-2382923</v>
          </cell>
          <cell r="D154" t="str">
            <v>대전광역시 동구 충정로 136, 1102동 2006호 (가양동, 대주파크빌)</v>
          </cell>
          <cell r="E154" t="str">
            <v>농협</v>
          </cell>
          <cell r="F154" t="str">
            <v>최순자</v>
          </cell>
          <cell r="G154" t="str">
            <v>356-1585-3805-03</v>
          </cell>
          <cell r="H154">
            <v>150000</v>
          </cell>
          <cell r="I154" t="str">
            <v>010-5093-9072</v>
          </cell>
        </row>
        <row r="154">
          <cell r="K154" t="str">
            <v>03419</v>
          </cell>
        </row>
        <row r="155">
          <cell r="A155" t="str">
            <v>최순옥</v>
          </cell>
        </row>
        <row r="155">
          <cell r="C155" t="str">
            <v>661110-2382929</v>
          </cell>
          <cell r="D155" t="str">
            <v>대전광역시 동구 성동로7번길 58-11, 1동 107호 (자양동, 임광아파트)</v>
          </cell>
          <cell r="E155" t="str">
            <v>농협</v>
          </cell>
          <cell r="F155" t="str">
            <v>최순옥</v>
          </cell>
          <cell r="G155" t="str">
            <v>352-2099-8874-83</v>
          </cell>
          <cell r="H155">
            <v>150000</v>
          </cell>
          <cell r="I155" t="str">
            <v>010-8770-7249</v>
          </cell>
        </row>
        <row r="155">
          <cell r="K155" t="str">
            <v>29155</v>
          </cell>
        </row>
        <row r="156">
          <cell r="A156" t="str">
            <v>하재주</v>
          </cell>
        </row>
        <row r="156">
          <cell r="C156" t="str">
            <v>571020-1481929</v>
          </cell>
          <cell r="D156" t="str">
            <v>서울특별시 은평구 연서로3나길 11-33 지층-2 (역촌동)</v>
          </cell>
          <cell r="E156" t="str">
            <v>농협</v>
          </cell>
          <cell r="F156" t="str">
            <v>하재주</v>
          </cell>
          <cell r="G156" t="str">
            <v>356-0367-2587-73</v>
          </cell>
          <cell r="H156">
            <v>150000</v>
          </cell>
        </row>
        <row r="156">
          <cell r="K156" t="str">
            <v>03419</v>
          </cell>
        </row>
        <row r="157">
          <cell r="A157" t="str">
            <v>전덕하</v>
          </cell>
        </row>
        <row r="157">
          <cell r="C157" t="str">
            <v>491107-1448813</v>
          </cell>
          <cell r="D157" t="str">
            <v>충북 영동군 양강면 국촌1길 6-6</v>
          </cell>
          <cell r="E157" t="str">
            <v>농협</v>
          </cell>
          <cell r="F157" t="str">
            <v>전덕하</v>
          </cell>
          <cell r="G157" t="str">
            <v>356-0791-8136-43</v>
          </cell>
          <cell r="H157">
            <v>150000</v>
          </cell>
        </row>
        <row r="157">
          <cell r="K157" t="str">
            <v>29156</v>
          </cell>
        </row>
        <row r="158">
          <cell r="A158" t="str">
            <v>김경옥</v>
          </cell>
        </row>
        <row r="158">
          <cell r="C158" t="str">
            <v>650424-2785412</v>
          </cell>
          <cell r="D158" t="str">
            <v>충북 영동군 영동읍 동정로 47, 103동 304호(영동가마실휴먼시아)</v>
          </cell>
        </row>
        <row r="158">
          <cell r="H158">
            <v>150000</v>
          </cell>
          <cell r="I158" t="str">
            <v>010-5483-0500</v>
          </cell>
        </row>
        <row r="158">
          <cell r="K158" t="str">
            <v>29156</v>
          </cell>
        </row>
        <row r="159">
          <cell r="A159" t="str">
            <v>임종관</v>
          </cell>
        </row>
        <row r="159">
          <cell r="C159" t="str">
            <v>660123-1386716</v>
          </cell>
          <cell r="D159" t="str">
            <v>충북 영동군 양강면 국촌1길10</v>
          </cell>
          <cell r="E159" t="str">
            <v>농협</v>
          </cell>
          <cell r="F159" t="str">
            <v>임종관</v>
          </cell>
          <cell r="G159" t="str">
            <v>352-1734-5415-23</v>
          </cell>
          <cell r="H159">
            <v>150000</v>
          </cell>
          <cell r="I159" t="str">
            <v>010-3039-3737</v>
          </cell>
        </row>
        <row r="159">
          <cell r="K159">
            <v>29142</v>
          </cell>
        </row>
        <row r="160">
          <cell r="A160" t="str">
            <v>양희옥</v>
          </cell>
        </row>
        <row r="160">
          <cell r="C160" t="str">
            <v>640320-2386922</v>
          </cell>
          <cell r="D160" t="str">
            <v>충북 영동군 양강면 양정리116-6</v>
          </cell>
          <cell r="E160" t="str">
            <v>농협</v>
          </cell>
          <cell r="F160" t="str">
            <v>양희옥</v>
          </cell>
          <cell r="G160" t="str">
            <v>407023-56-010784</v>
          </cell>
          <cell r="H160">
            <v>150000</v>
          </cell>
          <cell r="I160" t="str">
            <v>010-8982-1150</v>
          </cell>
        </row>
        <row r="160">
          <cell r="K160" t="str">
            <v>370811</v>
          </cell>
        </row>
        <row r="161">
          <cell r="A161" t="str">
            <v>박창선</v>
          </cell>
        </row>
        <row r="161">
          <cell r="C161" t="str">
            <v>940629-1386117</v>
          </cell>
          <cell r="D161" t="str">
            <v>충북 영동군 영동읍 새심길 18, 607호(조한드림플러스아파트)</v>
          </cell>
          <cell r="E161" t="str">
            <v>농협</v>
          </cell>
          <cell r="F161" t="str">
            <v>박창선</v>
          </cell>
          <cell r="G161" t="str">
            <v>302-8982-1150-11</v>
          </cell>
          <cell r="H161">
            <v>170000</v>
          </cell>
          <cell r="I161" t="str">
            <v>010-8982-1150</v>
          </cell>
        </row>
        <row r="161">
          <cell r="K161">
            <v>29142</v>
          </cell>
        </row>
        <row r="162">
          <cell r="A162" t="str">
            <v>도창문</v>
          </cell>
        </row>
        <row r="162">
          <cell r="C162" t="str">
            <v>651025-1652425</v>
          </cell>
          <cell r="D162" t="str">
            <v>대전광역시 동구 우암로 61-12 (삼성동)</v>
          </cell>
          <cell r="E162" t="str">
            <v>농협</v>
          </cell>
          <cell r="F162" t="str">
            <v>도창문</v>
          </cell>
          <cell r="G162" t="str">
            <v>352-0058-0889-83</v>
          </cell>
          <cell r="H162">
            <v>250000</v>
          </cell>
          <cell r="I162" t="str">
            <v>010-8380-1900</v>
          </cell>
        </row>
        <row r="162">
          <cell r="K162" t="str">
            <v>34619</v>
          </cell>
        </row>
        <row r="163">
          <cell r="A163" t="str">
            <v>김경희</v>
          </cell>
        </row>
        <row r="163">
          <cell r="C163" t="str">
            <v>761205-2386722</v>
          </cell>
          <cell r="D163" t="str">
            <v>서울특별시 은평구 은평로21가길 15-9, 201호</v>
          </cell>
          <cell r="E163" t="str">
            <v>농협</v>
          </cell>
          <cell r="F163" t="str">
            <v>김경희</v>
          </cell>
          <cell r="G163" t="str">
            <v>356-1415-1420-63</v>
          </cell>
          <cell r="H163">
            <v>150000</v>
          </cell>
        </row>
        <row r="163">
          <cell r="K163" t="str">
            <v>03381</v>
          </cell>
        </row>
        <row r="164">
          <cell r="A164" t="str">
            <v>김판수</v>
          </cell>
        </row>
        <row r="164">
          <cell r="C164" t="str">
            <v>720402-1798516</v>
          </cell>
          <cell r="D164" t="str">
            <v>경북 칠곡군 북삼읍 인강9길 10, 101동 1212호(로얄아파트)</v>
          </cell>
          <cell r="E164" t="str">
            <v>농협</v>
          </cell>
          <cell r="F164" t="str">
            <v>김판수</v>
          </cell>
          <cell r="G164" t="str">
            <v>735089-56-010696</v>
          </cell>
          <cell r="H164">
            <v>150000</v>
          </cell>
          <cell r="I164" t="str">
            <v>010-7520-7708</v>
          </cell>
        </row>
        <row r="164">
          <cell r="K164">
            <v>39810</v>
          </cell>
        </row>
        <row r="168">
          <cell r="A168" t="str">
            <v>박병희</v>
          </cell>
        </row>
        <row r="168">
          <cell r="C168" t="str">
            <v>680210-1648718</v>
          </cell>
          <cell r="D168" t="str">
            <v>광주시 남구 군분로 77번길 26 명지로드힐 201동 1003호</v>
          </cell>
          <cell r="E168" t="str">
            <v>농협</v>
          </cell>
          <cell r="F168" t="str">
            <v>박형희</v>
          </cell>
          <cell r="G168" t="str">
            <v>356-0865-9462-13</v>
          </cell>
          <cell r="H168">
            <v>330000</v>
          </cell>
          <cell r="I168" t="str">
            <v>010-6293-9095</v>
          </cell>
        </row>
        <row r="169">
          <cell r="A169" t="str">
            <v>이춘재</v>
          </cell>
        </row>
        <row r="169">
          <cell r="C169" t="str">
            <v>740402-1639320</v>
          </cell>
          <cell r="D169" t="str">
            <v>광주시 광산구 수등로 123번길 21 호반아파트 102동 503호</v>
          </cell>
          <cell r="E169" t="str">
            <v>광주</v>
          </cell>
          <cell r="F169" t="str">
            <v>이춘재</v>
          </cell>
          <cell r="G169" t="str">
            <v>016-121-541417</v>
          </cell>
          <cell r="H169">
            <v>280000</v>
          </cell>
          <cell r="I169" t="str">
            <v>010-3641-8104</v>
          </cell>
        </row>
        <row r="170">
          <cell r="A170" t="str">
            <v>최승원</v>
          </cell>
        </row>
        <row r="170">
          <cell r="C170" t="str">
            <v>671004-1559218</v>
          </cell>
          <cell r="D170" t="str">
            <v>광주기 북구 용봉동 1242-1 호반아파트 101동 103호</v>
          </cell>
          <cell r="E170" t="str">
            <v>하나</v>
          </cell>
          <cell r="F170" t="str">
            <v>최승원</v>
          </cell>
          <cell r="G170" t="str">
            <v>126-8908893-28807</v>
          </cell>
          <cell r="H170">
            <v>250000</v>
          </cell>
          <cell r="I170" t="str">
            <v>010-6653-6903</v>
          </cell>
        </row>
        <row r="171">
          <cell r="A171" t="str">
            <v>최재혁</v>
          </cell>
        </row>
        <row r="171">
          <cell r="C171" t="str">
            <v>750612-1095412</v>
          </cell>
          <cell r="D171" t="str">
            <v>부산시 영도구 봉래2동 112 미광아파트 103동 1006호</v>
          </cell>
          <cell r="E171" t="str">
            <v>우체국</v>
          </cell>
          <cell r="F171" t="str">
            <v>최재혁</v>
          </cell>
          <cell r="G171" t="str">
            <v>502872-02-334473</v>
          </cell>
          <cell r="H171">
            <v>250000</v>
          </cell>
          <cell r="I171" t="str">
            <v>010-2117-0480</v>
          </cell>
        </row>
        <row r="172">
          <cell r="A172" t="str">
            <v>정환몽</v>
          </cell>
        </row>
        <row r="172">
          <cell r="C172" t="str">
            <v>630824-1558411</v>
          </cell>
          <cell r="D172" t="str">
            <v>광주시 북구 풍향동 598-19</v>
          </cell>
          <cell r="E172" t="str">
            <v>새마을</v>
          </cell>
          <cell r="F172" t="str">
            <v>정환몽</v>
          </cell>
          <cell r="G172" t="str">
            <v>9002-1781-35808</v>
          </cell>
          <cell r="H172">
            <v>290000</v>
          </cell>
          <cell r="I172" t="str">
            <v>010-3192-1283</v>
          </cell>
        </row>
        <row r="173">
          <cell r="A173" t="str">
            <v>이성진</v>
          </cell>
        </row>
        <row r="173">
          <cell r="C173" t="str">
            <v>700910-1630517</v>
          </cell>
          <cell r="D173" t="str">
            <v>광주시 광산구 오룡동길 127-29</v>
          </cell>
          <cell r="E173" t="str">
            <v>케이뱅크</v>
          </cell>
          <cell r="F173" t="str">
            <v>이성진</v>
          </cell>
          <cell r="G173" t="str">
            <v>100-135-116290</v>
          </cell>
          <cell r="H173">
            <v>250000</v>
          </cell>
          <cell r="I173" t="str">
            <v>010-3643-3773</v>
          </cell>
        </row>
        <row r="175">
          <cell r="A175" t="str">
            <v>김재국</v>
          </cell>
        </row>
        <row r="175">
          <cell r="C175" t="str">
            <v>790911-1386312</v>
          </cell>
          <cell r="D175" t="str">
            <v>충북 영동군 황간면 서송원길 42</v>
          </cell>
          <cell r="E175" t="str">
            <v>농협</v>
          </cell>
          <cell r="F175" t="str">
            <v>김재국</v>
          </cell>
          <cell r="G175" t="str">
            <v>407089-52-145147</v>
          </cell>
          <cell r="H175">
            <v>150000</v>
          </cell>
        </row>
        <row r="175">
          <cell r="K175" t="str">
            <v>29113</v>
          </cell>
        </row>
        <row r="176">
          <cell r="A176" t="str">
            <v>김순자</v>
          </cell>
        </row>
        <row r="176">
          <cell r="C176" t="str">
            <v>630203-2386318</v>
          </cell>
          <cell r="D176" t="str">
            <v>충북 영동군 황간면 황간동로 156</v>
          </cell>
          <cell r="E176" t="str">
            <v>농협</v>
          </cell>
          <cell r="F176" t="str">
            <v>김순자</v>
          </cell>
          <cell r="G176" t="str">
            <v>352-1071-9542-13</v>
          </cell>
          <cell r="H176">
            <v>150000</v>
          </cell>
        </row>
        <row r="176">
          <cell r="K176">
            <v>29115</v>
          </cell>
        </row>
        <row r="177">
          <cell r="A177" t="str">
            <v>김필규</v>
          </cell>
        </row>
        <row r="177">
          <cell r="C177" t="str">
            <v>591014-1800411</v>
          </cell>
          <cell r="D177" t="str">
            <v>경기도 평택시 진위면 하북2길 87-14</v>
          </cell>
          <cell r="E177" t="str">
            <v>농협</v>
          </cell>
          <cell r="F177" t="str">
            <v>김필규</v>
          </cell>
          <cell r="G177" t="str">
            <v>207087-56-023088</v>
          </cell>
          <cell r="H177">
            <v>150000</v>
          </cell>
        </row>
        <row r="177">
          <cell r="K177">
            <v>17706</v>
          </cell>
        </row>
        <row r="178">
          <cell r="A178" t="str">
            <v>김정국</v>
          </cell>
        </row>
        <row r="178">
          <cell r="C178" t="str">
            <v>560125-1800011</v>
          </cell>
          <cell r="D178" t="str">
            <v>충북 영동군 영동읍 부용4안길 14</v>
          </cell>
        </row>
        <row r="178">
          <cell r="H178">
            <v>150000</v>
          </cell>
        </row>
        <row r="178">
          <cell r="K178">
            <v>29149</v>
          </cell>
        </row>
        <row r="179">
          <cell r="A179" t="str">
            <v>황규석</v>
          </cell>
        </row>
        <row r="179">
          <cell r="C179" t="str">
            <v>490122-1124112</v>
          </cell>
          <cell r="D179" t="str">
            <v>충북 영동군 영동읍 오정길 222-5</v>
          </cell>
          <cell r="E179" t="str">
            <v>농협</v>
          </cell>
          <cell r="F179" t="str">
            <v>황규석</v>
          </cell>
          <cell r="G179" t="str">
            <v>404015-56-040444</v>
          </cell>
          <cell r="H179">
            <v>250000</v>
          </cell>
        </row>
        <row r="179">
          <cell r="K179">
            <v>29129</v>
          </cell>
        </row>
        <row r="180">
          <cell r="A180" t="str">
            <v>황대영</v>
          </cell>
        </row>
        <row r="180">
          <cell r="C180" t="str">
            <v>570315-1386147</v>
          </cell>
          <cell r="D180" t="str">
            <v>충북 영동군 영동읍 오정길 103</v>
          </cell>
          <cell r="E180" t="str">
            <v>농협</v>
          </cell>
          <cell r="F180" t="str">
            <v>황대영</v>
          </cell>
          <cell r="G180" t="str">
            <v>352-1743-8534-13</v>
          </cell>
          <cell r="H180">
            <v>200000</v>
          </cell>
        </row>
        <row r="180">
          <cell r="K180">
            <v>29129</v>
          </cell>
        </row>
        <row r="181">
          <cell r="A181" t="str">
            <v>박종섭</v>
          </cell>
        </row>
        <row r="181">
          <cell r="C181" t="str">
            <v>550816-1386117</v>
          </cell>
          <cell r="D181" t="str">
            <v>충북 영동군 영동읍 영산로 63</v>
          </cell>
          <cell r="E181" t="str">
            <v>농협</v>
          </cell>
          <cell r="F181" t="str">
            <v>박종섭</v>
          </cell>
          <cell r="G181" t="str">
            <v>352-1743-8668-53</v>
          </cell>
          <cell r="H181">
            <v>200000</v>
          </cell>
        </row>
        <row r="181">
          <cell r="K181">
            <v>29147</v>
          </cell>
        </row>
        <row r="182">
          <cell r="A182" t="str">
            <v>장영석</v>
          </cell>
        </row>
        <row r="182">
          <cell r="C182" t="str">
            <v>611022-1386119</v>
          </cell>
          <cell r="D182" t="str">
            <v>충북 영동군 영동읍 영동황간로 27, 801호(금강타운)</v>
          </cell>
          <cell r="E182" t="str">
            <v>농협</v>
          </cell>
          <cell r="F182" t="str">
            <v>장영석</v>
          </cell>
          <cell r="G182" t="str">
            <v>356-1027-4314-93</v>
          </cell>
          <cell r="H182">
            <v>150000</v>
          </cell>
        </row>
        <row r="182">
          <cell r="K182">
            <v>29150</v>
          </cell>
        </row>
        <row r="183">
          <cell r="A183" t="str">
            <v>이수환</v>
          </cell>
        </row>
        <row r="183">
          <cell r="C183" t="str">
            <v>960921-1351118</v>
          </cell>
          <cell r="D183" t="str">
            <v>충북 청주시 상당구 용정로 25,107동 1902호(용정동 ,청주용정 한라비발디)</v>
          </cell>
          <cell r="E183" t="str">
            <v>새마을금고</v>
          </cell>
          <cell r="F183" t="str">
            <v>이수환</v>
          </cell>
          <cell r="G183" t="str">
            <v>9003-2377-6890-0</v>
          </cell>
          <cell r="H183">
            <v>150000</v>
          </cell>
          <cell r="I183" t="str">
            <v>010-6431-7735</v>
          </cell>
        </row>
        <row r="183">
          <cell r="K183">
            <v>28748</v>
          </cell>
        </row>
        <row r="184">
          <cell r="A184" t="str">
            <v>우두환</v>
          </cell>
        </row>
        <row r="184">
          <cell r="C184" t="str">
            <v>700521-1380113</v>
          </cell>
          <cell r="D184" t="str">
            <v>충북 청주시 상당구 문의면 등동1길 47-15</v>
          </cell>
          <cell r="E184" t="str">
            <v>농협</v>
          </cell>
          <cell r="F184" t="str">
            <v>우두환</v>
          </cell>
          <cell r="G184" t="str">
            <v>401149-56-092984</v>
          </cell>
          <cell r="H184">
            <v>230000</v>
          </cell>
          <cell r="I184" t="str">
            <v>010-5626-7201</v>
          </cell>
        </row>
        <row r="184">
          <cell r="K184">
            <v>28206</v>
          </cell>
        </row>
        <row r="188">
          <cell r="A188" t="str">
            <v>곽문영</v>
          </cell>
        </row>
        <row r="188">
          <cell r="C188" t="str">
            <v>530510-1069114</v>
          </cell>
          <cell r="D188" t="str">
            <v>충북 영동군 양강면 남전3길 99</v>
          </cell>
        </row>
        <row r="188">
          <cell r="H188">
            <v>150000</v>
          </cell>
          <cell r="I188" t="str">
            <v>010-4355-5173</v>
          </cell>
          <cell r="J188" t="str">
            <v>개미인력</v>
          </cell>
          <cell r="K188" t="str">
            <v>29157</v>
          </cell>
        </row>
        <row r="189">
          <cell r="A189" t="str">
            <v>김연부</v>
          </cell>
        </row>
        <row r="189">
          <cell r="C189" t="str">
            <v>700302-1380011</v>
          </cell>
          <cell r="D189" t="str">
            <v>충북 옥천군 옥천읍 성암응천길 41-10, 1동 410호(근로자복지@)</v>
          </cell>
        </row>
        <row r="189">
          <cell r="H189">
            <v>150000</v>
          </cell>
          <cell r="I189" t="str">
            <v>010-9354-5882</v>
          </cell>
          <cell r="J189" t="str">
            <v>개미인력</v>
          </cell>
          <cell r="K189" t="str">
            <v>29050</v>
          </cell>
        </row>
        <row r="190">
          <cell r="A190" t="str">
            <v>장웅진</v>
          </cell>
        </row>
        <row r="190">
          <cell r="C190" t="str">
            <v>541215-1386718</v>
          </cell>
          <cell r="D190" t="str">
            <v>대전광역시 중구 모암로42번길 11,103동 103호</v>
          </cell>
        </row>
        <row r="190">
          <cell r="H190">
            <v>150000</v>
          </cell>
        </row>
        <row r="190">
          <cell r="J190" t="str">
            <v>개미인력</v>
          </cell>
          <cell r="K190" t="str">
            <v>35070</v>
          </cell>
        </row>
        <row r="191">
          <cell r="A191" t="str">
            <v>이성희</v>
          </cell>
        </row>
        <row r="191">
          <cell r="C191" t="str">
            <v>570508-1024611</v>
          </cell>
          <cell r="D191" t="str">
            <v>서울특별시 성북구 정릉로32길 7</v>
          </cell>
        </row>
        <row r="191">
          <cell r="H191">
            <v>150000</v>
          </cell>
        </row>
        <row r="191">
          <cell r="J191" t="str">
            <v>개미인력</v>
          </cell>
          <cell r="K191" t="str">
            <v>02816</v>
          </cell>
        </row>
        <row r="192">
          <cell r="A192" t="str">
            <v>박현태</v>
          </cell>
        </row>
        <row r="192">
          <cell r="C192" t="str">
            <v>581015-1109020</v>
          </cell>
          <cell r="D192" t="str">
            <v>전라북도 장수군 장수읍 장수북동길 16-9</v>
          </cell>
        </row>
        <row r="192">
          <cell r="H192">
            <v>150000</v>
          </cell>
        </row>
        <row r="192">
          <cell r="J192" t="str">
            <v>개미인력</v>
          </cell>
          <cell r="K192" t="str">
            <v>55632</v>
          </cell>
        </row>
        <row r="193">
          <cell r="A193" t="str">
            <v>장공섭</v>
          </cell>
        </row>
        <row r="193">
          <cell r="C193" t="str">
            <v>620729-1800210</v>
          </cell>
          <cell r="D193" t="str">
            <v>경상북도 구미시 형곡로8길 12, 103호</v>
          </cell>
        </row>
        <row r="193">
          <cell r="H193">
            <v>150000</v>
          </cell>
        </row>
        <row r="193">
          <cell r="J193" t="str">
            <v>개미인력</v>
          </cell>
          <cell r="K193" t="str">
            <v>39291</v>
          </cell>
        </row>
        <row r="194">
          <cell r="A194" t="str">
            <v>유영길</v>
          </cell>
        </row>
        <row r="194">
          <cell r="C194" t="str">
            <v>720307-1384520</v>
          </cell>
          <cell r="D194" t="str">
            <v>충북 옥천군 청성면 화성2길 39-22</v>
          </cell>
        </row>
        <row r="194">
          <cell r="H194">
            <v>150000</v>
          </cell>
        </row>
        <row r="194">
          <cell r="J194" t="str">
            <v>개미인력</v>
          </cell>
          <cell r="K194" t="str">
            <v>29017</v>
          </cell>
        </row>
        <row r="198">
          <cell r="A198" t="str">
            <v>김춘배</v>
          </cell>
        </row>
        <row r="198">
          <cell r="C198" t="str">
            <v>610723-1468712</v>
          </cell>
          <cell r="D198" t="str">
            <v>대전광역시 대덕구 대화4길 32</v>
          </cell>
          <cell r="E198" t="str">
            <v>농협</v>
          </cell>
          <cell r="F198" t="str">
            <v>김춘배</v>
          </cell>
          <cell r="G198" t="str">
            <v>351-0982-5121-63</v>
          </cell>
          <cell r="H198">
            <v>160000</v>
          </cell>
          <cell r="I198" t="str">
            <v>010-3407-8592</v>
          </cell>
          <cell r="J198" t="str">
            <v>지우개발</v>
          </cell>
        </row>
        <row r="199">
          <cell r="A199" t="str">
            <v>함기안</v>
          </cell>
        </row>
        <row r="199">
          <cell r="C199" t="str">
            <v>600115-1384635</v>
          </cell>
          <cell r="D199" t="str">
            <v>대전광역시 동구 대동 77-14, 13/3</v>
          </cell>
          <cell r="E199" t="str">
            <v>농협</v>
          </cell>
          <cell r="F199" t="str">
            <v>함기안</v>
          </cell>
          <cell r="G199" t="str">
            <v>351-1875-9754-73</v>
          </cell>
          <cell r="H199">
            <v>160000</v>
          </cell>
          <cell r="I199" t="str">
            <v>010-5432-6630</v>
          </cell>
          <cell r="J199" t="str">
            <v>지우개발</v>
          </cell>
        </row>
        <row r="200">
          <cell r="A200" t="str">
            <v>신양호</v>
          </cell>
        </row>
        <row r="200">
          <cell r="C200" t="str">
            <v>651221-1634810</v>
          </cell>
          <cell r="D200" t="str">
            <v>대전광역시 대덕구 대진로1385</v>
          </cell>
          <cell r="E200" t="str">
            <v>농협</v>
          </cell>
          <cell r="F200" t="str">
            <v>신양호</v>
          </cell>
          <cell r="G200" t="str">
            <v>302-1012-9400-11</v>
          </cell>
          <cell r="H200">
            <v>160000</v>
          </cell>
          <cell r="I200" t="str">
            <v>010-5853-1221</v>
          </cell>
          <cell r="J200" t="str">
            <v>지우개발</v>
          </cell>
        </row>
        <row r="201">
          <cell r="A201" t="str">
            <v>이용하</v>
          </cell>
        </row>
        <row r="201">
          <cell r="C201" t="str">
            <v>510410-1329421</v>
          </cell>
          <cell r="D201" t="str">
            <v>충북 영동군 용산면 용산로6길, 306호(진산아파트)</v>
          </cell>
          <cell r="E201" t="str">
            <v>농협</v>
          </cell>
          <cell r="F201" t="str">
            <v>이용하</v>
          </cell>
          <cell r="G201" t="str">
            <v>356-1499-3898-13</v>
          </cell>
          <cell r="H201">
            <v>160000</v>
          </cell>
        </row>
        <row r="201">
          <cell r="J201" t="str">
            <v>지우개발</v>
          </cell>
        </row>
        <row r="202">
          <cell r="A202" t="str">
            <v>한진구</v>
          </cell>
        </row>
        <row r="202">
          <cell r="C202" t="str">
            <v>550202-1324314</v>
          </cell>
          <cell r="D202" t="str">
            <v>경북 상주시 모서면 백화로 1146</v>
          </cell>
          <cell r="E202" t="str">
            <v>농협</v>
          </cell>
          <cell r="F202" t="str">
            <v>한진구</v>
          </cell>
          <cell r="G202" t="str">
            <v>351-0920-7111-13</v>
          </cell>
          <cell r="H202">
            <v>160000</v>
          </cell>
          <cell r="I202" t="str">
            <v>010-2305-0675</v>
          </cell>
          <cell r="J202" t="str">
            <v>지우개발</v>
          </cell>
        </row>
        <row r="203">
          <cell r="A203" t="str">
            <v>박용준</v>
          </cell>
        </row>
        <row r="203">
          <cell r="C203" t="str">
            <v>651203-1384811</v>
          </cell>
          <cell r="D203" t="str">
            <v>충북 음성군 금왕읍 무극리 77-70</v>
          </cell>
          <cell r="E203" t="str">
            <v>우체국</v>
          </cell>
          <cell r="F203" t="str">
            <v>장대섭</v>
          </cell>
          <cell r="G203" t="str">
            <v>300517-02-049771</v>
          </cell>
          <cell r="H203">
            <v>160000</v>
          </cell>
        </row>
        <row r="203">
          <cell r="J203" t="str">
            <v>지우개발</v>
          </cell>
        </row>
        <row r="204">
          <cell r="A204" t="str">
            <v>김영호</v>
          </cell>
        </row>
        <row r="204">
          <cell r="C204" t="str">
            <v>571217-1386215</v>
          </cell>
          <cell r="D204" t="str">
            <v>충북 영동군 영동읍 동정로1길 35</v>
          </cell>
          <cell r="E204" t="str">
            <v>우체국</v>
          </cell>
          <cell r="F204" t="str">
            <v>김영호</v>
          </cell>
          <cell r="G204" t="str">
            <v>301515-02-013501</v>
          </cell>
          <cell r="H204">
            <v>160000</v>
          </cell>
        </row>
        <row r="204">
          <cell r="J204" t="str">
            <v>지우개발</v>
          </cell>
        </row>
        <row r="205">
          <cell r="A205" t="str">
            <v>안상모</v>
          </cell>
        </row>
        <row r="205">
          <cell r="C205" t="str">
            <v>600708-1029530</v>
          </cell>
          <cell r="D205" t="str">
            <v>충북 옥천군 청산면 교평2길 14</v>
          </cell>
          <cell r="E205" t="str">
            <v>농협</v>
          </cell>
          <cell r="F205" t="str">
            <v>안상모</v>
          </cell>
          <cell r="G205" t="str">
            <v>356-1499-4515-43</v>
          </cell>
          <cell r="H205">
            <v>160000</v>
          </cell>
          <cell r="I205" t="str">
            <v>010-6657-4313</v>
          </cell>
          <cell r="J205" t="str">
            <v>지우개발</v>
          </cell>
        </row>
        <row r="206">
          <cell r="A206" t="str">
            <v>권영신</v>
          </cell>
        </row>
        <row r="206">
          <cell r="C206" t="str">
            <v>560109-1387013</v>
          </cell>
          <cell r="D206" t="str">
            <v>충북 영동군 영동읍 계산리 508-2</v>
          </cell>
          <cell r="E206" t="str">
            <v>농협</v>
          </cell>
          <cell r="F206" t="str">
            <v>권영신</v>
          </cell>
          <cell r="G206" t="str">
            <v>407014-52-037130</v>
          </cell>
          <cell r="H206">
            <v>350000</v>
          </cell>
        </row>
        <row r="206">
          <cell r="J206" t="str">
            <v>지우개발</v>
          </cell>
        </row>
        <row r="210">
          <cell r="A210" t="str">
            <v>이용</v>
          </cell>
        </row>
        <row r="210">
          <cell r="C210" t="str">
            <v>010820-3386115</v>
          </cell>
          <cell r="D210" t="str">
            <v>충북 영동군 영동읍 영산로6길 16-11, 102동 401호(j클래식)</v>
          </cell>
          <cell r="E210" t="str">
            <v>농협</v>
          </cell>
          <cell r="F210" t="str">
            <v>이성</v>
          </cell>
          <cell r="G210" t="str">
            <v>351-1142-0210-73</v>
          </cell>
          <cell r="H210">
            <v>160000</v>
          </cell>
          <cell r="I210" t="str">
            <v>010-4056-7141</v>
          </cell>
          <cell r="J210" t="str">
            <v>명장인력</v>
          </cell>
          <cell r="K210" t="str">
            <v>29147</v>
          </cell>
        </row>
        <row r="211">
          <cell r="A211" t="str">
            <v>김학형</v>
          </cell>
        </row>
        <row r="211">
          <cell r="C211" t="str">
            <v>680808-1386718</v>
          </cell>
          <cell r="D211" t="str">
            <v>충북 영동군 영동읍 영동시장1길 32 A동 202호</v>
          </cell>
          <cell r="E211" t="str">
            <v>농협</v>
          </cell>
          <cell r="F211" t="str">
            <v>이성</v>
          </cell>
          <cell r="G211" t="str">
            <v>351-1142-0210-73</v>
          </cell>
          <cell r="H211">
            <v>170000</v>
          </cell>
          <cell r="I211" t="str">
            <v>010-9979-9238</v>
          </cell>
          <cell r="J211" t="str">
            <v>명장인력</v>
          </cell>
          <cell r="K211" t="str">
            <v>29145</v>
          </cell>
        </row>
        <row r="212">
          <cell r="A212" t="str">
            <v>배권</v>
          </cell>
        </row>
        <row r="212">
          <cell r="C212" t="str">
            <v>661120-1386210</v>
          </cell>
          <cell r="D212" t="str">
            <v>충북 영동군 영동읍 상부용로 20 (지평더웰Ⅱ아파트) </v>
          </cell>
          <cell r="E212" t="str">
            <v>농협</v>
          </cell>
          <cell r="F212" t="str">
            <v>이성</v>
          </cell>
          <cell r="G212" t="str">
            <v>351-1142-0210-73</v>
          </cell>
          <cell r="H212">
            <v>150000</v>
          </cell>
          <cell r="I212" t="str">
            <v>010-2804-4792</v>
          </cell>
          <cell r="J212" t="str">
            <v>명장인력</v>
          </cell>
          <cell r="K212" t="str">
            <v>29145</v>
          </cell>
        </row>
        <row r="213">
          <cell r="A213" t="str">
            <v>이상찬</v>
          </cell>
        </row>
        <row r="213">
          <cell r="C213" t="str">
            <v>700201-1386132</v>
          </cell>
          <cell r="D213" t="str">
            <v>충북 영동군 영동읍 영동시장1길 18-3 </v>
          </cell>
          <cell r="E213" t="str">
            <v>농협</v>
          </cell>
          <cell r="F213" t="str">
            <v>이성</v>
          </cell>
          <cell r="G213" t="str">
            <v>351-1142-0210-73</v>
          </cell>
          <cell r="H213">
            <v>170000</v>
          </cell>
          <cell r="I213" t="str">
            <v>010-3117-7949</v>
          </cell>
          <cell r="J213" t="str">
            <v>석공</v>
          </cell>
          <cell r="K213" t="str">
            <v>35014</v>
          </cell>
        </row>
        <row r="214">
          <cell r="A214" t="str">
            <v>이효주</v>
          </cell>
        </row>
        <row r="214">
          <cell r="C214" t="str">
            <v>510217-1466413</v>
          </cell>
          <cell r="D214" t="str">
            <v>충북 영동군 영동읍 계산로1길 11 </v>
          </cell>
          <cell r="E214" t="str">
            <v>농협</v>
          </cell>
          <cell r="F214" t="str">
            <v>이성</v>
          </cell>
          <cell r="G214" t="str">
            <v>351-1142-0210-73</v>
          </cell>
          <cell r="H214">
            <v>160000</v>
          </cell>
        </row>
        <row r="214">
          <cell r="J214" t="str">
            <v>석공</v>
          </cell>
          <cell r="K214" t="str">
            <v>35011</v>
          </cell>
        </row>
        <row r="215">
          <cell r="A215" t="str">
            <v>최병길</v>
          </cell>
        </row>
        <row r="215">
          <cell r="C215" t="str">
            <v>511119-1460910</v>
          </cell>
          <cell r="D215" t="str">
            <v>대전광역시 중구 산성동 509-15</v>
          </cell>
          <cell r="E215" t="str">
            <v>농협</v>
          </cell>
          <cell r="F215" t="str">
            <v>최병길</v>
          </cell>
          <cell r="G215" t="str">
            <v>453029-52-022509</v>
          </cell>
          <cell r="H215">
            <v>150000</v>
          </cell>
        </row>
        <row r="215">
          <cell r="J215" t="str">
            <v>석공</v>
          </cell>
          <cell r="K215" t="str">
            <v>29144</v>
          </cell>
        </row>
        <row r="216">
          <cell r="A216" t="str">
            <v>이준우</v>
          </cell>
        </row>
        <row r="216">
          <cell r="C216" t="str">
            <v>520216-1408321</v>
          </cell>
          <cell r="D216" t="str">
            <v>대전광역시 중구 보문산로 157, 마동303호(문화동,동양맨션)</v>
          </cell>
          <cell r="E216" t="str">
            <v>농협</v>
          </cell>
          <cell r="F216" t="str">
            <v>이준우</v>
          </cell>
          <cell r="G216" t="str">
            <v>453029-51-013658</v>
          </cell>
          <cell r="H216">
            <v>150000</v>
          </cell>
        </row>
        <row r="216">
          <cell r="J216" t="str">
            <v>석공</v>
          </cell>
          <cell r="K216" t="str">
            <v>29149</v>
          </cell>
        </row>
        <row r="217">
          <cell r="A217" t="str">
            <v>이성돌</v>
          </cell>
        </row>
        <row r="217">
          <cell r="C217" t="str">
            <v>500414-1408219</v>
          </cell>
          <cell r="D217" t="str">
            <v>대전광역시 중구 대둔산로 414번길 75(산성동)</v>
          </cell>
          <cell r="E217" t="str">
            <v>농협</v>
          </cell>
          <cell r="F217" t="str">
            <v>이성돌</v>
          </cell>
          <cell r="G217" t="str">
            <v>453029-52-260357</v>
          </cell>
          <cell r="H217">
            <v>150000</v>
          </cell>
          <cell r="I217" t="str">
            <v>010-5490-9056</v>
          </cell>
          <cell r="J217" t="str">
            <v>석공</v>
          </cell>
          <cell r="K217" t="str">
            <v>34557</v>
          </cell>
        </row>
        <row r="218">
          <cell r="A218" t="str">
            <v>정태성</v>
          </cell>
        </row>
        <row r="218">
          <cell r="C218" t="str">
            <v>660501-1386134</v>
          </cell>
          <cell r="D218" t="str">
            <v>충북 영동군 영동읍 계산로 34-1</v>
          </cell>
          <cell r="E218" t="str">
            <v>농협</v>
          </cell>
          <cell r="F218" t="str">
            <v>정태성</v>
          </cell>
          <cell r="G218" t="str">
            <v>352-1006-9268-83</v>
          </cell>
          <cell r="H218">
            <v>150000</v>
          </cell>
          <cell r="I218" t="str">
            <v>010-6580-1303</v>
          </cell>
          <cell r="J218" t="str">
            <v>석공</v>
          </cell>
          <cell r="K218" t="str">
            <v>34506</v>
          </cell>
        </row>
        <row r="219">
          <cell r="A219" t="str">
            <v>배석득</v>
          </cell>
        </row>
        <row r="219">
          <cell r="C219" t="str">
            <v>501225-1386713</v>
          </cell>
          <cell r="D219" t="str">
            <v>충북 영동군 영동읍 부용7안길 2-13</v>
          </cell>
          <cell r="E219" t="str">
            <v>농협</v>
          </cell>
          <cell r="F219" t="str">
            <v>배석득</v>
          </cell>
          <cell r="G219" t="str">
            <v>356-1479-5477-73</v>
          </cell>
          <cell r="H219">
            <v>150000</v>
          </cell>
        </row>
        <row r="219">
          <cell r="J219" t="str">
            <v>석공</v>
          </cell>
          <cell r="K219" t="str">
            <v>34670</v>
          </cell>
        </row>
        <row r="220">
          <cell r="A220" t="str">
            <v>최석진</v>
          </cell>
        </row>
        <row r="220">
          <cell r="C220" t="str">
            <v>580324-1652410</v>
          </cell>
          <cell r="D220" t="str">
            <v>대전광역시 동구 동서대로 1579, 101동 1501호(홍도동,홍도@)</v>
          </cell>
          <cell r="E220" t="str">
            <v>하나</v>
          </cell>
          <cell r="F220" t="str">
            <v>최석진</v>
          </cell>
          <cell r="G220" t="str">
            <v>646-910748-77207</v>
          </cell>
          <cell r="H220">
            <v>150000</v>
          </cell>
          <cell r="I220" t="str">
            <v>010-4413-4583</v>
          </cell>
          <cell r="J220" t="str">
            <v>석공</v>
          </cell>
          <cell r="K220" t="str">
            <v>29155</v>
          </cell>
        </row>
        <row r="221">
          <cell r="A221" t="str">
            <v>권신홍</v>
          </cell>
        </row>
        <row r="221">
          <cell r="C221" t="str">
            <v>510315-1651218</v>
          </cell>
          <cell r="D221" t="str">
            <v>대전광역시 동구 가양동 149-30</v>
          </cell>
          <cell r="E221" t="str">
            <v>국민</v>
          </cell>
          <cell r="F221" t="str">
            <v>권신흥</v>
          </cell>
          <cell r="G221" t="str">
            <v>845901-22-004565</v>
          </cell>
          <cell r="H221">
            <v>150000</v>
          </cell>
        </row>
        <row r="221">
          <cell r="K221" t="str">
            <v>29147</v>
          </cell>
        </row>
        <row r="222">
          <cell r="A222" t="str">
            <v>조을순</v>
          </cell>
        </row>
        <row r="222">
          <cell r="C222" t="str">
            <v>560302-2400210</v>
          </cell>
          <cell r="D222" t="str">
            <v>대전광역시 동구 판암동 558-6 국민빌라 301호</v>
          </cell>
          <cell r="E222" t="str">
            <v>농협</v>
          </cell>
          <cell r="F222" t="str">
            <v>조을순</v>
          </cell>
          <cell r="G222" t="str">
            <v>352-0676-2630-53</v>
          </cell>
          <cell r="H222">
            <v>150000</v>
          </cell>
          <cell r="I222" t="str">
            <v>010-3976-2700</v>
          </cell>
        </row>
        <row r="222">
          <cell r="K222" t="str">
            <v>28773</v>
          </cell>
        </row>
        <row r="223">
          <cell r="A223" t="str">
            <v>한희열</v>
          </cell>
        </row>
        <row r="223">
          <cell r="C223" t="str">
            <v>590921-1709522</v>
          </cell>
          <cell r="D223" t="str">
            <v>충북 영동군 영동읍 상부용로 7-50, 101동1501호 (지평더웰@)</v>
          </cell>
          <cell r="E223" t="str">
            <v>농협</v>
          </cell>
          <cell r="F223" t="str">
            <v>한희열</v>
          </cell>
          <cell r="G223" t="str">
            <v>356-1123-9590-03</v>
          </cell>
          <cell r="H223">
            <v>150000</v>
          </cell>
        </row>
        <row r="223">
          <cell r="K223" t="str">
            <v>29116</v>
          </cell>
        </row>
        <row r="224">
          <cell r="A224" t="str">
            <v>박래화</v>
          </cell>
        </row>
        <row r="224">
          <cell r="C224" t="str">
            <v>470117-1018911</v>
          </cell>
          <cell r="D224" t="str">
            <v>충북 영동군 영동읍 영산로7길 2, 가동 106호(양지연립)</v>
          </cell>
          <cell r="E224" t="str">
            <v>농협</v>
          </cell>
          <cell r="F224" t="str">
            <v>박래화</v>
          </cell>
          <cell r="G224" t="str">
            <v>302-0822-9170-11</v>
          </cell>
          <cell r="H224">
            <v>150000</v>
          </cell>
        </row>
        <row r="224">
          <cell r="K224" t="str">
            <v>29155</v>
          </cell>
        </row>
        <row r="225">
          <cell r="A225" t="str">
            <v>권영안</v>
          </cell>
        </row>
        <row r="225">
          <cell r="C225" t="str">
            <v>570815-1380728</v>
          </cell>
          <cell r="D225" t="str">
            <v>충북 청주시 상당구 중흥로 71 109/1402</v>
          </cell>
          <cell r="E225" t="str">
            <v>농협</v>
          </cell>
          <cell r="F225" t="str">
            <v>권영안</v>
          </cell>
          <cell r="G225" t="str">
            <v>401147-52-151337</v>
          </cell>
          <cell r="H225">
            <v>150000</v>
          </cell>
        </row>
        <row r="225">
          <cell r="K225" t="str">
            <v>29155</v>
          </cell>
        </row>
        <row r="226">
          <cell r="A226" t="str">
            <v>최영희</v>
          </cell>
        </row>
        <row r="226">
          <cell r="C226" t="str">
            <v>641012-2478918</v>
          </cell>
          <cell r="D226" t="str">
            <v>충북 청주시 흥덕구 수곡동 328 산남주공@ 103동 501호</v>
          </cell>
          <cell r="E226" t="str">
            <v>국민</v>
          </cell>
          <cell r="F226" t="str">
            <v>최영희</v>
          </cell>
          <cell r="G226" t="str">
            <v>709802-01-046029</v>
          </cell>
          <cell r="H226">
            <v>150000</v>
          </cell>
          <cell r="I226" t="str">
            <v>010-7415-9300</v>
          </cell>
        </row>
        <row r="226">
          <cell r="K226" t="str">
            <v>21088</v>
          </cell>
        </row>
        <row r="227">
          <cell r="A227" t="str">
            <v>김재억</v>
          </cell>
        </row>
        <row r="227">
          <cell r="C227" t="str">
            <v>600605-1386718</v>
          </cell>
          <cell r="D227" t="str">
            <v>충북 영동군 양강면 괴목리 411</v>
          </cell>
          <cell r="E227" t="str">
            <v>농협</v>
          </cell>
          <cell r="F227" t="str">
            <v>김재억</v>
          </cell>
          <cell r="G227" t="str">
            <v>356-1337-2458-73</v>
          </cell>
          <cell r="H227">
            <v>150000</v>
          </cell>
        </row>
        <row r="227">
          <cell r="K227" t="str">
            <v>29116</v>
          </cell>
        </row>
        <row r="228">
          <cell r="A228" t="str">
            <v>박원회</v>
          </cell>
        </row>
        <row r="228">
          <cell r="C228" t="str">
            <v>600124-1386123</v>
          </cell>
          <cell r="D228" t="str">
            <v>인천시 계양구 계산로112번길 26</v>
          </cell>
          <cell r="E228" t="str">
            <v>농협</v>
          </cell>
          <cell r="F228" t="str">
            <v>박원회</v>
          </cell>
          <cell r="G228" t="str">
            <v>312-0171-3781-31</v>
          </cell>
          <cell r="H228">
            <v>150000</v>
          </cell>
        </row>
        <row r="228">
          <cell r="K228" t="str">
            <v>57958</v>
          </cell>
        </row>
        <row r="229">
          <cell r="A229" t="str">
            <v>신용철</v>
          </cell>
        </row>
        <row r="229">
          <cell r="C229" t="str">
            <v>651220-1228344</v>
          </cell>
          <cell r="D229" t="str">
            <v>충북 영동군 황간면 신흥1길 8</v>
          </cell>
          <cell r="E229" t="str">
            <v>농협</v>
          </cell>
          <cell r="F229" t="str">
            <v>신용철</v>
          </cell>
          <cell r="G229" t="str">
            <v>356-1329-6202-53</v>
          </cell>
          <cell r="H229">
            <v>150000</v>
          </cell>
          <cell r="I229" t="str">
            <v>010-3900-0965</v>
          </cell>
        </row>
        <row r="229">
          <cell r="K229" t="str">
            <v>28683</v>
          </cell>
        </row>
        <row r="230">
          <cell r="A230" t="str">
            <v>손경윤</v>
          </cell>
        </row>
        <row r="230">
          <cell r="C230" t="str">
            <v>780528-1386217</v>
          </cell>
          <cell r="D230" t="str">
            <v>전라남도 순천시 우석로 105, 2층(남정동)</v>
          </cell>
        </row>
        <row r="230">
          <cell r="H230">
            <v>150000</v>
          </cell>
          <cell r="I230" t="str">
            <v>010-8803-3163</v>
          </cell>
        </row>
        <row r="230">
          <cell r="K230" t="str">
            <v>28683</v>
          </cell>
        </row>
        <row r="231">
          <cell r="A231" t="str">
            <v>김정우</v>
          </cell>
        </row>
        <row r="231">
          <cell r="C231" t="str">
            <v>960116-1386119</v>
          </cell>
          <cell r="D231" t="str">
            <v>충북 영동군 영동읍 회동로 162</v>
          </cell>
          <cell r="E231" t="str">
            <v>농협</v>
          </cell>
          <cell r="F231" t="str">
            <v>김정우</v>
          </cell>
          <cell r="G231" t="str">
            <v>407013-52-111897</v>
          </cell>
          <cell r="H231">
            <v>150000</v>
          </cell>
        </row>
        <row r="231">
          <cell r="K231" t="str">
            <v>34509</v>
          </cell>
        </row>
        <row r="232">
          <cell r="A232" t="str">
            <v>성명식</v>
          </cell>
        </row>
        <row r="232">
          <cell r="C232" t="str">
            <v>590801-1386129</v>
          </cell>
          <cell r="D232" t="str">
            <v>경기도 고양시 덕양구 화신로298</v>
          </cell>
          <cell r="E232" t="str">
            <v>농협</v>
          </cell>
          <cell r="F232" t="str">
            <v>성명식</v>
          </cell>
          <cell r="G232" t="str">
            <v>049-02-203321</v>
          </cell>
          <cell r="H232">
            <v>150000</v>
          </cell>
          <cell r="I232" t="str">
            <v>010-8975-6129</v>
          </cell>
        </row>
        <row r="232">
          <cell r="K232" t="str">
            <v>29104</v>
          </cell>
        </row>
        <row r="233">
          <cell r="A233" t="str">
            <v>박봉환</v>
          </cell>
        </row>
        <row r="233">
          <cell r="C233" t="str">
            <v>600713-1182814</v>
          </cell>
          <cell r="D233" t="str">
            <v>경북 김천시 증산면황황2길31-6</v>
          </cell>
          <cell r="E233" t="str">
            <v>우체국</v>
          </cell>
          <cell r="F233" t="str">
            <v>박봉환</v>
          </cell>
          <cell r="G233" t="str">
            <v>312785-02-005538</v>
          </cell>
          <cell r="H233">
            <v>150000</v>
          </cell>
        </row>
        <row r="233">
          <cell r="K233" t="str">
            <v>29148</v>
          </cell>
        </row>
        <row r="234">
          <cell r="A234" t="str">
            <v>김기면</v>
          </cell>
        </row>
        <row r="234">
          <cell r="C234" t="str">
            <v>601010-1386125</v>
          </cell>
          <cell r="D234" t="str">
            <v>청주시 서원구 구룡산로 275-13,408동306호</v>
          </cell>
          <cell r="E234" t="str">
            <v>농협</v>
          </cell>
          <cell r="F234" t="str">
            <v>김기면</v>
          </cell>
          <cell r="G234" t="str">
            <v>356-0677-4691-13</v>
          </cell>
          <cell r="H234">
            <v>150000</v>
          </cell>
          <cell r="I234" t="str">
            <v>010-5547-6459</v>
          </cell>
        </row>
        <row r="234">
          <cell r="K234" t="str">
            <v>29140</v>
          </cell>
        </row>
        <row r="235">
          <cell r="A235" t="str">
            <v>김충식</v>
          </cell>
        </row>
        <row r="235">
          <cell r="C235" t="str">
            <v>520618-1384416</v>
          </cell>
          <cell r="D235" t="str">
            <v>충북 청원군 북이면 석성리448-2</v>
          </cell>
          <cell r="E235" t="str">
            <v>농협</v>
          </cell>
          <cell r="F235" t="str">
            <v>김충식</v>
          </cell>
          <cell r="G235" t="str">
            <v>302-0971-3212-91</v>
          </cell>
          <cell r="H235">
            <v>150000</v>
          </cell>
          <cell r="I235" t="str">
            <v>010-5547-6459</v>
          </cell>
        </row>
        <row r="236">
          <cell r="A236" t="str">
            <v>장신진</v>
          </cell>
        </row>
        <row r="236">
          <cell r="C236" t="str">
            <v>620908-1386710</v>
          </cell>
          <cell r="D236" t="str">
            <v>충북 영동군 영동읍 동정로 39-27, 현대아파트 101동 1501호</v>
          </cell>
          <cell r="E236" t="str">
            <v>농협</v>
          </cell>
          <cell r="F236" t="str">
            <v>장신진</v>
          </cell>
          <cell r="G236" t="str">
            <v>356-1353-2371-93</v>
          </cell>
          <cell r="H236">
            <v>150000</v>
          </cell>
          <cell r="I236" t="str">
            <v>010-8450-8819</v>
          </cell>
        </row>
        <row r="237">
          <cell r="A237" t="str">
            <v>김경순</v>
          </cell>
        </row>
        <row r="237">
          <cell r="C237" t="str">
            <v>621004-2069619</v>
          </cell>
          <cell r="D237" t="str">
            <v>충북 영동군 용산면 상용길 20-24</v>
          </cell>
        </row>
        <row r="237">
          <cell r="H237">
            <v>150000</v>
          </cell>
        </row>
        <row r="237">
          <cell r="K237">
            <v>29111</v>
          </cell>
        </row>
        <row r="241">
          <cell r="A241" t="str">
            <v>김동식</v>
          </cell>
        </row>
        <row r="241">
          <cell r="C241" t="str">
            <v>740416-1468915</v>
          </cell>
          <cell r="D241" t="str">
            <v>청주시 상당구 영운천로 159, 202호 (용정동)</v>
          </cell>
          <cell r="E241" t="str">
            <v>기업</v>
          </cell>
          <cell r="F241" t="str">
            <v>서만석</v>
          </cell>
          <cell r="G241" t="str">
            <v>293-020381-03-026</v>
          </cell>
          <cell r="H241">
            <v>180000</v>
          </cell>
        </row>
        <row r="242">
          <cell r="A242" t="str">
            <v>박문교</v>
          </cell>
        </row>
        <row r="242">
          <cell r="C242" t="str">
            <v>700724-1380511</v>
          </cell>
          <cell r="D242" t="str">
            <v>청주시 흥덕구 월명로 125, 가동 206호(봉명동,신흥@)</v>
          </cell>
          <cell r="E242" t="str">
            <v>기업</v>
          </cell>
          <cell r="F242" t="str">
            <v>서만석</v>
          </cell>
          <cell r="G242" t="str">
            <v>293-020381-03-026</v>
          </cell>
          <cell r="H242">
            <v>180000</v>
          </cell>
        </row>
        <row r="243">
          <cell r="A243" t="str">
            <v>안준범</v>
          </cell>
        </row>
        <row r="243">
          <cell r="C243" t="str">
            <v>681028-1820716</v>
          </cell>
          <cell r="D243" t="str">
            <v>경상남도 창원시 동읍 용잠리 419 신안@ 1-1505</v>
          </cell>
          <cell r="E243" t="str">
            <v>기업</v>
          </cell>
          <cell r="F243" t="str">
            <v>서만석</v>
          </cell>
          <cell r="G243" t="str">
            <v>293-020381-03-026</v>
          </cell>
          <cell r="H243">
            <v>180000</v>
          </cell>
        </row>
        <row r="244">
          <cell r="A244" t="str">
            <v>엄태섭</v>
          </cell>
        </row>
        <row r="244">
          <cell r="C244" t="str">
            <v>651117-1388314</v>
          </cell>
          <cell r="D244" t="str">
            <v>충북 진천군 덕산면 인산리 182-21</v>
          </cell>
          <cell r="E244" t="str">
            <v>기업</v>
          </cell>
          <cell r="F244" t="str">
            <v>서만석</v>
          </cell>
          <cell r="G244" t="str">
            <v>293-020381-03-026</v>
          </cell>
          <cell r="H244">
            <v>180000</v>
          </cell>
        </row>
        <row r="245">
          <cell r="A245" t="str">
            <v>황우하</v>
          </cell>
        </row>
        <row r="245">
          <cell r="C245" t="str">
            <v>870101-1384313</v>
          </cell>
          <cell r="D245" t="str">
            <v>충청북도 옥천군 안남면 도농리 538</v>
          </cell>
          <cell r="E245" t="str">
            <v>기업</v>
          </cell>
          <cell r="F245" t="str">
            <v>서만석</v>
          </cell>
          <cell r="G245" t="str">
            <v>293-020381-03-026</v>
          </cell>
          <cell r="H245">
            <v>180000</v>
          </cell>
        </row>
        <row r="246">
          <cell r="A246" t="str">
            <v>김흥식</v>
          </cell>
        </row>
        <row r="246">
          <cell r="C246" t="str">
            <v>690227-1382111</v>
          </cell>
          <cell r="D246" t="str">
            <v>청주시 서원구 모충로 61, 205-501 (모충동 주공2단지)</v>
          </cell>
          <cell r="E246" t="str">
            <v>기업</v>
          </cell>
          <cell r="F246" t="str">
            <v>서만석</v>
          </cell>
          <cell r="G246" t="str">
            <v>293-020381-03-026</v>
          </cell>
          <cell r="H246">
            <v>180000</v>
          </cell>
        </row>
        <row r="247">
          <cell r="A247" t="str">
            <v>김춘상</v>
          </cell>
        </row>
        <row r="247">
          <cell r="C247" t="str">
            <v>671115-1380612</v>
          </cell>
          <cell r="D247" t="str">
            <v>청주시 상당구 영운동 168-24 19/4</v>
          </cell>
          <cell r="E247" t="str">
            <v>기업</v>
          </cell>
          <cell r="F247" t="str">
            <v>서만석</v>
          </cell>
          <cell r="G247" t="str">
            <v>293-020381-03-026</v>
          </cell>
          <cell r="H247">
            <v>180000</v>
          </cell>
        </row>
        <row r="248">
          <cell r="A248" t="str">
            <v>김주웅</v>
          </cell>
        </row>
        <row r="248">
          <cell r="C248" t="str">
            <v>600405-1397114</v>
          </cell>
          <cell r="D248" t="str">
            <v>청주시 서원구 1순환로 1137번길 130,325-1306 (분평동 분평주공@)</v>
          </cell>
          <cell r="E248" t="str">
            <v>기업</v>
          </cell>
          <cell r="F248" t="str">
            <v>서만석</v>
          </cell>
          <cell r="G248" t="str">
            <v>293-020381-03-026</v>
          </cell>
          <cell r="H248">
            <v>180000</v>
          </cell>
        </row>
        <row r="249">
          <cell r="A249" t="str">
            <v>마상조</v>
          </cell>
        </row>
        <row r="249">
          <cell r="C249" t="str">
            <v>590619-1380817</v>
          </cell>
          <cell r="D249" t="str">
            <v>청주시 흥덕구 봉명로 209번길 17, 105호 (봉명동,그린빌라2차)</v>
          </cell>
          <cell r="E249" t="str">
            <v>기업</v>
          </cell>
          <cell r="F249" t="str">
            <v>서만석</v>
          </cell>
          <cell r="G249" t="str">
            <v>293-020381-03-026</v>
          </cell>
          <cell r="H249">
            <v>180000</v>
          </cell>
        </row>
        <row r="250">
          <cell r="A250" t="str">
            <v>임익기</v>
          </cell>
        </row>
        <row r="250">
          <cell r="C250" t="str">
            <v>650114-1037815</v>
          </cell>
          <cell r="D250" t="str">
            <v>청주시 상당구 가덕면 국전길 110-43</v>
          </cell>
          <cell r="E250" t="str">
            <v>기업</v>
          </cell>
          <cell r="F250" t="str">
            <v>서만석</v>
          </cell>
          <cell r="G250" t="str">
            <v>293-020381-03-026</v>
          </cell>
          <cell r="H250">
            <v>180000</v>
          </cell>
        </row>
        <row r="251">
          <cell r="A251" t="str">
            <v>안기남</v>
          </cell>
        </row>
        <row r="251">
          <cell r="C251" t="str">
            <v>630117-1644712</v>
          </cell>
          <cell r="D251" t="str">
            <v>청주시 상당구 남사로 80번길 9, 4층 402호 (남주동)</v>
          </cell>
          <cell r="E251" t="str">
            <v>기업</v>
          </cell>
          <cell r="F251" t="str">
            <v>서만석</v>
          </cell>
          <cell r="G251" t="str">
            <v>293-020381-03-026</v>
          </cell>
          <cell r="H251">
            <v>180000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://map.kakao.com/?q=&#52649;&#48513;%20&#52397;&#51452;&#49884;%20&#49345;&#45817;&#44396;%20&#50900;&#54217;&#47196;210&#48264;&#44600;%2013&amp;map_type=DEFAULT&amp;map_hybrid=false&amp;from=total" TargetMode="External"/><Relationship Id="rId3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mailto:pes4695@naver.com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80"/>
    <pageSetUpPr fitToPage="true"/>
  </sheetPr>
  <dimension ref="A1:IW1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6.5" customHeight="fals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2" width="5.32"/>
    <col collapsed="false" customWidth="true" hidden="false" outlineLevel="0" max="3" min="3" style="2" width="6.43"/>
    <col collapsed="false" customWidth="false" hidden="false" outlineLevel="0" max="4" min="4" style="3" width="7.77"/>
    <col collapsed="false" customWidth="true" hidden="false" outlineLevel="0" max="5" min="5" style="4" width="38.99"/>
    <col collapsed="false" customWidth="true" hidden="false" outlineLevel="0" max="6" min="6" style="5" width="3.1"/>
    <col collapsed="false" customWidth="true" hidden="false" outlineLevel="0" max="7" min="7" style="5" width="3.32"/>
    <col collapsed="false" customWidth="true" hidden="false" outlineLevel="0" max="13" min="8" style="5" width="3.77"/>
    <col collapsed="false" customWidth="true" hidden="false" outlineLevel="0" max="14" min="14" style="6" width="3.77"/>
    <col collapsed="false" customWidth="true" hidden="false" outlineLevel="0" max="20" min="15" style="5" width="3.77"/>
    <col collapsed="false" customWidth="true" hidden="false" outlineLevel="0" max="21" min="21" style="7" width="3.77"/>
    <col collapsed="false" customWidth="true" hidden="false" outlineLevel="0" max="22" min="22" style="8" width="5.1"/>
    <col collapsed="false" customWidth="true" hidden="false" outlineLevel="0" max="23" min="23" style="9" width="8.66"/>
    <col collapsed="false" customWidth="true" hidden="false" outlineLevel="0" max="24" min="24" style="9" width="7.22"/>
    <col collapsed="false" customWidth="true" hidden="false" outlineLevel="0" max="26" min="25" style="9" width="7.43"/>
    <col collapsed="false" customWidth="true" hidden="false" outlineLevel="0" max="27" min="27" style="9" width="8.88"/>
    <col collapsed="false" customWidth="true" hidden="false" outlineLevel="0" max="28" min="28" style="9" width="9.44"/>
    <col collapsed="false" customWidth="true" hidden="false" outlineLevel="0" max="29" min="29" style="9" width="6.99"/>
    <col collapsed="false" customWidth="true" hidden="false" outlineLevel="0" max="30" min="30" style="9" width="9.1"/>
    <col collapsed="false" customWidth="true" hidden="true" outlineLevel="0" max="31" min="31" style="9" width="3.32"/>
    <col collapsed="false" customWidth="true" hidden="false" outlineLevel="0" max="32" min="32" style="10" width="7.55"/>
    <col collapsed="false" customWidth="true" hidden="false" outlineLevel="0" max="33" min="33" style="10" width="7.88"/>
    <col collapsed="false" customWidth="true" hidden="false" outlineLevel="0" max="34" min="34" style="10" width="6.55"/>
    <col collapsed="false" customWidth="true" hidden="false" outlineLevel="0" max="50" min="35" style="10" width="4.1"/>
    <col collapsed="false" customWidth="false" hidden="false" outlineLevel="0" max="51" min="51" style="11" width="7.77"/>
    <col collapsed="false" customWidth="false" hidden="false" outlineLevel="0" max="250" min="52" style="9" width="7.77"/>
    <col collapsed="false" customWidth="false" hidden="false" outlineLevel="0" max="257" min="251" style="12" width="7.77"/>
  </cols>
  <sheetData>
    <row r="1" customFormat="false" ht="12.6" hidden="false" customHeight="true" outlineLevel="0" collapsed="false">
      <c r="A1" s="13" t="s">
        <v>0</v>
      </c>
      <c r="B1" s="13"/>
      <c r="C1" s="13"/>
      <c r="D1" s="13"/>
      <c r="E1" s="14" t="s">
        <v>1</v>
      </c>
      <c r="F1" s="15" t="s">
        <v>2</v>
      </c>
      <c r="G1" s="15"/>
      <c r="H1" s="15"/>
      <c r="I1" s="15"/>
      <c r="J1" s="15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8"/>
      <c r="W1" s="18"/>
      <c r="X1" s="18"/>
      <c r="Y1" s="18"/>
      <c r="Z1" s="19"/>
      <c r="AA1" s="19"/>
      <c r="AB1" s="19"/>
      <c r="AC1" s="20"/>
      <c r="AD1" s="20"/>
      <c r="AE1" s="21"/>
      <c r="AF1" s="22"/>
      <c r="AG1" s="22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4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</row>
    <row r="2" customFormat="false" ht="12.6" hidden="false" customHeight="true" outlineLevel="0" collapsed="false">
      <c r="A2" s="25" t="s">
        <v>3</v>
      </c>
      <c r="B2" s="25"/>
      <c r="C2" s="25"/>
      <c r="D2" s="25"/>
      <c r="E2" s="26" t="s">
        <v>4</v>
      </c>
      <c r="F2" s="27" t="s">
        <v>5</v>
      </c>
      <c r="G2" s="27"/>
      <c r="H2" s="27"/>
      <c r="I2" s="27"/>
      <c r="J2" s="27"/>
      <c r="K2" s="28"/>
      <c r="L2" s="28"/>
      <c r="M2" s="28"/>
      <c r="N2" s="28"/>
      <c r="O2" s="28"/>
      <c r="P2" s="29"/>
      <c r="Q2" s="29"/>
      <c r="R2" s="29"/>
      <c r="S2" s="29"/>
      <c r="T2" s="29"/>
      <c r="U2" s="29"/>
      <c r="V2" s="30"/>
      <c r="W2" s="30"/>
      <c r="X2" s="30"/>
      <c r="Y2" s="30"/>
      <c r="Z2" s="31"/>
      <c r="AA2" s="31"/>
      <c r="AB2" s="31"/>
      <c r="AC2" s="32"/>
      <c r="AD2" s="32"/>
      <c r="AE2" s="33"/>
      <c r="AF2" s="22"/>
      <c r="AG2" s="22"/>
      <c r="AH2" s="23"/>
      <c r="AI2" s="34"/>
      <c r="AJ2" s="34"/>
      <c r="AK2" s="35"/>
      <c r="AL2" s="35"/>
      <c r="AM2" s="35"/>
      <c r="AN2" s="34"/>
      <c r="AO2" s="34"/>
      <c r="AP2" s="34"/>
      <c r="AQ2" s="34"/>
      <c r="AR2" s="34"/>
      <c r="AS2" s="34"/>
      <c r="AT2" s="34"/>
      <c r="AU2" s="34"/>
      <c r="AV2" s="23"/>
      <c r="AW2" s="23"/>
      <c r="AX2" s="23"/>
      <c r="AY2" s="36" t="s">
        <v>6</v>
      </c>
      <c r="AZ2" s="36"/>
      <c r="BA2" s="36"/>
      <c r="BB2" s="36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</row>
    <row r="3" customFormat="false" ht="12.6" hidden="false" customHeight="true" outlineLevel="0" collapsed="false">
      <c r="A3" s="37" t="n">
        <f aca="false">H5</f>
        <v>45931</v>
      </c>
      <c r="B3" s="37"/>
      <c r="C3" s="37"/>
      <c r="D3" s="38" t="s">
        <v>7</v>
      </c>
      <c r="E3" s="38"/>
      <c r="F3" s="38"/>
      <c r="G3" s="38"/>
      <c r="H3" s="39" t="s">
        <v>8</v>
      </c>
      <c r="I3" s="39"/>
      <c r="J3" s="40" t="s">
        <v>9</v>
      </c>
      <c r="K3" s="40"/>
      <c r="L3" s="40"/>
      <c r="M3" s="41" t="s">
        <v>10</v>
      </c>
      <c r="N3" s="41"/>
      <c r="O3" s="41"/>
      <c r="P3" s="42" t="s">
        <v>11</v>
      </c>
      <c r="Q3" s="42"/>
      <c r="R3" s="42"/>
      <c r="S3" s="42" t="s">
        <v>12</v>
      </c>
      <c r="T3" s="42"/>
      <c r="U3" s="42"/>
      <c r="V3" s="42" t="s">
        <v>13</v>
      </c>
      <c r="W3" s="42"/>
      <c r="X3" s="42" t="s">
        <v>14</v>
      </c>
      <c r="Y3" s="42"/>
      <c r="Z3" s="43" t="s">
        <v>15</v>
      </c>
      <c r="AA3" s="43"/>
      <c r="AB3" s="44" t="s">
        <v>16</v>
      </c>
      <c r="AC3" s="44"/>
      <c r="AD3" s="44"/>
      <c r="AE3" s="45"/>
      <c r="AF3" s="46" t="s">
        <v>17</v>
      </c>
      <c r="AG3" s="46"/>
      <c r="AH3" s="46"/>
      <c r="AI3" s="47" t="s">
        <v>18</v>
      </c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8"/>
      <c r="AW3" s="48"/>
      <c r="AX3" s="48"/>
      <c r="AY3" s="49" t="s">
        <v>19</v>
      </c>
      <c r="AZ3" s="49"/>
      <c r="BA3" s="49"/>
      <c r="BB3" s="49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48"/>
      <c r="IW3" s="48"/>
    </row>
    <row r="4" customFormat="false" ht="12.6" hidden="false" customHeight="true" outlineLevel="0" collapsed="false">
      <c r="A4" s="37"/>
      <c r="B4" s="37"/>
      <c r="C4" s="37"/>
      <c r="D4" s="38"/>
      <c r="E4" s="38"/>
      <c r="F4" s="38"/>
      <c r="G4" s="38"/>
      <c r="H4" s="39"/>
      <c r="I4" s="39"/>
      <c r="J4" s="51" t="n">
        <v>0.045</v>
      </c>
      <c r="K4" s="51"/>
      <c r="L4" s="51"/>
      <c r="M4" s="52" t="n">
        <v>0.03545</v>
      </c>
      <c r="N4" s="52"/>
      <c r="O4" s="52"/>
      <c r="P4" s="53" t="s">
        <v>20</v>
      </c>
      <c r="Q4" s="54" t="n">
        <f aca="false">12.95%/2</f>
        <v>0.06475</v>
      </c>
      <c r="R4" s="54"/>
      <c r="S4" s="55" t="n">
        <v>0.027</v>
      </c>
      <c r="T4" s="55"/>
      <c r="U4" s="55"/>
      <c r="V4" s="53" t="s">
        <v>21</v>
      </c>
      <c r="W4" s="53"/>
      <c r="X4" s="56" t="n">
        <v>150000</v>
      </c>
      <c r="Y4" s="56"/>
      <c r="Z4" s="57" t="n">
        <v>0.009</v>
      </c>
      <c r="AA4" s="57"/>
      <c r="AB4" s="44"/>
      <c r="AC4" s="44"/>
      <c r="AD4" s="44"/>
      <c r="AE4" s="58"/>
      <c r="AF4" s="46"/>
      <c r="AG4" s="46"/>
      <c r="AH4" s="46"/>
      <c r="AI4" s="47" t="s">
        <v>22</v>
      </c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8"/>
      <c r="AW4" s="48"/>
      <c r="AX4" s="48"/>
      <c r="AY4" s="59" t="s">
        <v>23</v>
      </c>
      <c r="AZ4" s="59"/>
      <c r="BA4" s="59"/>
      <c r="BB4" s="59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0"/>
      <c r="CP4" s="50"/>
      <c r="CQ4" s="50"/>
      <c r="CR4" s="50"/>
      <c r="CS4" s="50"/>
      <c r="CT4" s="50"/>
      <c r="CU4" s="50"/>
      <c r="CV4" s="50"/>
      <c r="CW4" s="50"/>
      <c r="CX4" s="50"/>
      <c r="CY4" s="50"/>
      <c r="CZ4" s="50"/>
      <c r="DA4" s="50"/>
      <c r="DB4" s="50"/>
      <c r="DC4" s="50"/>
      <c r="DD4" s="50"/>
      <c r="DE4" s="50"/>
      <c r="DF4" s="50"/>
      <c r="DG4" s="50"/>
      <c r="DH4" s="50"/>
      <c r="DI4" s="50"/>
      <c r="DJ4" s="50"/>
      <c r="DK4" s="50"/>
      <c r="DL4" s="50"/>
      <c r="DM4" s="50"/>
      <c r="DN4" s="50"/>
      <c r="DO4" s="50"/>
      <c r="DP4" s="50"/>
      <c r="DQ4" s="50"/>
      <c r="DR4" s="50"/>
      <c r="DS4" s="50"/>
      <c r="DT4" s="50"/>
      <c r="DU4" s="50"/>
      <c r="DV4" s="50"/>
      <c r="DW4" s="50"/>
      <c r="DX4" s="50"/>
      <c r="DY4" s="50"/>
      <c r="DZ4" s="50"/>
      <c r="EA4" s="50"/>
      <c r="EB4" s="50"/>
      <c r="EC4" s="50"/>
      <c r="ED4" s="50"/>
      <c r="EE4" s="50"/>
      <c r="EF4" s="50"/>
      <c r="EG4" s="50"/>
      <c r="EH4" s="50"/>
      <c r="EI4" s="50"/>
      <c r="EJ4" s="50"/>
      <c r="EK4" s="50"/>
      <c r="EL4" s="50"/>
      <c r="EM4" s="50"/>
      <c r="EN4" s="50"/>
      <c r="EO4" s="50"/>
      <c r="EP4" s="50"/>
      <c r="EQ4" s="50"/>
      <c r="ER4" s="50"/>
      <c r="ES4" s="50"/>
      <c r="ET4" s="50"/>
      <c r="EU4" s="50"/>
      <c r="EV4" s="50"/>
      <c r="EW4" s="50"/>
      <c r="EX4" s="50"/>
      <c r="EY4" s="50"/>
      <c r="EZ4" s="50"/>
      <c r="FA4" s="50"/>
      <c r="FB4" s="50"/>
      <c r="FC4" s="50"/>
      <c r="FD4" s="50"/>
      <c r="FE4" s="50"/>
      <c r="FF4" s="50"/>
      <c r="FG4" s="50"/>
      <c r="FH4" s="50"/>
      <c r="FI4" s="50"/>
      <c r="FJ4" s="50"/>
      <c r="FK4" s="50"/>
      <c r="FL4" s="50"/>
      <c r="FM4" s="50"/>
      <c r="FN4" s="50"/>
      <c r="FO4" s="50"/>
      <c r="FP4" s="50"/>
      <c r="FQ4" s="50"/>
      <c r="FR4" s="50"/>
      <c r="FS4" s="50"/>
      <c r="FT4" s="50"/>
      <c r="FU4" s="50"/>
      <c r="FV4" s="50"/>
      <c r="FW4" s="50"/>
      <c r="FX4" s="50"/>
      <c r="FY4" s="50"/>
      <c r="FZ4" s="50"/>
      <c r="GA4" s="50"/>
      <c r="GB4" s="50"/>
      <c r="GC4" s="50"/>
      <c r="GD4" s="50"/>
      <c r="GE4" s="50"/>
      <c r="GF4" s="50"/>
      <c r="GG4" s="50"/>
      <c r="GH4" s="50"/>
      <c r="GI4" s="50"/>
      <c r="GJ4" s="50"/>
      <c r="GK4" s="50"/>
      <c r="GL4" s="50"/>
      <c r="GM4" s="50"/>
      <c r="GN4" s="50"/>
      <c r="GO4" s="50"/>
      <c r="GP4" s="50"/>
      <c r="GQ4" s="50"/>
      <c r="GR4" s="50"/>
      <c r="GS4" s="50"/>
      <c r="GT4" s="50"/>
      <c r="GU4" s="50"/>
      <c r="GV4" s="50"/>
      <c r="GW4" s="50"/>
      <c r="GX4" s="50"/>
      <c r="GY4" s="50"/>
      <c r="GZ4" s="50"/>
      <c r="HA4" s="50"/>
      <c r="HB4" s="50"/>
      <c r="HC4" s="50"/>
      <c r="HD4" s="50"/>
      <c r="HE4" s="50"/>
      <c r="HF4" s="50"/>
      <c r="HG4" s="50"/>
      <c r="HH4" s="50"/>
      <c r="HI4" s="50"/>
      <c r="HJ4" s="50"/>
      <c r="HK4" s="50"/>
      <c r="HL4" s="50"/>
      <c r="HM4" s="50"/>
      <c r="HN4" s="50"/>
      <c r="HO4" s="50"/>
      <c r="HP4" s="50"/>
      <c r="HQ4" s="50"/>
      <c r="HR4" s="50"/>
      <c r="HS4" s="50"/>
      <c r="HT4" s="50"/>
      <c r="HU4" s="50"/>
      <c r="HV4" s="50"/>
      <c r="HW4" s="50"/>
      <c r="HX4" s="50"/>
      <c r="HY4" s="50"/>
      <c r="HZ4" s="50"/>
      <c r="IA4" s="50"/>
      <c r="IB4" s="50"/>
      <c r="IC4" s="50"/>
      <c r="ID4" s="50"/>
      <c r="IE4" s="50"/>
      <c r="IF4" s="50"/>
      <c r="IG4" s="50"/>
      <c r="IH4" s="50"/>
      <c r="II4" s="50"/>
      <c r="IJ4" s="50"/>
      <c r="IK4" s="50"/>
      <c r="IL4" s="50"/>
      <c r="IM4" s="50"/>
      <c r="IN4" s="50"/>
      <c r="IO4" s="50"/>
      <c r="IP4" s="50"/>
      <c r="IQ4" s="50"/>
      <c r="IR4" s="50"/>
      <c r="IS4" s="50"/>
      <c r="IT4" s="50"/>
      <c r="IU4" s="50"/>
      <c r="IV4" s="48"/>
      <c r="IW4" s="48"/>
    </row>
    <row r="5" customFormat="false" ht="12.6" hidden="false" customHeight="true" outlineLevel="0" collapsed="false">
      <c r="A5" s="60" t="s">
        <v>24</v>
      </c>
      <c r="B5" s="60"/>
      <c r="C5" s="61" t="s">
        <v>25</v>
      </c>
      <c r="D5" s="61"/>
      <c r="E5" s="61"/>
      <c r="F5" s="62" t="s">
        <v>26</v>
      </c>
      <c r="G5" s="62"/>
      <c r="H5" s="63" t="n">
        <v>45931</v>
      </c>
      <c r="I5" s="63"/>
      <c r="J5" s="63"/>
      <c r="K5" s="63"/>
      <c r="L5" s="63"/>
      <c r="M5" s="63"/>
      <c r="N5" s="63"/>
      <c r="O5" s="64" t="n">
        <f aca="false">H6</f>
        <v>45961</v>
      </c>
      <c r="P5" s="64"/>
      <c r="Q5" s="62" t="s">
        <v>27</v>
      </c>
      <c r="R5" s="62"/>
      <c r="S5" s="65" t="s">
        <v>28</v>
      </c>
      <c r="T5" s="65"/>
      <c r="U5" s="65"/>
      <c r="V5" s="65"/>
      <c r="W5" s="66"/>
      <c r="X5" s="66"/>
      <c r="Y5" s="66"/>
      <c r="Z5" s="66"/>
      <c r="AA5" s="66"/>
      <c r="AB5" s="66"/>
      <c r="AC5" s="66"/>
      <c r="AD5" s="66"/>
      <c r="AE5" s="67"/>
      <c r="AF5" s="46"/>
      <c r="AG5" s="46"/>
      <c r="AH5" s="46"/>
      <c r="AI5" s="68"/>
      <c r="AJ5" s="69"/>
      <c r="AK5" s="70"/>
      <c r="AL5" s="70"/>
      <c r="AM5" s="70"/>
      <c r="AN5" s="71"/>
      <c r="AO5" s="71"/>
      <c r="AP5" s="71"/>
      <c r="AQ5" s="68"/>
      <c r="AR5" s="68"/>
      <c r="AS5" s="68"/>
      <c r="AT5" s="68"/>
      <c r="AU5" s="68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  <c r="BS5" s="72"/>
      <c r="BT5" s="72"/>
      <c r="BU5" s="72"/>
      <c r="BV5" s="72"/>
      <c r="BW5" s="72"/>
      <c r="BX5" s="72"/>
      <c r="BY5" s="72"/>
      <c r="BZ5" s="72"/>
      <c r="CA5" s="72"/>
      <c r="CB5" s="72"/>
      <c r="CC5" s="72"/>
      <c r="CD5" s="72"/>
      <c r="CE5" s="72"/>
      <c r="CF5" s="72"/>
      <c r="CG5" s="72"/>
      <c r="CH5" s="72"/>
      <c r="CI5" s="72"/>
      <c r="CJ5" s="72"/>
      <c r="CK5" s="72"/>
      <c r="CL5" s="72"/>
      <c r="CM5" s="72"/>
      <c r="CN5" s="72"/>
      <c r="CO5" s="72"/>
      <c r="CP5" s="72"/>
      <c r="CQ5" s="72"/>
      <c r="CR5" s="72"/>
      <c r="CS5" s="72"/>
      <c r="CT5" s="72"/>
      <c r="CU5" s="72"/>
      <c r="CV5" s="72"/>
      <c r="CW5" s="72"/>
      <c r="CX5" s="72"/>
      <c r="CY5" s="72"/>
      <c r="CZ5" s="72"/>
      <c r="DA5" s="72"/>
      <c r="DB5" s="72"/>
      <c r="DC5" s="72"/>
      <c r="DD5" s="72"/>
      <c r="DE5" s="72"/>
      <c r="DF5" s="72"/>
      <c r="DG5" s="72"/>
      <c r="DH5" s="72"/>
      <c r="DI5" s="72"/>
      <c r="DJ5" s="72"/>
      <c r="DK5" s="72"/>
      <c r="DL5" s="72"/>
      <c r="DM5" s="72"/>
      <c r="DN5" s="72"/>
      <c r="DO5" s="72"/>
      <c r="DP5" s="72"/>
      <c r="DQ5" s="72"/>
      <c r="DR5" s="72"/>
      <c r="DS5" s="72"/>
      <c r="DT5" s="72"/>
      <c r="DU5" s="72"/>
      <c r="DV5" s="72"/>
      <c r="DW5" s="72"/>
      <c r="DX5" s="72"/>
      <c r="DY5" s="72"/>
      <c r="DZ5" s="72"/>
      <c r="EA5" s="72"/>
      <c r="EB5" s="72"/>
      <c r="EC5" s="72"/>
      <c r="ED5" s="72"/>
      <c r="EE5" s="72"/>
      <c r="EF5" s="72"/>
      <c r="EG5" s="72"/>
      <c r="EH5" s="72"/>
      <c r="EI5" s="72"/>
      <c r="EJ5" s="72"/>
      <c r="EK5" s="72"/>
      <c r="EL5" s="72"/>
      <c r="EM5" s="72"/>
      <c r="EN5" s="72"/>
      <c r="EO5" s="72"/>
      <c r="EP5" s="72"/>
      <c r="EQ5" s="72"/>
      <c r="ER5" s="72"/>
      <c r="ES5" s="72"/>
      <c r="ET5" s="72"/>
      <c r="EU5" s="72"/>
      <c r="EV5" s="72"/>
      <c r="EW5" s="72"/>
      <c r="EX5" s="72"/>
      <c r="EY5" s="72"/>
      <c r="EZ5" s="72"/>
      <c r="FA5" s="72"/>
      <c r="FB5" s="72"/>
      <c r="FC5" s="72"/>
      <c r="FD5" s="72"/>
      <c r="FE5" s="72"/>
      <c r="FF5" s="72"/>
      <c r="FG5" s="72"/>
      <c r="FH5" s="72"/>
      <c r="FI5" s="72"/>
      <c r="FJ5" s="72"/>
      <c r="FK5" s="72"/>
      <c r="FL5" s="72"/>
      <c r="FM5" s="72"/>
      <c r="FN5" s="72"/>
      <c r="FO5" s="72"/>
      <c r="FP5" s="72"/>
      <c r="FQ5" s="72"/>
      <c r="FR5" s="72"/>
      <c r="FS5" s="72"/>
      <c r="FT5" s="72"/>
      <c r="FU5" s="72"/>
      <c r="FV5" s="72"/>
      <c r="FW5" s="72"/>
      <c r="FX5" s="72"/>
      <c r="FY5" s="72"/>
      <c r="FZ5" s="72"/>
      <c r="GA5" s="72"/>
      <c r="GB5" s="72"/>
      <c r="GC5" s="72"/>
      <c r="GD5" s="72"/>
      <c r="GE5" s="72"/>
      <c r="GF5" s="72"/>
      <c r="GG5" s="72"/>
      <c r="GH5" s="72"/>
      <c r="GI5" s="72"/>
      <c r="GJ5" s="72"/>
      <c r="GK5" s="72"/>
      <c r="GL5" s="72"/>
      <c r="GM5" s="72"/>
      <c r="GN5" s="72"/>
      <c r="GO5" s="72"/>
      <c r="GP5" s="72"/>
      <c r="GQ5" s="72"/>
      <c r="GR5" s="72"/>
      <c r="GS5" s="72"/>
      <c r="GT5" s="72"/>
      <c r="GU5" s="72"/>
      <c r="GV5" s="72"/>
      <c r="GW5" s="72"/>
      <c r="GX5" s="72"/>
      <c r="GY5" s="72"/>
      <c r="GZ5" s="72"/>
      <c r="HA5" s="72"/>
      <c r="HB5" s="72"/>
      <c r="HC5" s="72"/>
      <c r="HD5" s="72"/>
      <c r="HE5" s="72"/>
      <c r="HF5" s="72"/>
      <c r="HG5" s="72"/>
      <c r="HH5" s="72"/>
      <c r="HI5" s="72"/>
      <c r="HJ5" s="72"/>
      <c r="HK5" s="72"/>
      <c r="HL5" s="72"/>
      <c r="HM5" s="72"/>
      <c r="HN5" s="72"/>
      <c r="HO5" s="72"/>
      <c r="HP5" s="72"/>
      <c r="HQ5" s="72"/>
      <c r="HR5" s="72"/>
      <c r="HS5" s="72"/>
      <c r="HT5" s="72"/>
      <c r="HU5" s="72"/>
      <c r="HV5" s="72"/>
      <c r="HW5" s="72"/>
      <c r="HX5" s="72"/>
      <c r="HY5" s="72"/>
      <c r="HZ5" s="72"/>
      <c r="IA5" s="72"/>
      <c r="IB5" s="72"/>
      <c r="IC5" s="72"/>
      <c r="ID5" s="72"/>
      <c r="IE5" s="72"/>
      <c r="IF5" s="72"/>
      <c r="IG5" s="72"/>
      <c r="IH5" s="72"/>
      <c r="II5" s="72"/>
      <c r="IJ5" s="72"/>
      <c r="IK5" s="72"/>
      <c r="IL5" s="72"/>
      <c r="IM5" s="72"/>
      <c r="IN5" s="72"/>
      <c r="IO5" s="72"/>
      <c r="IP5" s="72"/>
      <c r="IQ5" s="72"/>
      <c r="IR5" s="72"/>
      <c r="IS5" s="72"/>
      <c r="IT5" s="72"/>
      <c r="IU5" s="72"/>
      <c r="IV5" s="73"/>
      <c r="IW5" s="73"/>
    </row>
    <row r="6" customFormat="false" ht="12.6" hidden="false" customHeight="true" outlineLevel="0" collapsed="false">
      <c r="A6" s="60"/>
      <c r="B6" s="60"/>
      <c r="C6" s="61"/>
      <c r="D6" s="61"/>
      <c r="E6" s="61"/>
      <c r="F6" s="62"/>
      <c r="G6" s="62"/>
      <c r="H6" s="74" t="n">
        <v>45961</v>
      </c>
      <c r="I6" s="74"/>
      <c r="J6" s="74"/>
      <c r="K6" s="74"/>
      <c r="L6" s="74"/>
      <c r="M6" s="74"/>
      <c r="N6" s="74"/>
      <c r="O6" s="64"/>
      <c r="P6" s="64"/>
      <c r="Q6" s="62"/>
      <c r="R6" s="62"/>
      <c r="S6" s="75" t="s">
        <v>29</v>
      </c>
      <c r="T6" s="75"/>
      <c r="U6" s="75"/>
      <c r="V6" s="75"/>
      <c r="W6" s="76"/>
      <c r="X6" s="76"/>
      <c r="Y6" s="76"/>
      <c r="Z6" s="76"/>
      <c r="AA6" s="76"/>
      <c r="AB6" s="76"/>
      <c r="AC6" s="76"/>
      <c r="AD6" s="76"/>
      <c r="AE6" s="77"/>
      <c r="AF6" s="46"/>
      <c r="AG6" s="46"/>
      <c r="AH6" s="46"/>
      <c r="AI6" s="68"/>
      <c r="AJ6" s="69"/>
      <c r="AK6" s="70"/>
      <c r="AL6" s="70"/>
      <c r="AM6" s="70"/>
      <c r="AN6" s="71"/>
      <c r="AO6" s="71"/>
      <c r="AP6" s="71"/>
      <c r="AQ6" s="68"/>
      <c r="AR6" s="68"/>
      <c r="AS6" s="68"/>
      <c r="AT6" s="68"/>
      <c r="AU6" s="68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72"/>
      <c r="CW6" s="72"/>
      <c r="CX6" s="72"/>
      <c r="CY6" s="72"/>
      <c r="CZ6" s="72"/>
      <c r="DA6" s="72"/>
      <c r="DB6" s="72"/>
      <c r="DC6" s="72"/>
      <c r="DD6" s="72"/>
      <c r="DE6" s="72"/>
      <c r="DF6" s="72"/>
      <c r="DG6" s="72"/>
      <c r="DH6" s="72"/>
      <c r="DI6" s="72"/>
      <c r="DJ6" s="72"/>
      <c r="DK6" s="72"/>
      <c r="DL6" s="72"/>
      <c r="DM6" s="72"/>
      <c r="DN6" s="72"/>
      <c r="DO6" s="72"/>
      <c r="DP6" s="72"/>
      <c r="DQ6" s="72"/>
      <c r="DR6" s="72"/>
      <c r="DS6" s="72"/>
      <c r="DT6" s="72"/>
      <c r="DU6" s="72"/>
      <c r="DV6" s="72"/>
      <c r="DW6" s="72"/>
      <c r="DX6" s="72"/>
      <c r="DY6" s="72"/>
      <c r="DZ6" s="72"/>
      <c r="EA6" s="72"/>
      <c r="EB6" s="72"/>
      <c r="EC6" s="72"/>
      <c r="ED6" s="72"/>
      <c r="EE6" s="72"/>
      <c r="EF6" s="72"/>
      <c r="EG6" s="72"/>
      <c r="EH6" s="72"/>
      <c r="EI6" s="72"/>
      <c r="EJ6" s="72"/>
      <c r="EK6" s="72"/>
      <c r="EL6" s="72"/>
      <c r="EM6" s="72"/>
      <c r="EN6" s="72"/>
      <c r="EO6" s="72"/>
      <c r="EP6" s="72"/>
      <c r="EQ6" s="72"/>
      <c r="ER6" s="72"/>
      <c r="ES6" s="72"/>
      <c r="ET6" s="72"/>
      <c r="EU6" s="72"/>
      <c r="EV6" s="72"/>
      <c r="EW6" s="72"/>
      <c r="EX6" s="72"/>
      <c r="EY6" s="72"/>
      <c r="EZ6" s="72"/>
      <c r="FA6" s="72"/>
      <c r="FB6" s="72"/>
      <c r="FC6" s="72"/>
      <c r="FD6" s="72"/>
      <c r="FE6" s="72"/>
      <c r="FF6" s="72"/>
      <c r="FG6" s="72"/>
      <c r="FH6" s="72"/>
      <c r="FI6" s="72"/>
      <c r="FJ6" s="72"/>
      <c r="FK6" s="72"/>
      <c r="FL6" s="72"/>
      <c r="FM6" s="72"/>
      <c r="FN6" s="72"/>
      <c r="FO6" s="72"/>
      <c r="FP6" s="72"/>
      <c r="FQ6" s="72"/>
      <c r="FR6" s="72"/>
      <c r="FS6" s="72"/>
      <c r="FT6" s="72"/>
      <c r="FU6" s="72"/>
      <c r="FV6" s="72"/>
      <c r="FW6" s="72"/>
      <c r="FX6" s="72"/>
      <c r="FY6" s="72"/>
      <c r="FZ6" s="72"/>
      <c r="GA6" s="72"/>
      <c r="GB6" s="72"/>
      <c r="GC6" s="72"/>
      <c r="GD6" s="72"/>
      <c r="GE6" s="72"/>
      <c r="GF6" s="72"/>
      <c r="GG6" s="72"/>
      <c r="GH6" s="72"/>
      <c r="GI6" s="72"/>
      <c r="GJ6" s="72"/>
      <c r="GK6" s="72"/>
      <c r="GL6" s="72"/>
      <c r="GM6" s="72"/>
      <c r="GN6" s="72"/>
      <c r="GO6" s="72"/>
      <c r="GP6" s="72"/>
      <c r="GQ6" s="72"/>
      <c r="GR6" s="72"/>
      <c r="GS6" s="72"/>
      <c r="GT6" s="72"/>
      <c r="GU6" s="72"/>
      <c r="GV6" s="72"/>
      <c r="GW6" s="72"/>
      <c r="GX6" s="72"/>
      <c r="GY6" s="72"/>
      <c r="GZ6" s="72"/>
      <c r="HA6" s="72"/>
      <c r="HB6" s="72"/>
      <c r="HC6" s="72"/>
      <c r="HD6" s="72"/>
      <c r="HE6" s="72"/>
      <c r="HF6" s="72"/>
      <c r="HG6" s="72"/>
      <c r="HH6" s="72"/>
      <c r="HI6" s="72"/>
      <c r="HJ6" s="72"/>
      <c r="HK6" s="72"/>
      <c r="HL6" s="72"/>
      <c r="HM6" s="72"/>
      <c r="HN6" s="72"/>
      <c r="HO6" s="72"/>
      <c r="HP6" s="72"/>
      <c r="HQ6" s="72"/>
      <c r="HR6" s="72"/>
      <c r="HS6" s="72"/>
      <c r="HT6" s="72"/>
      <c r="HU6" s="72"/>
      <c r="HV6" s="72"/>
      <c r="HW6" s="72"/>
      <c r="HX6" s="72"/>
      <c r="HY6" s="72"/>
      <c r="HZ6" s="72"/>
      <c r="IA6" s="72"/>
      <c r="IB6" s="72"/>
      <c r="IC6" s="72"/>
      <c r="ID6" s="72"/>
      <c r="IE6" s="72"/>
      <c r="IF6" s="72"/>
      <c r="IG6" s="72"/>
      <c r="IH6" s="72"/>
      <c r="II6" s="72"/>
      <c r="IJ6" s="72"/>
      <c r="IK6" s="72"/>
      <c r="IL6" s="72"/>
      <c r="IM6" s="72"/>
      <c r="IN6" s="72"/>
      <c r="IO6" s="72"/>
      <c r="IP6" s="72"/>
      <c r="IQ6" s="72"/>
      <c r="IR6" s="72"/>
      <c r="IS6" s="72"/>
      <c r="IT6" s="72"/>
      <c r="IU6" s="72"/>
      <c r="IV6" s="73"/>
      <c r="IW6" s="73"/>
    </row>
    <row r="7" customFormat="false" ht="18" hidden="false" customHeight="true" outlineLevel="0" collapsed="false">
      <c r="A7" s="78" t="s">
        <v>30</v>
      </c>
      <c r="B7" s="79" t="s">
        <v>31</v>
      </c>
      <c r="C7" s="79" t="s">
        <v>32</v>
      </c>
      <c r="D7" s="80" t="s">
        <v>33</v>
      </c>
      <c r="E7" s="79" t="s">
        <v>34</v>
      </c>
      <c r="F7" s="79" t="s">
        <v>35</v>
      </c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80" t="s">
        <v>36</v>
      </c>
      <c r="W7" s="81" t="s">
        <v>37</v>
      </c>
      <c r="X7" s="81" t="s">
        <v>38</v>
      </c>
      <c r="Y7" s="81"/>
      <c r="Z7" s="81"/>
      <c r="AA7" s="82" t="s">
        <v>39</v>
      </c>
      <c r="AB7" s="80" t="s">
        <v>40</v>
      </c>
      <c r="AC7" s="83" t="s">
        <v>41</v>
      </c>
      <c r="AD7" s="83"/>
      <c r="AE7" s="84" t="s">
        <v>42</v>
      </c>
      <c r="AF7" s="85"/>
      <c r="AG7" s="85"/>
      <c r="AH7" s="85"/>
      <c r="AI7" s="85"/>
      <c r="AJ7" s="85"/>
      <c r="AK7" s="85"/>
      <c r="AL7" s="85"/>
      <c r="AM7" s="85"/>
      <c r="AN7" s="50"/>
      <c r="AO7" s="50"/>
      <c r="AP7" s="50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  <c r="BT7" s="85"/>
      <c r="BU7" s="85"/>
      <c r="BV7" s="85"/>
      <c r="BW7" s="85"/>
      <c r="BX7" s="85"/>
      <c r="BY7" s="85"/>
      <c r="BZ7" s="85"/>
      <c r="CA7" s="85"/>
      <c r="CB7" s="85"/>
      <c r="CC7" s="85"/>
      <c r="CD7" s="85"/>
      <c r="CE7" s="85"/>
      <c r="CF7" s="85"/>
      <c r="CG7" s="85"/>
      <c r="CH7" s="85"/>
      <c r="CI7" s="85"/>
      <c r="CJ7" s="85"/>
      <c r="CK7" s="85"/>
      <c r="CL7" s="85"/>
      <c r="CM7" s="85"/>
      <c r="CN7" s="85"/>
      <c r="CO7" s="85"/>
      <c r="CP7" s="85"/>
      <c r="CQ7" s="85"/>
      <c r="CR7" s="85"/>
      <c r="CS7" s="85"/>
      <c r="CT7" s="85"/>
      <c r="CU7" s="85"/>
      <c r="CV7" s="85"/>
      <c r="CW7" s="85"/>
      <c r="CX7" s="85"/>
      <c r="CY7" s="85"/>
      <c r="CZ7" s="85"/>
      <c r="DA7" s="85"/>
      <c r="DB7" s="85"/>
      <c r="DC7" s="85"/>
      <c r="DD7" s="85"/>
      <c r="DE7" s="85"/>
      <c r="DF7" s="85"/>
      <c r="DG7" s="85"/>
      <c r="DH7" s="85"/>
      <c r="DI7" s="85"/>
      <c r="DJ7" s="85"/>
      <c r="DK7" s="85"/>
      <c r="DL7" s="85"/>
      <c r="DM7" s="85"/>
      <c r="DN7" s="85"/>
      <c r="DO7" s="85"/>
      <c r="DP7" s="85"/>
      <c r="DQ7" s="85"/>
      <c r="DR7" s="85"/>
      <c r="DS7" s="85"/>
      <c r="DT7" s="85"/>
      <c r="DU7" s="85"/>
      <c r="DV7" s="85"/>
      <c r="DW7" s="85"/>
      <c r="DX7" s="85"/>
      <c r="DY7" s="85"/>
      <c r="DZ7" s="85"/>
      <c r="EA7" s="85"/>
      <c r="EB7" s="85"/>
      <c r="EC7" s="85"/>
      <c r="ED7" s="85"/>
      <c r="EE7" s="85"/>
      <c r="EF7" s="85"/>
      <c r="EG7" s="85"/>
      <c r="EH7" s="85"/>
      <c r="EI7" s="85"/>
      <c r="EJ7" s="85"/>
      <c r="EK7" s="85"/>
      <c r="EL7" s="85"/>
      <c r="EM7" s="85"/>
      <c r="EN7" s="85"/>
      <c r="EO7" s="85"/>
      <c r="EP7" s="85"/>
      <c r="EQ7" s="85"/>
      <c r="ER7" s="85"/>
      <c r="ES7" s="85"/>
      <c r="ET7" s="85"/>
      <c r="EU7" s="85"/>
      <c r="EV7" s="85"/>
      <c r="EW7" s="85"/>
      <c r="EX7" s="85"/>
      <c r="EY7" s="85"/>
      <c r="EZ7" s="85"/>
      <c r="FA7" s="85"/>
      <c r="FB7" s="85"/>
      <c r="FC7" s="85"/>
      <c r="FD7" s="85"/>
      <c r="FE7" s="85"/>
      <c r="FF7" s="85"/>
      <c r="FG7" s="85"/>
      <c r="FH7" s="85"/>
      <c r="FI7" s="85"/>
      <c r="FJ7" s="85"/>
      <c r="FK7" s="85"/>
      <c r="FL7" s="85"/>
      <c r="FM7" s="85"/>
      <c r="FN7" s="85"/>
      <c r="FO7" s="85"/>
      <c r="FP7" s="85"/>
      <c r="FQ7" s="85"/>
      <c r="FR7" s="85"/>
      <c r="FS7" s="85"/>
      <c r="FT7" s="85"/>
      <c r="FU7" s="85"/>
      <c r="FV7" s="85"/>
      <c r="FW7" s="85"/>
      <c r="FX7" s="85"/>
      <c r="FY7" s="85"/>
      <c r="FZ7" s="85"/>
      <c r="GA7" s="85"/>
      <c r="GB7" s="85"/>
      <c r="GC7" s="85"/>
      <c r="GD7" s="85"/>
      <c r="GE7" s="85"/>
      <c r="GF7" s="85"/>
      <c r="GG7" s="85"/>
      <c r="GH7" s="85"/>
      <c r="GI7" s="85"/>
      <c r="GJ7" s="85"/>
      <c r="GK7" s="85"/>
      <c r="GL7" s="85"/>
      <c r="GM7" s="85"/>
      <c r="GN7" s="85"/>
      <c r="GO7" s="85"/>
      <c r="GP7" s="85"/>
      <c r="GQ7" s="85"/>
      <c r="GR7" s="85"/>
      <c r="GS7" s="85"/>
      <c r="GT7" s="85"/>
      <c r="GU7" s="85"/>
      <c r="GV7" s="85"/>
      <c r="GW7" s="85"/>
      <c r="GX7" s="85"/>
      <c r="GY7" s="85"/>
      <c r="GZ7" s="85"/>
      <c r="HA7" s="85"/>
      <c r="HB7" s="85"/>
      <c r="HC7" s="85"/>
      <c r="HD7" s="85"/>
      <c r="HE7" s="85"/>
      <c r="HF7" s="85"/>
      <c r="HG7" s="85"/>
      <c r="HH7" s="85"/>
      <c r="HI7" s="85"/>
      <c r="HJ7" s="85"/>
      <c r="HK7" s="85"/>
      <c r="HL7" s="85"/>
      <c r="HM7" s="85"/>
      <c r="HN7" s="85"/>
      <c r="HO7" s="85"/>
      <c r="HP7" s="85"/>
      <c r="HQ7" s="85"/>
      <c r="HR7" s="85"/>
      <c r="HS7" s="85"/>
      <c r="HT7" s="85"/>
      <c r="HU7" s="85"/>
      <c r="HV7" s="85"/>
      <c r="HW7" s="85"/>
      <c r="HX7" s="85"/>
      <c r="HY7" s="85"/>
      <c r="HZ7" s="85"/>
      <c r="IA7" s="85"/>
      <c r="IB7" s="85"/>
      <c r="IC7" s="85"/>
      <c r="ID7" s="85"/>
      <c r="IE7" s="85"/>
      <c r="IF7" s="85"/>
      <c r="IG7" s="85"/>
      <c r="IH7" s="85"/>
      <c r="II7" s="85"/>
      <c r="IJ7" s="85"/>
      <c r="IK7" s="85"/>
      <c r="IL7" s="85"/>
      <c r="IM7" s="85"/>
      <c r="IN7" s="85"/>
      <c r="IO7" s="85"/>
      <c r="IP7" s="85"/>
      <c r="IQ7" s="85"/>
      <c r="IR7" s="85"/>
      <c r="IS7" s="85"/>
      <c r="IT7" s="85"/>
      <c r="IU7" s="85"/>
      <c r="IV7" s="86"/>
      <c r="IW7" s="86"/>
    </row>
    <row r="8" customFormat="false" ht="18" hidden="false" customHeight="true" outlineLevel="0" collapsed="false">
      <c r="A8" s="78"/>
      <c r="B8" s="79"/>
      <c r="C8" s="79"/>
      <c r="D8" s="79"/>
      <c r="E8" s="79"/>
      <c r="F8" s="87" t="n">
        <v>1</v>
      </c>
      <c r="G8" s="87" t="n">
        <v>2</v>
      </c>
      <c r="H8" s="88" t="n">
        <v>3</v>
      </c>
      <c r="I8" s="89" t="n">
        <v>4</v>
      </c>
      <c r="J8" s="88" t="n">
        <v>5</v>
      </c>
      <c r="K8" s="88" t="n">
        <v>6</v>
      </c>
      <c r="L8" s="88" t="n">
        <v>7</v>
      </c>
      <c r="M8" s="88" t="n">
        <v>8</v>
      </c>
      <c r="N8" s="88" t="n">
        <v>9</v>
      </c>
      <c r="O8" s="87" t="n">
        <v>10</v>
      </c>
      <c r="P8" s="89" t="n">
        <v>11</v>
      </c>
      <c r="Q8" s="88" t="n">
        <v>12</v>
      </c>
      <c r="R8" s="87" t="n">
        <v>13</v>
      </c>
      <c r="S8" s="87" t="n">
        <v>14</v>
      </c>
      <c r="T8" s="87" t="n">
        <v>15</v>
      </c>
      <c r="U8" s="90"/>
      <c r="V8" s="80"/>
      <c r="W8" s="91" t="s">
        <v>43</v>
      </c>
      <c r="X8" s="92" t="s">
        <v>44</v>
      </c>
      <c r="Y8" s="92" t="s">
        <v>10</v>
      </c>
      <c r="Z8" s="92" t="s">
        <v>9</v>
      </c>
      <c r="AA8" s="82"/>
      <c r="AB8" s="80"/>
      <c r="AC8" s="91" t="s">
        <v>45</v>
      </c>
      <c r="AD8" s="93" t="s">
        <v>46</v>
      </c>
      <c r="AE8" s="84"/>
      <c r="AF8" s="94"/>
      <c r="AG8" s="94"/>
      <c r="AH8" s="95"/>
      <c r="AI8" s="96" t="n">
        <v>1</v>
      </c>
      <c r="AJ8" s="97" t="n">
        <v>2</v>
      </c>
      <c r="AK8" s="97" t="n">
        <v>3</v>
      </c>
      <c r="AL8" s="97" t="n">
        <v>4</v>
      </c>
      <c r="AM8" s="97" t="n">
        <v>5</v>
      </c>
      <c r="AN8" s="97" t="n">
        <v>6</v>
      </c>
      <c r="AO8" s="97" t="n">
        <v>7</v>
      </c>
      <c r="AP8" s="97" t="n">
        <v>8</v>
      </c>
      <c r="AQ8" s="97" t="n">
        <v>9</v>
      </c>
      <c r="AR8" s="97" t="n">
        <v>10</v>
      </c>
      <c r="AS8" s="97" t="n">
        <v>11</v>
      </c>
      <c r="AT8" s="97" t="n">
        <v>12</v>
      </c>
      <c r="AU8" s="97" t="n">
        <v>13</v>
      </c>
      <c r="AV8" s="97" t="n">
        <v>14</v>
      </c>
      <c r="AW8" s="97" t="n">
        <v>15</v>
      </c>
      <c r="AX8" s="98"/>
      <c r="AY8" s="99" t="s">
        <v>47</v>
      </c>
      <c r="AZ8" s="100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5"/>
      <c r="BQ8" s="95"/>
      <c r="BR8" s="95"/>
      <c r="BS8" s="95"/>
      <c r="BT8" s="95"/>
      <c r="BU8" s="95"/>
      <c r="BV8" s="95"/>
      <c r="BW8" s="95"/>
      <c r="BX8" s="95"/>
      <c r="BY8" s="95"/>
      <c r="BZ8" s="95"/>
      <c r="CA8" s="95"/>
      <c r="CB8" s="95"/>
      <c r="CC8" s="95"/>
      <c r="CD8" s="95"/>
      <c r="CE8" s="95"/>
      <c r="CF8" s="95"/>
      <c r="CG8" s="95"/>
      <c r="CH8" s="95"/>
      <c r="CI8" s="95"/>
      <c r="CJ8" s="95"/>
      <c r="CK8" s="95"/>
      <c r="CL8" s="95"/>
      <c r="CM8" s="95"/>
      <c r="CN8" s="95"/>
      <c r="CO8" s="95"/>
      <c r="CP8" s="95"/>
      <c r="CQ8" s="95"/>
      <c r="CR8" s="95"/>
      <c r="CS8" s="95"/>
      <c r="CT8" s="95"/>
      <c r="CU8" s="95"/>
      <c r="CV8" s="95"/>
      <c r="CW8" s="95"/>
      <c r="CX8" s="95"/>
      <c r="CY8" s="95"/>
      <c r="CZ8" s="95"/>
      <c r="DA8" s="95"/>
      <c r="DB8" s="95"/>
      <c r="DC8" s="95"/>
      <c r="DD8" s="95"/>
      <c r="DE8" s="95"/>
      <c r="DF8" s="95"/>
      <c r="DG8" s="95"/>
      <c r="DH8" s="95"/>
      <c r="DI8" s="95"/>
      <c r="DJ8" s="95"/>
      <c r="DK8" s="95"/>
      <c r="DL8" s="95"/>
      <c r="DM8" s="95"/>
      <c r="DN8" s="95"/>
      <c r="DO8" s="95"/>
      <c r="DP8" s="95"/>
      <c r="DQ8" s="95"/>
      <c r="DR8" s="95"/>
      <c r="DS8" s="95"/>
      <c r="DT8" s="95"/>
      <c r="DU8" s="95"/>
      <c r="DV8" s="95"/>
      <c r="DW8" s="95"/>
      <c r="DX8" s="95"/>
      <c r="DY8" s="95"/>
      <c r="DZ8" s="95"/>
      <c r="EA8" s="95"/>
      <c r="EB8" s="95"/>
      <c r="EC8" s="95"/>
      <c r="ED8" s="95"/>
      <c r="EE8" s="95"/>
      <c r="EF8" s="95"/>
      <c r="EG8" s="95"/>
      <c r="EH8" s="95"/>
      <c r="EI8" s="95"/>
      <c r="EJ8" s="95"/>
      <c r="EK8" s="95"/>
      <c r="EL8" s="95"/>
      <c r="EM8" s="95"/>
      <c r="EN8" s="95"/>
      <c r="EO8" s="95"/>
      <c r="EP8" s="95"/>
      <c r="EQ8" s="95"/>
      <c r="ER8" s="95"/>
      <c r="ES8" s="95"/>
      <c r="ET8" s="95"/>
      <c r="EU8" s="95"/>
      <c r="EV8" s="95"/>
      <c r="EW8" s="95"/>
      <c r="EX8" s="95"/>
      <c r="EY8" s="95"/>
      <c r="EZ8" s="95"/>
      <c r="FA8" s="95"/>
      <c r="FB8" s="95"/>
      <c r="FC8" s="95"/>
      <c r="FD8" s="95"/>
      <c r="FE8" s="95"/>
      <c r="FF8" s="95"/>
      <c r="FG8" s="95"/>
      <c r="FH8" s="95"/>
      <c r="FI8" s="95"/>
      <c r="FJ8" s="95"/>
      <c r="FK8" s="95"/>
      <c r="FL8" s="95"/>
      <c r="FM8" s="95"/>
      <c r="FN8" s="95"/>
      <c r="FO8" s="95"/>
      <c r="FP8" s="95"/>
      <c r="FQ8" s="95"/>
      <c r="FR8" s="95"/>
      <c r="FS8" s="95"/>
      <c r="FT8" s="95"/>
      <c r="FU8" s="95"/>
      <c r="FV8" s="95"/>
      <c r="FW8" s="95"/>
      <c r="FX8" s="95"/>
      <c r="FY8" s="95"/>
      <c r="FZ8" s="95"/>
      <c r="GA8" s="95"/>
      <c r="GB8" s="95"/>
      <c r="GC8" s="95"/>
      <c r="GD8" s="95"/>
      <c r="GE8" s="95"/>
      <c r="GF8" s="95"/>
      <c r="GG8" s="95"/>
      <c r="GH8" s="95"/>
      <c r="GI8" s="95"/>
      <c r="GJ8" s="95"/>
      <c r="GK8" s="95"/>
      <c r="GL8" s="95"/>
      <c r="GM8" s="95"/>
      <c r="GN8" s="95"/>
      <c r="GO8" s="95"/>
      <c r="GP8" s="95"/>
      <c r="GQ8" s="95"/>
      <c r="GR8" s="95"/>
      <c r="GS8" s="95"/>
      <c r="GT8" s="95"/>
      <c r="GU8" s="95"/>
      <c r="GV8" s="95"/>
      <c r="GW8" s="95"/>
      <c r="GX8" s="95"/>
      <c r="GY8" s="95"/>
      <c r="GZ8" s="95"/>
      <c r="HA8" s="95"/>
      <c r="HB8" s="95"/>
      <c r="HC8" s="95"/>
      <c r="HD8" s="95"/>
      <c r="HE8" s="95"/>
      <c r="HF8" s="95"/>
      <c r="HG8" s="95"/>
      <c r="HH8" s="95"/>
      <c r="HI8" s="95"/>
      <c r="HJ8" s="95"/>
      <c r="HK8" s="95"/>
      <c r="HL8" s="95"/>
      <c r="HM8" s="95"/>
      <c r="HN8" s="95"/>
      <c r="HO8" s="95"/>
      <c r="HP8" s="95"/>
      <c r="HQ8" s="95"/>
      <c r="HR8" s="95"/>
      <c r="HS8" s="95"/>
      <c r="HT8" s="95"/>
      <c r="HU8" s="95"/>
      <c r="HV8" s="95"/>
      <c r="HW8" s="95"/>
      <c r="HX8" s="95"/>
      <c r="HY8" s="95"/>
      <c r="HZ8" s="95"/>
      <c r="IA8" s="95"/>
      <c r="IB8" s="95"/>
      <c r="IC8" s="95"/>
      <c r="ID8" s="95"/>
      <c r="IE8" s="95"/>
      <c r="IF8" s="95"/>
      <c r="IG8" s="95"/>
      <c r="IH8" s="95"/>
      <c r="II8" s="95"/>
      <c r="IJ8" s="95"/>
      <c r="IK8" s="95"/>
      <c r="IL8" s="95"/>
      <c r="IM8" s="95"/>
      <c r="IN8" s="95"/>
      <c r="IO8" s="95"/>
      <c r="IP8" s="95"/>
      <c r="IQ8" s="101"/>
      <c r="IR8" s="101"/>
      <c r="IS8" s="101"/>
      <c r="IT8" s="101"/>
      <c r="IU8" s="101"/>
      <c r="IV8" s="101"/>
      <c r="IW8" s="101"/>
    </row>
    <row r="9" customFormat="false" ht="18" hidden="false" customHeight="true" outlineLevel="0" collapsed="false">
      <c r="A9" s="78"/>
      <c r="B9" s="79"/>
      <c r="C9" s="79"/>
      <c r="D9" s="79"/>
      <c r="E9" s="102" t="s">
        <v>48</v>
      </c>
      <c r="F9" s="87" t="n">
        <v>16</v>
      </c>
      <c r="G9" s="87" t="n">
        <v>17</v>
      </c>
      <c r="H9" s="89" t="n">
        <v>18</v>
      </c>
      <c r="I9" s="88" t="n">
        <v>19</v>
      </c>
      <c r="J9" s="87" t="n">
        <v>20</v>
      </c>
      <c r="K9" s="87" t="n">
        <v>21</v>
      </c>
      <c r="L9" s="87" t="n">
        <v>22</v>
      </c>
      <c r="M9" s="87" t="n">
        <v>23</v>
      </c>
      <c r="N9" s="87" t="n">
        <v>24</v>
      </c>
      <c r="O9" s="89" t="n">
        <v>25</v>
      </c>
      <c r="P9" s="103" t="n">
        <v>26</v>
      </c>
      <c r="Q9" s="87" t="n">
        <v>27</v>
      </c>
      <c r="R9" s="87" t="n">
        <v>28</v>
      </c>
      <c r="S9" s="87" t="n">
        <v>29</v>
      </c>
      <c r="T9" s="87" t="n">
        <v>30</v>
      </c>
      <c r="U9" s="87" t="n">
        <v>31</v>
      </c>
      <c r="V9" s="80"/>
      <c r="W9" s="91" t="s">
        <v>49</v>
      </c>
      <c r="X9" s="92" t="s">
        <v>12</v>
      </c>
      <c r="Y9" s="92" t="s">
        <v>13</v>
      </c>
      <c r="Z9" s="92" t="s">
        <v>11</v>
      </c>
      <c r="AA9" s="82"/>
      <c r="AB9" s="80"/>
      <c r="AC9" s="93" t="s">
        <v>50</v>
      </c>
      <c r="AD9" s="93"/>
      <c r="AE9" s="84"/>
      <c r="AF9" s="104" t="s">
        <v>51</v>
      </c>
      <c r="AG9" s="104" t="s">
        <v>52</v>
      </c>
      <c r="AH9" s="95"/>
      <c r="AI9" s="105" t="n">
        <v>16</v>
      </c>
      <c r="AJ9" s="106" t="n">
        <v>17</v>
      </c>
      <c r="AK9" s="106" t="n">
        <v>18</v>
      </c>
      <c r="AL9" s="106" t="n">
        <v>19</v>
      </c>
      <c r="AM9" s="106" t="n">
        <v>20</v>
      </c>
      <c r="AN9" s="106" t="n">
        <v>21</v>
      </c>
      <c r="AO9" s="106" t="n">
        <v>22</v>
      </c>
      <c r="AP9" s="106" t="n">
        <v>23</v>
      </c>
      <c r="AQ9" s="106" t="n">
        <v>24</v>
      </c>
      <c r="AR9" s="106" t="n">
        <v>25</v>
      </c>
      <c r="AS9" s="106" t="n">
        <v>26</v>
      </c>
      <c r="AT9" s="106" t="n">
        <v>27</v>
      </c>
      <c r="AU9" s="106" t="n">
        <v>28</v>
      </c>
      <c r="AV9" s="106" t="n">
        <v>29</v>
      </c>
      <c r="AW9" s="106" t="n">
        <v>30</v>
      </c>
      <c r="AX9" s="107" t="n">
        <v>31</v>
      </c>
      <c r="AY9" s="99"/>
      <c r="AZ9" s="100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5"/>
      <c r="BQ9" s="95"/>
      <c r="BR9" s="95"/>
      <c r="BS9" s="95"/>
      <c r="BT9" s="95"/>
      <c r="BU9" s="95"/>
      <c r="BV9" s="95"/>
      <c r="BW9" s="95"/>
      <c r="BX9" s="95"/>
      <c r="BY9" s="95"/>
      <c r="BZ9" s="95"/>
      <c r="CA9" s="95"/>
      <c r="CB9" s="95"/>
      <c r="CC9" s="95"/>
      <c r="CD9" s="95"/>
      <c r="CE9" s="95"/>
      <c r="CF9" s="95"/>
      <c r="CG9" s="95"/>
      <c r="CH9" s="95"/>
      <c r="CI9" s="95"/>
      <c r="CJ9" s="95"/>
      <c r="CK9" s="95"/>
      <c r="CL9" s="95"/>
      <c r="CM9" s="95"/>
      <c r="CN9" s="95"/>
      <c r="CO9" s="95"/>
      <c r="CP9" s="95"/>
      <c r="CQ9" s="95"/>
      <c r="CR9" s="95"/>
      <c r="CS9" s="95"/>
      <c r="CT9" s="95"/>
      <c r="CU9" s="95"/>
      <c r="CV9" s="95"/>
      <c r="CW9" s="95"/>
      <c r="CX9" s="95"/>
      <c r="CY9" s="95"/>
      <c r="CZ9" s="95"/>
      <c r="DA9" s="95"/>
      <c r="DB9" s="95"/>
      <c r="DC9" s="95"/>
      <c r="DD9" s="95"/>
      <c r="DE9" s="95"/>
      <c r="DF9" s="95"/>
      <c r="DG9" s="95"/>
      <c r="DH9" s="95"/>
      <c r="DI9" s="95"/>
      <c r="DJ9" s="95"/>
      <c r="DK9" s="95"/>
      <c r="DL9" s="95"/>
      <c r="DM9" s="95"/>
      <c r="DN9" s="95"/>
      <c r="DO9" s="95"/>
      <c r="DP9" s="95"/>
      <c r="DQ9" s="95"/>
      <c r="DR9" s="95"/>
      <c r="DS9" s="95"/>
      <c r="DT9" s="95"/>
      <c r="DU9" s="95"/>
      <c r="DV9" s="95"/>
      <c r="DW9" s="95"/>
      <c r="DX9" s="95"/>
      <c r="DY9" s="95"/>
      <c r="DZ9" s="95"/>
      <c r="EA9" s="95"/>
      <c r="EB9" s="95"/>
      <c r="EC9" s="95"/>
      <c r="ED9" s="95"/>
      <c r="EE9" s="95"/>
      <c r="EF9" s="95"/>
      <c r="EG9" s="95"/>
      <c r="EH9" s="95"/>
      <c r="EI9" s="95"/>
      <c r="EJ9" s="95"/>
      <c r="EK9" s="95"/>
      <c r="EL9" s="95"/>
      <c r="EM9" s="95"/>
      <c r="EN9" s="95"/>
      <c r="EO9" s="95"/>
      <c r="EP9" s="95"/>
      <c r="EQ9" s="95"/>
      <c r="ER9" s="95"/>
      <c r="ES9" s="95"/>
      <c r="ET9" s="95"/>
      <c r="EU9" s="95"/>
      <c r="EV9" s="95"/>
      <c r="EW9" s="95"/>
      <c r="EX9" s="95"/>
      <c r="EY9" s="95"/>
      <c r="EZ9" s="95"/>
      <c r="FA9" s="95"/>
      <c r="FB9" s="95"/>
      <c r="FC9" s="95"/>
      <c r="FD9" s="95"/>
      <c r="FE9" s="95"/>
      <c r="FF9" s="95"/>
      <c r="FG9" s="95"/>
      <c r="FH9" s="95"/>
      <c r="FI9" s="95"/>
      <c r="FJ9" s="95"/>
      <c r="FK9" s="95"/>
      <c r="FL9" s="95"/>
      <c r="FM9" s="95"/>
      <c r="FN9" s="95"/>
      <c r="FO9" s="95"/>
      <c r="FP9" s="95"/>
      <c r="FQ9" s="95"/>
      <c r="FR9" s="95"/>
      <c r="FS9" s="95"/>
      <c r="FT9" s="95"/>
      <c r="FU9" s="95"/>
      <c r="FV9" s="95"/>
      <c r="FW9" s="95"/>
      <c r="FX9" s="95"/>
      <c r="FY9" s="95"/>
      <c r="FZ9" s="95"/>
      <c r="GA9" s="95"/>
      <c r="GB9" s="95"/>
      <c r="GC9" s="95"/>
      <c r="GD9" s="95"/>
      <c r="GE9" s="95"/>
      <c r="GF9" s="95"/>
      <c r="GG9" s="95"/>
      <c r="GH9" s="95"/>
      <c r="GI9" s="95"/>
      <c r="GJ9" s="95"/>
      <c r="GK9" s="95"/>
      <c r="GL9" s="95"/>
      <c r="GM9" s="95"/>
      <c r="GN9" s="95"/>
      <c r="GO9" s="95"/>
      <c r="GP9" s="95"/>
      <c r="GQ9" s="95"/>
      <c r="GR9" s="95"/>
      <c r="GS9" s="95"/>
      <c r="GT9" s="95"/>
      <c r="GU9" s="95"/>
      <c r="GV9" s="95"/>
      <c r="GW9" s="95"/>
      <c r="GX9" s="95"/>
      <c r="GY9" s="95"/>
      <c r="GZ9" s="95"/>
      <c r="HA9" s="95"/>
      <c r="HB9" s="95"/>
      <c r="HC9" s="95"/>
      <c r="HD9" s="95"/>
      <c r="HE9" s="95"/>
      <c r="HF9" s="95"/>
      <c r="HG9" s="95"/>
      <c r="HH9" s="95"/>
      <c r="HI9" s="95"/>
      <c r="HJ9" s="95"/>
      <c r="HK9" s="95"/>
      <c r="HL9" s="95"/>
      <c r="HM9" s="95"/>
      <c r="HN9" s="95"/>
      <c r="HO9" s="95"/>
      <c r="HP9" s="95"/>
      <c r="HQ9" s="95"/>
      <c r="HR9" s="95"/>
      <c r="HS9" s="95"/>
      <c r="HT9" s="95"/>
      <c r="HU9" s="95"/>
      <c r="HV9" s="95"/>
      <c r="HW9" s="95"/>
      <c r="HX9" s="95"/>
      <c r="HY9" s="95"/>
      <c r="HZ9" s="95"/>
      <c r="IA9" s="95"/>
      <c r="IB9" s="95"/>
      <c r="IC9" s="95"/>
      <c r="ID9" s="95"/>
      <c r="IE9" s="95"/>
      <c r="IF9" s="95"/>
      <c r="IG9" s="95"/>
      <c r="IH9" s="95"/>
      <c r="II9" s="95"/>
      <c r="IJ9" s="95"/>
      <c r="IK9" s="95"/>
      <c r="IL9" s="95"/>
      <c r="IM9" s="95"/>
      <c r="IN9" s="95"/>
      <c r="IO9" s="95"/>
      <c r="IP9" s="95"/>
      <c r="IQ9" s="101"/>
      <c r="IR9" s="101"/>
      <c r="IS9" s="101"/>
      <c r="IT9" s="101"/>
      <c r="IU9" s="101"/>
      <c r="IV9" s="101"/>
      <c r="IW9" s="101"/>
    </row>
    <row r="10" customFormat="false" ht="12.6" hidden="false" customHeight="true" outlineLevel="0" collapsed="false">
      <c r="A10" s="108" t="n">
        <v>1</v>
      </c>
      <c r="B10" s="109" t="n">
        <f aca="false">IF(ISERROR(VLOOKUP(C10,일용직명단!$A$3:$I$104,2,FALSE())),0,VLOOKUP(C10,일용직명단!$A$3:$I$104,2,FALSE()))</f>
        <v>0</v>
      </c>
      <c r="C10" s="110" t="s">
        <v>53</v>
      </c>
      <c r="D10" s="111" t="str">
        <f aca="false">IF(ISERROR(VLOOKUP(C10,일용직명단!$A$3:$K$1246,3,FALSE())),0,VLOOKUP(C10,일용직명단!$A$3:$K$1246,3,FALSE()))</f>
        <v>660123-1386716</v>
      </c>
      <c r="E10" s="112" t="str">
        <f aca="false">IF(ISERROR(VLOOKUP(C10,일용직명단!$A$3:$K$1246,4,FALSE())),0,VLOOKUP(C10,일용직명단!$A$3:$K$1246,4,FALSE()))</f>
        <v>충북 영동군 양강면 국촌1길10</v>
      </c>
      <c r="F10" s="113"/>
      <c r="G10" s="114"/>
      <c r="H10" s="115"/>
      <c r="I10" s="115"/>
      <c r="J10" s="113"/>
      <c r="K10" s="115"/>
      <c r="L10" s="113"/>
      <c r="M10" s="113"/>
      <c r="N10" s="114"/>
      <c r="O10" s="116" t="n">
        <v>1</v>
      </c>
      <c r="P10" s="117" t="n">
        <v>1</v>
      </c>
      <c r="Q10" s="114"/>
      <c r="R10" s="118" t="n">
        <v>1</v>
      </c>
      <c r="S10" s="116" t="n">
        <v>1</v>
      </c>
      <c r="T10" s="118" t="n">
        <v>1</v>
      </c>
      <c r="U10" s="119"/>
      <c r="V10" s="120" t="n">
        <f aca="false">SUM(F10:U11)</f>
        <v>7</v>
      </c>
      <c r="W10" s="121" t="n">
        <f aca="false">IF(ISERROR(VLOOKUP(C10,일용직명단!$A$3:$K$1246,8,FALSE())),0,VLOOKUP(C10,일용직명단!$A$3:$K$1246,8,FALSE()))</f>
        <v>150000</v>
      </c>
      <c r="X10" s="122" t="n">
        <f aca="false">IFERROR(IF(AG10&gt;=65,0,ROUNDDOWN(W11*$Z$4,-1)),0)</f>
        <v>9450</v>
      </c>
      <c r="Y10" s="122" t="n">
        <f aca="false">IF(AE10&gt;=8,ROUNDDOWN(W11*$M$4,-1),0)</f>
        <v>0</v>
      </c>
      <c r="Z10" s="123" t="n">
        <f aca="false">IFERROR(IF(AND(COUNT(F10:U11)&gt;=8,$AG10&lt;60,W11&lt;=5530000),ROUNDDOWN(ROUNDDOWN(W11,-3)*4.5%,-1),IF(AND(COUNT(F10:U11)&gt;=8,AG10&lt;60,W11&gt;5530000),248850,0)),0)</f>
        <v>0</v>
      </c>
      <c r="AA10" s="124" t="n">
        <f aca="false">+X10+Y10+X11+Y11+Z10+Z11</f>
        <v>9450</v>
      </c>
      <c r="AB10" s="125" t="n">
        <f aca="false">W11-AA10</f>
        <v>1040550</v>
      </c>
      <c r="AC10" s="126" t="str">
        <f aca="false">IF(ISERROR(VLOOKUP(C10,일용직명단!$A$3:$I$1226,5,FALSE())),0,VLOOKUP(C10,일용직명단!$A$3:$I$1226,5,FALSE()))</f>
        <v>농협</v>
      </c>
      <c r="AD10" s="127" t="str">
        <f aca="false">IF(ISERROR(VLOOKUP(C10,일용직명단!$A$3:$I$1226,6,FALSE())),0,VLOOKUP(C10,일용직명단!$A$3:$I$1226,6,FALSE()))</f>
        <v>임종관</v>
      </c>
      <c r="AE10" s="128" t="n">
        <f aca="false">COUNT(F10:U11)</f>
        <v>7</v>
      </c>
      <c r="AF10" s="129" t="str">
        <f aca="false">IF(OR(MID(D10,8,1)="1",MID(D10,8,1)="2"),19&amp;LEFT(D10,2),20&amp;LEFT(D10,2))&amp;"-"&amp;MID(D10,3,2)&amp;"-"&amp;MID(D10,5,2)</f>
        <v>1966-01-23</v>
      </c>
      <c r="AG10" s="129" t="n">
        <f aca="true">INT((TODAY()-AF10)/365.25)</f>
        <v>60</v>
      </c>
      <c r="AH10" s="130" t="n">
        <f aca="false">ROUNDDOWN(SUM(AI10:AX11),-1)</f>
        <v>0</v>
      </c>
      <c r="AI10" s="130" t="n">
        <f aca="false">IF($W10*F10&gt;150000,($W10*F10-150000)*6%*45%,0)</f>
        <v>0</v>
      </c>
      <c r="AJ10" s="130" t="n">
        <f aca="false">IF($W10*G10&gt;150000,($W10*G10-150000)*6%*45%,0)</f>
        <v>0</v>
      </c>
      <c r="AK10" s="130" t="n">
        <f aca="false">IF($W10*H10&gt;150000,($W10*H10-150000)*6%*45%,0)</f>
        <v>0</v>
      </c>
      <c r="AL10" s="130" t="n">
        <f aca="false">IF($W10*I10&gt;150000,($W10*I10-150000)*6%*45%,0)</f>
        <v>0</v>
      </c>
      <c r="AM10" s="130" t="n">
        <f aca="false">IF($W10*J10&gt;150000,($W10*J10-150000)*6%*45%,0)</f>
        <v>0</v>
      </c>
      <c r="AN10" s="130" t="n">
        <f aca="false">IF($W10*K10&gt;150000,($W10*K10-150000)*6%*45%,0)</f>
        <v>0</v>
      </c>
      <c r="AO10" s="130" t="n">
        <f aca="false">IF($W10*L10&gt;150000,($W10*L10-150000)*6%*45%,0)</f>
        <v>0</v>
      </c>
      <c r="AP10" s="130" t="n">
        <f aca="false">IF($W10*M10&gt;150000,($W10*M10-150000)*6%*45%,0)</f>
        <v>0</v>
      </c>
      <c r="AQ10" s="130" t="n">
        <f aca="false">IF($W10*N10&gt;150000,($W10*N10-150000)*6%*45%,0)</f>
        <v>0</v>
      </c>
      <c r="AR10" s="130" t="n">
        <f aca="false">IF($W10*O10&gt;150000,($W10*O10-150000)*6%*45%,0)</f>
        <v>0</v>
      </c>
      <c r="AS10" s="130" t="n">
        <f aca="false">IF($W10*P10&gt;150000,($W10*P10-150000)*6%*45%,0)</f>
        <v>0</v>
      </c>
      <c r="AT10" s="130" t="n">
        <f aca="false">IF($W10*Q10&gt;150000,($W10*Q10-150000)*6%*45%,0)</f>
        <v>0</v>
      </c>
      <c r="AU10" s="130" t="n">
        <f aca="false">IF($W10*R10&gt;150000,($W10*R10-150000)*6%*45%,0)</f>
        <v>0</v>
      </c>
      <c r="AV10" s="130" t="n">
        <f aca="false">IF($W10*S10&gt;150000,($W10*S10-150000)*6%*45%,0)</f>
        <v>0</v>
      </c>
      <c r="AW10" s="130" t="n">
        <f aca="false">IF($W10*T10&gt;150000,($W10*T10-150000)*6%*45%,0)</f>
        <v>0</v>
      </c>
      <c r="AX10" s="130"/>
      <c r="AY10" s="131" t="str">
        <f aca="false">IF(ISERROR(VLOOKUP(C10,[26]일용직명단!$A$3:$M$1151,11,FALSE())),0,VLOOKUP(C10,[26]일용직명단!$A$3:$M$1151,11,FALSE()))</f>
        <v>29155</v>
      </c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</row>
    <row r="11" customFormat="false" ht="12.6" hidden="false" customHeight="true" outlineLevel="0" collapsed="false">
      <c r="A11" s="108"/>
      <c r="B11" s="109"/>
      <c r="C11" s="110"/>
      <c r="D11" s="111"/>
      <c r="E11" s="112" t="str">
        <f aca="false">IF(ISERROR(VLOOKUP(C10,일용직명단!$A$3:$K$1246,9,FALSE())),0,VLOOKUP(C10,일용직명단!$A$3:$K$1246,9,FALSE()))</f>
        <v>010-3039-3737</v>
      </c>
      <c r="F11" s="132" t="n">
        <v>1</v>
      </c>
      <c r="G11" s="133" t="n">
        <v>1</v>
      </c>
      <c r="H11" s="134"/>
      <c r="I11" s="114"/>
      <c r="J11" s="115"/>
      <c r="K11" s="114"/>
      <c r="L11" s="113"/>
      <c r="M11" s="135"/>
      <c r="N11" s="136"/>
      <c r="O11" s="137"/>
      <c r="P11" s="136"/>
      <c r="Q11" s="114"/>
      <c r="R11" s="113"/>
      <c r="S11" s="113"/>
      <c r="T11" s="113"/>
      <c r="U11" s="115"/>
      <c r="V11" s="120"/>
      <c r="W11" s="138" t="n">
        <f aca="false">W10*V10</f>
        <v>1050000</v>
      </c>
      <c r="X11" s="122" t="n">
        <f aca="false">IF(AH10&lt;1000,0,AH10)</f>
        <v>0</v>
      </c>
      <c r="Y11" s="122" t="n">
        <f aca="false">ROUNDDOWN(X11*10%,-1)</f>
        <v>0</v>
      </c>
      <c r="Z11" s="123" t="n">
        <f aca="false">IF(AE10&gt;=8,ROUNDDOWN(Y10*$Q$4,-1),0)</f>
        <v>0</v>
      </c>
      <c r="AA11" s="124"/>
      <c r="AB11" s="125"/>
      <c r="AC11" s="127" t="str">
        <f aca="false">IF(ISERROR(VLOOKUP(C10,일용직명단!$A$3:$I$1226,7,FALSE())),0,VLOOKUP(C10,일용직명단!$A$3:$I$1226,7,FALSE()))</f>
        <v>352-1734-5415-23</v>
      </c>
      <c r="AD11" s="127"/>
      <c r="AE11" s="128"/>
      <c r="AF11" s="129"/>
      <c r="AG11" s="129"/>
      <c r="AH11" s="130"/>
      <c r="AI11" s="130" t="n">
        <f aca="false">IF($W10*F11&gt;150000,($W10*F11-150000)*6%*45%,0)</f>
        <v>0</v>
      </c>
      <c r="AJ11" s="130" t="n">
        <f aca="false">IF($W10*G11&gt;150000,($W10*G11-150000)*6%*45%,0)</f>
        <v>0</v>
      </c>
      <c r="AK11" s="130" t="n">
        <f aca="false">IF($W10*H11&gt;150000,($W10*H11-150000)*6%*45%,0)</f>
        <v>0</v>
      </c>
      <c r="AL11" s="130" t="n">
        <f aca="false">IF($W10*I11&gt;150000,($W10*I11-150000)*6%*45%,0)</f>
        <v>0</v>
      </c>
      <c r="AM11" s="130" t="n">
        <f aca="false">IF($W10*J11&gt;150000,($W10*J11-150000)*6%*45%,0)</f>
        <v>0</v>
      </c>
      <c r="AN11" s="130" t="n">
        <f aca="false">IF($W10*K11&gt;150000,($W10*K11-150000)*6%*45%,0)</f>
        <v>0</v>
      </c>
      <c r="AO11" s="130" t="n">
        <f aca="false">IF($W10*L11&gt;150000,($W10*L11-150000)*6%*45%,0)</f>
        <v>0</v>
      </c>
      <c r="AP11" s="130" t="n">
        <f aca="false">IF($W10*M11&gt;150000,($W10*M11-150000)*6%*45%,0)</f>
        <v>0</v>
      </c>
      <c r="AQ11" s="130" t="n">
        <f aca="false">IF($W10*N11&gt;150000,($W10*N11-150000)*6%*45%,0)</f>
        <v>0</v>
      </c>
      <c r="AR11" s="130" t="n">
        <f aca="false">IF($W10*O11&gt;150000,($W10*O11-150000)*6%*45%,0)</f>
        <v>0</v>
      </c>
      <c r="AS11" s="130" t="n">
        <f aca="false">IF($W10*P11&gt;150000,($W10*P11-150000)*6%*45%,0)</f>
        <v>0</v>
      </c>
      <c r="AT11" s="130" t="n">
        <f aca="false">IF($W10*Q11&gt;150000,($W10*Q11-150000)*6%*45%,0)</f>
        <v>0</v>
      </c>
      <c r="AU11" s="130" t="n">
        <f aca="false">IF($W10*R11&gt;150000,($W10*R11-150000)*6%*45%,0)</f>
        <v>0</v>
      </c>
      <c r="AV11" s="130" t="n">
        <f aca="false">IF($W10*S11&gt;150000,($W10*S11-150000)*6%*45%,0)</f>
        <v>0</v>
      </c>
      <c r="AW11" s="130" t="n">
        <f aca="false">IF($W10*T11&gt;150000,($W10*T11-150000)*6%*45%,0)</f>
        <v>0</v>
      </c>
      <c r="AX11" s="130" t="n">
        <f aca="false">IF($W10*U11&gt;150000,($W10*U11-150000)*6%*45%,0)</f>
        <v>0</v>
      </c>
      <c r="AY11" s="13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</row>
    <row r="12" customFormat="false" ht="12.6" hidden="false" customHeight="true" outlineLevel="0" collapsed="false">
      <c r="A12" s="108" t="n">
        <f aca="false">A10+1</f>
        <v>2</v>
      </c>
      <c r="B12" s="109" t="n">
        <f aca="false">IF(ISERROR(VLOOKUP(C12,일용직명단!$A$3:$I$104,2,FALSE())),0,VLOOKUP(C12,일용직명단!$A$3:$I$104,2,FALSE()))</f>
        <v>0</v>
      </c>
      <c r="C12" s="139" t="s">
        <v>54</v>
      </c>
      <c r="D12" s="111" t="str">
        <f aca="false">IF(ISERROR(VLOOKUP(C12,일용직명단!$A$3:$K$1246,3,FALSE())),0,VLOOKUP(C12,일용직명단!$A$3:$K$1246,3,FALSE()))</f>
        <v>601219-1386711</v>
      </c>
      <c r="E12" s="140" t="str">
        <f aca="false">IF(ISERROR(VLOOKUP(C12,일용직명단!$A$3:$K$1246,4,FALSE())),0,VLOOKUP(C12,일용직명단!$A$3:$K$1246,4,FALSE()))</f>
        <v>충북 영동군 양강면 내만길 173 (만계리 156-4)</v>
      </c>
      <c r="F12" s="113"/>
      <c r="G12" s="114"/>
      <c r="H12" s="115"/>
      <c r="I12" s="115"/>
      <c r="J12" s="113"/>
      <c r="K12" s="115"/>
      <c r="L12" s="113"/>
      <c r="M12" s="113"/>
      <c r="N12" s="114"/>
      <c r="O12" s="116" t="n">
        <v>1</v>
      </c>
      <c r="P12" s="117" t="n">
        <v>1</v>
      </c>
      <c r="Q12" s="114"/>
      <c r="R12" s="118" t="n">
        <v>1</v>
      </c>
      <c r="S12" s="116" t="n">
        <v>1</v>
      </c>
      <c r="T12" s="118" t="n">
        <v>1</v>
      </c>
      <c r="U12" s="119"/>
      <c r="V12" s="120" t="n">
        <f aca="false">SUM(F12:U13)</f>
        <v>7</v>
      </c>
      <c r="W12" s="121" t="n">
        <f aca="false">IF(ISERROR(VLOOKUP(C12,일용직명단!$A$3:$K$1246,8,FALSE())),0,VLOOKUP(C12,일용직명단!$A$3:$K$1246,8,FALSE()))</f>
        <v>150000</v>
      </c>
      <c r="X12" s="122" t="n">
        <f aca="false">IFERROR(IF(AG12&gt;=65,0,ROUNDDOWN(W13*$Z$4,-1)),0)</f>
        <v>0</v>
      </c>
      <c r="Y12" s="122" t="n">
        <f aca="false">IF(AE12&gt;=8,ROUNDDOWN(W13*$M$4,-1),0)</f>
        <v>0</v>
      </c>
      <c r="Z12" s="123" t="n">
        <f aca="false">IFERROR(IF(AND(COUNT(F12:U13)&gt;=8,$AG12&lt;60,W13&lt;=5530000),ROUNDDOWN(ROUNDDOWN(W13,-3)*4.5%,-1),IF(AND(COUNT(F12:U13)&gt;=8,AG12&lt;60,W13&gt;5530000),248850,0)),0)</f>
        <v>0</v>
      </c>
      <c r="AA12" s="124" t="n">
        <f aca="false">+X12+Y12+X13+Y13+Z12+Z13</f>
        <v>0</v>
      </c>
      <c r="AB12" s="125" t="n">
        <f aca="false">W13-AA12</f>
        <v>1050000</v>
      </c>
      <c r="AC12" s="126" t="str">
        <f aca="false">IF(ISERROR(VLOOKUP(C12,일용직명단!$A$3:$I$1226,5,FALSE())),0,VLOOKUP(C12,일용직명단!$A$3:$I$1226,5,FALSE()))</f>
        <v>농협</v>
      </c>
      <c r="AD12" s="127" t="str">
        <f aca="false">IF(ISERROR(VLOOKUP(C12,일용직명단!$A$3:$I$1226,6,FALSE())),0,VLOOKUP(C12,일용직명단!$A$3:$I$1226,6,FALSE()))</f>
        <v>민헌기</v>
      </c>
      <c r="AE12" s="141" t="n">
        <f aca="false">COUNT(F12:U13)</f>
        <v>7</v>
      </c>
      <c r="AF12" s="129" t="str">
        <f aca="false">IF(OR(MID(D12,8,1)="1",MID(D12,8,1)="2"),19&amp;LEFT(D12,2),20&amp;LEFT(D12,2))&amp;"-"&amp;MID(D12,3,2)&amp;"-"&amp;MID(D12,5,2)</f>
        <v>1960-12-19</v>
      </c>
      <c r="AG12" s="129" t="n">
        <f aca="true">INT((TODAY()-AF12)/365.25)</f>
        <v>65</v>
      </c>
      <c r="AH12" s="130" t="n">
        <f aca="false">ROUNDDOWN(SUM(AI12:AX13),-1)</f>
        <v>0</v>
      </c>
      <c r="AI12" s="130" t="n">
        <f aca="false">IF($W12*F12&gt;150000,($W12*F12-150000)*6%*45%,0)</f>
        <v>0</v>
      </c>
      <c r="AJ12" s="130" t="n">
        <f aca="false">IF($W12*G12&gt;150000,($W12*G12-150000)*6%*45%,0)</f>
        <v>0</v>
      </c>
      <c r="AK12" s="130" t="n">
        <f aca="false">IF($W12*H12&gt;150000,($W12*H12-150000)*6%*45%,0)</f>
        <v>0</v>
      </c>
      <c r="AL12" s="130" t="n">
        <f aca="false">IF($W12*I12&gt;150000,($W12*I12-150000)*6%*45%,0)</f>
        <v>0</v>
      </c>
      <c r="AM12" s="130" t="n">
        <f aca="false">IF($W12*J12&gt;150000,($W12*J12-150000)*6%*45%,0)</f>
        <v>0</v>
      </c>
      <c r="AN12" s="130" t="n">
        <f aca="false">IF($W12*K12&gt;150000,($W12*K12-150000)*6%*45%,0)</f>
        <v>0</v>
      </c>
      <c r="AO12" s="130" t="n">
        <f aca="false">IF($W12*L12&gt;150000,($W12*L12-150000)*6%*45%,0)</f>
        <v>0</v>
      </c>
      <c r="AP12" s="130" t="n">
        <f aca="false">IF($W12*M12&gt;150000,($W12*M12-150000)*6%*45%,0)</f>
        <v>0</v>
      </c>
      <c r="AQ12" s="130" t="n">
        <f aca="false">IF($W12*N12&gt;150000,($W12*N12-150000)*6%*45%,0)</f>
        <v>0</v>
      </c>
      <c r="AR12" s="130" t="n">
        <f aca="false">IF($W12*O12&gt;150000,($W12*O12-150000)*6%*45%,0)</f>
        <v>0</v>
      </c>
      <c r="AS12" s="130" t="n">
        <f aca="false">IF($W12*P12&gt;150000,($W12*P12-150000)*6%*45%,0)</f>
        <v>0</v>
      </c>
      <c r="AT12" s="130" t="n">
        <f aca="false">IF($W12*Q12&gt;150000,($W12*Q12-150000)*6%*45%,0)</f>
        <v>0</v>
      </c>
      <c r="AU12" s="130" t="n">
        <f aca="false">IF($W12*R12&gt;150000,($W12*R12-150000)*6%*45%,0)</f>
        <v>0</v>
      </c>
      <c r="AV12" s="130" t="n">
        <f aca="false">IF($W12*S12&gt;150000,($W12*S12-150000)*6%*45%,0)</f>
        <v>0</v>
      </c>
      <c r="AW12" s="130" t="n">
        <f aca="false">IF($W12*T12&gt;150000,($W12*T12-150000)*6%*45%,0)</f>
        <v>0</v>
      </c>
      <c r="AX12" s="130"/>
      <c r="AY12" s="131" t="str">
        <f aca="false">IF(ISERROR(VLOOKUP(C12,[26]일용직명단!$A$3:$M$1151,11,FALSE())),0,VLOOKUP(C12,[26]일용직명단!$A$3:$M$1151,11,FALSE()))</f>
        <v>29157</v>
      </c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</row>
    <row r="13" customFormat="false" ht="12.6" hidden="false" customHeight="true" outlineLevel="0" collapsed="false">
      <c r="A13" s="108"/>
      <c r="B13" s="109"/>
      <c r="C13" s="139"/>
      <c r="D13" s="111"/>
      <c r="E13" s="140" t="str">
        <f aca="false">IF(ISERROR(VLOOKUP(C12,일용직명단!$A$3:$K$1246,9,FALSE())),0,VLOOKUP(C12,일용직명단!$A$3:$K$1246,9,FALSE()))</f>
        <v>010-5338-5196</v>
      </c>
      <c r="F13" s="132" t="n">
        <v>1</v>
      </c>
      <c r="G13" s="133" t="n">
        <v>1</v>
      </c>
      <c r="H13" s="134"/>
      <c r="I13" s="114"/>
      <c r="J13" s="115"/>
      <c r="K13" s="114"/>
      <c r="L13" s="113"/>
      <c r="M13" s="135"/>
      <c r="N13" s="136"/>
      <c r="O13" s="137"/>
      <c r="P13" s="136"/>
      <c r="Q13" s="114"/>
      <c r="R13" s="113"/>
      <c r="S13" s="113"/>
      <c r="T13" s="113"/>
      <c r="U13" s="115"/>
      <c r="V13" s="120"/>
      <c r="W13" s="138" t="n">
        <f aca="false">W12*V12</f>
        <v>1050000</v>
      </c>
      <c r="X13" s="122" t="n">
        <f aca="false">IF(AH12&lt;1000,0,AH12)</f>
        <v>0</v>
      </c>
      <c r="Y13" s="122" t="n">
        <f aca="false">ROUNDDOWN(X13*10%,-1)</f>
        <v>0</v>
      </c>
      <c r="Z13" s="123" t="n">
        <f aca="false">IF(AE12&gt;=8,ROUNDDOWN(Y12*$Q$4,-1),0)</f>
        <v>0</v>
      </c>
      <c r="AA13" s="124"/>
      <c r="AB13" s="125"/>
      <c r="AC13" s="127" t="str">
        <f aca="false">IF(ISERROR(VLOOKUP(C12,일용직명단!$A$3:$I$1226,7,FALSE())),0,VLOOKUP(C12,일용직명단!$A$3:$I$1226,7,FALSE()))</f>
        <v>352-0293-9952-13</v>
      </c>
      <c r="AD13" s="127"/>
      <c r="AE13" s="141"/>
      <c r="AF13" s="129"/>
      <c r="AG13" s="129"/>
      <c r="AH13" s="130"/>
      <c r="AI13" s="130" t="n">
        <f aca="false">IF($W12*F13&gt;150000,($W12*F13-150000)*6%*45%,0)</f>
        <v>0</v>
      </c>
      <c r="AJ13" s="130" t="n">
        <f aca="false">IF($W12*G13&gt;150000,($W12*G13-150000)*6%*45%,0)</f>
        <v>0</v>
      </c>
      <c r="AK13" s="130" t="n">
        <f aca="false">IF($W12*H13&gt;150000,($W12*H13-150000)*6%*45%,0)</f>
        <v>0</v>
      </c>
      <c r="AL13" s="130" t="n">
        <f aca="false">IF($W12*I13&gt;150000,($W12*I13-150000)*6%*45%,0)</f>
        <v>0</v>
      </c>
      <c r="AM13" s="130" t="n">
        <f aca="false">IF($W12*J13&gt;150000,($W12*J13-150000)*6%*45%,0)</f>
        <v>0</v>
      </c>
      <c r="AN13" s="130" t="n">
        <f aca="false">IF($W12*K13&gt;150000,($W12*K13-150000)*6%*45%,0)</f>
        <v>0</v>
      </c>
      <c r="AO13" s="130" t="n">
        <f aca="false">IF($W12*L13&gt;150000,($W12*L13-150000)*6%*45%,0)</f>
        <v>0</v>
      </c>
      <c r="AP13" s="130" t="n">
        <f aca="false">IF($W12*M13&gt;150000,($W12*M13-150000)*6%*45%,0)</f>
        <v>0</v>
      </c>
      <c r="AQ13" s="130" t="n">
        <f aca="false">IF($W12*N13&gt;150000,($W12*N13-150000)*6%*45%,0)</f>
        <v>0</v>
      </c>
      <c r="AR13" s="130" t="n">
        <f aca="false">IF($W12*O13&gt;150000,($W12*O13-150000)*6%*45%,0)</f>
        <v>0</v>
      </c>
      <c r="AS13" s="130" t="n">
        <f aca="false">IF($W12*P13&gt;150000,($W12*P13-150000)*6%*45%,0)</f>
        <v>0</v>
      </c>
      <c r="AT13" s="130" t="n">
        <f aca="false">IF($W12*Q13&gt;150000,($W12*Q13-150000)*6%*45%,0)</f>
        <v>0</v>
      </c>
      <c r="AU13" s="130" t="n">
        <f aca="false">IF($W12*R13&gt;150000,($W12*R13-150000)*6%*45%,0)</f>
        <v>0</v>
      </c>
      <c r="AV13" s="130" t="n">
        <f aca="false">IF($W12*S13&gt;150000,($W12*S13-150000)*6%*45%,0)</f>
        <v>0</v>
      </c>
      <c r="AW13" s="130" t="n">
        <f aca="false">IF($W12*T13&gt;150000,($W12*T13-150000)*6%*45%,0)</f>
        <v>0</v>
      </c>
      <c r="AX13" s="130" t="n">
        <f aca="false">IF($W12*U13&gt;150000,($W12*U13-150000)*6%*45%,0)</f>
        <v>0</v>
      </c>
      <c r="AY13" s="13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</row>
    <row r="14" customFormat="false" ht="12.75" hidden="false" customHeight="true" outlineLevel="0" collapsed="false">
      <c r="A14" s="108" t="n">
        <f aca="false">A12+1</f>
        <v>3</v>
      </c>
      <c r="B14" s="142" t="n">
        <f aca="false">IF(ISERROR(VLOOKUP(C14,일용직명단!$A$3:$I$104,2,FALSE())),0,VLOOKUP(C14,일용직명단!$A$3:$I$104,2,FALSE()))</f>
        <v>0</v>
      </c>
      <c r="C14" s="143" t="s">
        <v>55</v>
      </c>
      <c r="D14" s="111" t="str">
        <f aca="false">IF(ISERROR(VLOOKUP(C14,일용직명단!$A$3:$K$1246,3,FALSE())),0,VLOOKUP(C14,일용직명단!$A$3:$K$1246,3,FALSE()))</f>
        <v>660105-1386714</v>
      </c>
      <c r="E14" s="140" t="str">
        <f aca="false">IF(ISERROR(VLOOKUP(C14,일용직명단!$A$3:$K$1246,4,FALSE())),0,VLOOKUP(C14,일용직명단!$A$3:$K$1246,4,FALSE()))</f>
        <v>충북 영동군 양강면 남전2안길 4-17 (남전리 272)</v>
      </c>
      <c r="F14" s="113"/>
      <c r="G14" s="114"/>
      <c r="H14" s="115"/>
      <c r="I14" s="115"/>
      <c r="J14" s="113"/>
      <c r="K14" s="115"/>
      <c r="L14" s="113"/>
      <c r="M14" s="113"/>
      <c r="N14" s="114"/>
      <c r="O14" s="116" t="n">
        <v>1</v>
      </c>
      <c r="P14" s="117" t="n">
        <v>1</v>
      </c>
      <c r="Q14" s="114"/>
      <c r="R14" s="118" t="n">
        <v>1</v>
      </c>
      <c r="S14" s="116" t="n">
        <v>1</v>
      </c>
      <c r="T14" s="118" t="n">
        <v>1</v>
      </c>
      <c r="U14" s="119"/>
      <c r="V14" s="144" t="n">
        <f aca="false">SUM(F14:U15)</f>
        <v>7</v>
      </c>
      <c r="W14" s="121" t="n">
        <f aca="false">IF(ISERROR(VLOOKUP(C14,일용직명단!$A$3:$K$1246,8,FALSE())),0,VLOOKUP(C14,일용직명단!$A$3:$K$1246,8,FALSE()))</f>
        <v>150000</v>
      </c>
      <c r="X14" s="123" t="n">
        <f aca="false">IFERROR(IF(AG14&gt;=65,0,ROUNDDOWN(W15*$Z$4,-1)),0)</f>
        <v>9450</v>
      </c>
      <c r="Y14" s="123" t="n">
        <f aca="false">IF(AE14&gt;=8,ROUNDDOWN(W15*$M$4,-1),0)</f>
        <v>0</v>
      </c>
      <c r="Z14" s="123" t="n">
        <f aca="false">IFERROR(IF(AND(COUNT(F14:U15)&gt;=8,$AG14&lt;60,W15&lt;=5530000),ROUNDDOWN(ROUNDDOWN(W15,-3)*4.5%,-1),IF(AND(COUNT(F14:U15)&gt;=8,AG14&lt;60,W15&gt;5530000),248850,0)),0)</f>
        <v>0</v>
      </c>
      <c r="AA14" s="145" t="n">
        <f aca="false">+X14+Y14+X15+Y15+Z14+Z15</f>
        <v>9450</v>
      </c>
      <c r="AB14" s="146" t="n">
        <f aca="false">W15-AA14</f>
        <v>1040550</v>
      </c>
      <c r="AC14" s="147" t="str">
        <f aca="false">IF(ISERROR(VLOOKUP(C14,일용직명단!$A$3:$I$1226,5,FALSE())),0,VLOOKUP(C14,일용직명단!$A$3:$I$1226,5,FALSE()))</f>
        <v>농협</v>
      </c>
      <c r="AD14" s="148" t="str">
        <f aca="false">IF(ISERROR(VLOOKUP(C14,일용직명단!$A$3:$I$1226,6,FALSE())),0,VLOOKUP(C14,일용직명단!$A$3:$I$1226,6,FALSE()))</f>
        <v>박범해</v>
      </c>
      <c r="AE14" s="149" t="n">
        <f aca="false">COUNT(F14:U15)</f>
        <v>7</v>
      </c>
      <c r="AF14" s="129" t="str">
        <f aca="false">IF(OR(MID(D14,8,1)="1",MID(D14,8,1)="2"),19&amp;LEFT(D14,2),20&amp;LEFT(D14,2))&amp;"-"&amp;MID(D14,3,2)&amp;"-"&amp;MID(D14,5,2)</f>
        <v>1966-01-05</v>
      </c>
      <c r="AG14" s="129" t="n">
        <f aca="true">INT((TODAY()-AF14)/365.25)</f>
        <v>60</v>
      </c>
      <c r="AH14" s="130" t="n">
        <f aca="false">ROUNDDOWN(SUM(AI14:AX15),-1)</f>
        <v>0</v>
      </c>
      <c r="AI14" s="130" t="n">
        <f aca="false">IF($W14*F14&gt;150000,($W14*F14-150000)*6%*45%,0)</f>
        <v>0</v>
      </c>
      <c r="AJ14" s="130" t="n">
        <f aca="false">IF($W14*G14&gt;150000,($W14*G14-150000)*6%*45%,0)</f>
        <v>0</v>
      </c>
      <c r="AK14" s="130" t="n">
        <f aca="false">IF($W14*H14&gt;150000,($W14*H14-150000)*6%*45%,0)</f>
        <v>0</v>
      </c>
      <c r="AL14" s="130" t="n">
        <f aca="false">IF($W14*I14&gt;150000,($W14*I14-150000)*6%*45%,0)</f>
        <v>0</v>
      </c>
      <c r="AM14" s="130" t="n">
        <f aca="false">IF($W14*J14&gt;150000,($W14*J14-150000)*6%*45%,0)</f>
        <v>0</v>
      </c>
      <c r="AN14" s="130" t="n">
        <f aca="false">IF($W14*K14&gt;150000,($W14*K14-150000)*6%*45%,0)</f>
        <v>0</v>
      </c>
      <c r="AO14" s="130" t="n">
        <f aca="false">IF($W14*L14&gt;150000,($W14*L14-150000)*6%*45%,0)</f>
        <v>0</v>
      </c>
      <c r="AP14" s="130" t="n">
        <f aca="false">IF($W14*M14&gt;150000,($W14*M14-150000)*6%*45%,0)</f>
        <v>0</v>
      </c>
      <c r="AQ14" s="130" t="n">
        <f aca="false">IF($W14*N14&gt;150000,($W14*N14-150000)*6%*45%,0)</f>
        <v>0</v>
      </c>
      <c r="AR14" s="130" t="n">
        <f aca="false">IF($W14*O14&gt;150000,($W14*O14-150000)*6%*45%,0)</f>
        <v>0</v>
      </c>
      <c r="AS14" s="130" t="n">
        <f aca="false">IF($W14*P14&gt;150000,($W14*P14-150000)*6%*45%,0)</f>
        <v>0</v>
      </c>
      <c r="AT14" s="130" t="n">
        <f aca="false">IF($W14*Q14&gt;150000,($W14*Q14-150000)*6%*45%,0)</f>
        <v>0</v>
      </c>
      <c r="AU14" s="130" t="n">
        <f aca="false">IF($W14*R14&gt;150000,($W14*R14-150000)*6%*45%,0)</f>
        <v>0</v>
      </c>
      <c r="AV14" s="130" t="n">
        <f aca="false">IF($W14*S14&gt;150000,($W14*S14-150000)*6%*45%,0)</f>
        <v>0</v>
      </c>
      <c r="AW14" s="130" t="n">
        <f aca="false">IF($W14*T14&gt;150000,($W14*T14-150000)*6%*45%,0)</f>
        <v>0</v>
      </c>
      <c r="AX14" s="130"/>
      <c r="AY14" s="131" t="str">
        <f aca="false">IF(ISERROR(VLOOKUP(C14,[26]일용직명단!$A$3:$M$1151,11,FALSE())),0,VLOOKUP(C14,[26]일용직명단!$A$3:$M$1151,11,FALSE()))</f>
        <v>29155</v>
      </c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</row>
    <row r="15" customFormat="false" ht="12.6" hidden="false" customHeight="true" outlineLevel="0" collapsed="false">
      <c r="A15" s="108"/>
      <c r="B15" s="142"/>
      <c r="C15" s="143"/>
      <c r="D15" s="111"/>
      <c r="E15" s="140" t="str">
        <f aca="false">IF(ISERROR(VLOOKUP(C14,일용직명단!$A$3:$K$1246,9,FALSE())),0,VLOOKUP(C14,일용직명단!$A$3:$K$1246,9,FALSE()))</f>
        <v>010-6356-5898</v>
      </c>
      <c r="F15" s="132" t="n">
        <v>1</v>
      </c>
      <c r="G15" s="133" t="n">
        <v>1</v>
      </c>
      <c r="H15" s="134"/>
      <c r="I15" s="114"/>
      <c r="J15" s="115"/>
      <c r="K15" s="114"/>
      <c r="L15" s="113"/>
      <c r="M15" s="135"/>
      <c r="N15" s="136"/>
      <c r="O15" s="137"/>
      <c r="P15" s="136"/>
      <c r="Q15" s="114"/>
      <c r="R15" s="113"/>
      <c r="S15" s="113"/>
      <c r="T15" s="113"/>
      <c r="U15" s="115"/>
      <c r="V15" s="144"/>
      <c r="W15" s="138" t="n">
        <f aca="false">W14*V14</f>
        <v>1050000</v>
      </c>
      <c r="X15" s="123" t="n">
        <f aca="false">IF(AH14&lt;1000,0,AH14)</f>
        <v>0</v>
      </c>
      <c r="Y15" s="123" t="n">
        <f aca="false">ROUNDDOWN(X15*10%,-1)</f>
        <v>0</v>
      </c>
      <c r="Z15" s="123" t="n">
        <f aca="false">IF(AE14&gt;=8,ROUNDDOWN(Y14*$Q$4,-1),0)</f>
        <v>0</v>
      </c>
      <c r="AA15" s="145"/>
      <c r="AB15" s="146"/>
      <c r="AC15" s="148" t="str">
        <f aca="false">IF(ISERROR(VLOOKUP(C14,일용직명단!$A$3:$I$1226,7,FALSE())),0,VLOOKUP(C14,일용직명단!$A$3:$I$1226,7,FALSE()))</f>
        <v>356-1071-0591-83</v>
      </c>
      <c r="AD15" s="148"/>
      <c r="AE15" s="149"/>
      <c r="AF15" s="129"/>
      <c r="AG15" s="129"/>
      <c r="AH15" s="130"/>
      <c r="AI15" s="130" t="n">
        <f aca="false">IF($W14*F15&gt;150000,($W14*F15-150000)*6%*45%,0)</f>
        <v>0</v>
      </c>
      <c r="AJ15" s="130" t="n">
        <f aca="false">IF($W14*G15&gt;150000,($W14*G15-150000)*6%*45%,0)</f>
        <v>0</v>
      </c>
      <c r="AK15" s="130" t="n">
        <f aca="false">IF($W14*H15&gt;150000,($W14*H15-150000)*6%*45%,0)</f>
        <v>0</v>
      </c>
      <c r="AL15" s="130" t="n">
        <f aca="false">IF($W14*I15&gt;150000,($W14*I15-150000)*6%*45%,0)</f>
        <v>0</v>
      </c>
      <c r="AM15" s="130" t="n">
        <f aca="false">IF($W14*J15&gt;150000,($W14*J15-150000)*6%*45%,0)</f>
        <v>0</v>
      </c>
      <c r="AN15" s="130" t="n">
        <f aca="false">IF($W14*K15&gt;150000,($W14*K15-150000)*6%*45%,0)</f>
        <v>0</v>
      </c>
      <c r="AO15" s="130" t="n">
        <f aca="false">IF($W14*L15&gt;150000,($W14*L15-150000)*6%*45%,0)</f>
        <v>0</v>
      </c>
      <c r="AP15" s="130" t="n">
        <f aca="false">IF($W14*M15&gt;150000,($W14*M15-150000)*6%*45%,0)</f>
        <v>0</v>
      </c>
      <c r="AQ15" s="130" t="n">
        <f aca="false">IF($W14*N15&gt;150000,($W14*N15-150000)*6%*45%,0)</f>
        <v>0</v>
      </c>
      <c r="AR15" s="130" t="n">
        <f aca="false">IF($W14*O15&gt;150000,($W14*O15-150000)*6%*45%,0)</f>
        <v>0</v>
      </c>
      <c r="AS15" s="130" t="n">
        <f aca="false">IF($W14*P15&gt;150000,($W14*P15-150000)*6%*45%,0)</f>
        <v>0</v>
      </c>
      <c r="AT15" s="130" t="n">
        <f aca="false">IF($W14*Q15&gt;150000,($W14*Q15-150000)*6%*45%,0)</f>
        <v>0</v>
      </c>
      <c r="AU15" s="130" t="n">
        <f aca="false">IF($W14*R15&gt;150000,($W14*R15-150000)*6%*45%,0)</f>
        <v>0</v>
      </c>
      <c r="AV15" s="130" t="n">
        <f aca="false">IF($W14*S15&gt;150000,($W14*S15-150000)*6%*45%,0)</f>
        <v>0</v>
      </c>
      <c r="AW15" s="130" t="n">
        <f aca="false">IF($W14*T15&gt;150000,($W14*T15-150000)*6%*45%,0)</f>
        <v>0</v>
      </c>
      <c r="AX15" s="130" t="n">
        <f aca="false">IF($W14*U15&gt;150000,($W14*U15-150000)*6%*45%,0)</f>
        <v>0</v>
      </c>
      <c r="AY15" s="13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</row>
    <row r="16" customFormat="false" ht="12.6" hidden="false" customHeight="true" outlineLevel="0" collapsed="false">
      <c r="A16" s="108" t="n">
        <f aca="false">A14+1</f>
        <v>4</v>
      </c>
      <c r="B16" s="109" t="n">
        <f aca="false">IF(ISERROR(VLOOKUP(C16,일용직명단!$A$3:$I$104,2,FALSE())),0,VLOOKUP(C16,일용직명단!$A$3:$I$104,2,FALSE()))</f>
        <v>0</v>
      </c>
      <c r="C16" s="143" t="s">
        <v>56</v>
      </c>
      <c r="D16" s="111" t="str">
        <f aca="false">IF(ISERROR(VLOOKUP(C16,일용직명단!$A$3:$K$1246,3,FALSE())),0,VLOOKUP(C16,일용직명단!$A$3:$K$1246,3,FALSE()))</f>
        <v>651220-1228344</v>
      </c>
      <c r="E16" s="112" t="str">
        <f aca="false">IF(ISERROR(VLOOKUP(C16,일용직명단!$A$3:$K$1246,4,FALSE())),0,VLOOKUP(C16,일용직명단!$A$3:$K$1246,4,FALSE()))</f>
        <v>충북 영동군 황간면 신흥1길 8</v>
      </c>
      <c r="F16" s="113"/>
      <c r="G16" s="114"/>
      <c r="H16" s="115"/>
      <c r="I16" s="115"/>
      <c r="J16" s="113"/>
      <c r="K16" s="115"/>
      <c r="L16" s="113"/>
      <c r="M16" s="113"/>
      <c r="N16" s="114"/>
      <c r="O16" s="116" t="n">
        <v>1</v>
      </c>
      <c r="P16" s="117" t="n">
        <v>1</v>
      </c>
      <c r="Q16" s="114"/>
      <c r="R16" s="118" t="n">
        <v>1</v>
      </c>
      <c r="S16" s="116" t="n">
        <v>1</v>
      </c>
      <c r="T16" s="118" t="n">
        <v>1</v>
      </c>
      <c r="U16" s="119"/>
      <c r="V16" s="120" t="n">
        <f aca="false">SUM(F16:U17)</f>
        <v>7</v>
      </c>
      <c r="W16" s="121" t="n">
        <f aca="false">IF(ISERROR(VLOOKUP(C16,일용직명단!$A$3:$K$1246,8,FALSE())),0,VLOOKUP(C16,일용직명단!$A$3:$K$1246,8,FALSE()))</f>
        <v>150000</v>
      </c>
      <c r="X16" s="122" t="n">
        <f aca="false">IFERROR(IF(AG16&gt;=65,0,ROUNDDOWN(W17*$Z$4,-1)),0)</f>
        <v>9450</v>
      </c>
      <c r="Y16" s="122" t="n">
        <f aca="false">IF(AE16&gt;=8,ROUNDDOWN(W17*$M$4,-1),0)</f>
        <v>0</v>
      </c>
      <c r="Z16" s="122" t="n">
        <f aca="false">IFERROR(IF(AND(COUNT(F16:U17)&gt;=8,$AG16&lt;60,W17&lt;=5530000),ROUNDDOWN(ROUNDDOWN(W17,-3)*4.5%,-1),IF(AND(COUNT(F16:U17)&gt;=8,AG16&lt;60,W17&gt;5530000),248850,0)),0)</f>
        <v>0</v>
      </c>
      <c r="AA16" s="124" t="n">
        <f aca="false">+X16+Y16+X17+Y17+Z16+Z17</f>
        <v>9450</v>
      </c>
      <c r="AB16" s="125" t="n">
        <f aca="false">W17-AA16</f>
        <v>1040550</v>
      </c>
      <c r="AC16" s="126" t="str">
        <f aca="false">IF(ISERROR(VLOOKUP(C16,일용직명단!$A$3:$I$1226,5,FALSE())),0,VLOOKUP(C16,일용직명단!$A$3:$I$1226,5,FALSE()))</f>
        <v>농협</v>
      </c>
      <c r="AD16" s="127" t="str">
        <f aca="false">IF(ISERROR(VLOOKUP(C16,일용직명단!$A$3:$I$1226,6,FALSE())),0,VLOOKUP(C16,일용직명단!$A$3:$I$1226,6,FALSE()))</f>
        <v>신용철</v>
      </c>
      <c r="AE16" s="150" t="n">
        <f aca="false">COUNT(F16:U17)</f>
        <v>7</v>
      </c>
      <c r="AF16" s="129" t="str">
        <f aca="false">IF(OR(MID(D16,8,1)="1",MID(D16,8,1)="2"),19&amp;LEFT(D16,2),20&amp;LEFT(D16,2))&amp;"-"&amp;MID(D16,3,2)&amp;"-"&amp;MID(D16,5,2)</f>
        <v>1965-12-20</v>
      </c>
      <c r="AG16" s="129" t="n">
        <f aca="true">INT((TODAY()-AF16)/365.25)</f>
        <v>60</v>
      </c>
      <c r="AH16" s="130" t="n">
        <f aca="false">ROUNDDOWN(SUM(AI16:AX17),-1)</f>
        <v>0</v>
      </c>
      <c r="AI16" s="130" t="n">
        <f aca="false">IF($W16*F16&gt;150000,($W16*F16-150000)*6%*45%,0)</f>
        <v>0</v>
      </c>
      <c r="AJ16" s="130" t="n">
        <f aca="false">IF($W16*G16&gt;150000,($W16*G16-150000)*6%*45%,0)</f>
        <v>0</v>
      </c>
      <c r="AK16" s="130" t="n">
        <f aca="false">IF($W16*H16&gt;150000,($W16*H16-150000)*6%*45%,0)</f>
        <v>0</v>
      </c>
      <c r="AL16" s="130" t="n">
        <f aca="false">IF($W16*I16&gt;150000,($W16*I16-150000)*6%*45%,0)</f>
        <v>0</v>
      </c>
      <c r="AM16" s="130" t="n">
        <f aca="false">IF($W16*J16&gt;150000,($W16*J16-150000)*6%*45%,0)</f>
        <v>0</v>
      </c>
      <c r="AN16" s="130" t="n">
        <f aca="false">IF($W16*K16&gt;150000,($W16*K16-150000)*6%*45%,0)</f>
        <v>0</v>
      </c>
      <c r="AO16" s="130" t="n">
        <f aca="false">IF($W16*L16&gt;150000,($W16*L16-150000)*6%*45%,0)</f>
        <v>0</v>
      </c>
      <c r="AP16" s="130" t="n">
        <f aca="false">IF($W16*M16&gt;150000,($W16*M16-150000)*6%*45%,0)</f>
        <v>0</v>
      </c>
      <c r="AQ16" s="130" t="n">
        <f aca="false">IF($W16*N16&gt;150000,($W16*N16-150000)*6%*45%,0)</f>
        <v>0</v>
      </c>
      <c r="AR16" s="130" t="n">
        <f aca="false">IF($W16*O16&gt;150000,($W16*O16-150000)*6%*45%,0)</f>
        <v>0</v>
      </c>
      <c r="AS16" s="130" t="n">
        <f aca="false">IF($W16*P16&gt;150000,($W16*P16-150000)*6%*45%,0)</f>
        <v>0</v>
      </c>
      <c r="AT16" s="130" t="n">
        <f aca="false">IF($W16*Q16&gt;150000,($W16*Q16-150000)*6%*45%,0)</f>
        <v>0</v>
      </c>
      <c r="AU16" s="130" t="n">
        <f aca="false">IF($W16*R16&gt;150000,($W16*R16-150000)*6%*45%,0)</f>
        <v>0</v>
      </c>
      <c r="AV16" s="130" t="n">
        <f aca="false">IF($W16*S16&gt;150000,($W16*S16-150000)*6%*45%,0)</f>
        <v>0</v>
      </c>
      <c r="AW16" s="130" t="n">
        <f aca="false">IF($W16*T16&gt;150000,($W16*T16-150000)*6%*45%,0)</f>
        <v>0</v>
      </c>
      <c r="AX16" s="130"/>
      <c r="AY16" s="151" t="str">
        <f aca="false">IF(ISERROR(VLOOKUP(C16,[26]일용직명단!$A$3:$M$1151,11,FALSE())),0,VLOOKUP(C16,[26]일용직명단!$A$3:$M$1151,11,FALSE()))</f>
        <v>29116</v>
      </c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</row>
    <row r="17" customFormat="false" ht="12.6" hidden="false" customHeight="true" outlineLevel="0" collapsed="false">
      <c r="A17" s="108"/>
      <c r="B17" s="109"/>
      <c r="C17" s="143"/>
      <c r="D17" s="111"/>
      <c r="E17" s="112" t="str">
        <f aca="false">IF(ISERROR(VLOOKUP(C16,일용직명단!$A$3:$K$1246,9,FALSE())),0,VLOOKUP(C16,일용직명단!$A$3:$K$1246,9,FALSE()))</f>
        <v>010-3900-0965</v>
      </c>
      <c r="F17" s="132" t="n">
        <v>1</v>
      </c>
      <c r="G17" s="133" t="n">
        <v>1</v>
      </c>
      <c r="H17" s="134"/>
      <c r="I17" s="114"/>
      <c r="J17" s="115"/>
      <c r="K17" s="114"/>
      <c r="L17" s="113"/>
      <c r="M17" s="135"/>
      <c r="N17" s="136"/>
      <c r="O17" s="137"/>
      <c r="P17" s="136"/>
      <c r="Q17" s="152"/>
      <c r="R17" s="153"/>
      <c r="S17" s="153"/>
      <c r="T17" s="153"/>
      <c r="U17" s="154"/>
      <c r="V17" s="120"/>
      <c r="W17" s="138" t="n">
        <f aca="false">W16*V16</f>
        <v>1050000</v>
      </c>
      <c r="X17" s="122" t="n">
        <f aca="false">IF(AH16&lt;1000,0,AH16)</f>
        <v>0</v>
      </c>
      <c r="Y17" s="122" t="n">
        <f aca="false">ROUNDDOWN(X17*10%,-1)</f>
        <v>0</v>
      </c>
      <c r="Z17" s="122" t="n">
        <f aca="false">IF(AE16&gt;=8,ROUNDDOWN(Y16*$Q$4,-1),0)</f>
        <v>0</v>
      </c>
      <c r="AA17" s="124"/>
      <c r="AB17" s="125"/>
      <c r="AC17" s="127" t="str">
        <f aca="false">IF(ISERROR(VLOOKUP(C16,일용직명단!$A$3:$I$1226,7,FALSE())),0,VLOOKUP(C16,일용직명단!$A$3:$I$1226,7,FALSE()))</f>
        <v>356-1329-6202-53</v>
      </c>
      <c r="AD17" s="127"/>
      <c r="AE17" s="155"/>
      <c r="AF17" s="129"/>
      <c r="AG17" s="129"/>
      <c r="AH17" s="130"/>
      <c r="AI17" s="130" t="n">
        <f aca="false">IF($W16*F17&gt;150000,($W16*F17-150000)*6%*45%,0)</f>
        <v>0</v>
      </c>
      <c r="AJ17" s="130" t="n">
        <f aca="false">IF($W16*G17&gt;150000,($W16*G17-150000)*6%*45%,0)</f>
        <v>0</v>
      </c>
      <c r="AK17" s="130" t="n">
        <f aca="false">IF($W16*H17&gt;150000,($W16*H17-150000)*6%*45%,0)</f>
        <v>0</v>
      </c>
      <c r="AL17" s="130" t="n">
        <f aca="false">IF($W16*I17&gt;150000,($W16*I17-150000)*6%*45%,0)</f>
        <v>0</v>
      </c>
      <c r="AM17" s="130" t="n">
        <f aca="false">IF($W16*J17&gt;150000,($W16*J17-150000)*6%*45%,0)</f>
        <v>0</v>
      </c>
      <c r="AN17" s="130" t="n">
        <f aca="false">IF($W16*K17&gt;150000,($W16*K17-150000)*6%*45%,0)</f>
        <v>0</v>
      </c>
      <c r="AO17" s="130" t="n">
        <f aca="false">IF($W16*L17&gt;150000,($W16*L17-150000)*6%*45%,0)</f>
        <v>0</v>
      </c>
      <c r="AP17" s="130" t="n">
        <f aca="false">IF($W16*M17&gt;150000,($W16*M17-150000)*6%*45%,0)</f>
        <v>0</v>
      </c>
      <c r="AQ17" s="130" t="n">
        <f aca="false">IF($W16*N17&gt;150000,($W16*N17-150000)*6%*45%,0)</f>
        <v>0</v>
      </c>
      <c r="AR17" s="130" t="n">
        <f aca="false">IF($W16*O17&gt;150000,($W16*O17-150000)*6%*45%,0)</f>
        <v>0</v>
      </c>
      <c r="AS17" s="130" t="n">
        <f aca="false">IF($W16*P17&gt;150000,($W16*P17-150000)*6%*45%,0)</f>
        <v>0</v>
      </c>
      <c r="AT17" s="130" t="n">
        <f aca="false">IF($W16*Q17&gt;150000,($W16*Q17-150000)*6%*45%,0)</f>
        <v>0</v>
      </c>
      <c r="AU17" s="130" t="n">
        <f aca="false">IF($W16*R17&gt;150000,($W16*R17-150000)*6%*45%,0)</f>
        <v>0</v>
      </c>
      <c r="AV17" s="130" t="n">
        <f aca="false">IF($W16*S17&gt;150000,($W16*S17-150000)*6%*45%,0)</f>
        <v>0</v>
      </c>
      <c r="AW17" s="130" t="n">
        <f aca="false">IF($W16*T17&gt;150000,($W16*T17-150000)*6%*45%,0)</f>
        <v>0</v>
      </c>
      <c r="AX17" s="130" t="n">
        <f aca="false">IF($W16*U17&gt;150000,($W16*U17-150000)*6%*45%,0)</f>
        <v>0</v>
      </c>
      <c r="AY17" s="15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6" hidden="false" customHeight="true" outlineLevel="0" collapsed="false">
      <c r="A18" s="108" t="n">
        <f aca="false">A16+1</f>
        <v>5</v>
      </c>
      <c r="B18" s="109"/>
      <c r="C18" s="139" t="s">
        <v>57</v>
      </c>
      <c r="D18" s="111" t="str">
        <f aca="false">IF(ISERROR(VLOOKUP(C18,일용직명단!$A$3:$K$1246,3,FALSE())),0,VLOOKUP(C18,일용직명단!$A$3:$K$1246,3,FALSE()))</f>
        <v>491107-1448813</v>
      </c>
      <c r="E18" s="140" t="str">
        <f aca="false">IF(ISERROR(VLOOKUP(C18,일용직명단!$A$3:$K$1246,4,FALSE())),0,VLOOKUP(C18,일용직명단!$A$3:$K$1246,4,FALSE()))</f>
        <v>충북 영동군 양강면 국촌1길 6-6</v>
      </c>
      <c r="F18" s="113"/>
      <c r="G18" s="114"/>
      <c r="H18" s="115"/>
      <c r="I18" s="115"/>
      <c r="J18" s="113"/>
      <c r="K18" s="115"/>
      <c r="L18" s="113"/>
      <c r="M18" s="113"/>
      <c r="N18" s="114"/>
      <c r="O18" s="116" t="n">
        <v>1</v>
      </c>
      <c r="P18" s="117" t="n">
        <v>1</v>
      </c>
      <c r="Q18" s="114"/>
      <c r="R18" s="118" t="n">
        <v>1</v>
      </c>
      <c r="S18" s="116" t="n">
        <v>1</v>
      </c>
      <c r="T18" s="118" t="n">
        <v>1</v>
      </c>
      <c r="U18" s="119"/>
      <c r="V18" s="144" t="n">
        <f aca="false">SUM(F18:U19)</f>
        <v>7</v>
      </c>
      <c r="W18" s="121" t="n">
        <f aca="false">IF(ISERROR(VLOOKUP(C18,일용직명단!$A$3:$K$1246,8,FALSE())),0,VLOOKUP(C18,일용직명단!$A$3:$K$1246,8,FALSE()))</f>
        <v>150000</v>
      </c>
      <c r="X18" s="156" t="n">
        <f aca="false">IFERROR(IF(AG18&gt;=65,0,ROUNDDOWN(W19*$Z$4,-1)),0)</f>
        <v>0</v>
      </c>
      <c r="Y18" s="156" t="n">
        <f aca="false">IF(AE18&gt;=8,ROUNDDOWN(W19*$M$4,-1),0)</f>
        <v>0</v>
      </c>
      <c r="Z18" s="156" t="n">
        <f aca="false">IFERROR(IF(AND(COUNT(F18:U19)&gt;=8,$AG18&lt;60,W19&lt;=5530000),ROUNDDOWN(ROUNDDOWN(W19,-3)*4.5%,-1),IF(AND(COUNT(F18:U19)&gt;=8,AG18&lt;60,W19&gt;5530000),248850,0)),0)</f>
        <v>0</v>
      </c>
      <c r="AA18" s="145" t="n">
        <f aca="false">+X18+Y18+X19+Y19+Z18+Z19</f>
        <v>0</v>
      </c>
      <c r="AB18" s="146" t="n">
        <f aca="false">W19-AA18</f>
        <v>1050000</v>
      </c>
      <c r="AC18" s="157" t="str">
        <f aca="false">IF(ISERROR(VLOOKUP(C18,일용직명단!$A$3:$I$1226,5,FALSE())),0,VLOOKUP(C18,일용직명단!$A$3:$I$1226,5,FALSE()))</f>
        <v>농협</v>
      </c>
      <c r="AD18" s="158" t="str">
        <f aca="false">IF(ISERROR(VLOOKUP(C18,일용직명단!$A$3:$I$1226,6,FALSE())),0,VLOOKUP(C18,일용직명단!$A$3:$I$1226,6,FALSE()))</f>
        <v>전덕하</v>
      </c>
      <c r="AE18" s="149" t="n">
        <f aca="false">COUNT(F18:U19)</f>
        <v>7</v>
      </c>
      <c r="AF18" s="129" t="str">
        <f aca="false">IF(OR(MID(D18,8,1)="1",MID(D18,8,1)="2"),19&amp;LEFT(D18,2),20&amp;LEFT(D18,2))&amp;"-"&amp;MID(D18,3,2)&amp;"-"&amp;MID(D18,5,2)</f>
        <v>1949-11-07</v>
      </c>
      <c r="AG18" s="129" t="n">
        <f aca="true">INT((TODAY()-AF18)/365.25)</f>
        <v>76</v>
      </c>
      <c r="AH18" s="130" t="n">
        <f aca="false">ROUNDDOWN(SUM(AI18:AX19),-1)</f>
        <v>0</v>
      </c>
      <c r="AI18" s="130" t="n">
        <f aca="false">IF($W18*F18&gt;150000,($W18*F18-150000)*6%*45%,0)</f>
        <v>0</v>
      </c>
      <c r="AJ18" s="130" t="n">
        <f aca="false">IF($W18*G18&gt;150000,($W18*G18-150000)*6%*45%,0)</f>
        <v>0</v>
      </c>
      <c r="AK18" s="130" t="n">
        <f aca="false">IF($W18*H18&gt;150000,($W18*H18-150000)*6%*45%,0)</f>
        <v>0</v>
      </c>
      <c r="AL18" s="130" t="n">
        <f aca="false">IF($W18*I18&gt;150000,($W18*I18-150000)*6%*45%,0)</f>
        <v>0</v>
      </c>
      <c r="AM18" s="130" t="n">
        <f aca="false">IF($W18*J18&gt;150000,($W18*J18-150000)*6%*45%,0)</f>
        <v>0</v>
      </c>
      <c r="AN18" s="130" t="n">
        <f aca="false">IF($W18*K18&gt;150000,($W18*K18-150000)*6%*45%,0)</f>
        <v>0</v>
      </c>
      <c r="AO18" s="130" t="n">
        <f aca="false">IF($W18*L18&gt;150000,($W18*L18-150000)*6%*45%,0)</f>
        <v>0</v>
      </c>
      <c r="AP18" s="130" t="n">
        <f aca="false">IF($W18*M18&gt;150000,($W18*M18-150000)*6%*45%,0)</f>
        <v>0</v>
      </c>
      <c r="AQ18" s="130" t="n">
        <f aca="false">IF($W18*N18&gt;150000,($W18*N18-150000)*6%*45%,0)</f>
        <v>0</v>
      </c>
      <c r="AR18" s="130" t="n">
        <f aca="false">IF($W18*O18&gt;150000,($W18*O18-150000)*6%*45%,0)</f>
        <v>0</v>
      </c>
      <c r="AS18" s="130" t="n">
        <f aca="false">IF($W18*P18&gt;150000,($W18*P18-150000)*6%*45%,0)</f>
        <v>0</v>
      </c>
      <c r="AT18" s="130" t="n">
        <f aca="false">IF($W18*Q18&gt;150000,($W18*Q18-150000)*6%*45%,0)</f>
        <v>0</v>
      </c>
      <c r="AU18" s="130" t="n">
        <f aca="false">IF($W18*R18&gt;150000,($W18*R18-150000)*6%*45%,0)</f>
        <v>0</v>
      </c>
      <c r="AV18" s="130" t="n">
        <f aca="false">IF($W18*S18&gt;150000,($W18*S18-150000)*6%*45%,0)</f>
        <v>0</v>
      </c>
      <c r="AW18" s="130" t="n">
        <f aca="false">IF($W18*T18&gt;150000,($W18*T18-150000)*6%*45%,0)</f>
        <v>0</v>
      </c>
      <c r="AX18" s="130"/>
      <c r="AY18" s="131" t="str">
        <f aca="false">IF(ISERROR(VLOOKUP(C18,[26]일용직명단!$A$3:$M$1151,11,FALSE())),0,VLOOKUP(C18,[26]일용직명단!$A$3:$M$1151,11,FALSE()))</f>
        <v>29155</v>
      </c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</row>
    <row r="19" customFormat="false" ht="12.6" hidden="false" customHeight="true" outlineLevel="0" collapsed="false">
      <c r="A19" s="108"/>
      <c r="B19" s="109"/>
      <c r="C19" s="139"/>
      <c r="D19" s="111"/>
      <c r="E19" s="140" t="n">
        <f aca="false">IF(ISERROR(VLOOKUP(C18,일용직명단!$A$3:$K$1246,9,FALSE())),0,VLOOKUP(C18,일용직명단!$A$3:$K$1246,9,FALSE()))</f>
        <v>0</v>
      </c>
      <c r="F19" s="132" t="n">
        <v>1</v>
      </c>
      <c r="G19" s="133" t="n">
        <v>1</v>
      </c>
      <c r="H19" s="134"/>
      <c r="I19" s="114"/>
      <c r="J19" s="115"/>
      <c r="K19" s="114"/>
      <c r="L19" s="113"/>
      <c r="M19" s="135"/>
      <c r="N19" s="136"/>
      <c r="O19" s="137"/>
      <c r="P19" s="136"/>
      <c r="Q19" s="114"/>
      <c r="R19" s="113"/>
      <c r="S19" s="113"/>
      <c r="T19" s="113"/>
      <c r="U19" s="115"/>
      <c r="V19" s="144"/>
      <c r="W19" s="138" t="n">
        <f aca="false">W18*V18</f>
        <v>1050000</v>
      </c>
      <c r="X19" s="156" t="n">
        <f aca="false">IF(AH18&lt;1000,0,AH18)</f>
        <v>0</v>
      </c>
      <c r="Y19" s="156" t="n">
        <f aca="false">ROUNDDOWN(X19*10%,-1)</f>
        <v>0</v>
      </c>
      <c r="Z19" s="156" t="n">
        <f aca="false">IF(AE18&gt;=8,ROUNDDOWN(Y18*$Q$4,-1),0)</f>
        <v>0</v>
      </c>
      <c r="AA19" s="145"/>
      <c r="AB19" s="146"/>
      <c r="AC19" s="158" t="str">
        <f aca="false">IF(ISERROR(VLOOKUP(C18,일용직명단!$A$3:$I$1226,7,FALSE())),0,VLOOKUP(C18,일용직명단!$A$3:$I$1226,7,FALSE()))</f>
        <v>356-0791-8136-43</v>
      </c>
      <c r="AD19" s="158"/>
      <c r="AE19" s="149"/>
      <c r="AF19" s="129"/>
      <c r="AG19" s="129"/>
      <c r="AH19" s="130"/>
      <c r="AI19" s="130" t="n">
        <f aca="false">IF($W18*F19&gt;150000,($W18*F19-150000)*6%*45%,0)</f>
        <v>0</v>
      </c>
      <c r="AJ19" s="130" t="n">
        <f aca="false">IF($W18*G19&gt;150000,($W18*G19-150000)*6%*45%,0)</f>
        <v>0</v>
      </c>
      <c r="AK19" s="130" t="n">
        <f aca="false">IF($W18*H19&gt;150000,($W18*H19-150000)*6%*45%,0)</f>
        <v>0</v>
      </c>
      <c r="AL19" s="130" t="n">
        <f aca="false">IF($W18*I19&gt;150000,($W18*I19-150000)*6%*45%,0)</f>
        <v>0</v>
      </c>
      <c r="AM19" s="130" t="n">
        <f aca="false">IF($W18*J19&gt;150000,($W18*J19-150000)*6%*45%,0)</f>
        <v>0</v>
      </c>
      <c r="AN19" s="130" t="n">
        <f aca="false">IF($W18*K19&gt;150000,($W18*K19-150000)*6%*45%,0)</f>
        <v>0</v>
      </c>
      <c r="AO19" s="130" t="n">
        <f aca="false">IF($W18*L19&gt;150000,($W18*L19-150000)*6%*45%,0)</f>
        <v>0</v>
      </c>
      <c r="AP19" s="130" t="n">
        <f aca="false">IF($W18*M19&gt;150000,($W18*M19-150000)*6%*45%,0)</f>
        <v>0</v>
      </c>
      <c r="AQ19" s="130" t="n">
        <f aca="false">IF($W18*N19&gt;150000,($W18*N19-150000)*6%*45%,0)</f>
        <v>0</v>
      </c>
      <c r="AR19" s="130" t="n">
        <f aca="false">IF($W18*O19&gt;150000,($W18*O19-150000)*6%*45%,0)</f>
        <v>0</v>
      </c>
      <c r="AS19" s="130" t="n">
        <f aca="false">IF($W18*P19&gt;150000,($W18*P19-150000)*6%*45%,0)</f>
        <v>0</v>
      </c>
      <c r="AT19" s="130" t="n">
        <f aca="false">IF($W18*Q19&gt;150000,($W18*Q19-150000)*6%*45%,0)</f>
        <v>0</v>
      </c>
      <c r="AU19" s="130" t="n">
        <f aca="false">IF($W18*R19&gt;150000,($W18*R19-150000)*6%*45%,0)</f>
        <v>0</v>
      </c>
      <c r="AV19" s="130" t="n">
        <f aca="false">IF($W18*S19&gt;150000,($W18*S19-150000)*6%*45%,0)</f>
        <v>0</v>
      </c>
      <c r="AW19" s="130" t="n">
        <f aca="false">IF($W18*T19&gt;150000,($W18*T19-150000)*6%*45%,0)</f>
        <v>0</v>
      </c>
      <c r="AX19" s="130" t="n">
        <f aca="false">IF($W18*U19&gt;150000,($W18*U19-150000)*6%*45%,0)</f>
        <v>0</v>
      </c>
      <c r="AY19" s="13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</row>
    <row r="20" customFormat="false" ht="12.6" hidden="false" customHeight="true" outlineLevel="0" collapsed="false">
      <c r="A20" s="108" t="n">
        <f aca="false">A18+1</f>
        <v>6</v>
      </c>
      <c r="B20" s="109" t="n">
        <f aca="false">IF(ISERROR(VLOOKUP(C20,일용직명단!$A$3:$I$104,2,FALSE())),0,VLOOKUP(C20,일용직명단!$A$3:$I$104,2,FALSE()))</f>
        <v>0</v>
      </c>
      <c r="C20" s="139" t="s">
        <v>58</v>
      </c>
      <c r="D20" s="111" t="str">
        <f aca="false">IF(ISERROR(VLOOKUP(C20,일용직명단!$A$3:$K$1246,3,FALSE())),0,VLOOKUP(C20,일용직명단!$A$3:$K$1246,3,FALSE()))</f>
        <v>610604-2382923</v>
      </c>
      <c r="E20" s="140" t="str">
        <f aca="false">IF(ISERROR(VLOOKUP(C20,일용직명단!$A$3:$K$1246,4,FALSE())),0,VLOOKUP(C20,일용직명단!$A$3:$K$1246,4,FALSE()))</f>
        <v>대전광역시 동구 충정로 136, 1102동 2006호 (가양동, 대주파크빌)</v>
      </c>
      <c r="F20" s="113"/>
      <c r="G20" s="114"/>
      <c r="H20" s="115"/>
      <c r="I20" s="115"/>
      <c r="J20" s="113"/>
      <c r="K20" s="115"/>
      <c r="L20" s="113"/>
      <c r="M20" s="113"/>
      <c r="N20" s="114"/>
      <c r="O20" s="116" t="n">
        <v>1</v>
      </c>
      <c r="P20" s="117" t="n">
        <v>1</v>
      </c>
      <c r="Q20" s="114"/>
      <c r="R20" s="118" t="n">
        <v>1</v>
      </c>
      <c r="S20" s="116" t="n">
        <v>1</v>
      </c>
      <c r="T20" s="118" t="n">
        <v>1</v>
      </c>
      <c r="U20" s="119"/>
      <c r="V20" s="144" t="n">
        <f aca="false">SUM(F20:U21)</f>
        <v>7</v>
      </c>
      <c r="W20" s="121" t="n">
        <f aca="false">IF(ISERROR(VLOOKUP(C20,일용직명단!$A$3:$K$1246,8,FALSE())),0,VLOOKUP(C20,일용직명단!$A$3:$K$1246,8,FALSE()))</f>
        <v>150000</v>
      </c>
      <c r="X20" s="156" t="n">
        <f aca="false">IFERROR(IF(AG20&gt;=65,0,ROUNDDOWN(W21*$Z$4,-1)),0)</f>
        <v>9450</v>
      </c>
      <c r="Y20" s="156" t="n">
        <f aca="false">IF(AE20&gt;=8,ROUNDDOWN(W21*$M$4,-1),0)</f>
        <v>0</v>
      </c>
      <c r="Z20" s="156" t="n">
        <f aca="false">IFERROR(IF(AND(COUNT(F20:U21)&gt;=8,$AG20&lt;60,W21&lt;=5530000),ROUNDDOWN(ROUNDDOWN(W21,-3)*4.5%,-1),IF(AND(COUNT(F20:U21)&gt;=8,AG20&lt;60,W21&gt;5530000),248850,0)),0)</f>
        <v>0</v>
      </c>
      <c r="AA20" s="145" t="n">
        <f aca="false">+X20+Y20+X21+Y21+Z20+Z21</f>
        <v>9450</v>
      </c>
      <c r="AB20" s="146" t="n">
        <f aca="false">W21-AA20</f>
        <v>1040550</v>
      </c>
      <c r="AC20" s="157" t="str">
        <f aca="false">IF(ISERROR(VLOOKUP(C20,일용직명단!$A$3:$I$1226,5,FALSE())),0,VLOOKUP(C20,일용직명단!$A$3:$I$1226,5,FALSE()))</f>
        <v>농협</v>
      </c>
      <c r="AD20" s="158" t="str">
        <f aca="false">IF(ISERROR(VLOOKUP(C20,일용직명단!$A$3:$I$1226,6,FALSE())),0,VLOOKUP(C20,일용직명단!$A$3:$I$1226,6,FALSE()))</f>
        <v>최순자</v>
      </c>
      <c r="AE20" s="149" t="n">
        <f aca="false">COUNT(F20:U21)</f>
        <v>7</v>
      </c>
      <c r="AF20" s="129" t="str">
        <f aca="false">IF(OR(MID(D20,8,1)="1",MID(D20,8,1)="2"),19&amp;LEFT(D20,2),20&amp;LEFT(D20,2))&amp;"-"&amp;MID(D20,3,2)&amp;"-"&amp;MID(D20,5,2)</f>
        <v>1961-06-04</v>
      </c>
      <c r="AG20" s="129" t="n">
        <f aca="true">INT((TODAY()-AF20)/365.25)</f>
        <v>64</v>
      </c>
      <c r="AH20" s="130" t="n">
        <f aca="false">ROUNDDOWN(SUM(AI20:AX21),-1)</f>
        <v>0</v>
      </c>
      <c r="AI20" s="130" t="n">
        <f aca="false">IF($W20*F20&gt;150000,($W20*F20-150000)*6%*45%,0)</f>
        <v>0</v>
      </c>
      <c r="AJ20" s="130" t="n">
        <f aca="false">IF($W20*G20&gt;150000,($W20*G20-150000)*6%*45%,0)</f>
        <v>0</v>
      </c>
      <c r="AK20" s="130" t="n">
        <f aca="false">IF($W20*H20&gt;150000,($W20*H20-150000)*6%*45%,0)</f>
        <v>0</v>
      </c>
      <c r="AL20" s="130" t="n">
        <f aca="false">IF($W20*I20&gt;150000,($W20*I20-150000)*6%*45%,0)</f>
        <v>0</v>
      </c>
      <c r="AM20" s="130" t="n">
        <f aca="false">IF($W20*J20&gt;150000,($W20*J20-150000)*6%*45%,0)</f>
        <v>0</v>
      </c>
      <c r="AN20" s="130" t="n">
        <f aca="false">IF($W20*K20&gt;150000,($W20*K20-150000)*6%*45%,0)</f>
        <v>0</v>
      </c>
      <c r="AO20" s="130" t="n">
        <f aca="false">IF($W20*L20&gt;150000,($W20*L20-150000)*6%*45%,0)</f>
        <v>0</v>
      </c>
      <c r="AP20" s="130" t="n">
        <f aca="false">IF($W20*M20&gt;150000,($W20*M20-150000)*6%*45%,0)</f>
        <v>0</v>
      </c>
      <c r="AQ20" s="130" t="n">
        <f aca="false">IF($W20*N20&gt;150000,($W20*N20-150000)*6%*45%,0)</f>
        <v>0</v>
      </c>
      <c r="AR20" s="130" t="n">
        <f aca="false">IF($W20*O20&gt;150000,($W20*O20-150000)*6%*45%,0)</f>
        <v>0</v>
      </c>
      <c r="AS20" s="130" t="n">
        <f aca="false">IF($W20*P20&gt;150000,($W20*P20-150000)*6%*45%,0)</f>
        <v>0</v>
      </c>
      <c r="AT20" s="130" t="n">
        <f aca="false">IF($W20*Q20&gt;150000,($W20*Q20-150000)*6%*45%,0)</f>
        <v>0</v>
      </c>
      <c r="AU20" s="130" t="n">
        <f aca="false">IF($W20*R20&gt;150000,($W20*R20-150000)*6%*45%,0)</f>
        <v>0</v>
      </c>
      <c r="AV20" s="130" t="n">
        <f aca="false">IF($W20*S20&gt;150000,($W20*S20-150000)*6%*45%,0)</f>
        <v>0</v>
      </c>
      <c r="AW20" s="130" t="n">
        <f aca="false">IF($W20*T20&gt;150000,($W20*T20-150000)*6%*45%,0)</f>
        <v>0</v>
      </c>
      <c r="AX20" s="130"/>
      <c r="AY20" s="131" t="str">
        <f aca="false">IF(ISERROR(VLOOKUP(C20,[26]일용직명단!$A$3:$M$1151,11,FALSE())),0,VLOOKUP(C20,[26]일용직명단!$A$3:$M$1151,11,FALSE()))</f>
        <v>34509</v>
      </c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</row>
    <row r="21" customFormat="false" ht="12.6" hidden="false" customHeight="true" outlineLevel="0" collapsed="false">
      <c r="A21" s="108"/>
      <c r="B21" s="109"/>
      <c r="C21" s="139"/>
      <c r="D21" s="111"/>
      <c r="E21" s="140" t="str">
        <f aca="false">IF(ISERROR(VLOOKUP(C20,일용직명단!$A$3:$K$1246,9,FALSE())),0,VLOOKUP(C20,일용직명단!$A$3:$K$1246,9,FALSE()))</f>
        <v>010-5093-9072</v>
      </c>
      <c r="F21" s="132" t="n">
        <v>1</v>
      </c>
      <c r="G21" s="133" t="n">
        <v>1</v>
      </c>
      <c r="H21" s="134"/>
      <c r="I21" s="114"/>
      <c r="J21" s="115"/>
      <c r="K21" s="114"/>
      <c r="L21" s="113"/>
      <c r="M21" s="135"/>
      <c r="N21" s="136"/>
      <c r="O21" s="137"/>
      <c r="P21" s="136"/>
      <c r="Q21" s="114"/>
      <c r="R21" s="113"/>
      <c r="S21" s="113"/>
      <c r="T21" s="113"/>
      <c r="U21" s="115"/>
      <c r="V21" s="144"/>
      <c r="W21" s="138" t="n">
        <f aca="false">W20*V20</f>
        <v>1050000</v>
      </c>
      <c r="X21" s="156" t="n">
        <f aca="false">IF(AH20&lt;1000,0,AH20)</f>
        <v>0</v>
      </c>
      <c r="Y21" s="156" t="n">
        <f aca="false">ROUNDDOWN(X21*10%,-1)</f>
        <v>0</v>
      </c>
      <c r="Z21" s="156" t="n">
        <f aca="false">IF(AE20&gt;=8,ROUNDDOWN(Y20*$Q$4,-1),0)</f>
        <v>0</v>
      </c>
      <c r="AA21" s="145"/>
      <c r="AB21" s="146"/>
      <c r="AC21" s="158" t="str">
        <f aca="false">IF(ISERROR(VLOOKUP(C20,일용직명단!$A$3:$I$1226,7,FALSE())),0,VLOOKUP(C20,일용직명단!$A$3:$I$1226,7,FALSE()))</f>
        <v>356-1585-3805-03</v>
      </c>
      <c r="AD21" s="158"/>
      <c r="AE21" s="149"/>
      <c r="AF21" s="129"/>
      <c r="AG21" s="129"/>
      <c r="AH21" s="130"/>
      <c r="AI21" s="130" t="n">
        <f aca="false">IF($W20*F21&gt;150000,($W20*F21-150000)*6%*45%,0)</f>
        <v>0</v>
      </c>
      <c r="AJ21" s="130" t="n">
        <f aca="false">IF($W20*G21&gt;150000,($W20*G21-150000)*6%*45%,0)</f>
        <v>0</v>
      </c>
      <c r="AK21" s="130" t="n">
        <f aca="false">IF($W20*H21&gt;150000,($W20*H21-150000)*6%*45%,0)</f>
        <v>0</v>
      </c>
      <c r="AL21" s="130" t="n">
        <f aca="false">IF($W20*I21&gt;150000,($W20*I21-150000)*6%*45%,0)</f>
        <v>0</v>
      </c>
      <c r="AM21" s="130" t="n">
        <f aca="false">IF($W20*J21&gt;150000,($W20*J21-150000)*6%*45%,0)</f>
        <v>0</v>
      </c>
      <c r="AN21" s="130" t="n">
        <f aca="false">IF($W20*K21&gt;150000,($W20*K21-150000)*6%*45%,0)</f>
        <v>0</v>
      </c>
      <c r="AO21" s="130" t="n">
        <f aca="false">IF($W20*L21&gt;150000,($W20*L21-150000)*6%*45%,0)</f>
        <v>0</v>
      </c>
      <c r="AP21" s="130" t="n">
        <f aca="false">IF($W20*M21&gt;150000,($W20*M21-150000)*6%*45%,0)</f>
        <v>0</v>
      </c>
      <c r="AQ21" s="130" t="n">
        <f aca="false">IF($W20*N21&gt;150000,($W20*N21-150000)*6%*45%,0)</f>
        <v>0</v>
      </c>
      <c r="AR21" s="130" t="n">
        <f aca="false">IF($W20*O21&gt;150000,($W20*O21-150000)*6%*45%,0)</f>
        <v>0</v>
      </c>
      <c r="AS21" s="130" t="n">
        <f aca="false">IF($W20*P21&gt;150000,($W20*P21-150000)*6%*45%,0)</f>
        <v>0</v>
      </c>
      <c r="AT21" s="130" t="n">
        <f aca="false">IF($W20*Q21&gt;150000,($W20*Q21-150000)*6%*45%,0)</f>
        <v>0</v>
      </c>
      <c r="AU21" s="130" t="n">
        <f aca="false">IF($W20*R21&gt;150000,($W20*R21-150000)*6%*45%,0)</f>
        <v>0</v>
      </c>
      <c r="AV21" s="130" t="n">
        <f aca="false">IF($W20*S21&gt;150000,($W20*S21-150000)*6%*45%,0)</f>
        <v>0</v>
      </c>
      <c r="AW21" s="130" t="n">
        <f aca="false">IF($W20*T21&gt;150000,($W20*T21-150000)*6%*45%,0)</f>
        <v>0</v>
      </c>
      <c r="AX21" s="130" t="n">
        <f aca="false">IF($W20*U21&gt;150000,($W20*U21-150000)*6%*45%,0)</f>
        <v>0</v>
      </c>
      <c r="AY21" s="13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</row>
    <row r="22" customFormat="false" ht="12.6" hidden="false" customHeight="true" outlineLevel="0" collapsed="false">
      <c r="A22" s="108" t="n">
        <f aca="false">A20+1</f>
        <v>7</v>
      </c>
      <c r="B22" s="159"/>
      <c r="C22" s="139" t="s">
        <v>59</v>
      </c>
      <c r="D22" s="111" t="str">
        <f aca="false">IF(ISERROR(VLOOKUP(C22,일용직명단!$A$3:$K$1246,3,FALSE())),0,VLOOKUP(C22,일용직명단!$A$3:$K$1246,3,FALSE()))</f>
        <v>661110-2382929</v>
      </c>
      <c r="E22" s="160" t="str">
        <f aca="false">IF(ISERROR(VLOOKUP(C22,일용직명단!$A$3:$K$1246,4,FALSE())),0,VLOOKUP(C22,일용직명단!$A$3:$K$1246,4,FALSE()))</f>
        <v>대전광역시 동구 성동로7번길 58-11, 1동 107호 (자양동, 임광아파트)</v>
      </c>
      <c r="F22" s="113"/>
      <c r="G22" s="114"/>
      <c r="H22" s="115"/>
      <c r="I22" s="115"/>
      <c r="J22" s="113"/>
      <c r="K22" s="115"/>
      <c r="L22" s="113"/>
      <c r="M22" s="113"/>
      <c r="N22" s="114"/>
      <c r="O22" s="116" t="n">
        <v>1</v>
      </c>
      <c r="P22" s="117" t="n">
        <v>1</v>
      </c>
      <c r="Q22" s="114"/>
      <c r="R22" s="118" t="n">
        <v>1</v>
      </c>
      <c r="S22" s="116" t="n">
        <v>1</v>
      </c>
      <c r="T22" s="118" t="n">
        <v>1</v>
      </c>
      <c r="U22" s="119"/>
      <c r="V22" s="144" t="n">
        <f aca="false">SUM(F22:U23)</f>
        <v>7</v>
      </c>
      <c r="W22" s="121" t="n">
        <f aca="false">IF(ISERROR(VLOOKUP(C22,일용직명단!$A$3:$K$1246,8,FALSE())),0,VLOOKUP(C22,일용직명단!$A$3:$K$1246,8,FALSE()))</f>
        <v>150000</v>
      </c>
      <c r="X22" s="156" t="n">
        <f aca="false">IFERROR(IF(AG22&gt;=65,0,ROUNDDOWN(W23*$Z$4,-1)),0)</f>
        <v>9450</v>
      </c>
      <c r="Y22" s="156" t="n">
        <f aca="false">IF(AE22&gt;=8,ROUNDDOWN(W23*$M$4,-1),0)</f>
        <v>0</v>
      </c>
      <c r="Z22" s="156" t="n">
        <f aca="false">IFERROR(IF(AND(COUNT(F22:U23)&gt;=8,$AG22&lt;60,W23&lt;=5530000),ROUNDDOWN(ROUNDDOWN(W23,-3)*4.5%,-1),IF(AND(COUNT(F22:U23)&gt;=8,AG22&lt;60,W23&gt;5530000),248850,0)),0)</f>
        <v>0</v>
      </c>
      <c r="AA22" s="145" t="n">
        <f aca="false">+X22+Y22+X23+Y23+Z22+Z23</f>
        <v>9450</v>
      </c>
      <c r="AB22" s="146" t="n">
        <f aca="false">W23-AA22</f>
        <v>1040550</v>
      </c>
      <c r="AC22" s="157" t="str">
        <f aca="false">IF(ISERROR(VLOOKUP(C22,일용직명단!$A$3:$I$1226,5,FALSE())),0,VLOOKUP(C22,일용직명단!$A$3:$I$1226,5,FALSE()))</f>
        <v>농협</v>
      </c>
      <c r="AD22" s="158" t="str">
        <f aca="false">IF(ISERROR(VLOOKUP(C22,일용직명단!$A$3:$I$1226,6,FALSE())),0,VLOOKUP(C22,일용직명단!$A$3:$I$1226,6,FALSE()))</f>
        <v>최순옥</v>
      </c>
      <c r="AE22" s="141" t="n">
        <f aca="false">COUNT(F22:U23)</f>
        <v>7</v>
      </c>
      <c r="AF22" s="129" t="str">
        <f aca="false">IF(OR(MID(D22,8,1)="1",MID(D22,8,1)="2"),19&amp;LEFT(D22,2),20&amp;LEFT(D22,2))&amp;"-"&amp;MID(D22,3,2)&amp;"-"&amp;MID(D22,5,2)</f>
        <v>1966-11-10</v>
      </c>
      <c r="AG22" s="129" t="n">
        <f aca="true">INT((TODAY()-AF22)/365.25)</f>
        <v>59</v>
      </c>
      <c r="AH22" s="161" t="n">
        <f aca="false">ROUNDDOWN(SUM(AI22:AX23),-1)</f>
        <v>0</v>
      </c>
      <c r="AI22" s="130" t="n">
        <f aca="false">IF($W22*F22&gt;150000,($W22*F22-150000)*6%*45%,0)</f>
        <v>0</v>
      </c>
      <c r="AJ22" s="130" t="n">
        <f aca="false">IF($W22*G22&gt;150000,($W22*G22-150000)*6%*45%,0)</f>
        <v>0</v>
      </c>
      <c r="AK22" s="130" t="n">
        <f aca="false">IF($W22*H22&gt;150000,($W22*H22-150000)*6%*45%,0)</f>
        <v>0</v>
      </c>
      <c r="AL22" s="130" t="n">
        <f aca="false">IF($W22*I22&gt;150000,($W22*I22-150000)*6%*45%,0)</f>
        <v>0</v>
      </c>
      <c r="AM22" s="130" t="n">
        <f aca="false">IF($W22*J22&gt;150000,($W22*J22-150000)*6%*45%,0)</f>
        <v>0</v>
      </c>
      <c r="AN22" s="130" t="n">
        <f aca="false">IF($W22*K22&gt;150000,($W22*K22-150000)*6%*45%,0)</f>
        <v>0</v>
      </c>
      <c r="AO22" s="130" t="n">
        <f aca="false">IF($W22*L22&gt;150000,($W22*L22-150000)*6%*45%,0)</f>
        <v>0</v>
      </c>
      <c r="AP22" s="130" t="n">
        <f aca="false">IF($W22*M22&gt;150000,($W22*M22-150000)*6%*45%,0)</f>
        <v>0</v>
      </c>
      <c r="AQ22" s="130" t="n">
        <f aca="false">IF($W22*N22&gt;150000,($W22*N22-150000)*6%*45%,0)</f>
        <v>0</v>
      </c>
      <c r="AR22" s="130" t="n">
        <f aca="false">IF($W22*O22&gt;150000,($W22*O22-150000)*6%*45%,0)</f>
        <v>0</v>
      </c>
      <c r="AS22" s="130" t="n">
        <f aca="false">IF($W22*P22&gt;150000,($W22*P22-150000)*6%*45%,0)</f>
        <v>0</v>
      </c>
      <c r="AT22" s="130" t="n">
        <f aca="false">IF($W22*Q22&gt;150000,($W22*Q22-150000)*6%*45%,0)</f>
        <v>0</v>
      </c>
      <c r="AU22" s="130" t="n">
        <f aca="false">IF($W22*R22&gt;150000,($W22*R22-150000)*6%*45%,0)</f>
        <v>0</v>
      </c>
      <c r="AV22" s="130" t="n">
        <f aca="false">IF($W22*S22&gt;150000,($W22*S22-150000)*6%*45%,0)</f>
        <v>0</v>
      </c>
      <c r="AW22" s="130" t="n">
        <f aca="false">IF($W22*T22&gt;150000,($W22*T22-150000)*6%*45%,0)</f>
        <v>0</v>
      </c>
      <c r="AX22" s="130"/>
      <c r="AY22" s="162" t="str">
        <f aca="false">IF(ISERROR(VLOOKUP(C22,[27]일용직명단!$A$3:$M$1151,11,FALSE())),0,VLOOKUP(C22,[27]일용직명단!$A$3:$M$1151,11,FALSE()))</f>
        <v>34513</v>
      </c>
      <c r="AZ22" s="163"/>
      <c r="BA22" s="163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</row>
    <row r="23" customFormat="false" ht="12.6" hidden="false" customHeight="true" outlineLevel="0" collapsed="false">
      <c r="A23" s="108"/>
      <c r="B23" s="159"/>
      <c r="C23" s="139"/>
      <c r="D23" s="111"/>
      <c r="E23" s="160" t="str">
        <f aca="false">IF(ISERROR(VLOOKUP(C22,일용직명단!$A$3:$K$1246,9,FALSE())),0,VLOOKUP(C22,일용직명단!$A$3:$K$1246,9,FALSE()))</f>
        <v>010-8770-7249</v>
      </c>
      <c r="F23" s="132" t="n">
        <v>1</v>
      </c>
      <c r="G23" s="133" t="n">
        <v>1</v>
      </c>
      <c r="H23" s="134"/>
      <c r="I23" s="114"/>
      <c r="J23" s="115"/>
      <c r="K23" s="114"/>
      <c r="L23" s="113"/>
      <c r="M23" s="135"/>
      <c r="N23" s="136"/>
      <c r="O23" s="137"/>
      <c r="P23" s="136"/>
      <c r="Q23" s="114"/>
      <c r="R23" s="113"/>
      <c r="S23" s="113"/>
      <c r="T23" s="113"/>
      <c r="U23" s="115"/>
      <c r="V23" s="144"/>
      <c r="W23" s="138" t="n">
        <f aca="false">W22*V22</f>
        <v>1050000</v>
      </c>
      <c r="X23" s="156" t="n">
        <f aca="false">IF(AH22&lt;1000,0,AH22)</f>
        <v>0</v>
      </c>
      <c r="Y23" s="156" t="n">
        <f aca="false">ROUNDDOWN(X23*10%,-1)</f>
        <v>0</v>
      </c>
      <c r="Z23" s="156" t="n">
        <f aca="false">IF(AE22&gt;=8,ROUNDDOWN(Y22*$Q$4,-1),0)</f>
        <v>0</v>
      </c>
      <c r="AA23" s="145"/>
      <c r="AB23" s="146"/>
      <c r="AC23" s="158" t="str">
        <f aca="false">IF(ISERROR(VLOOKUP(C22,일용직명단!$A$3:$I$1226,7,FALSE())),0,VLOOKUP(C22,일용직명단!$A$3:$I$1226,7,FALSE()))</f>
        <v>352-2099-8874-83</v>
      </c>
      <c r="AD23" s="158"/>
      <c r="AE23" s="141"/>
      <c r="AF23" s="129"/>
      <c r="AG23" s="129"/>
      <c r="AH23" s="161"/>
      <c r="AI23" s="130" t="n">
        <f aca="false">IF($W22*F23&gt;150000,($W22*F23-150000)*6%*45%,0)</f>
        <v>0</v>
      </c>
      <c r="AJ23" s="130" t="n">
        <f aca="false">IF($W22*G23&gt;150000,($W22*G23-150000)*6%*45%,0)</f>
        <v>0</v>
      </c>
      <c r="AK23" s="130" t="n">
        <f aca="false">IF($W22*H23&gt;150000,($W22*H23-150000)*6%*45%,0)</f>
        <v>0</v>
      </c>
      <c r="AL23" s="130" t="n">
        <f aca="false">IF($W22*I23&gt;150000,($W22*I23-150000)*6%*45%,0)</f>
        <v>0</v>
      </c>
      <c r="AM23" s="130" t="n">
        <f aca="false">IF($W22*J23&gt;150000,($W22*J23-150000)*6%*45%,0)</f>
        <v>0</v>
      </c>
      <c r="AN23" s="130" t="n">
        <f aca="false">IF($W22*K23&gt;150000,($W22*K23-150000)*6%*45%,0)</f>
        <v>0</v>
      </c>
      <c r="AO23" s="130" t="n">
        <f aca="false">IF($W22*L23&gt;150000,($W22*L23-150000)*6%*45%,0)</f>
        <v>0</v>
      </c>
      <c r="AP23" s="130" t="n">
        <f aca="false">IF($W22*M23&gt;150000,($W22*M23-150000)*6%*45%,0)</f>
        <v>0</v>
      </c>
      <c r="AQ23" s="130" t="n">
        <f aca="false">IF($W22*N23&gt;150000,($W22*N23-150000)*6%*45%,0)</f>
        <v>0</v>
      </c>
      <c r="AR23" s="130" t="n">
        <f aca="false">IF($W22*O23&gt;150000,($W22*O23-150000)*6%*45%,0)</f>
        <v>0</v>
      </c>
      <c r="AS23" s="130" t="n">
        <f aca="false">IF($W22*P23&gt;150000,($W22*P23-150000)*6%*45%,0)</f>
        <v>0</v>
      </c>
      <c r="AT23" s="130" t="n">
        <f aca="false">IF($W22*Q23&gt;150000,($W22*Q23-150000)*6%*45%,0)</f>
        <v>0</v>
      </c>
      <c r="AU23" s="130" t="n">
        <f aca="false">IF($W22*R23&gt;150000,($W22*R23-150000)*6%*45%,0)</f>
        <v>0</v>
      </c>
      <c r="AV23" s="130" t="n">
        <f aca="false">IF($W22*S23&gt;150000,($W22*S23-150000)*6%*45%,0)</f>
        <v>0</v>
      </c>
      <c r="AW23" s="130" t="n">
        <f aca="false">IF($W22*T23&gt;150000,($W22*T23-150000)*6%*45%,0)</f>
        <v>0</v>
      </c>
      <c r="AX23" s="130" t="n">
        <f aca="false">IF($W22*U23&gt;150000,($W22*U23-150000)*6%*45%,0)</f>
        <v>0</v>
      </c>
      <c r="AY23" s="162"/>
      <c r="AZ23" s="163"/>
      <c r="BA23" s="163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</row>
    <row r="24" customFormat="false" ht="12.6" hidden="false" customHeight="true" outlineLevel="0" collapsed="false">
      <c r="A24" s="108" t="n">
        <f aca="false">A22+1</f>
        <v>8</v>
      </c>
      <c r="B24" s="142" t="n">
        <f aca="false">IF(ISERROR(VLOOKUP(C24,일용직명단!$A$3:$I$104,2,FALSE())),0,VLOOKUP(C24,일용직명단!$A$3:$I$104,2,FALSE()))</f>
        <v>0</v>
      </c>
      <c r="C24" s="143" t="s">
        <v>60</v>
      </c>
      <c r="D24" s="111" t="str">
        <f aca="false">IF(ISERROR(VLOOKUP(C24,일용직명단!$A$3:$K$1246,3,FALSE())),0,VLOOKUP(C24,일용직명단!$A$3:$K$1246,3,FALSE()))</f>
        <v>640320-2386922</v>
      </c>
      <c r="E24" s="164" t="str">
        <f aca="false">IF(ISERROR(VLOOKUP(C24,일용직명단!$A$3:$K$1246,4,FALSE())),0,VLOOKUP(C24,일용직명단!$A$3:$K$1246,4,FALSE()))</f>
        <v>충북 영동군 양강면 양정리116-6</v>
      </c>
      <c r="F24" s="113"/>
      <c r="G24" s="114"/>
      <c r="H24" s="115"/>
      <c r="I24" s="115"/>
      <c r="J24" s="113"/>
      <c r="K24" s="115"/>
      <c r="L24" s="113"/>
      <c r="M24" s="113"/>
      <c r="N24" s="114"/>
      <c r="O24" s="116" t="n">
        <v>1</v>
      </c>
      <c r="P24" s="117" t="n">
        <v>1</v>
      </c>
      <c r="Q24" s="114"/>
      <c r="R24" s="118" t="n">
        <v>1</v>
      </c>
      <c r="S24" s="116" t="n">
        <v>1</v>
      </c>
      <c r="T24" s="118" t="n">
        <v>1</v>
      </c>
      <c r="U24" s="119"/>
      <c r="V24" s="144" t="n">
        <f aca="false">SUM(F24:U25)</f>
        <v>7</v>
      </c>
      <c r="W24" s="121" t="n">
        <f aca="false">IF(ISERROR(VLOOKUP(C24,일용직명단!$A$3:$K$1246,8,FALSE())),0,VLOOKUP(C24,일용직명단!$A$3:$K$1246,8,FALSE()))</f>
        <v>150000</v>
      </c>
      <c r="X24" s="123" t="n">
        <f aca="false">IFERROR(IF(AG24&gt;=65,0,ROUNDDOWN(W25*$Z$4,-1)),0)</f>
        <v>9450</v>
      </c>
      <c r="Y24" s="123" t="n">
        <f aca="false">IF(AE24&gt;=8,ROUNDDOWN(W25*$M$4,-1),0)</f>
        <v>0</v>
      </c>
      <c r="Z24" s="123" t="n">
        <f aca="false">IFERROR(IF(AND(COUNT(F24:U25)&gt;=8,$AG24&lt;60,W25&lt;=5530000),ROUNDDOWN(ROUNDDOWN(W25,-3)*4.5%,-1),IF(AND(COUNT(F24:U25)&gt;=8,AG24&lt;60,W25&gt;5530000),248850,0)),0)</f>
        <v>0</v>
      </c>
      <c r="AA24" s="145" t="n">
        <f aca="false">+X24+Y24+X25+Y25+Z24+Z25</f>
        <v>9450</v>
      </c>
      <c r="AB24" s="146" t="n">
        <f aca="false">W25-AA24</f>
        <v>1040550</v>
      </c>
      <c r="AC24" s="165" t="str">
        <f aca="false">IF(ISERROR(VLOOKUP(C24,일용직명단!$A$3:$I$1226,5,FALSE())),0,VLOOKUP(C24,일용직명단!$A$3:$I$1226,5,FALSE()))</f>
        <v>농협</v>
      </c>
      <c r="AD24" s="166" t="str">
        <f aca="false">IF(ISERROR(VLOOKUP(C24,일용직명단!$A$3:$I$1226,6,FALSE())),0,VLOOKUP(C24,일용직명단!$A$3:$I$1226,6,FALSE()))</f>
        <v>양희옥</v>
      </c>
      <c r="AE24" s="128" t="n">
        <f aca="false">COUNT(F24:U25)</f>
        <v>7</v>
      </c>
      <c r="AF24" s="129" t="str">
        <f aca="false">IF(OR(MID(D24,8,1)="1",MID(D24,8,1)="2"),19&amp;LEFT(D24,2),20&amp;LEFT(D24,2))&amp;"-"&amp;MID(D24,3,2)&amp;"-"&amp;MID(D24,5,2)</f>
        <v>1964-03-20</v>
      </c>
      <c r="AG24" s="129" t="n">
        <f aca="true">INT((TODAY()-AF24)/365.25)</f>
        <v>62</v>
      </c>
      <c r="AH24" s="130" t="n">
        <f aca="false">ROUNDDOWN(SUM(AI24:AX25),-1)</f>
        <v>0</v>
      </c>
      <c r="AI24" s="130" t="n">
        <f aca="false">IF($W24*F24&gt;150000,($W24*F24-150000)*6%*45%,0)</f>
        <v>0</v>
      </c>
      <c r="AJ24" s="130" t="n">
        <f aca="false">IF($W24*G24&gt;150000,($W24*G24-150000)*6%*45%,0)</f>
        <v>0</v>
      </c>
      <c r="AK24" s="130" t="n">
        <f aca="false">IF($W24*H24&gt;150000,($W24*H24-150000)*6%*45%,0)</f>
        <v>0</v>
      </c>
      <c r="AL24" s="130" t="n">
        <f aca="false">IF($W24*I24&gt;150000,($W24*I24-150000)*6%*45%,0)</f>
        <v>0</v>
      </c>
      <c r="AM24" s="130" t="n">
        <f aca="false">IF($W24*J24&gt;150000,($W24*J24-150000)*6%*45%,0)</f>
        <v>0</v>
      </c>
      <c r="AN24" s="130" t="n">
        <f aca="false">IF($W24*K24&gt;150000,($W24*K24-150000)*6%*45%,0)</f>
        <v>0</v>
      </c>
      <c r="AO24" s="130" t="n">
        <f aca="false">IF($W24*L24&gt;150000,($W24*L24-150000)*6%*45%,0)</f>
        <v>0</v>
      </c>
      <c r="AP24" s="130" t="n">
        <f aca="false">IF($W24*M24&gt;150000,($W24*M24-150000)*6%*45%,0)</f>
        <v>0</v>
      </c>
      <c r="AQ24" s="130" t="n">
        <f aca="false">IF($W24*N24&gt;150000,($W24*N24-150000)*6%*45%,0)</f>
        <v>0</v>
      </c>
      <c r="AR24" s="130" t="n">
        <f aca="false">IF($W24*O24&gt;150000,($W24*O24-150000)*6%*45%,0)</f>
        <v>0</v>
      </c>
      <c r="AS24" s="130" t="n">
        <f aca="false">IF($W24*P24&gt;150000,($W24*P24-150000)*6%*45%,0)</f>
        <v>0</v>
      </c>
      <c r="AT24" s="130" t="n">
        <f aca="false">IF($W24*Q24&gt;150000,($W24*Q24-150000)*6%*45%,0)</f>
        <v>0</v>
      </c>
      <c r="AU24" s="130" t="n">
        <f aca="false">IF($W24*R24&gt;150000,($W24*R24-150000)*6%*45%,0)</f>
        <v>0</v>
      </c>
      <c r="AV24" s="130" t="n">
        <f aca="false">IF($W24*S24&gt;150000,($W24*S24-150000)*6%*45%,0)</f>
        <v>0</v>
      </c>
      <c r="AW24" s="130" t="n">
        <f aca="false">IF($W24*T24&gt;150000,($W24*T24-150000)*6%*45%,0)</f>
        <v>0</v>
      </c>
      <c r="AX24" s="130"/>
      <c r="AY24" s="131" t="str">
        <f aca="false">IF(ISERROR(VLOOKUP(C24,[26]일용직명단!$A$3:$M$1151,11,FALSE())),0,VLOOKUP(C24,[26]일용직명단!$A$3:$M$1151,11,FALSE()))</f>
        <v>29156</v>
      </c>
      <c r="AZ24" s="11"/>
      <c r="BA24" s="167"/>
      <c r="BB24" s="167"/>
      <c r="BC24" s="167"/>
      <c r="BD24" s="167"/>
      <c r="BE24" s="167"/>
      <c r="BF24" s="167"/>
      <c r="BG24" s="167"/>
      <c r="BH24" s="167"/>
      <c r="BI24" s="167"/>
      <c r="BJ24" s="167"/>
      <c r="BK24" s="167"/>
      <c r="BL24" s="167"/>
      <c r="BM24" s="167"/>
      <c r="BN24" s="167"/>
      <c r="BO24" s="167"/>
      <c r="BP24" s="167"/>
      <c r="BQ24" s="167"/>
      <c r="BR24" s="167"/>
      <c r="BS24" s="167"/>
      <c r="BT24" s="167"/>
      <c r="BU24" s="167"/>
      <c r="BV24" s="167"/>
      <c r="BW24" s="167"/>
      <c r="BX24" s="167"/>
      <c r="BY24" s="167"/>
      <c r="BZ24" s="167"/>
      <c r="CA24" s="167"/>
      <c r="CB24" s="167"/>
      <c r="CC24" s="167"/>
      <c r="CD24" s="167"/>
      <c r="CE24" s="167"/>
      <c r="CF24" s="167"/>
      <c r="CG24" s="167"/>
      <c r="CH24" s="167"/>
      <c r="CI24" s="167"/>
      <c r="CJ24" s="167"/>
      <c r="CK24" s="167"/>
      <c r="CL24" s="167"/>
      <c r="CM24" s="167"/>
      <c r="CN24" s="167"/>
      <c r="CO24" s="167"/>
      <c r="CP24" s="167"/>
      <c r="CQ24" s="167"/>
      <c r="CR24" s="167"/>
      <c r="CS24" s="167"/>
      <c r="CT24" s="167"/>
      <c r="CU24" s="167"/>
      <c r="CV24" s="167"/>
      <c r="CW24" s="167"/>
      <c r="CX24" s="167"/>
      <c r="CY24" s="167"/>
      <c r="CZ24" s="167"/>
      <c r="DA24" s="167"/>
      <c r="DB24" s="167"/>
      <c r="DC24" s="167"/>
      <c r="DD24" s="167"/>
      <c r="DE24" s="167"/>
      <c r="DF24" s="167"/>
      <c r="DG24" s="167"/>
      <c r="DH24" s="167"/>
      <c r="DI24" s="167"/>
      <c r="DJ24" s="167"/>
      <c r="DK24" s="167"/>
      <c r="DL24" s="167"/>
      <c r="DM24" s="167"/>
      <c r="DN24" s="167"/>
      <c r="DO24" s="167"/>
      <c r="DP24" s="167"/>
      <c r="DQ24" s="167"/>
      <c r="DR24" s="167"/>
      <c r="DS24" s="167"/>
      <c r="DT24" s="167"/>
      <c r="DU24" s="167"/>
      <c r="DV24" s="167"/>
      <c r="DW24" s="167"/>
      <c r="DX24" s="167"/>
      <c r="DY24" s="167"/>
      <c r="DZ24" s="167"/>
      <c r="EA24" s="167"/>
      <c r="EB24" s="167"/>
      <c r="EC24" s="167"/>
      <c r="ED24" s="167"/>
      <c r="EE24" s="167"/>
      <c r="EF24" s="167"/>
      <c r="EG24" s="167"/>
      <c r="EH24" s="167"/>
      <c r="EI24" s="167"/>
      <c r="EJ24" s="167"/>
      <c r="EK24" s="167"/>
      <c r="EL24" s="167"/>
      <c r="EM24" s="167"/>
      <c r="EN24" s="167"/>
      <c r="EO24" s="167"/>
      <c r="EP24" s="167"/>
      <c r="EQ24" s="167"/>
      <c r="ER24" s="167"/>
      <c r="ES24" s="167"/>
      <c r="ET24" s="167"/>
      <c r="EU24" s="167"/>
      <c r="EV24" s="167"/>
      <c r="EW24" s="167"/>
      <c r="EX24" s="167"/>
      <c r="EY24" s="167"/>
      <c r="EZ24" s="167"/>
      <c r="FA24" s="167"/>
      <c r="FB24" s="167"/>
      <c r="FC24" s="167"/>
      <c r="FD24" s="167"/>
      <c r="FE24" s="167"/>
      <c r="FF24" s="167"/>
      <c r="FG24" s="167"/>
      <c r="FH24" s="167"/>
      <c r="FI24" s="167"/>
      <c r="FJ24" s="167"/>
      <c r="FK24" s="167"/>
      <c r="FL24" s="167"/>
      <c r="FM24" s="167"/>
      <c r="FN24" s="167"/>
      <c r="FO24" s="167"/>
      <c r="FP24" s="167"/>
      <c r="FQ24" s="167"/>
      <c r="FR24" s="167"/>
      <c r="FS24" s="167"/>
      <c r="FT24" s="167"/>
      <c r="FU24" s="167"/>
      <c r="FV24" s="167"/>
      <c r="FW24" s="167"/>
      <c r="FX24" s="167"/>
      <c r="FY24" s="167"/>
      <c r="FZ24" s="167"/>
      <c r="GA24" s="167"/>
      <c r="GB24" s="167"/>
      <c r="GC24" s="167"/>
      <c r="GD24" s="167"/>
      <c r="GE24" s="167"/>
      <c r="GF24" s="167"/>
      <c r="GG24" s="167"/>
      <c r="GH24" s="167"/>
      <c r="GI24" s="167"/>
      <c r="GJ24" s="167"/>
      <c r="GK24" s="167"/>
      <c r="GL24" s="167"/>
      <c r="GM24" s="167"/>
      <c r="GN24" s="167"/>
      <c r="GO24" s="167"/>
      <c r="GP24" s="167"/>
      <c r="GQ24" s="167"/>
      <c r="GR24" s="167"/>
      <c r="GS24" s="167"/>
      <c r="GT24" s="167"/>
      <c r="GU24" s="167"/>
      <c r="GV24" s="167"/>
      <c r="GW24" s="167"/>
      <c r="GX24" s="167"/>
      <c r="GY24" s="167"/>
      <c r="GZ24" s="167"/>
      <c r="HA24" s="167"/>
      <c r="HB24" s="167"/>
      <c r="HC24" s="167"/>
      <c r="HD24" s="167"/>
      <c r="HE24" s="167"/>
      <c r="HF24" s="167"/>
      <c r="HG24" s="167"/>
      <c r="HH24" s="167"/>
      <c r="HI24" s="167"/>
      <c r="HJ24" s="167"/>
      <c r="HK24" s="167"/>
      <c r="HL24" s="167"/>
      <c r="HM24" s="167"/>
      <c r="HN24" s="167"/>
      <c r="HO24" s="167"/>
      <c r="HP24" s="167"/>
      <c r="HQ24" s="167"/>
      <c r="HR24" s="167"/>
      <c r="HS24" s="167"/>
      <c r="HT24" s="167"/>
      <c r="HU24" s="167"/>
      <c r="HV24" s="167"/>
      <c r="HW24" s="167"/>
      <c r="HX24" s="167"/>
      <c r="HY24" s="167"/>
      <c r="HZ24" s="167"/>
      <c r="IA24" s="167"/>
      <c r="IB24" s="167"/>
      <c r="IC24" s="167"/>
      <c r="ID24" s="167"/>
      <c r="IE24" s="167"/>
      <c r="IF24" s="167"/>
      <c r="IG24" s="167"/>
      <c r="IH24" s="167"/>
      <c r="II24" s="167"/>
      <c r="IJ24" s="167"/>
      <c r="IK24" s="167"/>
      <c r="IL24" s="167"/>
      <c r="IM24" s="167"/>
      <c r="IN24" s="167"/>
      <c r="IO24" s="167"/>
      <c r="IP24" s="167"/>
      <c r="IQ24" s="167"/>
      <c r="IR24" s="167"/>
      <c r="IS24" s="167"/>
      <c r="IT24" s="167"/>
      <c r="IU24" s="167"/>
      <c r="IV24" s="167"/>
      <c r="IW24" s="167"/>
    </row>
    <row r="25" customFormat="false" ht="12.6" hidden="false" customHeight="true" outlineLevel="0" collapsed="false">
      <c r="A25" s="108"/>
      <c r="B25" s="142"/>
      <c r="C25" s="143"/>
      <c r="D25" s="111"/>
      <c r="E25" s="164" t="str">
        <f aca="false">IF(ISERROR(VLOOKUP(C24,일용직명단!$A$3:$K$1246,9,FALSE())),0,VLOOKUP(C24,일용직명단!$A$3:$K$1246,9,FALSE()))</f>
        <v>010-8982-1150</v>
      </c>
      <c r="F25" s="132" t="n">
        <v>1</v>
      </c>
      <c r="G25" s="133" t="n">
        <v>1</v>
      </c>
      <c r="H25" s="134"/>
      <c r="I25" s="114"/>
      <c r="J25" s="115"/>
      <c r="K25" s="114"/>
      <c r="L25" s="113"/>
      <c r="M25" s="135"/>
      <c r="N25" s="136"/>
      <c r="O25" s="137"/>
      <c r="P25" s="136"/>
      <c r="Q25" s="114"/>
      <c r="R25" s="113"/>
      <c r="S25" s="113"/>
      <c r="T25" s="113"/>
      <c r="U25" s="115"/>
      <c r="V25" s="144"/>
      <c r="W25" s="138" t="n">
        <f aca="false">W24*V24</f>
        <v>1050000</v>
      </c>
      <c r="X25" s="123" t="n">
        <f aca="false">IF(AH24&lt;1000,0,AH24)</f>
        <v>0</v>
      </c>
      <c r="Y25" s="123" t="n">
        <f aca="false">ROUNDDOWN(X25*10%,-1)</f>
        <v>0</v>
      </c>
      <c r="Z25" s="123" t="n">
        <f aca="false">IF(AE24&gt;=8,ROUNDDOWN(Y24*$Q$4,-1),0)</f>
        <v>0</v>
      </c>
      <c r="AA25" s="145"/>
      <c r="AB25" s="146"/>
      <c r="AC25" s="166" t="str">
        <f aca="false">IF(ISERROR(VLOOKUP(C24,일용직명단!$A$3:$I$1226,7,FALSE())),0,VLOOKUP(C24,일용직명단!$A$3:$I$1226,7,FALSE()))</f>
        <v>407023-56-010784</v>
      </c>
      <c r="AD25" s="166"/>
      <c r="AE25" s="128"/>
      <c r="AF25" s="129"/>
      <c r="AG25" s="129"/>
      <c r="AH25" s="130"/>
      <c r="AI25" s="130" t="n">
        <f aca="false">IF($W24*F25&gt;150000,($W24*F25-150000)*6%*45%,0)</f>
        <v>0</v>
      </c>
      <c r="AJ25" s="130" t="n">
        <f aca="false">IF($W24*G25&gt;150000,($W24*G25-150000)*6%*45%,0)</f>
        <v>0</v>
      </c>
      <c r="AK25" s="130" t="n">
        <f aca="false">IF($W24*H25&gt;150000,($W24*H25-150000)*6%*45%,0)</f>
        <v>0</v>
      </c>
      <c r="AL25" s="130" t="n">
        <f aca="false">IF($W24*I25&gt;150000,($W24*I25-150000)*6%*45%,0)</f>
        <v>0</v>
      </c>
      <c r="AM25" s="130" t="n">
        <f aca="false">IF($W24*J25&gt;150000,($W24*J25-150000)*6%*45%,0)</f>
        <v>0</v>
      </c>
      <c r="AN25" s="130" t="n">
        <f aca="false">IF($W24*K25&gt;150000,($W24*K25-150000)*6%*45%,0)</f>
        <v>0</v>
      </c>
      <c r="AO25" s="130" t="n">
        <f aca="false">IF($W24*L25&gt;150000,($W24*L25-150000)*6%*45%,0)</f>
        <v>0</v>
      </c>
      <c r="AP25" s="130" t="n">
        <f aca="false">IF($W24*M25&gt;150000,($W24*M25-150000)*6%*45%,0)</f>
        <v>0</v>
      </c>
      <c r="AQ25" s="130" t="n">
        <f aca="false">IF($W24*N25&gt;150000,($W24*N25-150000)*6%*45%,0)</f>
        <v>0</v>
      </c>
      <c r="AR25" s="130" t="n">
        <f aca="false">IF($W24*O25&gt;150000,($W24*O25-150000)*6%*45%,0)</f>
        <v>0</v>
      </c>
      <c r="AS25" s="130" t="n">
        <f aca="false">IF($W24*P25&gt;150000,($W24*P25-150000)*6%*45%,0)</f>
        <v>0</v>
      </c>
      <c r="AT25" s="130" t="n">
        <f aca="false">IF($W24*Q25&gt;150000,($W24*Q25-150000)*6%*45%,0)</f>
        <v>0</v>
      </c>
      <c r="AU25" s="130" t="n">
        <f aca="false">IF($W24*R25&gt;150000,($W24*R25-150000)*6%*45%,0)</f>
        <v>0</v>
      </c>
      <c r="AV25" s="130" t="n">
        <f aca="false">IF($W24*S25&gt;150000,($W24*S25-150000)*6%*45%,0)</f>
        <v>0</v>
      </c>
      <c r="AW25" s="130" t="n">
        <f aca="false">IF($W24*T25&gt;150000,($W24*T25-150000)*6%*45%,0)</f>
        <v>0</v>
      </c>
      <c r="AX25" s="130" t="n">
        <f aca="false">IF($W24*U25&gt;150000,($W24*U25-150000)*6%*45%,0)</f>
        <v>0</v>
      </c>
      <c r="AY25" s="131"/>
      <c r="AZ25" s="11"/>
      <c r="BA25" s="167"/>
      <c r="BB25" s="167"/>
      <c r="BC25" s="167"/>
      <c r="BD25" s="167"/>
      <c r="BE25" s="167"/>
      <c r="BF25" s="167"/>
      <c r="BG25" s="167"/>
      <c r="BH25" s="167"/>
      <c r="BI25" s="167"/>
      <c r="BJ25" s="167"/>
      <c r="BK25" s="167"/>
      <c r="BL25" s="167"/>
      <c r="BM25" s="167"/>
      <c r="BN25" s="167"/>
      <c r="BO25" s="167"/>
      <c r="BP25" s="167"/>
      <c r="BQ25" s="167"/>
      <c r="BR25" s="167"/>
      <c r="BS25" s="167"/>
      <c r="BT25" s="167"/>
      <c r="BU25" s="167"/>
      <c r="BV25" s="167"/>
      <c r="BW25" s="167"/>
      <c r="BX25" s="167"/>
      <c r="BY25" s="167"/>
      <c r="BZ25" s="167"/>
      <c r="CA25" s="167"/>
      <c r="CB25" s="167"/>
      <c r="CC25" s="167"/>
      <c r="CD25" s="167"/>
      <c r="CE25" s="167"/>
      <c r="CF25" s="167"/>
      <c r="CG25" s="167"/>
      <c r="CH25" s="167"/>
      <c r="CI25" s="167"/>
      <c r="CJ25" s="167"/>
      <c r="CK25" s="167"/>
      <c r="CL25" s="167"/>
      <c r="CM25" s="167"/>
      <c r="CN25" s="167"/>
      <c r="CO25" s="167"/>
      <c r="CP25" s="167"/>
      <c r="CQ25" s="167"/>
      <c r="CR25" s="167"/>
      <c r="CS25" s="167"/>
      <c r="CT25" s="167"/>
      <c r="CU25" s="167"/>
      <c r="CV25" s="167"/>
      <c r="CW25" s="167"/>
      <c r="CX25" s="167"/>
      <c r="CY25" s="167"/>
      <c r="CZ25" s="167"/>
      <c r="DA25" s="167"/>
      <c r="DB25" s="167"/>
      <c r="DC25" s="167"/>
      <c r="DD25" s="167"/>
      <c r="DE25" s="167"/>
      <c r="DF25" s="167"/>
      <c r="DG25" s="167"/>
      <c r="DH25" s="167"/>
      <c r="DI25" s="167"/>
      <c r="DJ25" s="167"/>
      <c r="DK25" s="167"/>
      <c r="DL25" s="167"/>
      <c r="DM25" s="167"/>
      <c r="DN25" s="167"/>
      <c r="DO25" s="167"/>
      <c r="DP25" s="167"/>
      <c r="DQ25" s="167"/>
      <c r="DR25" s="167"/>
      <c r="DS25" s="167"/>
      <c r="DT25" s="167"/>
      <c r="DU25" s="167"/>
      <c r="DV25" s="167"/>
      <c r="DW25" s="167"/>
      <c r="DX25" s="167"/>
      <c r="DY25" s="167"/>
      <c r="DZ25" s="167"/>
      <c r="EA25" s="167"/>
      <c r="EB25" s="167"/>
      <c r="EC25" s="167"/>
      <c r="ED25" s="167"/>
      <c r="EE25" s="167"/>
      <c r="EF25" s="167"/>
      <c r="EG25" s="167"/>
      <c r="EH25" s="167"/>
      <c r="EI25" s="167"/>
      <c r="EJ25" s="167"/>
      <c r="EK25" s="167"/>
      <c r="EL25" s="167"/>
      <c r="EM25" s="167"/>
      <c r="EN25" s="167"/>
      <c r="EO25" s="167"/>
      <c r="EP25" s="167"/>
      <c r="EQ25" s="167"/>
      <c r="ER25" s="167"/>
      <c r="ES25" s="167"/>
      <c r="ET25" s="167"/>
      <c r="EU25" s="167"/>
      <c r="EV25" s="167"/>
      <c r="EW25" s="167"/>
      <c r="EX25" s="167"/>
      <c r="EY25" s="167"/>
      <c r="EZ25" s="167"/>
      <c r="FA25" s="167"/>
      <c r="FB25" s="167"/>
      <c r="FC25" s="167"/>
      <c r="FD25" s="167"/>
      <c r="FE25" s="167"/>
      <c r="FF25" s="167"/>
      <c r="FG25" s="167"/>
      <c r="FH25" s="167"/>
      <c r="FI25" s="167"/>
      <c r="FJ25" s="167"/>
      <c r="FK25" s="167"/>
      <c r="FL25" s="167"/>
      <c r="FM25" s="167"/>
      <c r="FN25" s="167"/>
      <c r="FO25" s="167"/>
      <c r="FP25" s="167"/>
      <c r="FQ25" s="167"/>
      <c r="FR25" s="167"/>
      <c r="FS25" s="167"/>
      <c r="FT25" s="167"/>
      <c r="FU25" s="167"/>
      <c r="FV25" s="167"/>
      <c r="FW25" s="167"/>
      <c r="FX25" s="167"/>
      <c r="FY25" s="167"/>
      <c r="FZ25" s="167"/>
      <c r="GA25" s="167"/>
      <c r="GB25" s="167"/>
      <c r="GC25" s="167"/>
      <c r="GD25" s="167"/>
      <c r="GE25" s="167"/>
      <c r="GF25" s="167"/>
      <c r="GG25" s="167"/>
      <c r="GH25" s="167"/>
      <c r="GI25" s="167"/>
      <c r="GJ25" s="167"/>
      <c r="GK25" s="167"/>
      <c r="GL25" s="167"/>
      <c r="GM25" s="167"/>
      <c r="GN25" s="167"/>
      <c r="GO25" s="167"/>
      <c r="GP25" s="167"/>
      <c r="GQ25" s="167"/>
      <c r="GR25" s="167"/>
      <c r="GS25" s="167"/>
      <c r="GT25" s="167"/>
      <c r="GU25" s="167"/>
      <c r="GV25" s="167"/>
      <c r="GW25" s="167"/>
      <c r="GX25" s="167"/>
      <c r="GY25" s="167"/>
      <c r="GZ25" s="167"/>
      <c r="HA25" s="167"/>
      <c r="HB25" s="167"/>
      <c r="HC25" s="167"/>
      <c r="HD25" s="167"/>
      <c r="HE25" s="167"/>
      <c r="HF25" s="167"/>
      <c r="HG25" s="167"/>
      <c r="HH25" s="167"/>
      <c r="HI25" s="167"/>
      <c r="HJ25" s="167"/>
      <c r="HK25" s="167"/>
      <c r="HL25" s="167"/>
      <c r="HM25" s="167"/>
      <c r="HN25" s="167"/>
      <c r="HO25" s="167"/>
      <c r="HP25" s="167"/>
      <c r="HQ25" s="167"/>
      <c r="HR25" s="167"/>
      <c r="HS25" s="167"/>
      <c r="HT25" s="167"/>
      <c r="HU25" s="167"/>
      <c r="HV25" s="167"/>
      <c r="HW25" s="167"/>
      <c r="HX25" s="167"/>
      <c r="HY25" s="167"/>
      <c r="HZ25" s="167"/>
      <c r="IA25" s="167"/>
      <c r="IB25" s="167"/>
      <c r="IC25" s="167"/>
      <c r="ID25" s="167"/>
      <c r="IE25" s="167"/>
      <c r="IF25" s="167"/>
      <c r="IG25" s="167"/>
      <c r="IH25" s="167"/>
      <c r="II25" s="167"/>
      <c r="IJ25" s="167"/>
      <c r="IK25" s="167"/>
      <c r="IL25" s="167"/>
      <c r="IM25" s="167"/>
      <c r="IN25" s="167"/>
      <c r="IO25" s="167"/>
      <c r="IP25" s="167"/>
      <c r="IQ25" s="167"/>
      <c r="IR25" s="167"/>
      <c r="IS25" s="167"/>
      <c r="IT25" s="167"/>
      <c r="IU25" s="167"/>
      <c r="IV25" s="167"/>
      <c r="IW25" s="167"/>
    </row>
    <row r="26" customFormat="false" ht="12.6" hidden="false" customHeight="true" outlineLevel="0" collapsed="false">
      <c r="A26" s="108" t="n">
        <f aca="false">A24+1</f>
        <v>9</v>
      </c>
      <c r="B26" s="142"/>
      <c r="C26" s="143" t="s">
        <v>61</v>
      </c>
      <c r="D26" s="111" t="str">
        <f aca="false">IF(ISERROR(VLOOKUP(C26,일용직명단!$A$3:$K$1246,3,FALSE())),0,VLOOKUP(C26,일용직명단!$A$3:$K$1246,3,FALSE()))</f>
        <v>610205-2400329</v>
      </c>
      <c r="E26" s="140" t="str">
        <f aca="false">IF(ISERROR(VLOOKUP(C26,일용직명단!$A$3:$K$1246,4,FALSE())),0,VLOOKUP(C26,일용직명단!$A$3:$K$1246,4,FALSE()))</f>
        <v>충북 영동군 영동읍 회동로 156-20</v>
      </c>
      <c r="F26" s="113"/>
      <c r="G26" s="114"/>
      <c r="H26" s="115"/>
      <c r="I26" s="115"/>
      <c r="J26" s="113"/>
      <c r="K26" s="115"/>
      <c r="L26" s="113"/>
      <c r="M26" s="113"/>
      <c r="N26" s="114"/>
      <c r="O26" s="116" t="n">
        <v>1</v>
      </c>
      <c r="P26" s="117" t="n">
        <v>1</v>
      </c>
      <c r="Q26" s="114"/>
      <c r="R26" s="118" t="n">
        <v>1</v>
      </c>
      <c r="S26" s="116" t="n">
        <v>1</v>
      </c>
      <c r="T26" s="118" t="n">
        <v>1</v>
      </c>
      <c r="U26" s="119"/>
      <c r="V26" s="168" t="n">
        <f aca="false">SUM(F26:U27)</f>
        <v>7</v>
      </c>
      <c r="W26" s="121" t="n">
        <f aca="false">IF(ISERROR(VLOOKUP(C26,일용직명단!$A$3:$K$1246,8,FALSE())),0,VLOOKUP(C26,일용직명단!$A$3:$K$1246,8,FALSE()))</f>
        <v>150000</v>
      </c>
      <c r="X26" s="123" t="n">
        <f aca="false">IFERROR(IF(AG26&gt;=65,0,ROUNDDOWN(W27*$Z$4,-1)),0)</f>
        <v>0</v>
      </c>
      <c r="Y26" s="123" t="n">
        <f aca="false">IF(AE26&gt;=8,ROUNDDOWN(W27*$M$4,-1),0)</f>
        <v>0</v>
      </c>
      <c r="Z26" s="123" t="n">
        <f aca="false">IFERROR(IF(AND(COUNT(F26:U27)&gt;=8,$AG26&lt;60,W27&lt;=5530000),ROUNDDOWN(ROUNDDOWN(W27,-3)*4.5%,-1),IF(AND(COUNT(F26:U27)&gt;=8,AG26&lt;60,W27&gt;5530000),248850,0)),0)</f>
        <v>0</v>
      </c>
      <c r="AA26" s="145" t="n">
        <f aca="false">+X26+Y26+X27+Y27+Z26+Z27</f>
        <v>0</v>
      </c>
      <c r="AB26" s="146" t="n">
        <f aca="false">W27-AA26</f>
        <v>1050000</v>
      </c>
      <c r="AC26" s="165" t="str">
        <f aca="false">IF(ISERROR(VLOOKUP(C26,일용직명단!$A$3:$I$1226,5,FALSE())),0,VLOOKUP(C26,일용직명단!$A$3:$I$1226,5,FALSE()))</f>
        <v>농협</v>
      </c>
      <c r="AD26" s="166" t="str">
        <f aca="false">IF(ISERROR(VLOOKUP(C26,일용직명단!$A$3:$I$1226,6,FALSE())),0,VLOOKUP(C26,일용직명단!$A$3:$I$1226,6,FALSE()))</f>
        <v>김양수</v>
      </c>
      <c r="AE26" s="141" t="n">
        <f aca="false">COUNT(F26:U27)</f>
        <v>7</v>
      </c>
      <c r="AF26" s="169" t="str">
        <f aca="false">IF(OR(MID(D26,8,1)="1",MID(D26,8,1)="2"),19&amp;LEFT(D26,2),20&amp;LEFT(D26,2))&amp;"-"&amp;MID(D26,3,2)&amp;"-"&amp;MID(D26,5,2)</f>
        <v>1961-02-05</v>
      </c>
      <c r="AG26" s="169" t="n">
        <f aca="true">INT((TODAY()-AF26)/365.25)</f>
        <v>65</v>
      </c>
      <c r="AH26" s="130" t="n">
        <f aca="false">ROUNDDOWN(SUM(AI26:AX27),-1)</f>
        <v>0</v>
      </c>
      <c r="AI26" s="130" t="n">
        <f aca="false">IF($W26*F26&gt;150000,($W26*F26-150000)*6%*45%,0)</f>
        <v>0</v>
      </c>
      <c r="AJ26" s="130" t="n">
        <f aca="false">IF($W26*G26&gt;150000,($W26*G26-150000)*6%*45%,0)</f>
        <v>0</v>
      </c>
      <c r="AK26" s="130" t="n">
        <f aca="false">IF($W26*H26&gt;150000,($W26*H26-150000)*6%*45%,0)</f>
        <v>0</v>
      </c>
      <c r="AL26" s="130" t="n">
        <f aca="false">IF($W26*I26&gt;150000,($W26*I26-150000)*6%*45%,0)</f>
        <v>0</v>
      </c>
      <c r="AM26" s="130" t="n">
        <f aca="false">IF($W26*J26&gt;150000,($W26*J26-150000)*6%*45%,0)</f>
        <v>0</v>
      </c>
      <c r="AN26" s="130" t="n">
        <f aca="false">IF($W26*K26&gt;150000,($W26*K26-150000)*6%*45%,0)</f>
        <v>0</v>
      </c>
      <c r="AO26" s="130" t="n">
        <f aca="false">IF($W26*L26&gt;150000,($W26*L26-150000)*6%*45%,0)</f>
        <v>0</v>
      </c>
      <c r="AP26" s="130" t="n">
        <f aca="false">IF($W26*M26&gt;150000,($W26*M26-150000)*6%*45%,0)</f>
        <v>0</v>
      </c>
      <c r="AQ26" s="130" t="n">
        <f aca="false">IF($W26*N26&gt;150000,($W26*N26-150000)*6%*45%,0)</f>
        <v>0</v>
      </c>
      <c r="AR26" s="130" t="n">
        <f aca="false">IF($W26*O26&gt;150000,($W26*O26-150000)*6%*45%,0)</f>
        <v>0</v>
      </c>
      <c r="AS26" s="130" t="n">
        <f aca="false">IF($W26*P26&gt;150000,($W26*P26-150000)*6%*45%,0)</f>
        <v>0</v>
      </c>
      <c r="AT26" s="130" t="n">
        <f aca="false">IF($W26*Q26&gt;150000,($W26*Q26-150000)*6%*45%,0)</f>
        <v>0</v>
      </c>
      <c r="AU26" s="130" t="n">
        <f aca="false">IF($W26*R26&gt;150000,($W26*R26-150000)*6%*45%,0)</f>
        <v>0</v>
      </c>
      <c r="AV26" s="130" t="n">
        <f aca="false">IF($W26*S26&gt;150000,($W26*S26-150000)*6%*45%,0)</f>
        <v>0</v>
      </c>
      <c r="AW26" s="130" t="n">
        <f aca="false">IF($W26*T26&gt;150000,($W26*T26-150000)*6%*45%,0)</f>
        <v>0</v>
      </c>
      <c r="AX26" s="130"/>
      <c r="AY26" s="131" t="str">
        <f aca="false">IF(ISERROR(VLOOKUP(C26,[26]일용직명단!$A$3:$M$1151,11,FALSE())),0,VLOOKUP(C26,[26]일용직명단!$A$3:$M$1151,11,FALSE()))</f>
        <v>29141</v>
      </c>
      <c r="AZ26" s="11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</row>
    <row r="27" customFormat="false" ht="12.6" hidden="false" customHeight="true" outlineLevel="0" collapsed="false">
      <c r="A27" s="108"/>
      <c r="B27" s="142"/>
      <c r="C27" s="143"/>
      <c r="D27" s="111"/>
      <c r="E27" s="140" t="str">
        <f aca="false">IF(ISERROR(VLOOKUP(C26,일용직명단!$A$3:$K$1246,9,FALSE())),0,VLOOKUP(C26,일용직명단!$A$3:$K$1246,9,FALSE()))</f>
        <v>010-4034-9739</v>
      </c>
      <c r="F27" s="132" t="n">
        <v>1</v>
      </c>
      <c r="G27" s="133" t="n">
        <v>1</v>
      </c>
      <c r="H27" s="134"/>
      <c r="I27" s="114"/>
      <c r="J27" s="115"/>
      <c r="K27" s="114"/>
      <c r="L27" s="113"/>
      <c r="M27" s="135"/>
      <c r="N27" s="136"/>
      <c r="O27" s="137"/>
      <c r="P27" s="136"/>
      <c r="Q27" s="114"/>
      <c r="R27" s="113"/>
      <c r="S27" s="113"/>
      <c r="T27" s="113"/>
      <c r="U27" s="115"/>
      <c r="V27" s="168"/>
      <c r="W27" s="138" t="n">
        <f aca="false">W26*V26</f>
        <v>1050000</v>
      </c>
      <c r="X27" s="123" t="n">
        <f aca="false">IF(AH26&lt;1000,0,AH26)</f>
        <v>0</v>
      </c>
      <c r="Y27" s="123" t="n">
        <f aca="false">ROUNDDOWN(X27*10%,-1)</f>
        <v>0</v>
      </c>
      <c r="Z27" s="123" t="n">
        <f aca="false">IF(AE26&gt;=8,ROUNDDOWN(Y26*$Q$4,-1),0)</f>
        <v>0</v>
      </c>
      <c r="AA27" s="145"/>
      <c r="AB27" s="146"/>
      <c r="AC27" s="166" t="str">
        <f aca="false">IF(ISERROR(VLOOKUP(C26,일용직명단!$A$3:$I$1226,7,FALSE())),0,VLOOKUP(C26,일용직명단!$A$3:$I$1226,7,FALSE()))</f>
        <v>356-1603-8569-73</v>
      </c>
      <c r="AD27" s="166"/>
      <c r="AE27" s="141"/>
      <c r="AF27" s="169"/>
      <c r="AG27" s="169"/>
      <c r="AH27" s="130"/>
      <c r="AI27" s="130" t="n">
        <f aca="false">IF($W26*F27&gt;150000,($W26*F27-150000)*6%*45%,0)</f>
        <v>0</v>
      </c>
      <c r="AJ27" s="130" t="n">
        <f aca="false">IF($W26*G27&gt;150000,($W26*G27-150000)*6%*45%,0)</f>
        <v>0</v>
      </c>
      <c r="AK27" s="130" t="n">
        <f aca="false">IF($W26*H27&gt;150000,($W26*H27-150000)*6%*45%,0)</f>
        <v>0</v>
      </c>
      <c r="AL27" s="130" t="n">
        <f aca="false">IF($W26*I27&gt;150000,($W26*I27-150000)*6%*45%,0)</f>
        <v>0</v>
      </c>
      <c r="AM27" s="130" t="n">
        <f aca="false">IF($W26*J27&gt;150000,($W26*J27-150000)*6%*45%,0)</f>
        <v>0</v>
      </c>
      <c r="AN27" s="130" t="n">
        <f aca="false">IF($W26*K27&gt;150000,($W26*K27-150000)*6%*45%,0)</f>
        <v>0</v>
      </c>
      <c r="AO27" s="130" t="n">
        <f aca="false">IF($W26*L27&gt;150000,($W26*L27-150000)*6%*45%,0)</f>
        <v>0</v>
      </c>
      <c r="AP27" s="130" t="n">
        <f aca="false">IF($W26*M27&gt;150000,($W26*M27-150000)*6%*45%,0)</f>
        <v>0</v>
      </c>
      <c r="AQ27" s="130" t="n">
        <f aca="false">IF($W26*N27&gt;150000,($W26*N27-150000)*6%*45%,0)</f>
        <v>0</v>
      </c>
      <c r="AR27" s="130" t="n">
        <f aca="false">IF($W26*O27&gt;150000,($W26*O27-150000)*6%*45%,0)</f>
        <v>0</v>
      </c>
      <c r="AS27" s="130" t="n">
        <f aca="false">IF($W26*P27&gt;150000,($W26*P27-150000)*6%*45%,0)</f>
        <v>0</v>
      </c>
      <c r="AT27" s="130" t="n">
        <f aca="false">IF($W26*Q27&gt;150000,($W26*Q27-150000)*6%*45%,0)</f>
        <v>0</v>
      </c>
      <c r="AU27" s="130" t="n">
        <f aca="false">IF($W26*R27&gt;150000,($W26*R27-150000)*6%*45%,0)</f>
        <v>0</v>
      </c>
      <c r="AV27" s="130" t="n">
        <f aca="false">IF($W26*S27&gt;150000,($W26*S27-150000)*6%*45%,0)</f>
        <v>0</v>
      </c>
      <c r="AW27" s="130" t="n">
        <f aca="false">IF($W26*T27&gt;150000,($W26*T27-150000)*6%*45%,0)</f>
        <v>0</v>
      </c>
      <c r="AX27" s="130" t="n">
        <f aca="false">IF($W26*U27&gt;150000,($W26*U27-150000)*6%*45%,0)</f>
        <v>0</v>
      </c>
      <c r="AY27" s="131"/>
      <c r="AZ27" s="11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</row>
    <row r="28" customFormat="false" ht="12.6" hidden="false" customHeight="true" outlineLevel="0" collapsed="false">
      <c r="A28" s="108" t="n">
        <f aca="false">A26+1</f>
        <v>10</v>
      </c>
      <c r="B28" s="142"/>
      <c r="C28" s="110" t="s">
        <v>62</v>
      </c>
      <c r="D28" s="111" t="str">
        <f aca="false">IF(ISERROR(VLOOKUP(C28,일용직명단!$A$3:$K$1246,3,FALSE())),0,VLOOKUP(C28,일용직명단!$A$3:$K$1246,3,FALSE()))</f>
        <v>611022-1386119</v>
      </c>
      <c r="E28" s="140" t="str">
        <f aca="false">IF(ISERROR(VLOOKUP(C28,일용직명단!$A$3:$K$1246,4,FALSE())),0,VLOOKUP(C28,일용직명단!$A$3:$K$1246,4,FALSE()))</f>
        <v>충북 영동군 영동읍 영동황간로 27, 801호(금강타운)</v>
      </c>
      <c r="F28" s="113"/>
      <c r="G28" s="114"/>
      <c r="H28" s="115"/>
      <c r="I28" s="115"/>
      <c r="J28" s="113"/>
      <c r="K28" s="115"/>
      <c r="L28" s="113"/>
      <c r="M28" s="113"/>
      <c r="N28" s="114"/>
      <c r="O28" s="116" t="n">
        <v>1</v>
      </c>
      <c r="P28" s="117" t="n">
        <v>1</v>
      </c>
      <c r="Q28" s="114"/>
      <c r="R28" s="118" t="n">
        <v>1</v>
      </c>
      <c r="S28" s="116" t="n">
        <v>1</v>
      </c>
      <c r="T28" s="118" t="n">
        <v>1</v>
      </c>
      <c r="U28" s="119"/>
      <c r="V28" s="168" t="n">
        <f aca="false">SUM(F28:U29)</f>
        <v>7</v>
      </c>
      <c r="W28" s="121" t="n">
        <f aca="false">IF(ISERROR(VLOOKUP(C28,일용직명단!$A$3:$K$1246,8,FALSE())),0,VLOOKUP(C28,일용직명단!$A$3:$K$1246,8,FALSE()))</f>
        <v>150000</v>
      </c>
      <c r="X28" s="123" t="n">
        <f aca="false">IFERROR(IF(AG28&gt;=65,0,ROUNDDOWN(W29*$Z$4,-1)),0)</f>
        <v>9450</v>
      </c>
      <c r="Y28" s="123" t="n">
        <f aca="false">IF(AE28&gt;=8,ROUNDDOWN(W29*$M$4,-1),0)</f>
        <v>0</v>
      </c>
      <c r="Z28" s="123" t="n">
        <f aca="false">IFERROR(IF(AND(COUNT(F28:U29)&gt;=8,$AG28&lt;60,W29&lt;=5530000),ROUNDDOWN(ROUNDDOWN(W29,-3)*4.5%,-1),IF(AND(COUNT(F28:U29)&gt;=8,AG28&lt;60,W29&gt;5530000),248850,0)),0)</f>
        <v>0</v>
      </c>
      <c r="AA28" s="145" t="n">
        <f aca="false">+X28+Y28+X29+Y29+Z28+Z29</f>
        <v>9450</v>
      </c>
      <c r="AB28" s="146" t="n">
        <f aca="false">W29-AA28</f>
        <v>1040550</v>
      </c>
      <c r="AC28" s="165" t="str">
        <f aca="false">IF(ISERROR(VLOOKUP(C28,일용직명단!$A$3:$I$1226,5,FALSE())),0,VLOOKUP(C28,일용직명단!$A$3:$I$1226,5,FALSE()))</f>
        <v>농협</v>
      </c>
      <c r="AD28" s="166" t="str">
        <f aca="false">IF(ISERROR(VLOOKUP(C28,일용직명단!$A$3:$I$1226,6,FALSE())),0,VLOOKUP(C28,일용직명단!$A$3:$I$1226,6,FALSE()))</f>
        <v>장영석</v>
      </c>
      <c r="AE28" s="141" t="n">
        <f aca="false">COUNT(F28:U29)</f>
        <v>7</v>
      </c>
      <c r="AF28" s="169" t="str">
        <f aca="false">IF(OR(MID(D28,8,1)="1",MID(D28,8,1)="2"),19&amp;LEFT(D28,2),20&amp;LEFT(D28,2))&amp;"-"&amp;MID(D28,3,2)&amp;"-"&amp;MID(D28,5,2)</f>
        <v>1961-10-22</v>
      </c>
      <c r="AG28" s="169" t="n">
        <f aca="true">INT((TODAY()-AF28)/365.25)</f>
        <v>64</v>
      </c>
      <c r="AH28" s="130" t="n">
        <f aca="false">ROUNDDOWN(SUM(AI28:AX29),-1)</f>
        <v>0</v>
      </c>
      <c r="AI28" s="130" t="n">
        <f aca="false">IF($W28*F28&gt;150000,($W28*F28-150000)*6%*45%,0)</f>
        <v>0</v>
      </c>
      <c r="AJ28" s="130" t="n">
        <f aca="false">IF($W28*G28&gt;150000,($W28*G28-150000)*6%*45%,0)</f>
        <v>0</v>
      </c>
      <c r="AK28" s="130" t="n">
        <f aca="false">IF($W28*H28&gt;150000,($W28*H28-150000)*6%*45%,0)</f>
        <v>0</v>
      </c>
      <c r="AL28" s="130" t="n">
        <f aca="false">IF($W28*I28&gt;150000,($W28*I28-150000)*6%*45%,0)</f>
        <v>0</v>
      </c>
      <c r="AM28" s="130" t="n">
        <f aca="false">IF($W28*J28&gt;150000,($W28*J28-150000)*6%*45%,0)</f>
        <v>0</v>
      </c>
      <c r="AN28" s="130" t="n">
        <f aca="false">IF($W28*K28&gt;150000,($W28*K28-150000)*6%*45%,0)</f>
        <v>0</v>
      </c>
      <c r="AO28" s="130" t="n">
        <f aca="false">IF($W28*L28&gt;150000,($W28*L28-150000)*6%*45%,0)</f>
        <v>0</v>
      </c>
      <c r="AP28" s="130" t="n">
        <f aca="false">IF($W28*M28&gt;150000,($W28*M28-150000)*6%*45%,0)</f>
        <v>0</v>
      </c>
      <c r="AQ28" s="130" t="n">
        <f aca="false">IF($W28*N28&gt;150000,($W28*N28-150000)*6%*45%,0)</f>
        <v>0</v>
      </c>
      <c r="AR28" s="130" t="n">
        <f aca="false">IF($W28*O28&gt;150000,($W28*O28-150000)*6%*45%,0)</f>
        <v>0</v>
      </c>
      <c r="AS28" s="130" t="n">
        <f aca="false">IF($W28*P28&gt;150000,($W28*P28-150000)*6%*45%,0)</f>
        <v>0</v>
      </c>
      <c r="AT28" s="130" t="n">
        <f aca="false">IF($W28*Q28&gt;150000,($W28*Q28-150000)*6%*45%,0)</f>
        <v>0</v>
      </c>
      <c r="AU28" s="130" t="n">
        <f aca="false">IF($W28*R28&gt;150000,($W28*R28-150000)*6%*45%,0)</f>
        <v>0</v>
      </c>
      <c r="AV28" s="130" t="n">
        <f aca="false">IF($W28*S28&gt;150000,($W28*S28-150000)*6%*45%,0)</f>
        <v>0</v>
      </c>
      <c r="AW28" s="130" t="n">
        <f aca="false">IF($W28*T28&gt;150000,($W28*T28-150000)*6%*45%,0)</f>
        <v>0</v>
      </c>
      <c r="AX28" s="130"/>
      <c r="AY28" s="131" t="n">
        <f aca="false">IF(ISERROR(VLOOKUP(C28,[26]일용직명단!$A$3:$M$1151,11,FALSE())),0,VLOOKUP(C28,[26]일용직명단!$A$3:$M$1151,11,FALSE()))</f>
        <v>0</v>
      </c>
      <c r="AZ28" s="11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</row>
    <row r="29" customFormat="false" ht="12.6" hidden="false" customHeight="true" outlineLevel="0" collapsed="false">
      <c r="A29" s="108"/>
      <c r="B29" s="142"/>
      <c r="C29" s="110"/>
      <c r="D29" s="111"/>
      <c r="E29" s="140" t="str">
        <f aca="false">IF(ISERROR(VLOOKUP(C28,일용직명단!$A$3:$K$1246,9,FALSE())),0,VLOOKUP(C28,일용직명단!$A$3:$K$1246,9,FALSE()))</f>
        <v>010-4021-4009</v>
      </c>
      <c r="F29" s="132" t="n">
        <v>1</v>
      </c>
      <c r="G29" s="133" t="n">
        <v>1</v>
      </c>
      <c r="H29" s="134"/>
      <c r="I29" s="152"/>
      <c r="J29" s="154"/>
      <c r="K29" s="152"/>
      <c r="L29" s="153"/>
      <c r="M29" s="170"/>
      <c r="N29" s="171"/>
      <c r="O29" s="172"/>
      <c r="P29" s="171"/>
      <c r="Q29" s="152"/>
      <c r="R29" s="153"/>
      <c r="S29" s="153"/>
      <c r="T29" s="153"/>
      <c r="U29" s="154"/>
      <c r="V29" s="168"/>
      <c r="W29" s="138" t="n">
        <f aca="false">W28*V28</f>
        <v>1050000</v>
      </c>
      <c r="X29" s="123" t="n">
        <f aca="false">IF(AH28&lt;1000,0,AH28)</f>
        <v>0</v>
      </c>
      <c r="Y29" s="123" t="n">
        <f aca="false">ROUNDDOWN(X29*10%,-1)</f>
        <v>0</v>
      </c>
      <c r="Z29" s="123" t="n">
        <f aca="false">IF(AE28&gt;=8,ROUNDDOWN(Y28*$Q$4,-1),0)</f>
        <v>0</v>
      </c>
      <c r="AA29" s="145"/>
      <c r="AB29" s="146"/>
      <c r="AC29" s="166" t="str">
        <f aca="false">IF(ISERROR(VLOOKUP(C28,일용직명단!$A$3:$I$1226,7,FALSE())),0,VLOOKUP(C28,일용직명단!$A$3:$I$1226,7,FALSE()))</f>
        <v>356-1027-4314-93</v>
      </c>
      <c r="AD29" s="166"/>
      <c r="AE29" s="141"/>
      <c r="AF29" s="169"/>
      <c r="AG29" s="169"/>
      <c r="AH29" s="130"/>
      <c r="AI29" s="130" t="n">
        <f aca="false">IF($W28*F29&gt;150000,($W28*F29-150000)*6%*45%,0)</f>
        <v>0</v>
      </c>
      <c r="AJ29" s="130" t="n">
        <f aca="false">IF($W28*G29&gt;150000,($W28*G29-150000)*6%*45%,0)</f>
        <v>0</v>
      </c>
      <c r="AK29" s="130" t="n">
        <f aca="false">IF($W28*H29&gt;150000,($W28*H29-150000)*6%*45%,0)</f>
        <v>0</v>
      </c>
      <c r="AL29" s="130" t="n">
        <f aca="false">IF($W28*I29&gt;150000,($W28*I29-150000)*6%*45%,0)</f>
        <v>0</v>
      </c>
      <c r="AM29" s="130" t="n">
        <f aca="false">IF($W28*J29&gt;150000,($W28*J29-150000)*6%*45%,0)</f>
        <v>0</v>
      </c>
      <c r="AN29" s="130" t="n">
        <f aca="false">IF($W28*K29&gt;150000,($W28*K29-150000)*6%*45%,0)</f>
        <v>0</v>
      </c>
      <c r="AO29" s="130" t="n">
        <f aca="false">IF($W28*L29&gt;150000,($W28*L29-150000)*6%*45%,0)</f>
        <v>0</v>
      </c>
      <c r="AP29" s="130" t="n">
        <f aca="false">IF($W28*M29&gt;150000,($W28*M29-150000)*6%*45%,0)</f>
        <v>0</v>
      </c>
      <c r="AQ29" s="130" t="n">
        <f aca="false">IF($W28*N29&gt;150000,($W28*N29-150000)*6%*45%,0)</f>
        <v>0</v>
      </c>
      <c r="AR29" s="130" t="n">
        <f aca="false">IF($W28*O29&gt;150000,($W28*O29-150000)*6%*45%,0)</f>
        <v>0</v>
      </c>
      <c r="AS29" s="130" t="n">
        <f aca="false">IF($W28*P29&gt;150000,($W28*P29-150000)*6%*45%,0)</f>
        <v>0</v>
      </c>
      <c r="AT29" s="130" t="n">
        <f aca="false">IF($W28*Q29&gt;150000,($W28*Q29-150000)*6%*45%,0)</f>
        <v>0</v>
      </c>
      <c r="AU29" s="130" t="n">
        <f aca="false">IF($W28*R29&gt;150000,($W28*R29-150000)*6%*45%,0)</f>
        <v>0</v>
      </c>
      <c r="AV29" s="130" t="n">
        <f aca="false">IF($W28*S29&gt;150000,($W28*S29-150000)*6%*45%,0)</f>
        <v>0</v>
      </c>
      <c r="AW29" s="130" t="n">
        <f aca="false">IF($W28*T29&gt;150000,($W28*T29-150000)*6%*45%,0)</f>
        <v>0</v>
      </c>
      <c r="AX29" s="130" t="n">
        <f aca="false">IF($W28*U29&gt;150000,($W28*U29-150000)*6%*45%,0)</f>
        <v>0</v>
      </c>
      <c r="AY29" s="131"/>
      <c r="AZ29" s="11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</row>
    <row r="30" customFormat="false" ht="12.6" hidden="false" customHeight="true" outlineLevel="0" collapsed="false">
      <c r="A30" s="108" t="n">
        <f aca="false">A28+1</f>
        <v>11</v>
      </c>
      <c r="B30" s="142" t="n">
        <f aca="false">IF(ISERROR(VLOOKUP(C30,일용직명단!$A$3:$I$104,2,FALSE())),0,VLOOKUP(C30,일용직명단!$A$3:$I$104,2,FALSE()))</f>
        <v>0</v>
      </c>
      <c r="C30" s="143" t="s">
        <v>63</v>
      </c>
      <c r="D30" s="111" t="str">
        <f aca="false">IF(ISERROR(VLOOKUP(C30,일용직명단!$A$3:$K$1246,3,FALSE())),0,VLOOKUP(C30,일용직명단!$A$3:$K$1246,3,FALSE()))</f>
        <v>630605-1182813</v>
      </c>
      <c r="E30" s="164" t="str">
        <f aca="false">IF(ISERROR(VLOOKUP(C30,일용직명단!$A$3:$K$1246,4,FALSE())),0,VLOOKUP(C30,일용직명단!$A$3:$K$1246,4,FALSE()))</f>
        <v>인천광역시 남동구 인주대로 857, 102동 105호(만수동,삼환아파트)</v>
      </c>
      <c r="F30" s="113"/>
      <c r="G30" s="114"/>
      <c r="H30" s="115"/>
      <c r="I30" s="115"/>
      <c r="J30" s="113"/>
      <c r="K30" s="115"/>
      <c r="L30" s="113"/>
      <c r="M30" s="113"/>
      <c r="N30" s="114"/>
      <c r="O30" s="116" t="n">
        <v>1</v>
      </c>
      <c r="P30" s="117" t="n">
        <v>1</v>
      </c>
      <c r="Q30" s="114"/>
      <c r="R30" s="118" t="n">
        <v>1</v>
      </c>
      <c r="S30" s="116" t="n">
        <v>1</v>
      </c>
      <c r="T30" s="118" t="n">
        <v>1</v>
      </c>
      <c r="U30" s="119"/>
      <c r="V30" s="144" t="n">
        <f aca="false">SUM(F30:U31)</f>
        <v>7</v>
      </c>
      <c r="W30" s="121" t="n">
        <f aca="false">IF(ISERROR(VLOOKUP(C30,일용직명단!$A$3:$K$1246,8,FALSE())),0,VLOOKUP(C30,일용직명단!$A$3:$K$1246,8,FALSE()))</f>
        <v>150000</v>
      </c>
      <c r="X30" s="123" t="n">
        <f aca="false">IFERROR(IF(AG30&gt;=65,0,ROUNDDOWN(W31*$Z$4,-1)),0)</f>
        <v>9450</v>
      </c>
      <c r="Y30" s="123" t="n">
        <f aca="false">IF(AE30&gt;=8,ROUNDDOWN(W31*$M$4,-1),0)</f>
        <v>0</v>
      </c>
      <c r="Z30" s="123" t="n">
        <f aca="false">IFERROR(IF(AND(COUNT(F30:U31)&gt;=8,$AG30&lt;60,W31&lt;=5530000),ROUNDDOWN(ROUNDDOWN(W31,-3)*4.5%,-1),IF(AND(COUNT(F30:U31)&gt;=8,AG30&lt;60,W31&gt;5530000),248850,0)),0)</f>
        <v>0</v>
      </c>
      <c r="AA30" s="145" t="n">
        <f aca="false">+X30+Y30+X31+Y31+Z30+Z31</f>
        <v>9450</v>
      </c>
      <c r="AB30" s="146" t="n">
        <f aca="false">W31-AA30</f>
        <v>1040550</v>
      </c>
      <c r="AC30" s="165" t="str">
        <f aca="false">IF(ISERROR(VLOOKUP(C30,일용직명단!$A$3:$I$1226,5,FALSE())),0,VLOOKUP(C30,일용직명단!$A$3:$I$1226,5,FALSE()))</f>
        <v>새마을</v>
      </c>
      <c r="AD30" s="166" t="str">
        <f aca="false">IF(ISERROR(VLOOKUP(C30,일용직명단!$A$3:$I$1226,6,FALSE())),0,VLOOKUP(C30,일용직명단!$A$3:$I$1226,6,FALSE()))</f>
        <v>박봉열</v>
      </c>
      <c r="AE30" s="128" t="n">
        <f aca="false">COUNT(F30:U31)</f>
        <v>7</v>
      </c>
      <c r="AF30" s="129" t="str">
        <f aca="false">IF(OR(MID(D30,8,1)="1",MID(D30,8,1)="2"),19&amp;LEFT(D30,2),20&amp;LEFT(D30,2))&amp;"-"&amp;MID(D30,3,2)&amp;"-"&amp;MID(D30,5,2)</f>
        <v>1963-06-05</v>
      </c>
      <c r="AG30" s="129" t="n">
        <f aca="true">INT((TODAY()-AF30)/365.25)</f>
        <v>62</v>
      </c>
      <c r="AH30" s="130" t="n">
        <f aca="false">ROUNDDOWN(SUM(AI30:AX31),-1)</f>
        <v>0</v>
      </c>
      <c r="AI30" s="130" t="n">
        <f aca="false">IF($W30*F30&gt;150000,($W30*F30-150000)*6%*45%,0)</f>
        <v>0</v>
      </c>
      <c r="AJ30" s="130" t="n">
        <f aca="false">IF($W30*G30&gt;150000,($W30*G30-150000)*6%*45%,0)</f>
        <v>0</v>
      </c>
      <c r="AK30" s="130" t="n">
        <f aca="false">IF($W30*H30&gt;150000,($W30*H30-150000)*6%*45%,0)</f>
        <v>0</v>
      </c>
      <c r="AL30" s="130" t="n">
        <f aca="false">IF($W30*I30&gt;150000,($W30*I30-150000)*6%*45%,0)</f>
        <v>0</v>
      </c>
      <c r="AM30" s="130" t="n">
        <f aca="false">IF($W30*J30&gt;150000,($W30*J30-150000)*6%*45%,0)</f>
        <v>0</v>
      </c>
      <c r="AN30" s="130" t="n">
        <f aca="false">IF($W30*K30&gt;150000,($W30*K30-150000)*6%*45%,0)</f>
        <v>0</v>
      </c>
      <c r="AO30" s="130" t="n">
        <f aca="false">IF($W30*L30&gt;150000,($W30*L30-150000)*6%*45%,0)</f>
        <v>0</v>
      </c>
      <c r="AP30" s="130" t="n">
        <f aca="false">IF($W30*M30&gt;150000,($W30*M30-150000)*6%*45%,0)</f>
        <v>0</v>
      </c>
      <c r="AQ30" s="130" t="n">
        <f aca="false">IF($W30*N30&gt;150000,($W30*N30-150000)*6%*45%,0)</f>
        <v>0</v>
      </c>
      <c r="AR30" s="130" t="n">
        <f aca="false">IF($W30*O30&gt;150000,($W30*O30-150000)*6%*45%,0)</f>
        <v>0</v>
      </c>
      <c r="AS30" s="130" t="n">
        <f aca="false">IF($W30*P30&gt;150000,($W30*P30-150000)*6%*45%,0)</f>
        <v>0</v>
      </c>
      <c r="AT30" s="130" t="n">
        <f aca="false">IF($W30*Q30&gt;150000,($W30*Q30-150000)*6%*45%,0)</f>
        <v>0</v>
      </c>
      <c r="AU30" s="130" t="n">
        <f aca="false">IF($W30*R30&gt;150000,($W30*R30-150000)*6%*45%,0)</f>
        <v>0</v>
      </c>
      <c r="AV30" s="130" t="n">
        <f aca="false">IF($W30*S30&gt;150000,($W30*S30-150000)*6%*45%,0)</f>
        <v>0</v>
      </c>
      <c r="AW30" s="130" t="n">
        <f aca="false">IF($W30*T30&gt;150000,($W30*T30-150000)*6%*45%,0)</f>
        <v>0</v>
      </c>
      <c r="AX30" s="130"/>
      <c r="AY30" s="131" t="n">
        <f aca="false">IF(ISERROR(VLOOKUP(C30,[26]일용직명단!$A$3:$M$1151,11,FALSE())),0,VLOOKUP(C30,[26]일용직명단!$A$3:$M$1151,11,FALSE()))</f>
        <v>0</v>
      </c>
      <c r="AZ30" s="11"/>
      <c r="BA30" s="167"/>
      <c r="BB30" s="167"/>
      <c r="BC30" s="167"/>
      <c r="BD30" s="167"/>
      <c r="BE30" s="167"/>
      <c r="BF30" s="167"/>
      <c r="BG30" s="167"/>
      <c r="BH30" s="167"/>
      <c r="BI30" s="167"/>
      <c r="BJ30" s="167"/>
      <c r="BK30" s="167"/>
      <c r="BL30" s="167"/>
      <c r="BM30" s="167"/>
      <c r="BN30" s="167"/>
      <c r="BO30" s="167"/>
      <c r="BP30" s="167"/>
      <c r="BQ30" s="167"/>
      <c r="BR30" s="167"/>
      <c r="BS30" s="167"/>
      <c r="BT30" s="167"/>
      <c r="BU30" s="167"/>
      <c r="BV30" s="167"/>
      <c r="BW30" s="167"/>
      <c r="BX30" s="167"/>
      <c r="BY30" s="167"/>
      <c r="BZ30" s="167"/>
      <c r="CA30" s="167"/>
      <c r="CB30" s="167"/>
      <c r="CC30" s="167"/>
      <c r="CD30" s="167"/>
      <c r="CE30" s="167"/>
      <c r="CF30" s="167"/>
      <c r="CG30" s="167"/>
      <c r="CH30" s="167"/>
      <c r="CI30" s="167"/>
      <c r="CJ30" s="167"/>
      <c r="CK30" s="167"/>
      <c r="CL30" s="167"/>
      <c r="CM30" s="167"/>
      <c r="CN30" s="167"/>
      <c r="CO30" s="167"/>
      <c r="CP30" s="167"/>
      <c r="CQ30" s="167"/>
      <c r="CR30" s="167"/>
      <c r="CS30" s="167"/>
      <c r="CT30" s="167"/>
      <c r="CU30" s="167"/>
      <c r="CV30" s="167"/>
      <c r="CW30" s="167"/>
      <c r="CX30" s="167"/>
      <c r="CY30" s="167"/>
      <c r="CZ30" s="167"/>
      <c r="DA30" s="167"/>
      <c r="DB30" s="167"/>
      <c r="DC30" s="167"/>
      <c r="DD30" s="167"/>
      <c r="DE30" s="167"/>
      <c r="DF30" s="167"/>
      <c r="DG30" s="167"/>
      <c r="DH30" s="167"/>
      <c r="DI30" s="167"/>
      <c r="DJ30" s="167"/>
      <c r="DK30" s="167"/>
      <c r="DL30" s="167"/>
      <c r="DM30" s="167"/>
      <c r="DN30" s="167"/>
      <c r="DO30" s="167"/>
      <c r="DP30" s="167"/>
      <c r="DQ30" s="167"/>
      <c r="DR30" s="167"/>
      <c r="DS30" s="167"/>
      <c r="DT30" s="167"/>
      <c r="DU30" s="167"/>
      <c r="DV30" s="167"/>
      <c r="DW30" s="167"/>
      <c r="DX30" s="167"/>
      <c r="DY30" s="167"/>
      <c r="DZ30" s="167"/>
      <c r="EA30" s="167"/>
      <c r="EB30" s="167"/>
      <c r="EC30" s="167"/>
      <c r="ED30" s="167"/>
      <c r="EE30" s="167"/>
      <c r="EF30" s="167"/>
      <c r="EG30" s="167"/>
      <c r="EH30" s="167"/>
      <c r="EI30" s="167"/>
      <c r="EJ30" s="167"/>
      <c r="EK30" s="167"/>
      <c r="EL30" s="167"/>
      <c r="EM30" s="167"/>
      <c r="EN30" s="167"/>
      <c r="EO30" s="167"/>
      <c r="EP30" s="167"/>
      <c r="EQ30" s="167"/>
      <c r="ER30" s="167"/>
      <c r="ES30" s="167"/>
      <c r="ET30" s="167"/>
      <c r="EU30" s="167"/>
      <c r="EV30" s="167"/>
      <c r="EW30" s="167"/>
      <c r="EX30" s="167"/>
      <c r="EY30" s="167"/>
      <c r="EZ30" s="167"/>
      <c r="FA30" s="167"/>
      <c r="FB30" s="167"/>
      <c r="FC30" s="167"/>
      <c r="FD30" s="167"/>
      <c r="FE30" s="167"/>
      <c r="FF30" s="167"/>
      <c r="FG30" s="167"/>
      <c r="FH30" s="167"/>
      <c r="FI30" s="167"/>
      <c r="FJ30" s="167"/>
      <c r="FK30" s="167"/>
      <c r="FL30" s="167"/>
      <c r="FM30" s="167"/>
      <c r="FN30" s="167"/>
      <c r="FO30" s="167"/>
      <c r="FP30" s="167"/>
      <c r="FQ30" s="167"/>
      <c r="FR30" s="167"/>
      <c r="FS30" s="167"/>
      <c r="FT30" s="167"/>
      <c r="FU30" s="167"/>
      <c r="FV30" s="167"/>
      <c r="FW30" s="167"/>
      <c r="FX30" s="167"/>
      <c r="FY30" s="167"/>
      <c r="FZ30" s="167"/>
      <c r="GA30" s="167"/>
      <c r="GB30" s="167"/>
      <c r="GC30" s="167"/>
      <c r="GD30" s="167"/>
      <c r="GE30" s="167"/>
      <c r="GF30" s="167"/>
      <c r="GG30" s="167"/>
      <c r="GH30" s="167"/>
      <c r="GI30" s="167"/>
      <c r="GJ30" s="167"/>
      <c r="GK30" s="167"/>
      <c r="GL30" s="167"/>
      <c r="GM30" s="167"/>
      <c r="GN30" s="167"/>
      <c r="GO30" s="167"/>
      <c r="GP30" s="167"/>
      <c r="GQ30" s="167"/>
      <c r="GR30" s="167"/>
      <c r="GS30" s="167"/>
      <c r="GT30" s="167"/>
      <c r="GU30" s="167"/>
      <c r="GV30" s="167"/>
      <c r="GW30" s="167"/>
      <c r="GX30" s="167"/>
      <c r="GY30" s="167"/>
      <c r="GZ30" s="167"/>
      <c r="HA30" s="167"/>
      <c r="HB30" s="167"/>
      <c r="HC30" s="167"/>
      <c r="HD30" s="167"/>
      <c r="HE30" s="167"/>
      <c r="HF30" s="167"/>
      <c r="HG30" s="167"/>
      <c r="HH30" s="167"/>
      <c r="HI30" s="167"/>
      <c r="HJ30" s="167"/>
      <c r="HK30" s="167"/>
      <c r="HL30" s="167"/>
      <c r="HM30" s="167"/>
      <c r="HN30" s="167"/>
      <c r="HO30" s="167"/>
      <c r="HP30" s="167"/>
      <c r="HQ30" s="167"/>
      <c r="HR30" s="167"/>
      <c r="HS30" s="167"/>
      <c r="HT30" s="167"/>
      <c r="HU30" s="167"/>
      <c r="HV30" s="167"/>
      <c r="HW30" s="167"/>
      <c r="HX30" s="167"/>
      <c r="HY30" s="167"/>
      <c r="HZ30" s="167"/>
      <c r="IA30" s="167"/>
      <c r="IB30" s="167"/>
      <c r="IC30" s="167"/>
      <c r="ID30" s="167"/>
      <c r="IE30" s="167"/>
      <c r="IF30" s="167"/>
      <c r="IG30" s="167"/>
      <c r="IH30" s="167"/>
      <c r="II30" s="167"/>
      <c r="IJ30" s="167"/>
      <c r="IK30" s="167"/>
      <c r="IL30" s="167"/>
      <c r="IM30" s="167"/>
      <c r="IN30" s="167"/>
      <c r="IO30" s="167"/>
      <c r="IP30" s="167"/>
      <c r="IQ30" s="167"/>
      <c r="IR30" s="167"/>
      <c r="IS30" s="167"/>
      <c r="IT30" s="167"/>
      <c r="IU30" s="167"/>
      <c r="IV30" s="167"/>
      <c r="IW30" s="167"/>
    </row>
    <row r="31" customFormat="false" ht="12.6" hidden="false" customHeight="true" outlineLevel="0" collapsed="false">
      <c r="A31" s="108"/>
      <c r="B31" s="142"/>
      <c r="C31" s="143"/>
      <c r="D31" s="111"/>
      <c r="E31" s="164" t="n">
        <f aca="false">IF(ISERROR(VLOOKUP(C30,일용직명단!$A$3:$K$1246,9,FALSE())),0,VLOOKUP(C30,일용직명단!$A$3:$K$1246,9,FALSE()))</f>
        <v>0</v>
      </c>
      <c r="F31" s="132" t="n">
        <v>1</v>
      </c>
      <c r="G31" s="133" t="n">
        <v>1</v>
      </c>
      <c r="H31" s="134"/>
      <c r="I31" s="114"/>
      <c r="J31" s="115"/>
      <c r="K31" s="114"/>
      <c r="L31" s="113"/>
      <c r="M31" s="135"/>
      <c r="N31" s="136"/>
      <c r="O31" s="137"/>
      <c r="P31" s="136"/>
      <c r="Q31" s="114"/>
      <c r="R31" s="113"/>
      <c r="S31" s="113"/>
      <c r="T31" s="113"/>
      <c r="U31" s="115"/>
      <c r="V31" s="144"/>
      <c r="W31" s="138" t="n">
        <f aca="false">W30*V30</f>
        <v>1050000</v>
      </c>
      <c r="X31" s="123" t="n">
        <f aca="false">IF(AH30&lt;1000,0,AH30)</f>
        <v>0</v>
      </c>
      <c r="Y31" s="123" t="n">
        <f aca="false">ROUNDDOWN(X31*10%,-1)</f>
        <v>0</v>
      </c>
      <c r="Z31" s="123" t="n">
        <f aca="false">IF(AE30&gt;=8,ROUNDDOWN(Y30*$Q$4,-1),0)</f>
        <v>0</v>
      </c>
      <c r="AA31" s="145"/>
      <c r="AB31" s="146"/>
      <c r="AC31" s="166" t="str">
        <f aca="false">IF(ISERROR(VLOOKUP(C30,일용직명단!$A$3:$I$1226,7,FALSE())),0,VLOOKUP(C30,일용직명단!$A$3:$I$1226,7,FALSE()))</f>
        <v>2306-09-0087630-4</v>
      </c>
      <c r="AD31" s="166"/>
      <c r="AE31" s="128"/>
      <c r="AF31" s="129"/>
      <c r="AG31" s="129"/>
      <c r="AH31" s="130"/>
      <c r="AI31" s="130" t="n">
        <f aca="false">IF($W30*F31&gt;150000,($W30*F31-150000)*6%*45%,0)</f>
        <v>0</v>
      </c>
      <c r="AJ31" s="130" t="n">
        <f aca="false">IF($W30*G31&gt;150000,($W30*G31-150000)*6%*45%,0)</f>
        <v>0</v>
      </c>
      <c r="AK31" s="130" t="n">
        <f aca="false">IF($W30*H31&gt;150000,($W30*H31-150000)*6%*45%,0)</f>
        <v>0</v>
      </c>
      <c r="AL31" s="130" t="n">
        <f aca="false">IF($W30*I31&gt;150000,($W30*I31-150000)*6%*45%,0)</f>
        <v>0</v>
      </c>
      <c r="AM31" s="130" t="n">
        <f aca="false">IF($W30*J31&gt;150000,($W30*J31-150000)*6%*45%,0)</f>
        <v>0</v>
      </c>
      <c r="AN31" s="130" t="n">
        <f aca="false">IF($W30*K31&gt;150000,($W30*K31-150000)*6%*45%,0)</f>
        <v>0</v>
      </c>
      <c r="AO31" s="130" t="n">
        <f aca="false">IF($W30*L31&gt;150000,($W30*L31-150000)*6%*45%,0)</f>
        <v>0</v>
      </c>
      <c r="AP31" s="130" t="n">
        <f aca="false">IF($W30*M31&gt;150000,($W30*M31-150000)*6%*45%,0)</f>
        <v>0</v>
      </c>
      <c r="AQ31" s="130" t="n">
        <f aca="false">IF($W30*N31&gt;150000,($W30*N31-150000)*6%*45%,0)</f>
        <v>0</v>
      </c>
      <c r="AR31" s="130" t="n">
        <f aca="false">IF($W30*O31&gt;150000,($W30*O31-150000)*6%*45%,0)</f>
        <v>0</v>
      </c>
      <c r="AS31" s="130" t="n">
        <f aca="false">IF($W30*P31&gt;150000,($W30*P31-150000)*6%*45%,0)</f>
        <v>0</v>
      </c>
      <c r="AT31" s="130" t="n">
        <f aca="false">IF($W30*Q31&gt;150000,($W30*Q31-150000)*6%*45%,0)</f>
        <v>0</v>
      </c>
      <c r="AU31" s="130" t="n">
        <f aca="false">IF($W30*R31&gt;150000,($W30*R31-150000)*6%*45%,0)</f>
        <v>0</v>
      </c>
      <c r="AV31" s="130" t="n">
        <f aca="false">IF($W30*S31&gt;150000,($W30*S31-150000)*6%*45%,0)</f>
        <v>0</v>
      </c>
      <c r="AW31" s="130" t="n">
        <f aca="false">IF($W30*T31&gt;150000,($W30*T31-150000)*6%*45%,0)</f>
        <v>0</v>
      </c>
      <c r="AX31" s="130" t="n">
        <f aca="false">IF($W30*U31&gt;150000,($W30*U31-150000)*6%*45%,0)</f>
        <v>0</v>
      </c>
      <c r="AY31" s="131"/>
      <c r="AZ31" s="11"/>
      <c r="BA31" s="167"/>
      <c r="BB31" s="167"/>
      <c r="BC31" s="167"/>
      <c r="BD31" s="167"/>
      <c r="BE31" s="167"/>
      <c r="BF31" s="167"/>
      <c r="BG31" s="167"/>
      <c r="BH31" s="167"/>
      <c r="BI31" s="167"/>
      <c r="BJ31" s="167"/>
      <c r="BK31" s="167"/>
      <c r="BL31" s="167"/>
      <c r="BM31" s="167"/>
      <c r="BN31" s="167"/>
      <c r="BO31" s="167"/>
      <c r="BP31" s="167"/>
      <c r="BQ31" s="167"/>
      <c r="BR31" s="167"/>
      <c r="BS31" s="167"/>
      <c r="BT31" s="167"/>
      <c r="BU31" s="167"/>
      <c r="BV31" s="167"/>
      <c r="BW31" s="167"/>
      <c r="BX31" s="167"/>
      <c r="BY31" s="167"/>
      <c r="BZ31" s="167"/>
      <c r="CA31" s="167"/>
      <c r="CB31" s="167"/>
      <c r="CC31" s="167"/>
      <c r="CD31" s="167"/>
      <c r="CE31" s="167"/>
      <c r="CF31" s="167"/>
      <c r="CG31" s="167"/>
      <c r="CH31" s="167"/>
      <c r="CI31" s="167"/>
      <c r="CJ31" s="167"/>
      <c r="CK31" s="167"/>
      <c r="CL31" s="167"/>
      <c r="CM31" s="167"/>
      <c r="CN31" s="167"/>
      <c r="CO31" s="167"/>
      <c r="CP31" s="167"/>
      <c r="CQ31" s="167"/>
      <c r="CR31" s="167"/>
      <c r="CS31" s="167"/>
      <c r="CT31" s="167"/>
      <c r="CU31" s="167"/>
      <c r="CV31" s="167"/>
      <c r="CW31" s="167"/>
      <c r="CX31" s="167"/>
      <c r="CY31" s="167"/>
      <c r="CZ31" s="167"/>
      <c r="DA31" s="167"/>
      <c r="DB31" s="167"/>
      <c r="DC31" s="167"/>
      <c r="DD31" s="167"/>
      <c r="DE31" s="167"/>
      <c r="DF31" s="167"/>
      <c r="DG31" s="167"/>
      <c r="DH31" s="167"/>
      <c r="DI31" s="167"/>
      <c r="DJ31" s="167"/>
      <c r="DK31" s="167"/>
      <c r="DL31" s="167"/>
      <c r="DM31" s="167"/>
      <c r="DN31" s="167"/>
      <c r="DO31" s="167"/>
      <c r="DP31" s="167"/>
      <c r="DQ31" s="167"/>
      <c r="DR31" s="167"/>
      <c r="DS31" s="167"/>
      <c r="DT31" s="167"/>
      <c r="DU31" s="167"/>
      <c r="DV31" s="167"/>
      <c r="DW31" s="167"/>
      <c r="DX31" s="167"/>
      <c r="DY31" s="167"/>
      <c r="DZ31" s="167"/>
      <c r="EA31" s="167"/>
      <c r="EB31" s="167"/>
      <c r="EC31" s="167"/>
      <c r="ED31" s="167"/>
      <c r="EE31" s="167"/>
      <c r="EF31" s="167"/>
      <c r="EG31" s="167"/>
      <c r="EH31" s="167"/>
      <c r="EI31" s="167"/>
      <c r="EJ31" s="167"/>
      <c r="EK31" s="167"/>
      <c r="EL31" s="167"/>
      <c r="EM31" s="167"/>
      <c r="EN31" s="167"/>
      <c r="EO31" s="167"/>
      <c r="EP31" s="167"/>
      <c r="EQ31" s="167"/>
      <c r="ER31" s="167"/>
      <c r="ES31" s="167"/>
      <c r="ET31" s="167"/>
      <c r="EU31" s="167"/>
      <c r="EV31" s="167"/>
      <c r="EW31" s="167"/>
      <c r="EX31" s="167"/>
      <c r="EY31" s="167"/>
      <c r="EZ31" s="167"/>
      <c r="FA31" s="167"/>
      <c r="FB31" s="167"/>
      <c r="FC31" s="167"/>
      <c r="FD31" s="167"/>
      <c r="FE31" s="167"/>
      <c r="FF31" s="167"/>
      <c r="FG31" s="167"/>
      <c r="FH31" s="167"/>
      <c r="FI31" s="167"/>
      <c r="FJ31" s="167"/>
      <c r="FK31" s="167"/>
      <c r="FL31" s="167"/>
      <c r="FM31" s="167"/>
      <c r="FN31" s="167"/>
      <c r="FO31" s="167"/>
      <c r="FP31" s="167"/>
      <c r="FQ31" s="167"/>
      <c r="FR31" s="167"/>
      <c r="FS31" s="167"/>
      <c r="FT31" s="167"/>
      <c r="FU31" s="167"/>
      <c r="FV31" s="167"/>
      <c r="FW31" s="167"/>
      <c r="FX31" s="167"/>
      <c r="FY31" s="167"/>
      <c r="FZ31" s="167"/>
      <c r="GA31" s="167"/>
      <c r="GB31" s="167"/>
      <c r="GC31" s="167"/>
      <c r="GD31" s="167"/>
      <c r="GE31" s="167"/>
      <c r="GF31" s="167"/>
      <c r="GG31" s="167"/>
      <c r="GH31" s="167"/>
      <c r="GI31" s="167"/>
      <c r="GJ31" s="167"/>
      <c r="GK31" s="167"/>
      <c r="GL31" s="167"/>
      <c r="GM31" s="167"/>
      <c r="GN31" s="167"/>
      <c r="GO31" s="167"/>
      <c r="GP31" s="167"/>
      <c r="GQ31" s="167"/>
      <c r="GR31" s="167"/>
      <c r="GS31" s="167"/>
      <c r="GT31" s="167"/>
      <c r="GU31" s="167"/>
      <c r="GV31" s="167"/>
      <c r="GW31" s="167"/>
      <c r="GX31" s="167"/>
      <c r="GY31" s="167"/>
      <c r="GZ31" s="167"/>
      <c r="HA31" s="167"/>
      <c r="HB31" s="167"/>
      <c r="HC31" s="167"/>
      <c r="HD31" s="167"/>
      <c r="HE31" s="167"/>
      <c r="HF31" s="167"/>
      <c r="HG31" s="167"/>
      <c r="HH31" s="167"/>
      <c r="HI31" s="167"/>
      <c r="HJ31" s="167"/>
      <c r="HK31" s="167"/>
      <c r="HL31" s="167"/>
      <c r="HM31" s="167"/>
      <c r="HN31" s="167"/>
      <c r="HO31" s="167"/>
      <c r="HP31" s="167"/>
      <c r="HQ31" s="167"/>
      <c r="HR31" s="167"/>
      <c r="HS31" s="167"/>
      <c r="HT31" s="167"/>
      <c r="HU31" s="167"/>
      <c r="HV31" s="167"/>
      <c r="HW31" s="167"/>
      <c r="HX31" s="167"/>
      <c r="HY31" s="167"/>
      <c r="HZ31" s="167"/>
      <c r="IA31" s="167"/>
      <c r="IB31" s="167"/>
      <c r="IC31" s="167"/>
      <c r="ID31" s="167"/>
      <c r="IE31" s="167"/>
      <c r="IF31" s="167"/>
      <c r="IG31" s="167"/>
      <c r="IH31" s="167"/>
      <c r="II31" s="167"/>
      <c r="IJ31" s="167"/>
      <c r="IK31" s="167"/>
      <c r="IL31" s="167"/>
      <c r="IM31" s="167"/>
      <c r="IN31" s="167"/>
      <c r="IO31" s="167"/>
      <c r="IP31" s="167"/>
      <c r="IQ31" s="167"/>
      <c r="IR31" s="167"/>
      <c r="IS31" s="167"/>
      <c r="IT31" s="167"/>
      <c r="IU31" s="167"/>
      <c r="IV31" s="167"/>
      <c r="IW31" s="167"/>
    </row>
    <row r="32" customFormat="false" ht="12.6" hidden="false" customHeight="true" outlineLevel="0" collapsed="false">
      <c r="A32" s="108" t="n">
        <f aca="false">A30+1</f>
        <v>12</v>
      </c>
      <c r="B32" s="142" t="n">
        <f aca="false">IF(ISERROR(VLOOKUP(C32,일용직명단!$A$3:$I$104,2,FALSE())),0,VLOOKUP(C32,일용직명단!$A$3:$I$104,2,FALSE()))</f>
        <v>0</v>
      </c>
      <c r="C32" s="143" t="s">
        <v>64</v>
      </c>
      <c r="D32" s="111" t="str">
        <f aca="false">IF(ISERROR(VLOOKUP(C32,일용직명단!$A$3:$K$1246,3,FALSE())),0,VLOOKUP(C32,일용직명단!$A$3:$K$1246,3,FALSE()))</f>
        <v>620908-1386710</v>
      </c>
      <c r="E32" s="173" t="str">
        <f aca="false">IF(ISERROR(VLOOKUP(C32,일용직명단!$A$3:$K$1246,4,FALSE())),0,VLOOKUP(C32,일용직명단!$A$3:$K$1246,4,FALSE()))</f>
        <v>충북 영동군 영동읍 동정로 39-27, 현대아파트 101동 1501호</v>
      </c>
      <c r="F32" s="113"/>
      <c r="G32" s="114"/>
      <c r="H32" s="115"/>
      <c r="I32" s="115"/>
      <c r="J32" s="113"/>
      <c r="K32" s="115"/>
      <c r="L32" s="113"/>
      <c r="M32" s="113"/>
      <c r="N32" s="114"/>
      <c r="O32" s="116" t="n">
        <v>1</v>
      </c>
      <c r="P32" s="117" t="n">
        <v>1</v>
      </c>
      <c r="Q32" s="114"/>
      <c r="R32" s="118" t="n">
        <v>1</v>
      </c>
      <c r="S32" s="116" t="n">
        <v>1</v>
      </c>
      <c r="T32" s="118" t="n">
        <v>1</v>
      </c>
      <c r="U32" s="119"/>
      <c r="V32" s="120" t="n">
        <f aca="false">SUM(F32:U33)</f>
        <v>7</v>
      </c>
      <c r="W32" s="121" t="n">
        <f aca="false">IF(ISERROR(VLOOKUP(C32,일용직명단!$A$3:$K$1246,8,FALSE())),0,VLOOKUP(C32,일용직명단!$A$3:$K$1246,8,FALSE()))</f>
        <v>150000</v>
      </c>
      <c r="X32" s="122" t="n">
        <f aca="false">IFERROR(IF(AG32&gt;=65,0,ROUNDDOWN(W33*$Z$4,-1)),0)</f>
        <v>9450</v>
      </c>
      <c r="Y32" s="122" t="n">
        <f aca="false">IF(AE32&gt;=8,ROUNDDOWN(W33*$M$4,-1),0)</f>
        <v>0</v>
      </c>
      <c r="Z32" s="122" t="n">
        <f aca="false">IFERROR(IF(AND(COUNT(F32:U33)&gt;=8,$AG32&lt;60,W33&lt;=5530000),ROUNDDOWN(ROUNDDOWN(W33,-3)*4.5%,-1),IF(AND(COUNT(F32:U33)&gt;=8,AG32&lt;60,W33&gt;5530000),248850,0)),0)</f>
        <v>0</v>
      </c>
      <c r="AA32" s="124" t="n">
        <f aca="false">+X32+Y32+X33+Y33+Z32+Z33</f>
        <v>9450</v>
      </c>
      <c r="AB32" s="125" t="n">
        <f aca="false">W33-AA32</f>
        <v>1040550</v>
      </c>
      <c r="AC32" s="126" t="str">
        <f aca="false">IF(ISERROR(VLOOKUP(C32,일용직명단!$A$3:$I$1226,5,FALSE())),0,VLOOKUP(C32,일용직명단!$A$3:$I$1226,5,FALSE()))</f>
        <v>농협</v>
      </c>
      <c r="AD32" s="127" t="str">
        <f aca="false">IF(ISERROR(VLOOKUP(C32,일용직명단!$A$3:$I$1226,6,FALSE())),0,VLOOKUP(C32,일용직명단!$A$3:$I$1226,6,FALSE()))</f>
        <v>장신진</v>
      </c>
      <c r="AE32" s="141" t="n">
        <f aca="false">COUNT(F32:U33)</f>
        <v>7</v>
      </c>
      <c r="AF32" s="169" t="str">
        <f aca="false">IF(OR(MID(D32,8,1)="1",MID(D32,8,1)="2"),19&amp;LEFT(D32,2),20&amp;LEFT(D32,2))&amp;"-"&amp;MID(D32,3,2)&amp;"-"&amp;MID(D32,5,2)</f>
        <v>1962-09-08</v>
      </c>
      <c r="AG32" s="169" t="n">
        <f aca="true">INT((TODAY()-AF32)/365.25)</f>
        <v>63</v>
      </c>
      <c r="AH32" s="130" t="n">
        <f aca="false">ROUNDDOWN(SUM(AI32:AX33),-1)</f>
        <v>0</v>
      </c>
      <c r="AI32" s="130" t="n">
        <f aca="false">IF($W32*F32&gt;150000,($W32*F32-150000)*6%*45%,0)</f>
        <v>0</v>
      </c>
      <c r="AJ32" s="130" t="n">
        <f aca="false">IF($W32*G32&gt;150000,($W32*G32-150000)*6%*45%,0)</f>
        <v>0</v>
      </c>
      <c r="AK32" s="130" t="n">
        <f aca="false">IF($W32*H32&gt;150000,($W32*H32-150000)*6%*45%,0)</f>
        <v>0</v>
      </c>
      <c r="AL32" s="130" t="n">
        <f aca="false">IF($W32*I32&gt;150000,($W32*I32-150000)*6%*45%,0)</f>
        <v>0</v>
      </c>
      <c r="AM32" s="130" t="n">
        <f aca="false">IF($W32*J32&gt;150000,($W32*J32-150000)*6%*45%,0)</f>
        <v>0</v>
      </c>
      <c r="AN32" s="130" t="n">
        <f aca="false">IF($W32*K32&gt;150000,($W32*K32-150000)*6%*45%,0)</f>
        <v>0</v>
      </c>
      <c r="AO32" s="130" t="n">
        <f aca="false">IF($W32*L32&gt;150000,($W32*L32-150000)*6%*45%,0)</f>
        <v>0</v>
      </c>
      <c r="AP32" s="130" t="n">
        <f aca="false">IF($W32*M32&gt;150000,($W32*M32-150000)*6%*45%,0)</f>
        <v>0</v>
      </c>
      <c r="AQ32" s="130" t="n">
        <f aca="false">IF($W32*N32&gt;150000,($W32*N32-150000)*6%*45%,0)</f>
        <v>0</v>
      </c>
      <c r="AR32" s="130" t="n">
        <f aca="false">IF($W32*O32&gt;150000,($W32*O32-150000)*6%*45%,0)</f>
        <v>0</v>
      </c>
      <c r="AS32" s="130" t="n">
        <f aca="false">IF($W32*P32&gt;150000,($W32*P32-150000)*6%*45%,0)</f>
        <v>0</v>
      </c>
      <c r="AT32" s="130" t="n">
        <f aca="false">IF($W32*Q32&gt;150000,($W32*Q32-150000)*6%*45%,0)</f>
        <v>0</v>
      </c>
      <c r="AU32" s="130" t="n">
        <f aca="false">IF($W32*R32&gt;150000,($W32*R32-150000)*6%*45%,0)</f>
        <v>0</v>
      </c>
      <c r="AV32" s="130" t="n">
        <f aca="false">IF($W32*S32&gt;150000,($W32*S32-150000)*6%*45%,0)</f>
        <v>0</v>
      </c>
      <c r="AW32" s="130" t="n">
        <f aca="false">IF($W32*T32&gt;150000,($W32*T32-150000)*6%*45%,0)</f>
        <v>0</v>
      </c>
      <c r="AX32" s="130"/>
      <c r="AY32" s="131" t="str">
        <f aca="false">IF(ISERROR(VLOOKUP(C32,[26]일용직명단!$A$3:$M$1151,11,FALSE())),0,VLOOKUP(C32,[26]일용직명단!$A$3:$M$1151,11,FALSE()))</f>
        <v>29140</v>
      </c>
      <c r="AZ32" s="11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</row>
    <row r="33" customFormat="false" ht="12.6" hidden="false" customHeight="true" outlineLevel="0" collapsed="false">
      <c r="A33" s="108"/>
      <c r="B33" s="142"/>
      <c r="C33" s="143"/>
      <c r="D33" s="111"/>
      <c r="E33" s="173" t="str">
        <f aca="false">IF(ISERROR(VLOOKUP(C32,일용직명단!$A$3:$K$1246,9,FALSE())),0,VLOOKUP(C32,일용직명단!$A$3:$K$1246,9,FALSE()))</f>
        <v>010-8450-8819</v>
      </c>
      <c r="F33" s="132" t="n">
        <v>1</v>
      </c>
      <c r="G33" s="133" t="n">
        <v>1</v>
      </c>
      <c r="H33" s="134"/>
      <c r="I33" s="114"/>
      <c r="J33" s="115"/>
      <c r="K33" s="114"/>
      <c r="L33" s="113"/>
      <c r="M33" s="135"/>
      <c r="N33" s="136"/>
      <c r="O33" s="137"/>
      <c r="P33" s="136"/>
      <c r="Q33" s="114"/>
      <c r="R33" s="113"/>
      <c r="S33" s="113"/>
      <c r="T33" s="113"/>
      <c r="U33" s="115"/>
      <c r="V33" s="120"/>
      <c r="W33" s="138" t="n">
        <f aca="false">W32*V32</f>
        <v>1050000</v>
      </c>
      <c r="X33" s="122" t="n">
        <f aca="false">IF(AH32&lt;1000,0,AH32)</f>
        <v>0</v>
      </c>
      <c r="Y33" s="122" t="n">
        <f aca="false">ROUNDDOWN(X33*10%,-1)</f>
        <v>0</v>
      </c>
      <c r="Z33" s="122" t="n">
        <f aca="false">IF(AE32&gt;=8,ROUNDDOWN(Y32*$Q$4,-1),0)</f>
        <v>0</v>
      </c>
      <c r="AA33" s="124"/>
      <c r="AB33" s="125"/>
      <c r="AC33" s="127" t="str">
        <f aca="false">IF(ISERROR(VLOOKUP(C32,일용직명단!$A$3:$I$1226,7,FALSE())),0,VLOOKUP(C32,일용직명단!$A$3:$I$1226,7,FALSE()))</f>
        <v>356-1353-2371-93</v>
      </c>
      <c r="AD33" s="127"/>
      <c r="AE33" s="141"/>
      <c r="AF33" s="169"/>
      <c r="AG33" s="169"/>
      <c r="AH33" s="130"/>
      <c r="AI33" s="130" t="n">
        <f aca="false">IF($W32*F33&gt;150000,($W32*F33-150000)*6%*45%,0)</f>
        <v>0</v>
      </c>
      <c r="AJ33" s="130" t="n">
        <f aca="false">IF($W32*G33&gt;150000,($W32*G33-150000)*6%*45%,0)</f>
        <v>0</v>
      </c>
      <c r="AK33" s="130" t="n">
        <f aca="false">IF($W32*H33&gt;150000,($W32*H33-150000)*6%*45%,0)</f>
        <v>0</v>
      </c>
      <c r="AL33" s="130" t="n">
        <f aca="false">IF($W32*I33&gt;150000,($W32*I33-150000)*6%*45%,0)</f>
        <v>0</v>
      </c>
      <c r="AM33" s="130" t="n">
        <f aca="false">IF($W32*J33&gt;150000,($W32*J33-150000)*6%*45%,0)</f>
        <v>0</v>
      </c>
      <c r="AN33" s="130" t="n">
        <f aca="false">IF($W32*K33&gt;150000,($W32*K33-150000)*6%*45%,0)</f>
        <v>0</v>
      </c>
      <c r="AO33" s="130" t="n">
        <f aca="false">IF($W32*L33&gt;150000,($W32*L33-150000)*6%*45%,0)</f>
        <v>0</v>
      </c>
      <c r="AP33" s="130" t="n">
        <f aca="false">IF($W32*M33&gt;150000,($W32*M33-150000)*6%*45%,0)</f>
        <v>0</v>
      </c>
      <c r="AQ33" s="130" t="n">
        <f aca="false">IF($W32*N33&gt;150000,($W32*N33-150000)*6%*45%,0)</f>
        <v>0</v>
      </c>
      <c r="AR33" s="130" t="n">
        <f aca="false">IF($W32*O33&gt;150000,($W32*O33-150000)*6%*45%,0)</f>
        <v>0</v>
      </c>
      <c r="AS33" s="130" t="n">
        <f aca="false">IF($W32*P33&gt;150000,($W32*P33-150000)*6%*45%,0)</f>
        <v>0</v>
      </c>
      <c r="AT33" s="130" t="n">
        <f aca="false">IF($W32*Q33&gt;150000,($W32*Q33-150000)*6%*45%,0)</f>
        <v>0</v>
      </c>
      <c r="AU33" s="130" t="n">
        <f aca="false">IF($W32*R33&gt;150000,($W32*R33-150000)*6%*45%,0)</f>
        <v>0</v>
      </c>
      <c r="AV33" s="130" t="n">
        <f aca="false">IF($W32*S33&gt;150000,($W32*S33-150000)*6%*45%,0)</f>
        <v>0</v>
      </c>
      <c r="AW33" s="130" t="n">
        <f aca="false">IF($W32*T33&gt;150000,($W32*T33-150000)*6%*45%,0)</f>
        <v>0</v>
      </c>
      <c r="AX33" s="130" t="n">
        <f aca="false">IF($W32*U33&gt;150000,($W32*U33-150000)*6%*45%,0)</f>
        <v>0</v>
      </c>
      <c r="AY33" s="131"/>
      <c r="AZ33" s="11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</row>
    <row r="34" customFormat="false" ht="12.6" hidden="false" customHeight="true" outlineLevel="0" collapsed="false">
      <c r="A34" s="108" t="n">
        <f aca="false">A32+1</f>
        <v>13</v>
      </c>
      <c r="B34" s="109" t="n">
        <f aca="false">IF(ISERROR(VLOOKUP(C34,일용직명단!$A$3:$I$104,2,FALSE())),0,VLOOKUP(C34,일용직명단!$A$3:$I$104,2,FALSE()))</f>
        <v>0</v>
      </c>
      <c r="C34" s="143" t="s">
        <v>65</v>
      </c>
      <c r="D34" s="111" t="str">
        <f aca="false">IF(ISERROR(VLOOKUP(C34,일용직명단!$A$3:$K$1246,3,FALSE())),0,VLOOKUP(C34,일용직명단!$A$3:$K$1246,3,FALSE()))</f>
        <v>600810-1386721</v>
      </c>
      <c r="E34" s="112" t="str">
        <f aca="false">IF(ISERROR(VLOOKUP(C34,일용직명단!$A$3:$K$1246,4,FALSE())),0,VLOOKUP(C34,일용직명단!$A$3:$K$1246,4,FALSE()))</f>
        <v>충북 영동군 양강면 내만길 178-2</v>
      </c>
      <c r="F34" s="113"/>
      <c r="G34" s="114"/>
      <c r="H34" s="115"/>
      <c r="I34" s="115"/>
      <c r="J34" s="113"/>
      <c r="K34" s="115"/>
      <c r="L34" s="113"/>
      <c r="M34" s="113"/>
      <c r="N34" s="114"/>
      <c r="O34" s="116" t="n">
        <v>1</v>
      </c>
      <c r="P34" s="117" t="n">
        <v>1</v>
      </c>
      <c r="Q34" s="114"/>
      <c r="R34" s="118" t="n">
        <v>1</v>
      </c>
      <c r="S34" s="116" t="n">
        <v>1</v>
      </c>
      <c r="T34" s="118" t="n">
        <v>1</v>
      </c>
      <c r="U34" s="119"/>
      <c r="V34" s="120" t="n">
        <f aca="false">SUM(F34:U35)</f>
        <v>7</v>
      </c>
      <c r="W34" s="121" t="n">
        <f aca="false">IF(ISERROR(VLOOKUP(C34,일용직명단!$A$3:$K$1246,8,FALSE())),0,VLOOKUP(C34,일용직명단!$A$3:$K$1246,8,FALSE()))</f>
        <v>150000</v>
      </c>
      <c r="X34" s="122" t="n">
        <f aca="false">IFERROR(IF(AG34&gt;=65,0,ROUNDDOWN(W35*$Z$4,-1)),0)</f>
        <v>0</v>
      </c>
      <c r="Y34" s="122" t="n">
        <f aca="false">IF(AE34&gt;=8,ROUNDDOWN(W35*$M$4,-1),0)</f>
        <v>0</v>
      </c>
      <c r="Z34" s="122" t="n">
        <f aca="false">IFERROR(IF(AND(COUNT(F34:U35)&gt;=8,$AG34&lt;60,W35&lt;=5530000),ROUNDDOWN(ROUNDDOWN(W35,-3)*4.5%,-1),IF(AND(COUNT(F34:U35)&gt;=8,AG34&lt;60,W35&gt;5530000),248850,0)),0)</f>
        <v>0</v>
      </c>
      <c r="AA34" s="124" t="n">
        <f aca="false">+X34+Y34+X35+Y35+Z34+Z35</f>
        <v>0</v>
      </c>
      <c r="AB34" s="125" t="n">
        <f aca="false">W35-AA34</f>
        <v>1050000</v>
      </c>
      <c r="AC34" s="126" t="str">
        <f aca="false">IF(ISERROR(VLOOKUP(C34,일용직명단!$A$3:$I$1226,5,FALSE())),0,VLOOKUP(C34,일용직명단!$A$3:$I$1226,5,FALSE()))</f>
        <v>농협</v>
      </c>
      <c r="AD34" s="127" t="str">
        <f aca="false">IF(ISERROR(VLOOKUP(C34,일용직명단!$A$3:$I$1226,6,FALSE())),0,VLOOKUP(C34,일용직명단!$A$3:$I$1226,6,FALSE()))</f>
        <v>민백규</v>
      </c>
      <c r="AE34" s="150" t="n">
        <f aca="false">COUNT(F34:U35)</f>
        <v>7</v>
      </c>
      <c r="AF34" s="129" t="str">
        <f aca="false">IF(OR(MID(D34,8,1)="1",MID(D34,8,1)="2"),19&amp;LEFT(D34,2),20&amp;LEFT(D34,2))&amp;"-"&amp;MID(D34,3,2)&amp;"-"&amp;MID(D34,5,2)</f>
        <v>1960-08-10</v>
      </c>
      <c r="AG34" s="129" t="n">
        <f aca="true">INT((TODAY()-AF34)/365.25)</f>
        <v>65</v>
      </c>
      <c r="AH34" s="130" t="n">
        <f aca="false">ROUNDDOWN(SUM(AI34:AX35),-1)</f>
        <v>0</v>
      </c>
      <c r="AI34" s="130" t="n">
        <f aca="false">IF($W34*F34&gt;150000,($W34*F34-150000)*6%*45%,0)</f>
        <v>0</v>
      </c>
      <c r="AJ34" s="130" t="n">
        <f aca="false">IF($W34*G34&gt;150000,($W34*G34-150000)*6%*45%,0)</f>
        <v>0</v>
      </c>
      <c r="AK34" s="130" t="n">
        <f aca="false">IF($W34*H34&gt;150000,($W34*H34-150000)*6%*45%,0)</f>
        <v>0</v>
      </c>
      <c r="AL34" s="130" t="n">
        <f aca="false">IF($W34*I34&gt;150000,($W34*I34-150000)*6%*45%,0)</f>
        <v>0</v>
      </c>
      <c r="AM34" s="130" t="n">
        <f aca="false">IF($W34*J34&gt;150000,($W34*J34-150000)*6%*45%,0)</f>
        <v>0</v>
      </c>
      <c r="AN34" s="130" t="n">
        <f aca="false">IF($W34*K34&gt;150000,($W34*K34-150000)*6%*45%,0)</f>
        <v>0</v>
      </c>
      <c r="AO34" s="130" t="n">
        <f aca="false">IF($W34*L34&gt;150000,($W34*L34-150000)*6%*45%,0)</f>
        <v>0</v>
      </c>
      <c r="AP34" s="130" t="n">
        <f aca="false">IF($W34*M34&gt;150000,($W34*M34-150000)*6%*45%,0)</f>
        <v>0</v>
      </c>
      <c r="AQ34" s="130" t="n">
        <f aca="false">IF($W34*N34&gt;150000,($W34*N34-150000)*6%*45%,0)</f>
        <v>0</v>
      </c>
      <c r="AR34" s="130" t="n">
        <f aca="false">IF($W34*O34&gt;150000,($W34*O34-150000)*6%*45%,0)</f>
        <v>0</v>
      </c>
      <c r="AS34" s="130" t="n">
        <f aca="false">IF($W34*P34&gt;150000,($W34*P34-150000)*6%*45%,0)</f>
        <v>0</v>
      </c>
      <c r="AT34" s="130" t="n">
        <f aca="false">IF($W34*Q34&gt;150000,($W34*Q34-150000)*6%*45%,0)</f>
        <v>0</v>
      </c>
      <c r="AU34" s="130" t="n">
        <f aca="false">IF($W34*R34&gt;150000,($W34*R34-150000)*6%*45%,0)</f>
        <v>0</v>
      </c>
      <c r="AV34" s="130" t="n">
        <f aca="false">IF($W34*S34&gt;150000,($W34*S34-150000)*6%*45%,0)</f>
        <v>0</v>
      </c>
      <c r="AW34" s="130" t="n">
        <f aca="false">IF($W34*T34&gt;150000,($W34*T34-150000)*6%*45%,0)</f>
        <v>0</v>
      </c>
      <c r="AX34" s="130"/>
      <c r="AY34" s="151" t="str">
        <f aca="false">IF(ISERROR(VLOOKUP(C34,[26]일용직명단!$A$3:$M$1151,11,FALSE())),0,VLOOKUP(C34,[26]일용직명단!$A$3:$M$1151,11,FALSE()))</f>
        <v>29157</v>
      </c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</row>
    <row r="35" customFormat="false" ht="12.6" hidden="false" customHeight="true" outlineLevel="0" collapsed="false">
      <c r="A35" s="108"/>
      <c r="B35" s="109"/>
      <c r="C35" s="143"/>
      <c r="D35" s="111"/>
      <c r="E35" s="112" t="str">
        <f aca="false">IF(ISERROR(VLOOKUP(C34,일용직명단!$A$3:$K$1246,9,FALSE())),0,VLOOKUP(C34,일용직명단!$A$3:$K$1246,9,FALSE()))</f>
        <v>010-7107-2693</v>
      </c>
      <c r="F35" s="132" t="n">
        <v>1</v>
      </c>
      <c r="G35" s="133" t="n">
        <v>1</v>
      </c>
      <c r="H35" s="134"/>
      <c r="I35" s="114"/>
      <c r="J35" s="115"/>
      <c r="K35" s="114"/>
      <c r="L35" s="113"/>
      <c r="M35" s="135"/>
      <c r="N35" s="136"/>
      <c r="O35" s="137"/>
      <c r="P35" s="136"/>
      <c r="Q35" s="114"/>
      <c r="R35" s="113"/>
      <c r="S35" s="113"/>
      <c r="T35" s="113"/>
      <c r="U35" s="115"/>
      <c r="V35" s="120"/>
      <c r="W35" s="138" t="n">
        <f aca="false">W34*V34</f>
        <v>1050000</v>
      </c>
      <c r="X35" s="122" t="n">
        <f aca="false">IF(AH34&lt;1000,0,AH34)</f>
        <v>0</v>
      </c>
      <c r="Y35" s="122" t="n">
        <f aca="false">ROUNDDOWN(X35*10%,-1)</f>
        <v>0</v>
      </c>
      <c r="Z35" s="122" t="n">
        <f aca="false">IF(AE34&gt;=8,ROUNDDOWN(Y34*$Q$4,-1),0)</f>
        <v>0</v>
      </c>
      <c r="AA35" s="124"/>
      <c r="AB35" s="125"/>
      <c r="AC35" s="127" t="str">
        <f aca="false">IF(ISERROR(VLOOKUP(C34,일용직명단!$A$3:$I$1226,7,FALSE())),0,VLOOKUP(C34,일용직명단!$A$3:$I$1226,7,FALSE()))</f>
        <v>453060-52-207611</v>
      </c>
      <c r="AD35" s="127"/>
      <c r="AE35" s="155"/>
      <c r="AF35" s="129"/>
      <c r="AG35" s="129"/>
      <c r="AH35" s="130"/>
      <c r="AI35" s="130" t="n">
        <f aca="false">IF($W34*F35&gt;150000,($W34*F35-150000)*6%*45%,0)</f>
        <v>0</v>
      </c>
      <c r="AJ35" s="130" t="n">
        <f aca="false">IF($W34*G35&gt;150000,($W34*G35-150000)*6%*45%,0)</f>
        <v>0</v>
      </c>
      <c r="AK35" s="130" t="n">
        <f aca="false">IF($W34*H35&gt;150000,($W34*H35-150000)*6%*45%,0)</f>
        <v>0</v>
      </c>
      <c r="AL35" s="130" t="n">
        <f aca="false">IF($W34*I35&gt;150000,($W34*I35-150000)*6%*45%,0)</f>
        <v>0</v>
      </c>
      <c r="AM35" s="130" t="n">
        <f aca="false">IF($W34*J35&gt;150000,($W34*J35-150000)*6%*45%,0)</f>
        <v>0</v>
      </c>
      <c r="AN35" s="130" t="n">
        <f aca="false">IF($W34*K35&gt;150000,($W34*K35-150000)*6%*45%,0)</f>
        <v>0</v>
      </c>
      <c r="AO35" s="130" t="n">
        <f aca="false">IF($W34*L35&gt;150000,($W34*L35-150000)*6%*45%,0)</f>
        <v>0</v>
      </c>
      <c r="AP35" s="130" t="n">
        <f aca="false">IF($W34*M35&gt;150000,($W34*M35-150000)*6%*45%,0)</f>
        <v>0</v>
      </c>
      <c r="AQ35" s="130" t="n">
        <f aca="false">IF($W34*N35&gt;150000,($W34*N35-150000)*6%*45%,0)</f>
        <v>0</v>
      </c>
      <c r="AR35" s="130" t="n">
        <f aca="false">IF($W34*O35&gt;150000,($W34*O35-150000)*6%*45%,0)</f>
        <v>0</v>
      </c>
      <c r="AS35" s="130" t="n">
        <f aca="false">IF($W34*P35&gt;150000,($W34*P35-150000)*6%*45%,0)</f>
        <v>0</v>
      </c>
      <c r="AT35" s="130" t="n">
        <f aca="false">IF($W34*Q35&gt;150000,($W34*Q35-150000)*6%*45%,0)</f>
        <v>0</v>
      </c>
      <c r="AU35" s="130" t="n">
        <f aca="false">IF($W34*R35&gt;150000,($W34*R35-150000)*6%*45%,0)</f>
        <v>0</v>
      </c>
      <c r="AV35" s="130" t="n">
        <f aca="false">IF($W34*S35&gt;150000,($W34*S35-150000)*6%*45%,0)</f>
        <v>0</v>
      </c>
      <c r="AW35" s="130" t="n">
        <f aca="false">IF($W34*T35&gt;150000,($W34*T35-150000)*6%*45%,0)</f>
        <v>0</v>
      </c>
      <c r="AX35" s="130" t="n">
        <f aca="false">IF($W34*U35&gt;150000,($W34*U35-150000)*6%*45%,0)</f>
        <v>0</v>
      </c>
      <c r="AY35" s="15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</row>
    <row r="36" customFormat="false" ht="12.6" hidden="false" customHeight="true" outlineLevel="0" collapsed="false">
      <c r="A36" s="108" t="n">
        <f aca="false">A34+1</f>
        <v>14</v>
      </c>
      <c r="B36" s="142"/>
      <c r="C36" s="143" t="s">
        <v>66</v>
      </c>
      <c r="D36" s="111" t="str">
        <f aca="false">IF(ISERROR(VLOOKUP(C36,일용직명단!$A$3:$K$1246,3,FALSE())),0,VLOOKUP(C36,일용직명단!$A$3:$K$1246,3,FALSE()))</f>
        <v>720402-1798516</v>
      </c>
      <c r="E36" s="173" t="str">
        <f aca="false">IF(ISERROR(VLOOKUP(C36,일용직명단!$A$3:$K$1246,4,FALSE())),0,VLOOKUP(C36,일용직명단!$A$3:$K$1246,4,FALSE()))</f>
        <v>경북 칠곡군 북삼읍 인강9길 10, 101동 1212호(로얄아파트)</v>
      </c>
      <c r="F36" s="113"/>
      <c r="G36" s="114"/>
      <c r="H36" s="115"/>
      <c r="I36" s="115"/>
      <c r="J36" s="113"/>
      <c r="K36" s="115"/>
      <c r="L36" s="113"/>
      <c r="M36" s="113"/>
      <c r="N36" s="114"/>
      <c r="O36" s="116" t="n">
        <v>1</v>
      </c>
      <c r="P36" s="117" t="n">
        <v>1</v>
      </c>
      <c r="Q36" s="114"/>
      <c r="R36" s="118" t="n">
        <v>1</v>
      </c>
      <c r="S36" s="116" t="n">
        <v>1</v>
      </c>
      <c r="T36" s="118" t="n">
        <v>1</v>
      </c>
      <c r="U36" s="119"/>
      <c r="V36" s="174" t="n">
        <f aca="false">SUM(F36:U37)</f>
        <v>7</v>
      </c>
      <c r="W36" s="121" t="n">
        <f aca="false">IF(ISERROR(VLOOKUP(C36,일용직명단!$A$3:$K$1246,8,FALSE())),0,VLOOKUP(C36,일용직명단!$A$3:$K$1246,8,FALSE()))</f>
        <v>150000</v>
      </c>
      <c r="X36" s="122" t="n">
        <f aca="false">IFERROR(IF(AG36&gt;=65,0,ROUNDDOWN(W37*$Z$4,-1)),0)</f>
        <v>9450</v>
      </c>
      <c r="Y36" s="122" t="n">
        <f aca="false">IF(AE36&gt;=8,ROUNDDOWN(W37*$M$4,-1),0)</f>
        <v>0</v>
      </c>
      <c r="Z36" s="122" t="n">
        <f aca="false">IFERROR(IF(AND(COUNT(F36:U37)&gt;=8,$AG36&lt;60,W37&lt;=5530000),ROUNDDOWN(ROUNDDOWN(W37,-3)*4.5%,-1),IF(AND(COUNT(F36:U37)&gt;=8,AG36&lt;60,W37&gt;5530000),248850,0)),0)</f>
        <v>0</v>
      </c>
      <c r="AA36" s="124" t="n">
        <f aca="false">+X36+Y36+X37+Y37+Z36+Z37</f>
        <v>9450</v>
      </c>
      <c r="AB36" s="125" t="n">
        <f aca="false">W37-AA36</f>
        <v>1040550</v>
      </c>
      <c r="AC36" s="175" t="str">
        <f aca="false">IF(ISERROR(VLOOKUP(C36,일용직명단!$A$3:$I$1226,5,FALSE())),0,VLOOKUP(C36,일용직명단!$A$3:$I$1226,5,FALSE()))</f>
        <v>농협</v>
      </c>
      <c r="AD36" s="176" t="str">
        <f aca="false">IF(ISERROR(VLOOKUP(C36,일용직명단!$A$3:$I$1226,6,FALSE())),0,VLOOKUP(C36,일용직명단!$A$3:$I$1226,6,FALSE()))</f>
        <v>김판수</v>
      </c>
      <c r="AE36" s="141" t="n">
        <f aca="false">COUNT(F36:U37)</f>
        <v>7</v>
      </c>
      <c r="AF36" s="169" t="str">
        <f aca="false">IF(OR(MID(D36,8,1)="1",MID(D36,8,1)="2"),19&amp;LEFT(D36,2),20&amp;LEFT(D36,2))&amp;"-"&amp;MID(D36,3,2)&amp;"-"&amp;MID(D36,5,2)</f>
        <v>1972-04-02</v>
      </c>
      <c r="AG36" s="169" t="n">
        <f aca="true">INT((TODAY()-AF36)/365.25)</f>
        <v>54</v>
      </c>
      <c r="AH36" s="130" t="n">
        <f aca="false">ROUNDDOWN(SUM(AI36:AX37),-1)</f>
        <v>0</v>
      </c>
      <c r="AI36" s="130" t="n">
        <f aca="false">IF($W36*F36&gt;150000,($W36*F36-150000)*6%*45%,0)</f>
        <v>0</v>
      </c>
      <c r="AJ36" s="130" t="n">
        <f aca="false">IF($W36*G36&gt;150000,($W36*G36-150000)*6%*45%,0)</f>
        <v>0</v>
      </c>
      <c r="AK36" s="130" t="n">
        <f aca="false">IF($W36*H36&gt;150000,($W36*H36-150000)*6%*45%,0)</f>
        <v>0</v>
      </c>
      <c r="AL36" s="130" t="n">
        <f aca="false">IF($W36*I36&gt;150000,($W36*I36-150000)*6%*45%,0)</f>
        <v>0</v>
      </c>
      <c r="AM36" s="130" t="n">
        <f aca="false">IF($W36*J36&gt;150000,($W36*J36-150000)*6%*45%,0)</f>
        <v>0</v>
      </c>
      <c r="AN36" s="130" t="n">
        <f aca="false">IF($W36*K36&gt;150000,($W36*K36-150000)*6%*45%,0)</f>
        <v>0</v>
      </c>
      <c r="AO36" s="130" t="n">
        <f aca="false">IF($W36*L36&gt;150000,($W36*L36-150000)*6%*45%,0)</f>
        <v>0</v>
      </c>
      <c r="AP36" s="130" t="n">
        <f aca="false">IF($W36*M36&gt;150000,($W36*M36-150000)*6%*45%,0)</f>
        <v>0</v>
      </c>
      <c r="AQ36" s="130" t="n">
        <f aca="false">IF($W36*N36&gt;150000,($W36*N36-150000)*6%*45%,0)</f>
        <v>0</v>
      </c>
      <c r="AR36" s="130" t="n">
        <f aca="false">IF($W36*O36&gt;150000,($W36*O36-150000)*6%*45%,0)</f>
        <v>0</v>
      </c>
      <c r="AS36" s="130" t="n">
        <f aca="false">IF($W36*P36&gt;150000,($W36*P36-150000)*6%*45%,0)</f>
        <v>0</v>
      </c>
      <c r="AT36" s="130" t="n">
        <f aca="false">IF($W36*Q36&gt;150000,($W36*Q36-150000)*6%*45%,0)</f>
        <v>0</v>
      </c>
      <c r="AU36" s="130" t="n">
        <f aca="false">IF($W36*R36&gt;150000,($W36*R36-150000)*6%*45%,0)</f>
        <v>0</v>
      </c>
      <c r="AV36" s="130" t="n">
        <f aca="false">IF($W36*S36&gt;150000,($W36*S36-150000)*6%*45%,0)</f>
        <v>0</v>
      </c>
      <c r="AW36" s="130" t="n">
        <f aca="false">IF($W36*T36&gt;150000,($W36*T36-150000)*6%*45%,0)</f>
        <v>0</v>
      </c>
      <c r="AX36" s="130"/>
      <c r="AY36" s="131" t="n">
        <f aca="false">IF(ISERROR(VLOOKUP(C36,[26]일용직명단!$A$3:$M$1151,11,FALSE())),0,VLOOKUP(C36,[26]일용직명단!$A$3:$M$1151,11,FALSE()))</f>
        <v>0</v>
      </c>
      <c r="AZ36" s="11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</row>
    <row r="37" customFormat="false" ht="12.6" hidden="false" customHeight="true" outlineLevel="0" collapsed="false">
      <c r="A37" s="108"/>
      <c r="B37" s="142"/>
      <c r="C37" s="143"/>
      <c r="D37" s="111"/>
      <c r="E37" s="173" t="str">
        <f aca="false">IF(ISERROR(VLOOKUP(C36,일용직명단!$A$3:$K$1246,9,FALSE())),0,VLOOKUP(C36,일용직명단!$A$3:$K$1246,9,FALSE()))</f>
        <v>010-7520-7708</v>
      </c>
      <c r="F37" s="132" t="n">
        <v>1</v>
      </c>
      <c r="G37" s="133" t="n">
        <v>1</v>
      </c>
      <c r="H37" s="134"/>
      <c r="I37" s="114"/>
      <c r="J37" s="115"/>
      <c r="K37" s="114"/>
      <c r="L37" s="113"/>
      <c r="M37" s="135"/>
      <c r="N37" s="136"/>
      <c r="O37" s="137"/>
      <c r="P37" s="136"/>
      <c r="Q37" s="114"/>
      <c r="R37" s="113"/>
      <c r="S37" s="113"/>
      <c r="T37" s="113"/>
      <c r="U37" s="115"/>
      <c r="V37" s="174"/>
      <c r="W37" s="138" t="n">
        <f aca="false">W36*V36</f>
        <v>1050000</v>
      </c>
      <c r="X37" s="122" t="n">
        <f aca="false">IF(AH36&lt;1000,0,AH36)</f>
        <v>0</v>
      </c>
      <c r="Y37" s="122" t="n">
        <f aca="false">ROUNDDOWN(X37*10%,-1)</f>
        <v>0</v>
      </c>
      <c r="Z37" s="122" t="n">
        <f aca="false">IF(AE36&gt;=8,ROUNDDOWN(Y36*$Q$4,-1),0)</f>
        <v>0</v>
      </c>
      <c r="AA37" s="124"/>
      <c r="AB37" s="125"/>
      <c r="AC37" s="176" t="str">
        <f aca="false">IF(ISERROR(VLOOKUP(C36,일용직명단!$A$3:$I$1226,7,FALSE())),0,VLOOKUP(C36,일용직명단!$A$3:$I$1226,7,FALSE()))</f>
        <v>735089-56-010696</v>
      </c>
      <c r="AD37" s="176"/>
      <c r="AE37" s="141"/>
      <c r="AF37" s="169"/>
      <c r="AG37" s="169"/>
      <c r="AH37" s="130"/>
      <c r="AI37" s="130" t="n">
        <f aca="false">IF($W36*F37&gt;150000,($W36*F37-150000)*6%*45%,0)</f>
        <v>0</v>
      </c>
      <c r="AJ37" s="130" t="n">
        <f aca="false">IF($W36*G37&gt;150000,($W36*G37-150000)*6%*45%,0)</f>
        <v>0</v>
      </c>
      <c r="AK37" s="130" t="n">
        <f aca="false">IF($W36*H37&gt;150000,($W36*H37-150000)*6%*45%,0)</f>
        <v>0</v>
      </c>
      <c r="AL37" s="130" t="n">
        <f aca="false">IF($W36*I37&gt;150000,($W36*I37-150000)*6%*45%,0)</f>
        <v>0</v>
      </c>
      <c r="AM37" s="130" t="n">
        <f aca="false">IF($W36*J37&gt;150000,($W36*J37-150000)*6%*45%,0)</f>
        <v>0</v>
      </c>
      <c r="AN37" s="130" t="n">
        <f aca="false">IF($W36*K37&gt;150000,($W36*K37-150000)*6%*45%,0)</f>
        <v>0</v>
      </c>
      <c r="AO37" s="130" t="n">
        <f aca="false">IF($W36*L37&gt;150000,($W36*L37-150000)*6%*45%,0)</f>
        <v>0</v>
      </c>
      <c r="AP37" s="130" t="n">
        <f aca="false">IF($W36*M37&gt;150000,($W36*M37-150000)*6%*45%,0)</f>
        <v>0</v>
      </c>
      <c r="AQ37" s="130" t="n">
        <f aca="false">IF($W36*N37&gt;150000,($W36*N37-150000)*6%*45%,0)</f>
        <v>0</v>
      </c>
      <c r="AR37" s="130" t="n">
        <f aca="false">IF($W36*O37&gt;150000,($W36*O37-150000)*6%*45%,0)</f>
        <v>0</v>
      </c>
      <c r="AS37" s="130" t="n">
        <f aca="false">IF($W36*P37&gt;150000,($W36*P37-150000)*6%*45%,0)</f>
        <v>0</v>
      </c>
      <c r="AT37" s="130" t="n">
        <f aca="false">IF($W36*Q37&gt;150000,($W36*Q37-150000)*6%*45%,0)</f>
        <v>0</v>
      </c>
      <c r="AU37" s="130" t="n">
        <f aca="false">IF($W36*R37&gt;150000,($W36*R37-150000)*6%*45%,0)</f>
        <v>0</v>
      </c>
      <c r="AV37" s="130" t="n">
        <f aca="false">IF($W36*S37&gt;150000,($W36*S37-150000)*6%*45%,0)</f>
        <v>0</v>
      </c>
      <c r="AW37" s="130" t="n">
        <f aca="false">IF($W36*T37&gt;150000,($W36*T37-150000)*6%*45%,0)</f>
        <v>0</v>
      </c>
      <c r="AX37" s="130" t="n">
        <f aca="false">IF($W36*U37&gt;150000,($W36*U37-150000)*6%*45%,0)</f>
        <v>0</v>
      </c>
      <c r="AY37" s="131"/>
      <c r="AZ37" s="11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</row>
    <row r="38" customFormat="false" ht="12.6" hidden="false" customHeight="true" outlineLevel="0" collapsed="false">
      <c r="A38" s="108" t="n">
        <f aca="false">A36+1</f>
        <v>15</v>
      </c>
      <c r="B38" s="109" t="n">
        <f aca="false">IF(ISERROR(VLOOKUP(C38,일용직명단!$A$3:$I$104,2,FALSE())),0,VLOOKUP(C38,일용직명단!$A$3:$I$104,2,FALSE()))</f>
        <v>0</v>
      </c>
      <c r="C38" s="139" t="s">
        <v>67</v>
      </c>
      <c r="D38" s="111" t="str">
        <f aca="false">IF(ISERROR(VLOOKUP(C38,일용직명단!$A$3:$K$1246,3,FALSE())),0,VLOOKUP(C38,일용직명단!$A$3:$K$1246,3,FALSE()))</f>
        <v>530810-1057646</v>
      </c>
      <c r="E38" s="173" t="str">
        <f aca="false">IF(ISERROR(VLOOKUP(C38,일용직명단!$A$3:$K$1246,4,FALSE())),0,VLOOKUP(C38,일용직명단!$A$3:$K$1246,4,FALSE()))</f>
        <v>충북 영동군 양강면 남전2안길 4-20</v>
      </c>
      <c r="F38" s="113"/>
      <c r="G38" s="114"/>
      <c r="H38" s="115"/>
      <c r="I38" s="115"/>
      <c r="J38" s="113"/>
      <c r="K38" s="115"/>
      <c r="L38" s="113"/>
      <c r="M38" s="113"/>
      <c r="N38" s="114"/>
      <c r="O38" s="116" t="n">
        <v>1</v>
      </c>
      <c r="P38" s="117" t="n">
        <v>1</v>
      </c>
      <c r="Q38" s="114"/>
      <c r="R38" s="118" t="n">
        <v>1</v>
      </c>
      <c r="S38" s="116" t="n">
        <v>1</v>
      </c>
      <c r="T38" s="118" t="n">
        <v>1</v>
      </c>
      <c r="U38" s="119"/>
      <c r="V38" s="120" t="n">
        <f aca="false">SUM(F38:U39)</f>
        <v>7</v>
      </c>
      <c r="W38" s="121" t="n">
        <f aca="false">IF(ISERROR(VLOOKUP(C38,일용직명단!$A$3:$K$1246,8,FALSE())),0,VLOOKUP(C38,일용직명단!$A$3:$K$1246,8,FALSE()))</f>
        <v>150000</v>
      </c>
      <c r="X38" s="177" t="n">
        <f aca="false">IFERROR(IF(AG38&gt;=65,0,ROUNDDOWN(W39*$Z$4,-1)),0)</f>
        <v>0</v>
      </c>
      <c r="Y38" s="177" t="n">
        <f aca="false">IF(AE38&gt;=8,ROUNDDOWN(W39*$M$4,-1),0)</f>
        <v>0</v>
      </c>
      <c r="Z38" s="177" t="n">
        <f aca="false">IFERROR(IF(AND(COUNT(F38:U39)&gt;=8,$AG38&lt;60,W39&lt;=5530000),ROUNDDOWN(ROUNDDOWN(W39,-3)*4.5%,-1),IF(AND(COUNT(F38:U39)&gt;=8,AG38&lt;60,W39&gt;5530000),248850,0)),0)</f>
        <v>0</v>
      </c>
      <c r="AA38" s="124" t="n">
        <f aca="false">+X38+Y38+X39+Y39+Z38+Z39</f>
        <v>0</v>
      </c>
      <c r="AB38" s="125" t="n">
        <f aca="false">W39-AA38</f>
        <v>1050000</v>
      </c>
      <c r="AC38" s="178" t="str">
        <f aca="false">IF(ISERROR(VLOOKUP(C38,일용직명단!$A$3:$I$1226,5,FALSE())),0,VLOOKUP(C38,일용직명단!$A$3:$I$1226,5,FALSE()))</f>
        <v>농협</v>
      </c>
      <c r="AD38" s="179" t="str">
        <f aca="false">IF(ISERROR(VLOOKUP(C38,일용직명단!$A$3:$I$1226,6,FALSE())),0,VLOOKUP(C38,일용직명단!$A$3:$I$1226,6,FALSE()))</f>
        <v>김환배</v>
      </c>
      <c r="AE38" s="149" t="n">
        <f aca="false">COUNT(F38:U39)</f>
        <v>7</v>
      </c>
      <c r="AF38" s="129" t="str">
        <f aca="false">IF(OR(MID(D38,8,1)="1",MID(D38,8,1)="2"),19&amp;LEFT(D38,2),20&amp;LEFT(D38,2))&amp;"-"&amp;MID(D38,3,2)&amp;"-"&amp;MID(D38,5,2)</f>
        <v>1953-08-10</v>
      </c>
      <c r="AG38" s="129" t="n">
        <f aca="true">INT((TODAY()-AF38)/365.25)</f>
        <v>72</v>
      </c>
      <c r="AH38" s="130" t="n">
        <f aca="false">ROUNDDOWN(SUM(AI38:AX39),-1)</f>
        <v>0</v>
      </c>
      <c r="AI38" s="130" t="n">
        <f aca="false">IF($W38*F38&gt;150000,($W38*F38-150000)*6%*45%,0)</f>
        <v>0</v>
      </c>
      <c r="AJ38" s="130" t="n">
        <f aca="false">IF($W38*G38&gt;150000,($W38*G38-150000)*6%*45%,0)</f>
        <v>0</v>
      </c>
      <c r="AK38" s="130" t="n">
        <f aca="false">IF($W38*H38&gt;150000,($W38*H38-150000)*6%*45%,0)</f>
        <v>0</v>
      </c>
      <c r="AL38" s="130" t="n">
        <f aca="false">IF($W38*I38&gt;150000,($W38*I38-150000)*6%*45%,0)</f>
        <v>0</v>
      </c>
      <c r="AM38" s="130" t="n">
        <f aca="false">IF($W38*J38&gt;150000,($W38*J38-150000)*6%*45%,0)</f>
        <v>0</v>
      </c>
      <c r="AN38" s="130" t="n">
        <f aca="false">IF($W38*K38&gt;150000,($W38*K38-150000)*6%*45%,0)</f>
        <v>0</v>
      </c>
      <c r="AO38" s="130" t="n">
        <f aca="false">IF($W38*L38&gt;150000,($W38*L38-150000)*6%*45%,0)</f>
        <v>0</v>
      </c>
      <c r="AP38" s="130" t="n">
        <f aca="false">IF($W38*M38&gt;150000,($W38*M38-150000)*6%*45%,0)</f>
        <v>0</v>
      </c>
      <c r="AQ38" s="130" t="n">
        <f aca="false">IF($W38*N38&gt;150000,($W38*N38-150000)*6%*45%,0)</f>
        <v>0</v>
      </c>
      <c r="AR38" s="130" t="n">
        <f aca="false">IF($W38*O38&gt;150000,($W38*O38-150000)*6%*45%,0)</f>
        <v>0</v>
      </c>
      <c r="AS38" s="130" t="n">
        <f aca="false">IF($W38*P38&gt;150000,($W38*P38-150000)*6%*45%,0)</f>
        <v>0</v>
      </c>
      <c r="AT38" s="130" t="n">
        <f aca="false">IF($W38*Q38&gt;150000,($W38*Q38-150000)*6%*45%,0)</f>
        <v>0</v>
      </c>
      <c r="AU38" s="130" t="n">
        <f aca="false">IF($W38*R38&gt;150000,($W38*R38-150000)*6%*45%,0)</f>
        <v>0</v>
      </c>
      <c r="AV38" s="130" t="n">
        <f aca="false">IF($W38*S38&gt;150000,($W38*S38-150000)*6%*45%,0)</f>
        <v>0</v>
      </c>
      <c r="AW38" s="130" t="n">
        <f aca="false">IF($W38*T38&gt;150000,($W38*T38-150000)*6%*45%,0)</f>
        <v>0</v>
      </c>
      <c r="AX38" s="130"/>
      <c r="AY38" s="131" t="str">
        <f aca="false">IF(ISERROR(VLOOKUP(C38,[26]일용직명단!$A$3:$M$1151,11,FALSE())),0,VLOOKUP(C38,[26]일용직명단!$A$3:$M$1151,11,FALSE()))</f>
        <v>29155</v>
      </c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</row>
    <row r="39" customFormat="false" ht="12" hidden="false" customHeight="true" outlineLevel="0" collapsed="false">
      <c r="A39" s="108"/>
      <c r="B39" s="109"/>
      <c r="C39" s="139"/>
      <c r="D39" s="111"/>
      <c r="E39" s="173" t="str">
        <f aca="false">IF(ISERROR(VLOOKUP(C38,일용직명단!$A$3:$K$1246,9,FALSE())),0,VLOOKUP(C38,일용직명단!$A$3:$K$1246,9,FALSE()))</f>
        <v>010-5326-2934</v>
      </c>
      <c r="F39" s="132" t="n">
        <v>1</v>
      </c>
      <c r="G39" s="133" t="n">
        <v>1</v>
      </c>
      <c r="H39" s="134"/>
      <c r="I39" s="114"/>
      <c r="J39" s="115"/>
      <c r="K39" s="114"/>
      <c r="L39" s="113"/>
      <c r="M39" s="135"/>
      <c r="N39" s="136"/>
      <c r="O39" s="137"/>
      <c r="P39" s="136"/>
      <c r="Q39" s="114"/>
      <c r="R39" s="113"/>
      <c r="S39" s="113"/>
      <c r="T39" s="113"/>
      <c r="U39" s="115"/>
      <c r="V39" s="120"/>
      <c r="W39" s="138" t="n">
        <f aca="false">W38*V38</f>
        <v>1050000</v>
      </c>
      <c r="X39" s="177" t="n">
        <f aca="false">IF(AH38&lt;1000,0,AH38)</f>
        <v>0</v>
      </c>
      <c r="Y39" s="177" t="n">
        <f aca="false">ROUNDDOWN(X39*10%,-1)</f>
        <v>0</v>
      </c>
      <c r="Z39" s="177" t="n">
        <f aca="false">IF(AE38&gt;=8,ROUNDDOWN(Y38*$Q$4,-1),0)</f>
        <v>0</v>
      </c>
      <c r="AA39" s="124"/>
      <c r="AB39" s="125"/>
      <c r="AC39" s="179" t="str">
        <f aca="false">IF(ISERROR(VLOOKUP(C38,일용직명단!$A$3:$I$1226,7,FALSE())),0,VLOOKUP(C38,일용직명단!$A$3:$I$1226,7,FALSE()))</f>
        <v>352-0532-0302-03</v>
      </c>
      <c r="AD39" s="179"/>
      <c r="AE39" s="149"/>
      <c r="AF39" s="129"/>
      <c r="AG39" s="129"/>
      <c r="AH39" s="130"/>
      <c r="AI39" s="130" t="n">
        <f aca="false">IF($W38*F39&gt;150000,($W38*F39-150000)*6%*45%,0)</f>
        <v>0</v>
      </c>
      <c r="AJ39" s="130" t="n">
        <f aca="false">IF($W38*G39&gt;150000,($W38*G39-150000)*6%*45%,0)</f>
        <v>0</v>
      </c>
      <c r="AK39" s="130" t="n">
        <f aca="false">IF($W38*H39&gt;150000,($W38*H39-150000)*6%*45%,0)</f>
        <v>0</v>
      </c>
      <c r="AL39" s="130" t="n">
        <f aca="false">IF($W38*I39&gt;150000,($W38*I39-150000)*6%*45%,0)</f>
        <v>0</v>
      </c>
      <c r="AM39" s="130" t="n">
        <f aca="false">IF($W38*J39&gt;150000,($W38*J39-150000)*6%*45%,0)</f>
        <v>0</v>
      </c>
      <c r="AN39" s="130" t="n">
        <f aca="false">IF($W38*K39&gt;150000,($W38*K39-150000)*6%*45%,0)</f>
        <v>0</v>
      </c>
      <c r="AO39" s="130" t="n">
        <f aca="false">IF($W38*L39&gt;150000,($W38*L39-150000)*6%*45%,0)</f>
        <v>0</v>
      </c>
      <c r="AP39" s="130" t="n">
        <f aca="false">IF($W38*M39&gt;150000,($W38*M39-150000)*6%*45%,0)</f>
        <v>0</v>
      </c>
      <c r="AQ39" s="130" t="n">
        <f aca="false">IF($W38*N39&gt;150000,($W38*N39-150000)*6%*45%,0)</f>
        <v>0</v>
      </c>
      <c r="AR39" s="130" t="n">
        <f aca="false">IF($W38*O39&gt;150000,($W38*O39-150000)*6%*45%,0)</f>
        <v>0</v>
      </c>
      <c r="AS39" s="130" t="n">
        <f aca="false">IF($W38*P39&gt;150000,($W38*P39-150000)*6%*45%,0)</f>
        <v>0</v>
      </c>
      <c r="AT39" s="130" t="n">
        <f aca="false">IF($W38*Q39&gt;150000,($W38*Q39-150000)*6%*45%,0)</f>
        <v>0</v>
      </c>
      <c r="AU39" s="130" t="n">
        <f aca="false">IF($W38*R39&gt;150000,($W38*R39-150000)*6%*45%,0)</f>
        <v>0</v>
      </c>
      <c r="AV39" s="130" t="n">
        <f aca="false">IF($W38*S39&gt;150000,($W38*S39-150000)*6%*45%,0)</f>
        <v>0</v>
      </c>
      <c r="AW39" s="130" t="n">
        <f aca="false">IF($W38*T39&gt;150000,($W38*T39-150000)*6%*45%,0)</f>
        <v>0</v>
      </c>
      <c r="AX39" s="130" t="n">
        <f aca="false">IF($W38*U39&gt;150000,($W38*U39-150000)*6%*45%,0)</f>
        <v>0</v>
      </c>
      <c r="AY39" s="13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</row>
    <row r="40" customFormat="false" ht="12.6" hidden="false" customHeight="true" outlineLevel="0" collapsed="false">
      <c r="A40" s="108" t="n">
        <f aca="false">A38+1</f>
        <v>16</v>
      </c>
      <c r="B40" s="109"/>
      <c r="C40" s="139" t="s">
        <v>68</v>
      </c>
      <c r="D40" s="111" t="str">
        <f aca="false">IF(ISERROR(VLOOKUP(C40,일용직명단!$A$3:$K$1246,3,FALSE())),0,VLOOKUP(C40,일용직명단!$A$3:$K$1246,3,FALSE()))</f>
        <v>700705-1384813</v>
      </c>
      <c r="E40" s="173" t="str">
        <f aca="false">IF(ISERROR(VLOOKUP(C40,일용직명단!$A$3:$K$1246,4,FALSE())),0,VLOOKUP(C40,일용직명단!$A$3:$K$1246,4,FALSE()))</f>
        <v>충북 청주시 상당구 중고개로248번길 52-1</v>
      </c>
      <c r="F40" s="113"/>
      <c r="G40" s="114"/>
      <c r="H40" s="115"/>
      <c r="I40" s="115"/>
      <c r="J40" s="113"/>
      <c r="K40" s="115"/>
      <c r="L40" s="113"/>
      <c r="M40" s="113"/>
      <c r="N40" s="136"/>
      <c r="O40" s="137"/>
      <c r="P40" s="136"/>
      <c r="Q40" s="114"/>
      <c r="R40" s="113"/>
      <c r="S40" s="113"/>
      <c r="T40" s="113"/>
      <c r="U40" s="119"/>
      <c r="V40" s="120" t="n">
        <f aca="false">SUM(F40:U41)</f>
        <v>10</v>
      </c>
      <c r="W40" s="121" t="n">
        <f aca="false">IF(ISERROR(VLOOKUP(C40,일용직명단!$A$3:$K$1246,8,FALSE())),0,VLOOKUP(C40,일용직명단!$A$3:$K$1246,8,FALSE()))</f>
        <v>150000</v>
      </c>
      <c r="X40" s="177" t="n">
        <f aca="false">IFERROR(IF(AG40&gt;=65,0,ROUNDDOWN(W41*$Z$4,-1)),0)</f>
        <v>13500</v>
      </c>
      <c r="Y40" s="177" t="n">
        <f aca="false">IF(AE40&gt;=8,ROUNDDOWN(W41*$M$4,-1),0)</f>
        <v>53170</v>
      </c>
      <c r="Z40" s="177" t="n">
        <f aca="false">IFERROR(IF(AND(COUNT(F40:U41)&gt;=8,$AG40&lt;60,W41&lt;=5530000),ROUNDDOWN(ROUNDDOWN(W41,-3)*4.5%,-1),IF(AND(COUNT(F40:U41)&gt;=8,AG40&lt;60,W41&gt;5530000),248850,0)),0)</f>
        <v>67500</v>
      </c>
      <c r="AA40" s="124" t="n">
        <f aca="false">+X40+Y40+X41+Y41+Z40+Z41</f>
        <v>137610</v>
      </c>
      <c r="AB40" s="125" t="n">
        <f aca="false">W41-AA40</f>
        <v>1362390</v>
      </c>
      <c r="AC40" s="178" t="str">
        <f aca="false">IF(ISERROR(VLOOKUP(C40,일용직명단!$A$3:$I$1226,5,FALSE())),0,VLOOKUP(C40,일용직명단!$A$3:$I$1226,5,FALSE()))</f>
        <v>농협</v>
      </c>
      <c r="AD40" s="179" t="str">
        <f aca="false">IF(ISERROR(VLOOKUP(C40,일용직명단!$A$3:$I$1226,6,FALSE())),0,VLOOKUP(C40,일용직명단!$A$3:$I$1226,6,FALSE()))</f>
        <v>정상천</v>
      </c>
      <c r="AE40" s="149" t="n">
        <f aca="false">COUNT(F40:U41)</f>
        <v>10</v>
      </c>
      <c r="AF40" s="129" t="str">
        <f aca="false">IF(OR(MID(D40,8,1)="1",MID(D40,8,1)="2"),19&amp;LEFT(D40,2),20&amp;LEFT(D40,2))&amp;"-"&amp;MID(D40,3,2)&amp;"-"&amp;MID(D40,5,2)</f>
        <v>1970-07-05</v>
      </c>
      <c r="AG40" s="129" t="n">
        <f aca="true">INT((TODAY()-AF40)/365.25)</f>
        <v>55</v>
      </c>
      <c r="AH40" s="130" t="n">
        <f aca="false">ROUNDDOWN(SUM(AI40:AX41),-1)</f>
        <v>0</v>
      </c>
      <c r="AI40" s="130" t="n">
        <f aca="false">IF($W40*F40&gt;150000,($W40*F40-150000)*6%*45%,0)</f>
        <v>0</v>
      </c>
      <c r="AJ40" s="130" t="n">
        <f aca="false">IF($W40*G40&gt;150000,($W40*G40-150000)*6%*45%,0)</f>
        <v>0</v>
      </c>
      <c r="AK40" s="130" t="n">
        <f aca="false">IF($W40*H40&gt;150000,($W40*H40-150000)*6%*45%,0)</f>
        <v>0</v>
      </c>
      <c r="AL40" s="130" t="n">
        <f aca="false">IF($W40*I40&gt;150000,($W40*I40-150000)*6%*45%,0)</f>
        <v>0</v>
      </c>
      <c r="AM40" s="130" t="n">
        <f aca="false">IF($W40*J40&gt;150000,($W40*J40-150000)*6%*45%,0)</f>
        <v>0</v>
      </c>
      <c r="AN40" s="130" t="n">
        <f aca="false">IF($W40*K40&gt;150000,($W40*K40-150000)*6%*45%,0)</f>
        <v>0</v>
      </c>
      <c r="AO40" s="130" t="n">
        <f aca="false">IF($W40*L40&gt;150000,($W40*L40-150000)*6%*45%,0)</f>
        <v>0</v>
      </c>
      <c r="AP40" s="130" t="n">
        <f aca="false">IF($W40*M40&gt;150000,($W40*M40-150000)*6%*45%,0)</f>
        <v>0</v>
      </c>
      <c r="AQ40" s="130" t="n">
        <f aca="false">IF($W40*N40&gt;150000,($W40*N40-150000)*6%*45%,0)</f>
        <v>0</v>
      </c>
      <c r="AR40" s="130" t="n">
        <f aca="false">IF($W40*O40&gt;150000,($W40*O40-150000)*6%*45%,0)</f>
        <v>0</v>
      </c>
      <c r="AS40" s="130" t="n">
        <f aca="false">IF($W40*P40&gt;150000,($W40*P40-150000)*6%*45%,0)</f>
        <v>0</v>
      </c>
      <c r="AT40" s="130" t="n">
        <f aca="false">IF($W40*Q40&gt;150000,($W40*Q40-150000)*6%*45%,0)</f>
        <v>0</v>
      </c>
      <c r="AU40" s="130" t="n">
        <f aca="false">IF($W40*R40&gt;150000,($W40*R40-150000)*6%*45%,0)</f>
        <v>0</v>
      </c>
      <c r="AV40" s="130" t="n">
        <f aca="false">IF($W40*S40&gt;150000,($W40*S40-150000)*6%*45%,0)</f>
        <v>0</v>
      </c>
      <c r="AW40" s="130" t="n">
        <f aca="false">IF($W40*T40&gt;150000,($W40*T40-150000)*6%*45%,0)</f>
        <v>0</v>
      </c>
      <c r="AX40" s="130"/>
      <c r="AY40" s="131" t="n">
        <f aca="false">IF(ISERROR(VLOOKUP(C40,[26]일용직명단!$A$3:$M$1151,11,FALSE())),0,VLOOKUP(C40,[26]일용직명단!$A$3:$M$1151,11,FALSE()))</f>
        <v>0</v>
      </c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</row>
    <row r="41" customFormat="false" ht="12.6" hidden="false" customHeight="true" outlineLevel="0" collapsed="false">
      <c r="A41" s="108"/>
      <c r="B41" s="109"/>
      <c r="C41" s="139"/>
      <c r="D41" s="111"/>
      <c r="E41" s="173" t="n">
        <f aca="false">IF(ISERROR(VLOOKUP(C40,일용직명단!$A$3:$K$1246,9,FALSE())),0,VLOOKUP(C40,일용직명단!$A$3:$K$1246,9,FALSE()))</f>
        <v>0</v>
      </c>
      <c r="F41" s="180"/>
      <c r="G41" s="134"/>
      <c r="H41" s="134"/>
      <c r="I41" s="114"/>
      <c r="J41" s="181" t="n">
        <v>1</v>
      </c>
      <c r="K41" s="181" t="n">
        <v>1</v>
      </c>
      <c r="L41" s="181" t="n">
        <v>1</v>
      </c>
      <c r="M41" s="181" t="n">
        <v>1</v>
      </c>
      <c r="N41" s="181" t="n">
        <v>1</v>
      </c>
      <c r="O41" s="115"/>
      <c r="P41" s="114"/>
      <c r="Q41" s="182" t="n">
        <v>1</v>
      </c>
      <c r="R41" s="183" t="n">
        <v>1</v>
      </c>
      <c r="S41" s="184" t="n">
        <v>1</v>
      </c>
      <c r="T41" s="184" t="n">
        <v>1</v>
      </c>
      <c r="U41" s="181" t="n">
        <v>1</v>
      </c>
      <c r="V41" s="120"/>
      <c r="W41" s="138" t="n">
        <f aca="false">W40*V40</f>
        <v>1500000</v>
      </c>
      <c r="X41" s="177" t="n">
        <f aca="false">IF(AH40&lt;1000,0,AH40)</f>
        <v>0</v>
      </c>
      <c r="Y41" s="177" t="n">
        <f aca="false">ROUNDDOWN(X41*10%,-1)</f>
        <v>0</v>
      </c>
      <c r="Z41" s="177" t="n">
        <f aca="false">IF(AE40&gt;=8,ROUNDDOWN(Y40*$Q$4,-1),0)</f>
        <v>3440</v>
      </c>
      <c r="AA41" s="124"/>
      <c r="AB41" s="125"/>
      <c r="AC41" s="179" t="str">
        <f aca="false">IF(ISERROR(VLOOKUP(C40,일용직명단!$A$3:$I$1226,7,FALSE())),0,VLOOKUP(C40,일용직명단!$A$3:$I$1226,7,FALSE()))</f>
        <v>401120-52-051004</v>
      </c>
      <c r="AD41" s="179"/>
      <c r="AE41" s="149"/>
      <c r="AF41" s="129"/>
      <c r="AG41" s="129"/>
      <c r="AH41" s="130"/>
      <c r="AI41" s="130" t="n">
        <f aca="false">IF($W40*F41&gt;150000,($W40*F41-150000)*6%*45%,0)</f>
        <v>0</v>
      </c>
      <c r="AJ41" s="130" t="n">
        <f aca="false">IF($W40*G41&gt;150000,($W40*G41-150000)*6%*45%,0)</f>
        <v>0</v>
      </c>
      <c r="AK41" s="130" t="n">
        <f aca="false">IF($W40*H41&gt;150000,($W40*H41-150000)*6%*45%,0)</f>
        <v>0</v>
      </c>
      <c r="AL41" s="130" t="n">
        <f aca="false">IF($W40*I41&gt;150000,($W40*I41-150000)*6%*45%,0)</f>
        <v>0</v>
      </c>
      <c r="AM41" s="130" t="n">
        <f aca="false">IF($W40*J41&gt;150000,($W40*J41-150000)*6%*45%,0)</f>
        <v>0</v>
      </c>
      <c r="AN41" s="130" t="n">
        <f aca="false">IF($W40*K41&gt;150000,($W40*K41-150000)*6%*45%,0)</f>
        <v>0</v>
      </c>
      <c r="AO41" s="130" t="n">
        <f aca="false">IF($W40*L41&gt;150000,($W40*L41-150000)*6%*45%,0)</f>
        <v>0</v>
      </c>
      <c r="AP41" s="130" t="n">
        <f aca="false">IF($W40*M41&gt;150000,($W40*M41-150000)*6%*45%,0)</f>
        <v>0</v>
      </c>
      <c r="AQ41" s="130" t="n">
        <f aca="false">IF($W40*N41&gt;150000,($W40*N41-150000)*6%*45%,0)</f>
        <v>0</v>
      </c>
      <c r="AR41" s="130" t="n">
        <f aca="false">IF($W40*O41&gt;150000,($W40*O41-150000)*6%*45%,0)</f>
        <v>0</v>
      </c>
      <c r="AS41" s="130" t="n">
        <f aca="false">IF($W40*P41&gt;150000,($W40*P41-150000)*6%*45%,0)</f>
        <v>0</v>
      </c>
      <c r="AT41" s="130" t="n">
        <f aca="false">IF($W40*Q41&gt;150000,($W40*Q41-150000)*6%*45%,0)</f>
        <v>0</v>
      </c>
      <c r="AU41" s="130" t="n">
        <f aca="false">IF($W40*R41&gt;150000,($W40*R41-150000)*6%*45%,0)</f>
        <v>0</v>
      </c>
      <c r="AV41" s="130" t="n">
        <f aca="false">IF($W40*S41&gt;150000,($W40*S41-150000)*6%*45%,0)</f>
        <v>0</v>
      </c>
      <c r="AW41" s="130" t="n">
        <f aca="false">IF($W40*T41&gt;150000,($W40*T41-150000)*6%*45%,0)</f>
        <v>0</v>
      </c>
      <c r="AX41" s="130" t="n">
        <f aca="false">IF($W40*U41&gt;150000,($W40*U41-150000)*6%*45%,0)</f>
        <v>0</v>
      </c>
      <c r="AY41" s="13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</row>
    <row r="42" customFormat="false" ht="12.6" hidden="false" customHeight="true" outlineLevel="0" collapsed="false">
      <c r="A42" s="108" t="n">
        <f aca="false">A40+1</f>
        <v>17</v>
      </c>
      <c r="B42" s="142"/>
      <c r="C42" s="143" t="s">
        <v>69</v>
      </c>
      <c r="D42" s="111" t="str">
        <f aca="false">IF(ISERROR(VLOOKUP(C42,일용직명단!$A$3:$K$1246,3,FALSE())),0,VLOOKUP(C42,일용직명단!$A$3:$K$1246,3,FALSE()))</f>
        <v>8102206-2332812</v>
      </c>
      <c r="E42" s="140" t="str">
        <f aca="false">IF(ISERROR(VLOOKUP(C42,일용직명단!$A$3:$K$1246,4,FALSE())),0,VLOOKUP(C42,일용직명단!$A$3:$K$1246,4,FALSE()))</f>
        <v>충북 청주시 흥덕구 수곡로 74, 101동 714호</v>
      </c>
      <c r="F42" s="113"/>
      <c r="G42" s="114"/>
      <c r="H42" s="115"/>
      <c r="I42" s="115"/>
      <c r="J42" s="113"/>
      <c r="K42" s="115"/>
      <c r="L42" s="113"/>
      <c r="M42" s="113"/>
      <c r="N42" s="114"/>
      <c r="O42" s="115"/>
      <c r="P42" s="113"/>
      <c r="Q42" s="114"/>
      <c r="R42" s="115"/>
      <c r="S42" s="114"/>
      <c r="T42" s="115"/>
      <c r="U42" s="119"/>
      <c r="V42" s="168" t="n">
        <f aca="false">SUM(F42:U43)</f>
        <v>10</v>
      </c>
      <c r="W42" s="121" t="n">
        <f aca="false">IF(ISERROR(VLOOKUP(C42,일용직명단!$A$3:$K$1246,8,FALSE())),0,VLOOKUP(C42,일용직명단!$A$3:$K$1246,8,FALSE()))</f>
        <v>250000</v>
      </c>
      <c r="X42" s="123" t="n">
        <f aca="false">IFERROR(IF(AG42&gt;=65,0,ROUNDDOWN(W43*$Z$4,-1)),0)</f>
        <v>22500</v>
      </c>
      <c r="Y42" s="123" t="n">
        <f aca="false">IF(AE42&gt;=8,ROUNDDOWN(W43*$M$4,-1),0)</f>
        <v>88620</v>
      </c>
      <c r="Z42" s="123" t="n">
        <f aca="false">IFERROR(IF(AND(COUNT(F42:U43)&gt;=8,$AG42&lt;60,W43&lt;=5530000),ROUNDDOWN(ROUNDDOWN(W43,-3)*4.5%,-1),IF(AND(COUNT(F42:U43)&gt;=8,AG42&lt;60,W43&gt;5530000),248850,0)),0)</f>
        <v>112500</v>
      </c>
      <c r="AA42" s="145" t="n">
        <f aca="false">+X42+Y42+X43+Y43+Z42+Z43</f>
        <v>259050</v>
      </c>
      <c r="AB42" s="146" t="n">
        <f aca="false">W43-AA42</f>
        <v>2240950</v>
      </c>
      <c r="AC42" s="165" t="str">
        <f aca="false">IF(ISERROR(VLOOKUP(C42,일용직명단!$A$3:$I$1226,5,FALSE())),0,VLOOKUP(C42,일용직명단!$A$3:$I$1226,5,FALSE()))</f>
        <v>신협</v>
      </c>
      <c r="AD42" s="166" t="str">
        <f aca="false">IF(ISERROR(VLOOKUP(C42,일용직명단!$A$3:$I$1226,6,FALSE())),0,VLOOKUP(C42,일용직명단!$A$3:$I$1226,6,FALSE()))</f>
        <v>장인숙</v>
      </c>
      <c r="AE42" s="141" t="n">
        <f aca="false">COUNT(F42:U43)</f>
        <v>10</v>
      </c>
      <c r="AF42" s="169" t="str">
        <f aca="false">IF(OR(MID(D42,8,1)="1",MID(D42,8,1)="2"),19&amp;LEFT(D42,2),20&amp;LEFT(D42,2))&amp;"-"&amp;MID(D42,3,2)&amp;"-"&amp;MID(D42,5,2)</f>
        <v>2081-02-20</v>
      </c>
      <c r="AG42" s="169" t="n">
        <f aca="true">INT((TODAY()-AF42)/365.25)</f>
        <v>-55</v>
      </c>
      <c r="AH42" s="130" t="n">
        <f aca="false">ROUNDDOWN(SUM(AI42:AX43),-1)</f>
        <v>27000</v>
      </c>
      <c r="AI42" s="130" t="n">
        <f aca="false">IF($W42*F42&gt;150000,($W42*F42-150000)*6%*45%,0)</f>
        <v>0</v>
      </c>
      <c r="AJ42" s="130" t="n">
        <f aca="false">IF($W42*G42&gt;150000,($W42*G42-150000)*6%*45%,0)</f>
        <v>0</v>
      </c>
      <c r="AK42" s="130" t="n">
        <f aca="false">IF($W42*H42&gt;150000,($W42*H42-150000)*6%*45%,0)</f>
        <v>0</v>
      </c>
      <c r="AL42" s="130" t="n">
        <f aca="false">IF($W42*I42&gt;150000,($W42*I42-150000)*6%*45%,0)</f>
        <v>0</v>
      </c>
      <c r="AM42" s="130" t="n">
        <f aca="false">IF($W42*J42&gt;150000,($W42*J42-150000)*6%*45%,0)</f>
        <v>0</v>
      </c>
      <c r="AN42" s="130" t="n">
        <f aca="false">IF($W42*K42&gt;150000,($W42*K42-150000)*6%*45%,0)</f>
        <v>0</v>
      </c>
      <c r="AO42" s="130" t="n">
        <f aca="false">IF($W42*L42&gt;150000,($W42*L42-150000)*6%*45%,0)</f>
        <v>0</v>
      </c>
      <c r="AP42" s="130" t="n">
        <f aca="false">IF($W42*M42&gt;150000,($W42*M42-150000)*6%*45%,0)</f>
        <v>0</v>
      </c>
      <c r="AQ42" s="130" t="n">
        <f aca="false">IF($W42*N42&gt;150000,($W42*N42-150000)*6%*45%,0)</f>
        <v>0</v>
      </c>
      <c r="AR42" s="130" t="n">
        <f aca="false">IF($W42*O42&gt;150000,($W42*O42-150000)*6%*45%,0)</f>
        <v>0</v>
      </c>
      <c r="AS42" s="130" t="n">
        <f aca="false">IF($W42*P42&gt;150000,($W42*P42-150000)*6%*45%,0)</f>
        <v>0</v>
      </c>
      <c r="AT42" s="130" t="n">
        <f aca="false">IF($W42*Q42&gt;150000,($W42*Q42-150000)*6%*45%,0)</f>
        <v>0</v>
      </c>
      <c r="AU42" s="130" t="n">
        <f aca="false">IF($W42*R42&gt;150000,($W42*R42-150000)*6%*45%,0)</f>
        <v>0</v>
      </c>
      <c r="AV42" s="130" t="n">
        <f aca="false">IF($W42*S42&gt;150000,($W42*S42-150000)*6%*45%,0)</f>
        <v>0</v>
      </c>
      <c r="AW42" s="130" t="n">
        <f aca="false">IF($W42*T42&gt;150000,($W42*T42-150000)*6%*45%,0)</f>
        <v>0</v>
      </c>
      <c r="AX42" s="130"/>
      <c r="AY42" s="131" t="n">
        <f aca="false">IF(ISERROR(VLOOKUP(C42,[26]일용직명단!$A$3:$M$1151,11,FALSE())),0,VLOOKUP(C42,[26]일용직명단!$A$3:$M$1151,11,FALSE()))</f>
        <v>0</v>
      </c>
      <c r="AZ42" s="11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</row>
    <row r="43" customFormat="false" ht="12" hidden="false" customHeight="true" outlineLevel="0" collapsed="false">
      <c r="A43" s="108"/>
      <c r="B43" s="142"/>
      <c r="C43" s="143"/>
      <c r="D43" s="111"/>
      <c r="E43" s="140" t="n">
        <f aca="false">IF(ISERROR(VLOOKUP(C42,일용직명단!$A$3:$K$1246,9,FALSE())),0,VLOOKUP(C42,일용직명단!$A$3:$K$1246,9,FALSE()))</f>
        <v>0</v>
      </c>
      <c r="F43" s="180"/>
      <c r="G43" s="134"/>
      <c r="H43" s="134"/>
      <c r="I43" s="114"/>
      <c r="J43" s="181" t="n">
        <v>1</v>
      </c>
      <c r="K43" s="181" t="n">
        <v>1</v>
      </c>
      <c r="L43" s="181" t="n">
        <v>1</v>
      </c>
      <c r="M43" s="181" t="n">
        <v>1</v>
      </c>
      <c r="N43" s="181" t="n">
        <v>1</v>
      </c>
      <c r="O43" s="115"/>
      <c r="P43" s="114"/>
      <c r="Q43" s="182" t="n">
        <v>1</v>
      </c>
      <c r="R43" s="183" t="n">
        <v>1</v>
      </c>
      <c r="S43" s="184" t="n">
        <v>1</v>
      </c>
      <c r="T43" s="184" t="n">
        <v>1</v>
      </c>
      <c r="U43" s="181" t="n">
        <v>1</v>
      </c>
      <c r="V43" s="168"/>
      <c r="W43" s="138" t="n">
        <f aca="false">W42*V42</f>
        <v>2500000</v>
      </c>
      <c r="X43" s="123" t="n">
        <f aca="false">IF(AH42&lt;1000,0,AH42)</f>
        <v>27000</v>
      </c>
      <c r="Y43" s="123" t="n">
        <f aca="false">ROUNDDOWN(X43*10%,-1)</f>
        <v>2700</v>
      </c>
      <c r="Z43" s="123" t="n">
        <f aca="false">IF(AE42&gt;=8,ROUNDDOWN(Y42*$Q$4,-1),0)</f>
        <v>5730</v>
      </c>
      <c r="AA43" s="145"/>
      <c r="AB43" s="146"/>
      <c r="AC43" s="166" t="str">
        <f aca="false">IF(ISERROR(VLOOKUP(C42,일용직명단!$A$3:$I$1226,7,FALSE())),0,VLOOKUP(C42,일용직명단!$A$3:$I$1226,7,FALSE()))</f>
        <v>132-033-152363</v>
      </c>
      <c r="AD43" s="166"/>
      <c r="AE43" s="141"/>
      <c r="AF43" s="169"/>
      <c r="AG43" s="169"/>
      <c r="AH43" s="130"/>
      <c r="AI43" s="130" t="n">
        <f aca="false">IF($W42*F43&gt;150000,($W42*F43-150000)*6%*45%,0)</f>
        <v>0</v>
      </c>
      <c r="AJ43" s="130" t="n">
        <f aca="false">IF($W42*G43&gt;150000,($W42*G43-150000)*6%*45%,0)</f>
        <v>0</v>
      </c>
      <c r="AK43" s="130" t="n">
        <f aca="false">IF($W42*H43&gt;150000,($W42*H43-150000)*6%*45%,0)</f>
        <v>0</v>
      </c>
      <c r="AL43" s="130" t="n">
        <f aca="false">IF($W42*I43&gt;150000,($W42*I43-150000)*6%*45%,0)</f>
        <v>0</v>
      </c>
      <c r="AM43" s="130" t="n">
        <f aca="false">IF($W42*J43&gt;150000,($W42*J43-150000)*6%*45%,0)</f>
        <v>2700</v>
      </c>
      <c r="AN43" s="130" t="n">
        <f aca="false">IF($W42*K43&gt;150000,($W42*K43-150000)*6%*45%,0)</f>
        <v>2700</v>
      </c>
      <c r="AO43" s="130" t="n">
        <f aca="false">IF($W42*L43&gt;150000,($W42*L43-150000)*6%*45%,0)</f>
        <v>2700</v>
      </c>
      <c r="AP43" s="130" t="n">
        <f aca="false">IF($W42*M43&gt;150000,($W42*M43-150000)*6%*45%,0)</f>
        <v>2700</v>
      </c>
      <c r="AQ43" s="130" t="n">
        <f aca="false">IF($W42*N43&gt;150000,($W42*N43-150000)*6%*45%,0)</f>
        <v>2700</v>
      </c>
      <c r="AR43" s="130" t="n">
        <f aca="false">IF($W42*O43&gt;150000,($W42*O43-150000)*6%*45%,0)</f>
        <v>0</v>
      </c>
      <c r="AS43" s="130" t="n">
        <f aca="false">IF($W42*P43&gt;150000,($W42*P43-150000)*6%*45%,0)</f>
        <v>0</v>
      </c>
      <c r="AT43" s="130" t="n">
        <f aca="false">IF($W42*Q43&gt;150000,($W42*Q43-150000)*6%*45%,0)</f>
        <v>2700</v>
      </c>
      <c r="AU43" s="130" t="n">
        <f aca="false">IF($W42*R43&gt;150000,($W42*R43-150000)*6%*45%,0)</f>
        <v>2700</v>
      </c>
      <c r="AV43" s="130" t="n">
        <f aca="false">IF($W42*S43&gt;150000,($W42*S43-150000)*6%*45%,0)</f>
        <v>2700</v>
      </c>
      <c r="AW43" s="130" t="n">
        <f aca="false">IF($W42*T43&gt;150000,($W42*T43-150000)*6%*45%,0)</f>
        <v>2700</v>
      </c>
      <c r="AX43" s="130" t="n">
        <f aca="false">IF($W42*U43&gt;150000,($W42*U43-150000)*6%*45%,0)</f>
        <v>2700</v>
      </c>
      <c r="AY43" s="131"/>
      <c r="AZ43" s="11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</row>
    <row r="44" customFormat="false" ht="12.6" hidden="false" customHeight="true" outlineLevel="0" collapsed="false">
      <c r="A44" s="108" t="n">
        <f aca="false">A42+1</f>
        <v>18</v>
      </c>
      <c r="B44" s="142"/>
      <c r="C44" s="139" t="s">
        <v>70</v>
      </c>
      <c r="D44" s="111" t="str">
        <f aca="false">IF(ISERROR(VLOOKUP(C44,일용직명단!$A$3:$K$1246,3,FALSE())),0,VLOOKUP(C44,일용직명단!$A$3:$K$1246,3,FALSE()))</f>
        <v>611223-2347932</v>
      </c>
      <c r="E44" s="140" t="str">
        <f aca="false">IF(ISERROR(VLOOKUP(C44,일용직명단!$A$3:$K$1246,4,FALSE())),0,VLOOKUP(C44,일용직명단!$A$3:$K$1246,4,FALSE()))</f>
        <v>충북 청주시 상당구 남일면 효촌송정1길 44, 라동 202호(한림남일빌라)</v>
      </c>
      <c r="F44" s="113"/>
      <c r="G44" s="134"/>
      <c r="H44" s="134"/>
      <c r="I44" s="115"/>
      <c r="J44" s="113"/>
      <c r="K44" s="115"/>
      <c r="L44" s="113"/>
      <c r="M44" s="113"/>
      <c r="N44" s="114"/>
      <c r="O44" s="115"/>
      <c r="P44" s="113"/>
      <c r="Q44" s="114"/>
      <c r="R44" s="115"/>
      <c r="S44" s="114"/>
      <c r="T44" s="115"/>
      <c r="U44" s="119"/>
      <c r="V44" s="168" t="n">
        <f aca="false">SUM(F44:U45)</f>
        <v>10</v>
      </c>
      <c r="W44" s="121" t="n">
        <f aca="false">IF(ISERROR(VLOOKUP(C44,일용직명단!$A$3:$K$1246,8,FALSE())),0,VLOOKUP(C44,일용직명단!$A$3:$K$1246,8,FALSE()))</f>
        <v>250000</v>
      </c>
      <c r="X44" s="123" t="n">
        <f aca="false">IFERROR(IF(AG44&gt;=65,0,ROUNDDOWN(W45*$Z$4,-1)),0)</f>
        <v>22500</v>
      </c>
      <c r="Y44" s="123" t="n">
        <f aca="false">IF(AE44&gt;=8,ROUNDDOWN(W45*$M$4,-1),0)</f>
        <v>88620</v>
      </c>
      <c r="Z44" s="123" t="n">
        <f aca="false">IFERROR(IF(AND(COUNT(F44:U45)&gt;=8,$AG44&lt;60,W45&lt;=5530000),ROUNDDOWN(ROUNDDOWN(W45,-3)*4.5%,-1),IF(AND(COUNT(F44:U45)&gt;=8,AG44&lt;60,W45&gt;5530000),248850,0)),0)</f>
        <v>0</v>
      </c>
      <c r="AA44" s="145" t="n">
        <f aca="false">+X44+Y44+X45+Y45+Z44+Z45</f>
        <v>146550</v>
      </c>
      <c r="AB44" s="146" t="n">
        <f aca="false">W45-AA44</f>
        <v>2353450</v>
      </c>
      <c r="AC44" s="165" t="str">
        <f aca="false">IF(ISERROR(VLOOKUP(C44,일용직명단!$A$3:$I$1226,5,FALSE())),0,VLOOKUP(C44,일용직명단!$A$3:$I$1226,5,FALSE()))</f>
        <v>농협</v>
      </c>
      <c r="AD44" s="166" t="str">
        <f aca="false">IF(ISERROR(VLOOKUP(C44,일용직명단!$A$3:$I$1226,6,FALSE())),0,VLOOKUP(C44,일용직명단!$A$3:$I$1226,6,FALSE()))</f>
        <v>이인순</v>
      </c>
      <c r="AE44" s="141" t="n">
        <f aca="false">COUNT(F44:U45)</f>
        <v>10</v>
      </c>
      <c r="AF44" s="169" t="str">
        <f aca="false">IF(OR(MID(D44,8,1)="1",MID(D44,8,1)="2"),19&amp;LEFT(D44,2),20&amp;LEFT(D44,2))&amp;"-"&amp;MID(D44,3,2)&amp;"-"&amp;MID(D44,5,2)</f>
        <v>1961-12-23</v>
      </c>
      <c r="AG44" s="169" t="n">
        <f aca="true">INT((TODAY()-AF44)/365.25)</f>
        <v>64</v>
      </c>
      <c r="AH44" s="130" t="n">
        <f aca="false">ROUNDDOWN(SUM(AI44:AX45),-1)</f>
        <v>27000</v>
      </c>
      <c r="AI44" s="130" t="n">
        <f aca="false">IF($W44*F44&gt;150000,($W44*F44-150000)*6%*45%,0)</f>
        <v>0</v>
      </c>
      <c r="AJ44" s="130" t="n">
        <f aca="false">IF($W44*G44&gt;150000,($W44*G44-150000)*6%*45%,0)</f>
        <v>0</v>
      </c>
      <c r="AK44" s="130" t="n">
        <f aca="false">IF($W44*H44&gt;150000,($W44*H44-150000)*6%*45%,0)</f>
        <v>0</v>
      </c>
      <c r="AL44" s="130" t="n">
        <f aca="false">IF($W44*I44&gt;150000,($W44*I44-150000)*6%*45%,0)</f>
        <v>0</v>
      </c>
      <c r="AM44" s="130" t="n">
        <f aca="false">IF($W44*J44&gt;150000,($W44*J44-150000)*6%*45%,0)</f>
        <v>0</v>
      </c>
      <c r="AN44" s="130" t="n">
        <f aca="false">IF($W44*K44&gt;150000,($W44*K44-150000)*6%*45%,0)</f>
        <v>0</v>
      </c>
      <c r="AO44" s="130" t="n">
        <f aca="false">IF($W44*L44&gt;150000,($W44*L44-150000)*6%*45%,0)</f>
        <v>0</v>
      </c>
      <c r="AP44" s="130" t="n">
        <f aca="false">IF($W44*M44&gt;150000,($W44*M44-150000)*6%*45%,0)</f>
        <v>0</v>
      </c>
      <c r="AQ44" s="130" t="n">
        <f aca="false">IF($W44*N44&gt;150000,($W44*N44-150000)*6%*45%,0)</f>
        <v>0</v>
      </c>
      <c r="AR44" s="130" t="n">
        <f aca="false">IF($W44*O44&gt;150000,($W44*O44-150000)*6%*45%,0)</f>
        <v>0</v>
      </c>
      <c r="AS44" s="130" t="n">
        <f aca="false">IF($W44*P44&gt;150000,($W44*P44-150000)*6%*45%,0)</f>
        <v>0</v>
      </c>
      <c r="AT44" s="130" t="n">
        <f aca="false">IF($W44*Q44&gt;150000,($W44*Q44-150000)*6%*45%,0)</f>
        <v>0</v>
      </c>
      <c r="AU44" s="130" t="n">
        <f aca="false">IF($W44*R44&gt;150000,($W44*R44-150000)*6%*45%,0)</f>
        <v>0</v>
      </c>
      <c r="AV44" s="130" t="n">
        <f aca="false">IF($W44*S44&gt;150000,($W44*S44-150000)*6%*45%,0)</f>
        <v>0</v>
      </c>
      <c r="AW44" s="130" t="n">
        <f aca="false">IF($W44*T44&gt;150000,($W44*T44-150000)*6%*45%,0)</f>
        <v>0</v>
      </c>
      <c r="AX44" s="130"/>
      <c r="AY44" s="131" t="n">
        <f aca="false">IF(ISERROR(VLOOKUP(C44,[26]일용직명단!$A$3:$M$1151,11,FALSE())),0,VLOOKUP(C44,[26]일용직명단!$A$3:$M$1151,11,FALSE()))</f>
        <v>0</v>
      </c>
      <c r="AZ44" s="11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</row>
    <row r="45" customFormat="false" ht="12.6" hidden="false" customHeight="true" outlineLevel="0" collapsed="false">
      <c r="A45" s="108"/>
      <c r="B45" s="142"/>
      <c r="C45" s="139"/>
      <c r="D45" s="111"/>
      <c r="E45" s="140" t="n">
        <f aca="false">IF(ISERROR(VLOOKUP(C44,일용직명단!$A$3:$K$1246,9,FALSE())),0,VLOOKUP(C44,일용직명단!$A$3:$K$1246,9,FALSE()))</f>
        <v>0</v>
      </c>
      <c r="F45" s="180"/>
      <c r="G45" s="134"/>
      <c r="H45" s="134"/>
      <c r="I45" s="113"/>
      <c r="J45" s="181" t="n">
        <v>1</v>
      </c>
      <c r="K45" s="181" t="n">
        <v>1</v>
      </c>
      <c r="L45" s="181" t="n">
        <v>1</v>
      </c>
      <c r="M45" s="181" t="n">
        <v>1</v>
      </c>
      <c r="N45" s="181" t="n">
        <v>1</v>
      </c>
      <c r="O45" s="115"/>
      <c r="P45" s="114"/>
      <c r="Q45" s="182" t="n">
        <v>1</v>
      </c>
      <c r="R45" s="183" t="n">
        <v>1</v>
      </c>
      <c r="S45" s="184" t="n">
        <v>1</v>
      </c>
      <c r="T45" s="184" t="n">
        <v>1</v>
      </c>
      <c r="U45" s="181" t="n">
        <v>1</v>
      </c>
      <c r="V45" s="168"/>
      <c r="W45" s="138" t="n">
        <f aca="false">W44*V44</f>
        <v>2500000</v>
      </c>
      <c r="X45" s="123" t="n">
        <f aca="false">IF(AH44&lt;1000,0,AH44)</f>
        <v>27000</v>
      </c>
      <c r="Y45" s="123" t="n">
        <f aca="false">ROUNDDOWN(X45*10%,-1)</f>
        <v>2700</v>
      </c>
      <c r="Z45" s="123" t="n">
        <f aca="false">IF(AE44&gt;=8,ROUNDDOWN(Y44*$Q$4,-1),0)</f>
        <v>5730</v>
      </c>
      <c r="AA45" s="145"/>
      <c r="AB45" s="146"/>
      <c r="AC45" s="166" t="str">
        <f aca="false">IF(ISERROR(VLOOKUP(C44,일용직명단!$A$3:$I$1226,7,FALSE())),0,VLOOKUP(C44,일용직명단!$A$3:$I$1226,7,FALSE()))</f>
        <v>352-1890-9969-73</v>
      </c>
      <c r="AD45" s="166"/>
      <c r="AE45" s="141"/>
      <c r="AF45" s="169"/>
      <c r="AG45" s="169"/>
      <c r="AH45" s="130"/>
      <c r="AI45" s="130" t="n">
        <f aca="false">IF($W44*F45&gt;150000,($W44*F45-150000)*6%*45%,0)</f>
        <v>0</v>
      </c>
      <c r="AJ45" s="130" t="n">
        <f aca="false">IF($W44*G45&gt;150000,($W44*G45-150000)*6%*45%,0)</f>
        <v>0</v>
      </c>
      <c r="AK45" s="130" t="n">
        <f aca="false">IF($W44*H45&gt;150000,($W44*H45-150000)*6%*45%,0)</f>
        <v>0</v>
      </c>
      <c r="AL45" s="130" t="n">
        <f aca="false">IF($W44*I45&gt;150000,($W44*I45-150000)*6%*45%,0)</f>
        <v>0</v>
      </c>
      <c r="AM45" s="130" t="n">
        <f aca="false">IF($W44*J45&gt;150000,($W44*J45-150000)*6%*45%,0)</f>
        <v>2700</v>
      </c>
      <c r="AN45" s="130" t="n">
        <f aca="false">IF($W44*K45&gt;150000,($W44*K45-150000)*6%*45%,0)</f>
        <v>2700</v>
      </c>
      <c r="AO45" s="130" t="n">
        <f aca="false">IF($W44*L45&gt;150000,($W44*L45-150000)*6%*45%,0)</f>
        <v>2700</v>
      </c>
      <c r="AP45" s="130" t="n">
        <f aca="false">IF($W44*M45&gt;150000,($W44*M45-150000)*6%*45%,0)</f>
        <v>2700</v>
      </c>
      <c r="AQ45" s="130" t="n">
        <f aca="false">IF($W44*N45&gt;150000,($W44*N45-150000)*6%*45%,0)</f>
        <v>2700</v>
      </c>
      <c r="AR45" s="130" t="n">
        <f aca="false">IF($W44*O45&gt;150000,($W44*O45-150000)*6%*45%,0)</f>
        <v>0</v>
      </c>
      <c r="AS45" s="130" t="n">
        <f aca="false">IF($W44*P45&gt;150000,($W44*P45-150000)*6%*45%,0)</f>
        <v>0</v>
      </c>
      <c r="AT45" s="130" t="n">
        <f aca="false">IF($W44*Q45&gt;150000,($W44*Q45-150000)*6%*45%,0)</f>
        <v>2700</v>
      </c>
      <c r="AU45" s="130" t="n">
        <f aca="false">IF($W44*R45&gt;150000,($W44*R45-150000)*6%*45%,0)</f>
        <v>2700</v>
      </c>
      <c r="AV45" s="130" t="n">
        <f aca="false">IF($W44*S45&gt;150000,($W44*S45-150000)*6%*45%,0)</f>
        <v>2700</v>
      </c>
      <c r="AW45" s="130" t="n">
        <f aca="false">IF($W44*T45&gt;150000,($W44*T45-150000)*6%*45%,0)</f>
        <v>2700</v>
      </c>
      <c r="AX45" s="130" t="n">
        <f aca="false">IF($W44*U45&gt;150000,($W44*U45-150000)*6%*45%,0)</f>
        <v>2700</v>
      </c>
      <c r="AY45" s="131"/>
      <c r="AZ45" s="11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</row>
    <row r="46" customFormat="false" ht="12.6" hidden="false" customHeight="true" outlineLevel="0" collapsed="false">
      <c r="A46" s="108" t="n">
        <f aca="false">A44+1</f>
        <v>19</v>
      </c>
      <c r="B46" s="109" t="n">
        <f aca="false">IF(ISERROR(VLOOKUP(C46,일용직명단!$A$3:$I$104,2,FALSE())),0,VLOOKUP(C46,일용직명단!$A$3:$I$104,2,FALSE()))</f>
        <v>0</v>
      </c>
      <c r="C46" s="143" t="s">
        <v>71</v>
      </c>
      <c r="D46" s="111" t="str">
        <f aca="false">IF(ISERROR(VLOOKUP(C46,일용직명단!$A$3:$K$1246,3,FALSE())),0,VLOOKUP(C46,일용직명단!$A$3:$K$1246,3,FALSE()))</f>
        <v>631106-2388320</v>
      </c>
      <c r="E46" s="140" t="str">
        <f aca="false">IF(ISERROR(VLOOKUP(C46,일용직명단!$A$3:$K$1246,4,FALSE())),0,VLOOKUP(C46,일용직명단!$A$3:$K$1246,4,FALSE()))</f>
        <v>충북 청주시 흥덕구 1순환로513번길 33, 103동 106호(신봉동, 삼정백조@)</v>
      </c>
      <c r="F46" s="113"/>
      <c r="G46" s="114"/>
      <c r="H46" s="134"/>
      <c r="I46" s="115"/>
      <c r="J46" s="113"/>
      <c r="K46" s="115"/>
      <c r="L46" s="113"/>
      <c r="M46" s="113"/>
      <c r="N46" s="114"/>
      <c r="O46" s="115"/>
      <c r="P46" s="113"/>
      <c r="Q46" s="114"/>
      <c r="R46" s="115"/>
      <c r="S46" s="114"/>
      <c r="T46" s="115"/>
      <c r="U46" s="119"/>
      <c r="V46" s="120" t="n">
        <f aca="false">SUM(F46:U47)</f>
        <v>10</v>
      </c>
      <c r="W46" s="121" t="n">
        <f aca="false">IF(ISERROR(VLOOKUP(C46,일용직명단!$A$3:$K$1246,8,FALSE())),0,VLOOKUP(C46,일용직명단!$A$3:$K$1246,8,FALSE()))</f>
        <v>250000</v>
      </c>
      <c r="X46" s="122" t="n">
        <f aca="false">IFERROR(IF(AG46&gt;=65,0,ROUNDDOWN(W47*$Z$4,-1)),0)</f>
        <v>22500</v>
      </c>
      <c r="Y46" s="122" t="n">
        <f aca="false">IF(AE46&gt;=8,ROUNDDOWN(W47*$M$4,-1),0)</f>
        <v>88620</v>
      </c>
      <c r="Z46" s="123" t="n">
        <f aca="false">IFERROR(IF(AND(COUNT(F46:U47)&gt;=8,$AG46&lt;60,W47&lt;=5530000),ROUNDDOWN(ROUNDDOWN(W47,-3)*4.5%,-1),IF(AND(COUNT(F46:U47)&gt;=8,AG46&lt;60,W47&gt;5530000),248850,0)),0)</f>
        <v>0</v>
      </c>
      <c r="AA46" s="124" t="n">
        <f aca="false">+X46+Y46+X47+Y47+Z46+Z47</f>
        <v>146550</v>
      </c>
      <c r="AB46" s="125" t="n">
        <f aca="false">W47-AA46</f>
        <v>2353450</v>
      </c>
      <c r="AC46" s="126" t="str">
        <f aca="false">IF(ISERROR(VLOOKUP(C46,일용직명단!$A$3:$I$1226,5,FALSE())),0,VLOOKUP(C46,일용직명단!$A$3:$I$1226,5,FALSE()))</f>
        <v>신한</v>
      </c>
      <c r="AD46" s="127" t="str">
        <f aca="false">IF(ISERROR(VLOOKUP(C46,일용직명단!$A$3:$I$1226,6,FALSE())),0,VLOOKUP(C46,일용직명단!$A$3:$I$1226,6,FALSE()))</f>
        <v>신현진</v>
      </c>
      <c r="AE46" s="141" t="n">
        <f aca="false">COUNT(F46:U47)</f>
        <v>10</v>
      </c>
      <c r="AF46" s="129" t="str">
        <f aca="false">IF(OR(MID(D46,8,1)="1",MID(D46,8,1)="2"),19&amp;LEFT(D46,2),20&amp;LEFT(D46,2))&amp;"-"&amp;MID(D46,3,2)&amp;"-"&amp;MID(D46,5,2)</f>
        <v>1963-11-06</v>
      </c>
      <c r="AG46" s="129" t="n">
        <f aca="true">INT((TODAY()-AF46)/365.25)</f>
        <v>62</v>
      </c>
      <c r="AH46" s="130" t="n">
        <f aca="false">ROUNDDOWN(SUM(AI46:AX47),-1)</f>
        <v>27000</v>
      </c>
      <c r="AI46" s="130" t="n">
        <f aca="false">IF($W46*F46&gt;150000,($W46*F46-150000)*6%*45%,0)</f>
        <v>0</v>
      </c>
      <c r="AJ46" s="130" t="n">
        <f aca="false">IF($W46*G46&gt;150000,($W46*G46-150000)*6%*45%,0)</f>
        <v>0</v>
      </c>
      <c r="AK46" s="130" t="n">
        <f aca="false">IF($W46*H46&gt;150000,($W46*H46-150000)*6%*45%,0)</f>
        <v>0</v>
      </c>
      <c r="AL46" s="130" t="n">
        <f aca="false">IF($W46*I46&gt;150000,($W46*I46-150000)*6%*45%,0)</f>
        <v>0</v>
      </c>
      <c r="AM46" s="130" t="n">
        <f aca="false">IF($W46*J46&gt;150000,($W46*J46-150000)*6%*45%,0)</f>
        <v>0</v>
      </c>
      <c r="AN46" s="130" t="n">
        <f aca="false">IF($W46*K46&gt;150000,($W46*K46-150000)*6%*45%,0)</f>
        <v>0</v>
      </c>
      <c r="AO46" s="130" t="n">
        <f aca="false">IF($W46*L46&gt;150000,($W46*L46-150000)*6%*45%,0)</f>
        <v>0</v>
      </c>
      <c r="AP46" s="130" t="n">
        <f aca="false">IF($W46*M46&gt;150000,($W46*M46-150000)*6%*45%,0)</f>
        <v>0</v>
      </c>
      <c r="AQ46" s="130" t="n">
        <f aca="false">IF($W46*N46&gt;150000,($W46*N46-150000)*6%*45%,0)</f>
        <v>0</v>
      </c>
      <c r="AR46" s="130" t="n">
        <f aca="false">IF($W46*O46&gt;150000,($W46*O46-150000)*6%*45%,0)</f>
        <v>0</v>
      </c>
      <c r="AS46" s="130" t="n">
        <f aca="false">IF($W46*P46&gt;150000,($W46*P46-150000)*6%*45%,0)</f>
        <v>0</v>
      </c>
      <c r="AT46" s="130" t="n">
        <f aca="false">IF($W46*Q46&gt;150000,($W46*Q46-150000)*6%*45%,0)</f>
        <v>0</v>
      </c>
      <c r="AU46" s="130" t="n">
        <f aca="false">IF($W46*R46&gt;150000,($W46*R46-150000)*6%*45%,0)</f>
        <v>0</v>
      </c>
      <c r="AV46" s="130" t="n">
        <f aca="false">IF($W46*S46&gt;150000,($W46*S46-150000)*6%*45%,0)</f>
        <v>0</v>
      </c>
      <c r="AW46" s="130" t="n">
        <f aca="false">IF($W46*T46&gt;150000,($W46*T46-150000)*6%*45%,0)</f>
        <v>0</v>
      </c>
      <c r="AX46" s="130"/>
      <c r="AY46" s="131" t="n">
        <f aca="false">IF(ISERROR(VLOOKUP(C46,[26]일용직명단!$A$3:$M$1151,11,FALSE())),0,VLOOKUP(C46,[26]일용직명단!$A$3:$M$1151,11,FALSE()))</f>
        <v>0</v>
      </c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</row>
    <row r="47" customFormat="false" ht="12.75" hidden="false" customHeight="true" outlineLevel="0" collapsed="false">
      <c r="A47" s="108"/>
      <c r="B47" s="109"/>
      <c r="C47" s="143"/>
      <c r="D47" s="111"/>
      <c r="E47" s="140" t="n">
        <f aca="false">IF(ISERROR(VLOOKUP(C46,일용직명단!$A$3:$K$1246,9,FALSE())),0,VLOOKUP(C46,일용직명단!$A$3:$K$1246,9,FALSE()))</f>
        <v>0</v>
      </c>
      <c r="F47" s="180"/>
      <c r="G47" s="134"/>
      <c r="H47" s="134"/>
      <c r="I47" s="114"/>
      <c r="J47" s="181" t="n">
        <v>1</v>
      </c>
      <c r="K47" s="181" t="n">
        <v>1</v>
      </c>
      <c r="L47" s="181" t="n">
        <v>1</v>
      </c>
      <c r="M47" s="181" t="n">
        <v>1</v>
      </c>
      <c r="N47" s="181" t="n">
        <v>1</v>
      </c>
      <c r="O47" s="115"/>
      <c r="P47" s="114"/>
      <c r="Q47" s="182" t="n">
        <v>1</v>
      </c>
      <c r="R47" s="183" t="n">
        <v>1</v>
      </c>
      <c r="S47" s="184" t="n">
        <v>1</v>
      </c>
      <c r="T47" s="184" t="n">
        <v>1</v>
      </c>
      <c r="U47" s="181" t="n">
        <v>1</v>
      </c>
      <c r="V47" s="120"/>
      <c r="W47" s="138" t="n">
        <f aca="false">W46*V46</f>
        <v>2500000</v>
      </c>
      <c r="X47" s="122" t="n">
        <f aca="false">IF(AH46&lt;1000,0,AH46)</f>
        <v>27000</v>
      </c>
      <c r="Y47" s="122" t="n">
        <f aca="false">ROUNDDOWN(X47*10%,-1)</f>
        <v>2700</v>
      </c>
      <c r="Z47" s="123" t="n">
        <f aca="false">IF(AE46&gt;=8,ROUNDDOWN(Y46*$Q$4,-1),0)</f>
        <v>5730</v>
      </c>
      <c r="AA47" s="124"/>
      <c r="AB47" s="125"/>
      <c r="AC47" s="127" t="str">
        <f aca="false">IF(ISERROR(VLOOKUP(C46,일용직명단!$A$3:$I$1226,7,FALSE())),0,VLOOKUP(C46,일용직명단!$A$3:$I$1226,7,FALSE()))</f>
        <v>110-120-158736</v>
      </c>
      <c r="AD47" s="127"/>
      <c r="AE47" s="141"/>
      <c r="AF47" s="129"/>
      <c r="AG47" s="129"/>
      <c r="AH47" s="130"/>
      <c r="AI47" s="130" t="n">
        <f aca="false">IF($W46*F47&gt;150000,($W46*F47-150000)*6%*45%,0)</f>
        <v>0</v>
      </c>
      <c r="AJ47" s="130" t="n">
        <f aca="false">IF($W46*G47&gt;150000,($W46*G47-150000)*6%*45%,0)</f>
        <v>0</v>
      </c>
      <c r="AK47" s="130" t="n">
        <f aca="false">IF($W46*H47&gt;150000,($W46*H47-150000)*6%*45%,0)</f>
        <v>0</v>
      </c>
      <c r="AL47" s="130" t="n">
        <f aca="false">IF($W46*I47&gt;150000,($W46*I47-150000)*6%*45%,0)</f>
        <v>0</v>
      </c>
      <c r="AM47" s="130" t="n">
        <f aca="false">IF($W46*J47&gt;150000,($W46*J47-150000)*6%*45%,0)</f>
        <v>2700</v>
      </c>
      <c r="AN47" s="130" t="n">
        <f aca="false">IF($W46*K47&gt;150000,($W46*K47-150000)*6%*45%,0)</f>
        <v>2700</v>
      </c>
      <c r="AO47" s="130" t="n">
        <f aca="false">IF($W46*L47&gt;150000,($W46*L47-150000)*6%*45%,0)</f>
        <v>2700</v>
      </c>
      <c r="AP47" s="130" t="n">
        <f aca="false">IF($W46*M47&gt;150000,($W46*M47-150000)*6%*45%,0)</f>
        <v>2700</v>
      </c>
      <c r="AQ47" s="130" t="n">
        <f aca="false">IF($W46*N47&gt;150000,($W46*N47-150000)*6%*45%,0)</f>
        <v>2700</v>
      </c>
      <c r="AR47" s="130" t="n">
        <f aca="false">IF($W46*O47&gt;150000,($W46*O47-150000)*6%*45%,0)</f>
        <v>0</v>
      </c>
      <c r="AS47" s="130" t="n">
        <f aca="false">IF($W46*P47&gt;150000,($W46*P47-150000)*6%*45%,0)</f>
        <v>0</v>
      </c>
      <c r="AT47" s="130" t="n">
        <f aca="false">IF($W46*Q47&gt;150000,($W46*Q47-150000)*6%*45%,0)</f>
        <v>2700</v>
      </c>
      <c r="AU47" s="130" t="n">
        <f aca="false">IF($W46*R47&gt;150000,($W46*R47-150000)*6%*45%,0)</f>
        <v>2700</v>
      </c>
      <c r="AV47" s="130" t="n">
        <f aca="false">IF($W46*S47&gt;150000,($W46*S47-150000)*6%*45%,0)</f>
        <v>2700</v>
      </c>
      <c r="AW47" s="130" t="n">
        <f aca="false">IF($W46*T47&gt;150000,($W46*T47-150000)*6%*45%,0)</f>
        <v>2700</v>
      </c>
      <c r="AX47" s="130" t="n">
        <f aca="false">IF($W46*U47&gt;150000,($W46*U47-150000)*6%*45%,0)</f>
        <v>2700</v>
      </c>
      <c r="AY47" s="13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/>
    </row>
    <row r="48" customFormat="false" ht="12.6" hidden="false" customHeight="true" outlineLevel="0" collapsed="false">
      <c r="A48" s="108" t="n">
        <f aca="false">A46+1</f>
        <v>20</v>
      </c>
      <c r="B48" s="109" t="n">
        <f aca="false">IF(ISERROR(VLOOKUP(C48,일용직명단!$A$3:$I$104,2,FALSE())),0,VLOOKUP(C48,일용직명단!$A$3:$I$104,2,FALSE()))</f>
        <v>0</v>
      </c>
      <c r="C48" s="143" t="s">
        <v>72</v>
      </c>
      <c r="D48" s="111" t="str">
        <f aca="false">IF(ISERROR(VLOOKUP(C48,일용직명단!$A$3:$K$1246,3,FALSE())),0,VLOOKUP(C48,일용직명단!$A$3:$K$1246,3,FALSE()))</f>
        <v>580905-1647943</v>
      </c>
      <c r="E48" s="140" t="str">
        <f aca="false">IF(ISERROR(VLOOKUP(C48,일용직명단!$A$3:$K$1246,4,FALSE())),0,VLOOKUP(C48,일용직명단!$A$3:$K$1246,4,FALSE()))</f>
        <v>충북 옥천군 군서면 하동3길 65</v>
      </c>
      <c r="F48" s="113"/>
      <c r="G48" s="113"/>
      <c r="H48" s="113"/>
      <c r="I48" s="115"/>
      <c r="J48" s="113"/>
      <c r="K48" s="115"/>
      <c r="L48" s="113"/>
      <c r="M48" s="113"/>
      <c r="N48" s="114"/>
      <c r="O48" s="115"/>
      <c r="P48" s="113"/>
      <c r="Q48" s="114"/>
      <c r="R48" s="185" t="n">
        <v>1</v>
      </c>
      <c r="S48" s="182" t="n">
        <v>1</v>
      </c>
      <c r="T48" s="185" t="n">
        <v>1</v>
      </c>
      <c r="U48" s="119"/>
      <c r="V48" s="120" t="n">
        <f aca="false">SUM(F48:U49)</f>
        <v>7</v>
      </c>
      <c r="W48" s="121" t="n">
        <f aca="false">IF(ISERROR(VLOOKUP(C48,일용직명단!$A$3:$K$1246,8,FALSE())),0,VLOOKUP(C48,일용직명단!$A$3:$K$1246,8,FALSE()))</f>
        <v>200000</v>
      </c>
      <c r="X48" s="122" t="n">
        <f aca="false">IFERROR(IF(AG48&gt;=65,0,ROUNDDOWN(W49*$Z$4,-1)),0)</f>
        <v>0</v>
      </c>
      <c r="Y48" s="122" t="n">
        <f aca="false">IF(AE48&gt;=8,ROUNDDOWN(W49*$M$4,-1),0)</f>
        <v>0</v>
      </c>
      <c r="Z48" s="123" t="n">
        <f aca="false">IFERROR(IF(AND(COUNT(F48:U49)&gt;=8,$AG48&lt;60,W49&lt;=5530000),ROUNDDOWN(ROUNDDOWN(W49,-3)*4.5%,-1),IF(AND(COUNT(F48:U49)&gt;=8,AG48&lt;60,W49&gt;5530000),248850,0)),0)</f>
        <v>0</v>
      </c>
      <c r="AA48" s="124" t="n">
        <f aca="false">+X48+Y48+X49+Y49+Z48+Z49</f>
        <v>10390</v>
      </c>
      <c r="AB48" s="125" t="n">
        <f aca="false">W49-AA48</f>
        <v>1389610</v>
      </c>
      <c r="AC48" s="126" t="str">
        <f aca="false">IF(ISERROR(VLOOKUP(C48,일용직명단!$A$3:$I$1226,5,FALSE())),0,VLOOKUP(C48,일용직명단!$A$3:$I$1226,5,FALSE()))</f>
        <v>농협</v>
      </c>
      <c r="AD48" s="127" t="str">
        <f aca="false">IF(ISERROR(VLOOKUP(C48,일용직명단!$A$3:$I$1226,6,FALSE())),0,VLOOKUP(C48,일용직명단!$A$3:$I$1226,6,FALSE()))</f>
        <v>김성옥</v>
      </c>
      <c r="AE48" s="141" t="n">
        <f aca="false">COUNT(F48:U49)</f>
        <v>7</v>
      </c>
      <c r="AF48" s="129" t="str">
        <f aca="false">IF(OR(MID(D48,8,1)="1",MID(D48,8,1)="2"),19&amp;LEFT(D48,2),20&amp;LEFT(D48,2))&amp;"-"&amp;MID(D48,3,2)&amp;"-"&amp;MID(D48,5,2)</f>
        <v>1958-09-05</v>
      </c>
      <c r="AG48" s="129" t="n">
        <f aca="true">INT((TODAY()-AF48)/365.25)</f>
        <v>67</v>
      </c>
      <c r="AH48" s="130" t="n">
        <f aca="false">ROUNDDOWN(SUM(AI48:AX49),-1)</f>
        <v>9450</v>
      </c>
      <c r="AI48" s="130" t="n">
        <f aca="false">IF($W48*F48&gt;150000,($W48*F48-150000)*6%*45%,0)</f>
        <v>0</v>
      </c>
      <c r="AJ48" s="130" t="n">
        <f aca="false">IF($W48*G48&gt;150000,($W48*G48-150000)*6%*45%,0)</f>
        <v>0</v>
      </c>
      <c r="AK48" s="130" t="n">
        <f aca="false">IF($W48*H48&gt;150000,($W48*H48-150000)*6%*45%,0)</f>
        <v>0</v>
      </c>
      <c r="AL48" s="130" t="n">
        <f aca="false">IF($W48*I48&gt;150000,($W48*I48-150000)*6%*45%,0)</f>
        <v>0</v>
      </c>
      <c r="AM48" s="130" t="n">
        <f aca="false">IF($W48*J48&gt;150000,($W48*J48-150000)*6%*45%,0)</f>
        <v>0</v>
      </c>
      <c r="AN48" s="130" t="n">
        <f aca="false">IF($W48*K48&gt;150000,($W48*K48-150000)*6%*45%,0)</f>
        <v>0</v>
      </c>
      <c r="AO48" s="130" t="n">
        <f aca="false">IF($W48*L48&gt;150000,($W48*L48-150000)*6%*45%,0)</f>
        <v>0</v>
      </c>
      <c r="AP48" s="130" t="n">
        <f aca="false">IF($W48*M48&gt;150000,($W48*M48-150000)*6%*45%,0)</f>
        <v>0</v>
      </c>
      <c r="AQ48" s="130" t="n">
        <f aca="false">IF($W48*N48&gt;150000,($W48*N48-150000)*6%*45%,0)</f>
        <v>0</v>
      </c>
      <c r="AR48" s="130" t="n">
        <f aca="false">IF($W48*O48&gt;150000,($W48*O48-150000)*6%*45%,0)</f>
        <v>0</v>
      </c>
      <c r="AS48" s="130" t="n">
        <f aca="false">IF($W48*P48&gt;150000,($W48*P48-150000)*6%*45%,0)</f>
        <v>0</v>
      </c>
      <c r="AT48" s="130" t="n">
        <f aca="false">IF($W48*Q48&gt;150000,($W48*Q48-150000)*6%*45%,0)</f>
        <v>0</v>
      </c>
      <c r="AU48" s="130" t="n">
        <f aca="false">IF($W48*R48&gt;150000,($W48*R48-150000)*6%*45%,0)</f>
        <v>1350</v>
      </c>
      <c r="AV48" s="130" t="n">
        <f aca="false">IF($W48*S48&gt;150000,($W48*S48-150000)*6%*45%,0)</f>
        <v>1350</v>
      </c>
      <c r="AW48" s="130" t="n">
        <f aca="false">IF($W48*T48&gt;150000,($W48*T48-150000)*6%*45%,0)</f>
        <v>1350</v>
      </c>
      <c r="AX48" s="130"/>
      <c r="AY48" s="131" t="n">
        <f aca="false">IF(ISERROR(VLOOKUP(C48,[26]일용직명단!$A$3:$M$1151,11,FALSE())),0,VLOOKUP(C48,[26]일용직명단!$A$3:$M$1151,11,FALSE()))</f>
        <v>0</v>
      </c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</row>
    <row r="49" customFormat="false" ht="11.25" hidden="false" customHeight="true" outlineLevel="0" collapsed="false">
      <c r="A49" s="108"/>
      <c r="B49" s="109"/>
      <c r="C49" s="143"/>
      <c r="D49" s="111"/>
      <c r="E49" s="140" t="str">
        <f aca="false">IF(ISERROR(VLOOKUP(C48,일용직명단!$A$3:$K$1246,9,FALSE())),0,VLOOKUP(C48,일용직명단!$A$3:$K$1246,9,FALSE()))</f>
        <v>010-4931-8698</v>
      </c>
      <c r="F49" s="186" t="n">
        <v>1</v>
      </c>
      <c r="G49" s="187" t="n">
        <v>1</v>
      </c>
      <c r="H49" s="187" t="n">
        <v>1</v>
      </c>
      <c r="I49" s="114"/>
      <c r="J49" s="185" t="n">
        <v>1</v>
      </c>
      <c r="K49" s="114"/>
      <c r="L49" s="113"/>
      <c r="M49" s="113"/>
      <c r="N49" s="114"/>
      <c r="O49" s="115"/>
      <c r="P49" s="114"/>
      <c r="Q49" s="114"/>
      <c r="R49" s="113"/>
      <c r="S49" s="113"/>
      <c r="T49" s="113"/>
      <c r="U49" s="115"/>
      <c r="V49" s="120"/>
      <c r="W49" s="138" t="n">
        <f aca="false">W48*V48</f>
        <v>1400000</v>
      </c>
      <c r="X49" s="122" t="n">
        <f aca="false">IF(AH48&lt;1000,0,AH48)</f>
        <v>9450</v>
      </c>
      <c r="Y49" s="122" t="n">
        <f aca="false">ROUNDDOWN(X49*10%,-1)</f>
        <v>940</v>
      </c>
      <c r="Z49" s="123" t="n">
        <f aca="false">IF(AE48&gt;=8,ROUNDDOWN(Y48*$Q$4,-1),0)</f>
        <v>0</v>
      </c>
      <c r="AA49" s="124"/>
      <c r="AB49" s="125"/>
      <c r="AC49" s="127" t="str">
        <f aca="false">IF(ISERROR(VLOOKUP(C48,일용직명단!$A$3:$I$1226,7,FALSE())),0,VLOOKUP(C48,일용직명단!$A$3:$I$1226,7,FALSE()))</f>
        <v>317-12-395271</v>
      </c>
      <c r="AD49" s="127"/>
      <c r="AE49" s="141"/>
      <c r="AF49" s="129"/>
      <c r="AG49" s="129"/>
      <c r="AH49" s="130"/>
      <c r="AI49" s="130" t="n">
        <f aca="false">IF($W48*F49&gt;150000,($W48*F49-150000)*6%*45%,0)</f>
        <v>1350</v>
      </c>
      <c r="AJ49" s="130" t="n">
        <f aca="false">IF($W48*G49&gt;150000,($W48*G49-150000)*6%*45%,0)</f>
        <v>1350</v>
      </c>
      <c r="AK49" s="130" t="n">
        <f aca="false">IF($W48*H49&gt;150000,($W48*H49-150000)*6%*45%,0)</f>
        <v>1350</v>
      </c>
      <c r="AL49" s="130" t="n">
        <f aca="false">IF($W48*I49&gt;150000,($W48*I49-150000)*6%*45%,0)</f>
        <v>0</v>
      </c>
      <c r="AM49" s="130" t="n">
        <f aca="false">IF($W48*J49&gt;150000,($W48*J49-150000)*6%*45%,0)</f>
        <v>1350</v>
      </c>
      <c r="AN49" s="130" t="n">
        <f aca="false">IF($W48*K49&gt;150000,($W48*K49-150000)*6%*45%,0)</f>
        <v>0</v>
      </c>
      <c r="AO49" s="130" t="n">
        <f aca="false">IF($W48*L49&gt;150000,($W48*L49-150000)*6%*45%,0)</f>
        <v>0</v>
      </c>
      <c r="AP49" s="130" t="n">
        <f aca="false">IF($W48*M49&gt;150000,($W48*M49-150000)*6%*45%,0)</f>
        <v>0</v>
      </c>
      <c r="AQ49" s="130" t="n">
        <f aca="false">IF($W48*N49&gt;150000,($W48*N49-150000)*6%*45%,0)</f>
        <v>0</v>
      </c>
      <c r="AR49" s="130" t="n">
        <f aca="false">IF($W48*O49&gt;150000,($W48*O49-150000)*6%*45%,0)</f>
        <v>0</v>
      </c>
      <c r="AS49" s="130" t="n">
        <f aca="false">IF($W48*P49&gt;150000,($W48*P49-150000)*6%*45%,0)</f>
        <v>0</v>
      </c>
      <c r="AT49" s="130" t="n">
        <f aca="false">IF($W48*Q49&gt;150000,($W48*Q49-150000)*6%*45%,0)</f>
        <v>0</v>
      </c>
      <c r="AU49" s="130" t="n">
        <f aca="false">IF($W48*R49&gt;150000,($W48*R49-150000)*6%*45%,0)</f>
        <v>0</v>
      </c>
      <c r="AV49" s="130" t="n">
        <f aca="false">IF($W48*S49&gt;150000,($W48*S49-150000)*6%*45%,0)</f>
        <v>0</v>
      </c>
      <c r="AW49" s="130" t="n">
        <f aca="false">IF($W48*T49&gt;150000,($W48*T49-150000)*6%*45%,0)</f>
        <v>0</v>
      </c>
      <c r="AX49" s="130" t="n">
        <f aca="false">IF($W48*U49&gt;150000,($W48*U49-150000)*6%*45%,0)</f>
        <v>0</v>
      </c>
      <c r="AY49" s="13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</row>
    <row r="50" customFormat="false" ht="12.6" hidden="false" customHeight="true" outlineLevel="0" collapsed="false">
      <c r="A50" s="108" t="n">
        <f aca="false">A48+1</f>
        <v>21</v>
      </c>
      <c r="B50" s="142"/>
      <c r="C50" s="139" t="s">
        <v>73</v>
      </c>
      <c r="D50" s="111" t="str">
        <f aca="false">IF(ISERROR(VLOOKUP(C50,일용직명단!$A$3:$K$1246,3,FALSE())),0,VLOOKUP(C50,일용직명단!$A$3:$K$1246,3,FALSE()))</f>
        <v>650110-1384724</v>
      </c>
      <c r="E50" s="140" t="n">
        <f aca="false">IF(ISERROR(VLOOKUP(C50,일용직명단!$A$3:$K$1246,4,FALSE())),0,VLOOKUP(C50,일용직명단!$A$3:$K$1246,4,FALSE()))</f>
        <v>0</v>
      </c>
      <c r="F50" s="113"/>
      <c r="G50" s="113"/>
      <c r="H50" s="113"/>
      <c r="I50" s="115"/>
      <c r="J50" s="113"/>
      <c r="K50" s="115"/>
      <c r="L50" s="113"/>
      <c r="M50" s="113"/>
      <c r="N50" s="114"/>
      <c r="O50" s="115"/>
      <c r="P50" s="113"/>
      <c r="Q50" s="114"/>
      <c r="R50" s="185" t="n">
        <v>1</v>
      </c>
      <c r="S50" s="182" t="n">
        <v>1</v>
      </c>
      <c r="T50" s="185" t="n">
        <v>1</v>
      </c>
      <c r="U50" s="119"/>
      <c r="V50" s="168" t="n">
        <f aca="false">SUM(F50:U51)</f>
        <v>7</v>
      </c>
      <c r="W50" s="121" t="n">
        <f aca="false">IF(ISERROR(VLOOKUP(C50,일용직명단!$A$3:$K$1246,8,FALSE())),0,VLOOKUP(C50,일용직명단!$A$3:$K$1246,8,FALSE()))</f>
        <v>200000</v>
      </c>
      <c r="X50" s="123" t="n">
        <f aca="false">IFERROR(IF(AG50&gt;=65,0,ROUNDDOWN(W51*$Z$4,-1)),0)</f>
        <v>12600</v>
      </c>
      <c r="Y50" s="123" t="n">
        <f aca="false">IF(AE50&gt;=8,ROUNDDOWN(W51*$M$4,-1),0)</f>
        <v>0</v>
      </c>
      <c r="Z50" s="123" t="n">
        <f aca="false">IFERROR(IF(AND(COUNT(F50:U51)&gt;=8,$AG50&lt;60,W51&lt;=5530000),ROUNDDOWN(ROUNDDOWN(W51,-3)*4.5%,-1),IF(AND(COUNT(F50:U51)&gt;=8,AG50&lt;60,W51&gt;5530000),248850,0)),0)</f>
        <v>0</v>
      </c>
      <c r="AA50" s="145" t="n">
        <f aca="false">+X50+Y50+X51+Y51+Z50+Z51</f>
        <v>22990</v>
      </c>
      <c r="AB50" s="146" t="n">
        <f aca="false">W51-AA50</f>
        <v>1377010</v>
      </c>
      <c r="AC50" s="165" t="str">
        <f aca="false">IF(ISERROR(VLOOKUP(C50,일용직명단!$A$3:$I$1226,5,FALSE())),0,VLOOKUP(C50,일용직명단!$A$3:$I$1226,5,FALSE()))</f>
        <v>농협</v>
      </c>
      <c r="AD50" s="166" t="str">
        <f aca="false">IF(ISERROR(VLOOKUP(C50,일용직명단!$A$3:$I$1226,6,FALSE())),0,VLOOKUP(C50,일용직명단!$A$3:$I$1226,6,FALSE()))</f>
        <v>박찬식</v>
      </c>
      <c r="AE50" s="141" t="n">
        <f aca="false">COUNT(F50:U51)</f>
        <v>7</v>
      </c>
      <c r="AF50" s="169" t="str">
        <f aca="false">IF(OR(MID(D50,8,1)="1",MID(D50,8,1)="2"),19&amp;LEFT(D50,2),20&amp;LEFT(D50,2))&amp;"-"&amp;MID(D50,3,2)&amp;"-"&amp;MID(D50,5,2)</f>
        <v>1965-01-10</v>
      </c>
      <c r="AG50" s="169" t="n">
        <f aca="true">INT((TODAY()-AF50)/365.25)</f>
        <v>61</v>
      </c>
      <c r="AH50" s="130" t="n">
        <f aca="false">ROUNDDOWN(SUM(AI50:AX51),-1)</f>
        <v>9450</v>
      </c>
      <c r="AI50" s="130" t="n">
        <f aca="false">IF($W50*F50&gt;150000,($W50*F50-150000)*6%*45%,0)</f>
        <v>0</v>
      </c>
      <c r="AJ50" s="130" t="n">
        <f aca="false">IF($W50*G50&gt;150000,($W50*G50-150000)*6%*45%,0)</f>
        <v>0</v>
      </c>
      <c r="AK50" s="130" t="n">
        <f aca="false">IF($W50*H50&gt;150000,($W50*H50-150000)*6%*45%,0)</f>
        <v>0</v>
      </c>
      <c r="AL50" s="130" t="n">
        <f aca="false">IF($W50*I50&gt;150000,($W50*I50-150000)*6%*45%,0)</f>
        <v>0</v>
      </c>
      <c r="AM50" s="130" t="n">
        <f aca="false">IF($W50*J50&gt;150000,($W50*J50-150000)*6%*45%,0)</f>
        <v>0</v>
      </c>
      <c r="AN50" s="130" t="n">
        <f aca="false">IF($W50*K50&gt;150000,($W50*K50-150000)*6%*45%,0)</f>
        <v>0</v>
      </c>
      <c r="AO50" s="130" t="n">
        <f aca="false">IF($W50*L50&gt;150000,($W50*L50-150000)*6%*45%,0)</f>
        <v>0</v>
      </c>
      <c r="AP50" s="130" t="n">
        <f aca="false">IF($W50*M50&gt;150000,($W50*M50-150000)*6%*45%,0)</f>
        <v>0</v>
      </c>
      <c r="AQ50" s="130" t="n">
        <f aca="false">IF($W50*N50&gt;150000,($W50*N50-150000)*6%*45%,0)</f>
        <v>0</v>
      </c>
      <c r="AR50" s="130" t="n">
        <f aca="false">IF($W50*O50&gt;150000,($W50*O50-150000)*6%*45%,0)</f>
        <v>0</v>
      </c>
      <c r="AS50" s="130" t="n">
        <f aca="false">IF($W50*P50&gt;150000,($W50*P50-150000)*6%*45%,0)</f>
        <v>0</v>
      </c>
      <c r="AT50" s="130" t="n">
        <f aca="false">IF($W50*Q50&gt;150000,($W50*Q50-150000)*6%*45%,0)</f>
        <v>0</v>
      </c>
      <c r="AU50" s="130" t="n">
        <f aca="false">IF($W50*R50&gt;150000,($W50*R50-150000)*6%*45%,0)</f>
        <v>1350</v>
      </c>
      <c r="AV50" s="130" t="n">
        <f aca="false">IF($W50*S50&gt;150000,($W50*S50-150000)*6%*45%,0)</f>
        <v>1350</v>
      </c>
      <c r="AW50" s="130" t="n">
        <f aca="false">IF($W50*T50&gt;150000,($W50*T50-150000)*6%*45%,0)</f>
        <v>1350</v>
      </c>
      <c r="AX50" s="130"/>
      <c r="AY50" s="131" t="n">
        <f aca="false">IF(ISERROR(VLOOKUP(C50,[26]일용직명단!$A$3:$M$1151,11,FALSE())),0,VLOOKUP(C50,[26]일용직명단!$A$3:$M$1151,11,FALSE()))</f>
        <v>0</v>
      </c>
      <c r="AZ50" s="11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</row>
    <row r="51" customFormat="false" ht="12.6" hidden="false" customHeight="true" outlineLevel="0" collapsed="false">
      <c r="A51" s="108"/>
      <c r="B51" s="142"/>
      <c r="C51" s="139"/>
      <c r="D51" s="111"/>
      <c r="E51" s="140" t="n">
        <f aca="false">IF(ISERROR(VLOOKUP(C50,일용직명단!$A$3:$K$1246,9,FALSE())),0,VLOOKUP(C50,일용직명단!$A$3:$K$1246,9,FALSE()))</f>
        <v>0</v>
      </c>
      <c r="F51" s="186" t="n">
        <v>1</v>
      </c>
      <c r="G51" s="187" t="n">
        <v>1</v>
      </c>
      <c r="H51" s="187" t="n">
        <v>1</v>
      </c>
      <c r="I51" s="114"/>
      <c r="J51" s="185" t="n">
        <v>1</v>
      </c>
      <c r="K51" s="114"/>
      <c r="L51" s="113"/>
      <c r="M51" s="113"/>
      <c r="N51" s="114"/>
      <c r="O51" s="115"/>
      <c r="P51" s="114"/>
      <c r="Q51" s="114"/>
      <c r="R51" s="113"/>
      <c r="S51" s="113"/>
      <c r="T51" s="113"/>
      <c r="U51" s="115"/>
      <c r="V51" s="168"/>
      <c r="W51" s="138" t="n">
        <f aca="false">W50*V50</f>
        <v>1400000</v>
      </c>
      <c r="X51" s="123" t="n">
        <f aca="false">IF(AH50&lt;1000,0,AH50)</f>
        <v>9450</v>
      </c>
      <c r="Y51" s="123" t="n">
        <f aca="false">ROUNDDOWN(X51*10%,-1)</f>
        <v>940</v>
      </c>
      <c r="Z51" s="123" t="n">
        <f aca="false">IF(AE50&gt;=8,ROUNDDOWN(Y50*$Q$4,-1),0)</f>
        <v>0</v>
      </c>
      <c r="AA51" s="145"/>
      <c r="AB51" s="146"/>
      <c r="AC51" s="166" t="str">
        <f aca="false">IF(ISERROR(VLOOKUP(C50,일용직명단!$A$3:$I$1226,7,FALSE())),0,VLOOKUP(C50,일용직명단!$A$3:$I$1226,7,FALSE()))</f>
        <v>351-0712-9127-83</v>
      </c>
      <c r="AD51" s="166"/>
      <c r="AE51" s="141"/>
      <c r="AF51" s="169"/>
      <c r="AG51" s="169"/>
      <c r="AH51" s="130"/>
      <c r="AI51" s="130" t="n">
        <f aca="false">IF($W50*F51&gt;150000,($W50*F51-150000)*6%*45%,0)</f>
        <v>1350</v>
      </c>
      <c r="AJ51" s="130" t="n">
        <f aca="false">IF($W50*G51&gt;150000,($W50*G51-150000)*6%*45%,0)</f>
        <v>1350</v>
      </c>
      <c r="AK51" s="130" t="n">
        <f aca="false">IF($W50*H51&gt;150000,($W50*H51-150000)*6%*45%,0)</f>
        <v>1350</v>
      </c>
      <c r="AL51" s="130" t="n">
        <f aca="false">IF($W50*I51&gt;150000,($W50*I51-150000)*6%*45%,0)</f>
        <v>0</v>
      </c>
      <c r="AM51" s="130" t="n">
        <f aca="false">IF($W50*J51&gt;150000,($W50*J51-150000)*6%*45%,0)</f>
        <v>1350</v>
      </c>
      <c r="AN51" s="130" t="n">
        <f aca="false">IF($W50*K51&gt;150000,($W50*K51-150000)*6%*45%,0)</f>
        <v>0</v>
      </c>
      <c r="AO51" s="130" t="n">
        <f aca="false">IF($W50*L51&gt;150000,($W50*L51-150000)*6%*45%,0)</f>
        <v>0</v>
      </c>
      <c r="AP51" s="130" t="n">
        <f aca="false">IF($W50*M51&gt;150000,($W50*M51-150000)*6%*45%,0)</f>
        <v>0</v>
      </c>
      <c r="AQ51" s="130" t="n">
        <f aca="false">IF($W50*N51&gt;150000,($W50*N51-150000)*6%*45%,0)</f>
        <v>0</v>
      </c>
      <c r="AR51" s="130" t="n">
        <f aca="false">IF($W50*O51&gt;150000,($W50*O51-150000)*6%*45%,0)</f>
        <v>0</v>
      </c>
      <c r="AS51" s="130" t="n">
        <f aca="false">IF($W50*P51&gt;150000,($W50*P51-150000)*6%*45%,0)</f>
        <v>0</v>
      </c>
      <c r="AT51" s="130" t="n">
        <f aca="false">IF($W50*Q51&gt;150000,($W50*Q51-150000)*6%*45%,0)</f>
        <v>0</v>
      </c>
      <c r="AU51" s="130" t="n">
        <f aca="false">IF($W50*R51&gt;150000,($W50*R51-150000)*6%*45%,0)</f>
        <v>0</v>
      </c>
      <c r="AV51" s="130" t="n">
        <f aca="false">IF($W50*S51&gt;150000,($W50*S51-150000)*6%*45%,0)</f>
        <v>0</v>
      </c>
      <c r="AW51" s="130" t="n">
        <f aca="false">IF($W50*T51&gt;150000,($W50*T51-150000)*6%*45%,0)</f>
        <v>0</v>
      </c>
      <c r="AX51" s="130" t="n">
        <f aca="false">IF($W50*U51&gt;150000,($W50*U51-150000)*6%*45%,0)</f>
        <v>0</v>
      </c>
      <c r="AY51" s="131"/>
      <c r="AZ51" s="11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</row>
    <row r="52" customFormat="false" ht="12.6" hidden="false" customHeight="true" outlineLevel="0" collapsed="false">
      <c r="A52" s="108" t="n">
        <f aca="false">A50+1</f>
        <v>22</v>
      </c>
      <c r="B52" s="109" t="n">
        <f aca="false">IF(ISERROR(VLOOKUP(C52,일용직명단!$A$3:$I$104,2,FALSE())),0,VLOOKUP(C52,일용직명단!$A$3:$I$104,2,FALSE()))</f>
        <v>0</v>
      </c>
      <c r="C52" s="143" t="s">
        <v>74</v>
      </c>
      <c r="D52" s="111" t="str">
        <f aca="false">IF(ISERROR(VLOOKUP(C52,일용직명단!$A$3:$K$1246,3,FALSE())),0,VLOOKUP(C52,일용직명단!$A$3:$K$1246,3,FALSE()))</f>
        <v>600721-2455614</v>
      </c>
      <c r="E52" s="112" t="str">
        <f aca="false">IF(ISERROR(VLOOKUP(C52,일용직명단!$A$3:$K$1246,4,FALSE())),0,VLOOKUP(C52,일용직명단!$A$3:$K$1246,4,FALSE()))</f>
        <v>충북 옥천군 군서면 하동3길 65</v>
      </c>
      <c r="F52" s="113"/>
      <c r="G52" s="113"/>
      <c r="H52" s="113"/>
      <c r="I52" s="115"/>
      <c r="J52" s="113"/>
      <c r="K52" s="115"/>
      <c r="L52" s="113"/>
      <c r="M52" s="113"/>
      <c r="N52" s="114"/>
      <c r="O52" s="115"/>
      <c r="P52" s="113"/>
      <c r="Q52" s="114"/>
      <c r="R52" s="185" t="n">
        <v>1</v>
      </c>
      <c r="S52" s="182" t="n">
        <v>1</v>
      </c>
      <c r="T52" s="185" t="n">
        <v>1</v>
      </c>
      <c r="U52" s="119"/>
      <c r="V52" s="120" t="n">
        <f aca="false">SUM(F52:U53)</f>
        <v>7</v>
      </c>
      <c r="W52" s="121" t="n">
        <f aca="false">IF(ISERROR(VLOOKUP(C52,일용직명단!$A$3:$K$1246,8,FALSE())),0,VLOOKUP(C52,일용직명단!$A$3:$K$1246,8,FALSE()))</f>
        <v>200000</v>
      </c>
      <c r="X52" s="122" t="n">
        <f aca="false">IFERROR(IF(AG52&gt;=65,0,ROUNDDOWN(W53*$Z$4,-1)),0)</f>
        <v>0</v>
      </c>
      <c r="Y52" s="122" t="n">
        <f aca="false">IF(AE52&gt;=8,ROUNDDOWN(W53*$M$4,-1),0)</f>
        <v>0</v>
      </c>
      <c r="Z52" s="123" t="n">
        <f aca="false">IFERROR(IF(AND(COUNT(F52:U53)&gt;=8,$AG52&lt;60,W53&lt;=5530000),ROUNDDOWN(ROUNDDOWN(W53,-3)*4.5%,-1),IF(AND(COUNT(F52:U53)&gt;=8,AG52&lt;60,W53&gt;5530000),248850,0)),0)</f>
        <v>0</v>
      </c>
      <c r="AA52" s="124" t="n">
        <f aca="false">+X52+Y52+X53+Y53+Z52+Z53</f>
        <v>10390</v>
      </c>
      <c r="AB52" s="125" t="n">
        <f aca="false">W53-AA52</f>
        <v>1389610</v>
      </c>
      <c r="AC52" s="126" t="str">
        <f aca="false">IF(ISERROR(VLOOKUP(C52,일용직명단!$A$3:$I$1226,5,FALSE())),0,VLOOKUP(C52,일용직명단!$A$3:$I$1226,5,FALSE()))</f>
        <v>농협</v>
      </c>
      <c r="AD52" s="127" t="str">
        <f aca="false">IF(ISERROR(VLOOKUP(C52,일용직명단!$A$3:$I$1226,6,FALSE())),0,VLOOKUP(C52,일용직명단!$A$3:$I$1226,6,FALSE()))</f>
        <v>이선임</v>
      </c>
      <c r="AE52" s="128" t="n">
        <f aca="false">COUNT(F52:U53)</f>
        <v>7</v>
      </c>
      <c r="AF52" s="129" t="str">
        <f aca="false">IF(OR(MID(D52,8,1)="1",MID(D52,8,1)="2"),19&amp;LEFT(D52,2),20&amp;LEFT(D52,2))&amp;"-"&amp;MID(D52,3,2)&amp;"-"&amp;MID(D52,5,2)</f>
        <v>1960-07-21</v>
      </c>
      <c r="AG52" s="129" t="n">
        <f aca="true">INT((TODAY()-AF52)/365.25)</f>
        <v>65</v>
      </c>
      <c r="AH52" s="130" t="n">
        <f aca="false">ROUNDDOWN(SUM(AI52:AX53),-1)</f>
        <v>9450</v>
      </c>
      <c r="AI52" s="130" t="n">
        <f aca="false">IF($W52*F52&gt;150000,($W52*F52-150000)*6%*45%,0)</f>
        <v>0</v>
      </c>
      <c r="AJ52" s="130" t="n">
        <f aca="false">IF($W52*G52&gt;150000,($W52*G52-150000)*6%*45%,0)</f>
        <v>0</v>
      </c>
      <c r="AK52" s="130" t="n">
        <f aca="false">IF($W52*H52&gt;150000,($W52*H52-150000)*6%*45%,0)</f>
        <v>0</v>
      </c>
      <c r="AL52" s="130" t="n">
        <f aca="false">IF($W52*I52&gt;150000,($W52*I52-150000)*6%*45%,0)</f>
        <v>0</v>
      </c>
      <c r="AM52" s="130" t="n">
        <f aca="false">IF($W52*J52&gt;150000,($W52*J52-150000)*6%*45%,0)</f>
        <v>0</v>
      </c>
      <c r="AN52" s="130" t="n">
        <f aca="false">IF($W52*K52&gt;150000,($W52*K52-150000)*6%*45%,0)</f>
        <v>0</v>
      </c>
      <c r="AO52" s="130" t="n">
        <f aca="false">IF($W52*L52&gt;150000,($W52*L52-150000)*6%*45%,0)</f>
        <v>0</v>
      </c>
      <c r="AP52" s="130" t="n">
        <f aca="false">IF($W52*M52&gt;150000,($W52*M52-150000)*6%*45%,0)</f>
        <v>0</v>
      </c>
      <c r="AQ52" s="130" t="n">
        <f aca="false">IF($W52*N52&gt;150000,($W52*N52-150000)*6%*45%,0)</f>
        <v>0</v>
      </c>
      <c r="AR52" s="130" t="n">
        <f aca="false">IF($W52*O52&gt;150000,($W52*O52-150000)*6%*45%,0)</f>
        <v>0</v>
      </c>
      <c r="AS52" s="130" t="n">
        <f aca="false">IF($W52*P52&gt;150000,($W52*P52-150000)*6%*45%,0)</f>
        <v>0</v>
      </c>
      <c r="AT52" s="130" t="n">
        <f aca="false">IF($W52*Q52&gt;150000,($W52*Q52-150000)*6%*45%,0)</f>
        <v>0</v>
      </c>
      <c r="AU52" s="130" t="n">
        <f aca="false">IF($W52*R52&gt;150000,($W52*R52-150000)*6%*45%,0)</f>
        <v>1350</v>
      </c>
      <c r="AV52" s="130" t="n">
        <f aca="false">IF($W52*S52&gt;150000,($W52*S52-150000)*6%*45%,0)</f>
        <v>1350</v>
      </c>
      <c r="AW52" s="130" t="n">
        <f aca="false">IF($W52*T52&gt;150000,($W52*T52-150000)*6%*45%,0)</f>
        <v>1350</v>
      </c>
      <c r="AX52" s="130"/>
      <c r="AY52" s="131" t="n">
        <f aca="false">IF(ISERROR(VLOOKUP(C52,[26]일용직명단!$A$3:$M$1151,11,FALSE())),0,VLOOKUP(C52,[26]일용직명단!$A$3:$M$1151,11,FALSE()))</f>
        <v>0</v>
      </c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  <c r="IW52" s="11"/>
    </row>
    <row r="53" customFormat="false" ht="12.6" hidden="false" customHeight="true" outlineLevel="0" collapsed="false">
      <c r="A53" s="108"/>
      <c r="B53" s="109"/>
      <c r="C53" s="143"/>
      <c r="D53" s="111"/>
      <c r="E53" s="112" t="str">
        <f aca="false">IF(ISERROR(VLOOKUP(C52,일용직명단!$A$3:$K$1246,9,FALSE())),0,VLOOKUP(C52,일용직명단!$A$3:$K$1246,9,FALSE()))</f>
        <v>010-9407-6599</v>
      </c>
      <c r="F53" s="186" t="n">
        <v>1</v>
      </c>
      <c r="G53" s="187" t="n">
        <v>1</v>
      </c>
      <c r="H53" s="187" t="n">
        <v>1</v>
      </c>
      <c r="I53" s="114"/>
      <c r="J53" s="185" t="n">
        <v>1</v>
      </c>
      <c r="K53" s="114"/>
      <c r="L53" s="113"/>
      <c r="M53" s="113"/>
      <c r="N53" s="114"/>
      <c r="O53" s="115"/>
      <c r="P53" s="114"/>
      <c r="Q53" s="114"/>
      <c r="R53" s="113"/>
      <c r="S53" s="113"/>
      <c r="T53" s="113"/>
      <c r="U53" s="115"/>
      <c r="V53" s="120"/>
      <c r="W53" s="138" t="n">
        <f aca="false">W52*V52</f>
        <v>1400000</v>
      </c>
      <c r="X53" s="122" t="n">
        <f aca="false">IF(AH52&lt;1000,0,AH52)</f>
        <v>9450</v>
      </c>
      <c r="Y53" s="122" t="n">
        <f aca="false">ROUNDDOWN(X53*10%,-1)</f>
        <v>940</v>
      </c>
      <c r="Z53" s="123" t="n">
        <f aca="false">IF(AE52&gt;=8,ROUNDDOWN(Y52*$Q$4,-1),0)</f>
        <v>0</v>
      </c>
      <c r="AA53" s="124"/>
      <c r="AB53" s="125"/>
      <c r="AC53" s="127" t="str">
        <f aca="false">IF(ISERROR(VLOOKUP(C52,일용직명단!$A$3:$I$1226,7,FALSE())),0,VLOOKUP(C52,일용직명단!$A$3:$I$1226,7,FALSE()))</f>
        <v>405010-52-279308</v>
      </c>
      <c r="AD53" s="127"/>
      <c r="AE53" s="128"/>
      <c r="AF53" s="129"/>
      <c r="AG53" s="129"/>
      <c r="AH53" s="130"/>
      <c r="AI53" s="130" t="n">
        <f aca="false">IF($W52*F53&gt;150000,($W52*F53-150000)*6%*45%,0)</f>
        <v>1350</v>
      </c>
      <c r="AJ53" s="130" t="n">
        <f aca="false">IF($W52*G53&gt;150000,($W52*G53-150000)*6%*45%,0)</f>
        <v>1350</v>
      </c>
      <c r="AK53" s="130" t="n">
        <f aca="false">IF($W52*H53&gt;150000,($W52*H53-150000)*6%*45%,0)</f>
        <v>1350</v>
      </c>
      <c r="AL53" s="130" t="n">
        <f aca="false">IF($W52*I53&gt;150000,($W52*I53-150000)*6%*45%,0)</f>
        <v>0</v>
      </c>
      <c r="AM53" s="130" t="n">
        <f aca="false">IF($W52*J53&gt;150000,($W52*J53-150000)*6%*45%,0)</f>
        <v>1350</v>
      </c>
      <c r="AN53" s="130" t="n">
        <f aca="false">IF($W52*K53&gt;150000,($W52*K53-150000)*6%*45%,0)</f>
        <v>0</v>
      </c>
      <c r="AO53" s="130" t="n">
        <f aca="false">IF($W52*L53&gt;150000,($W52*L53-150000)*6%*45%,0)</f>
        <v>0</v>
      </c>
      <c r="AP53" s="130" t="n">
        <f aca="false">IF($W52*M53&gt;150000,($W52*M53-150000)*6%*45%,0)</f>
        <v>0</v>
      </c>
      <c r="AQ53" s="130" t="n">
        <f aca="false">IF($W52*N53&gt;150000,($W52*N53-150000)*6%*45%,0)</f>
        <v>0</v>
      </c>
      <c r="AR53" s="130" t="n">
        <f aca="false">IF($W52*O53&gt;150000,($W52*O53-150000)*6%*45%,0)</f>
        <v>0</v>
      </c>
      <c r="AS53" s="130" t="n">
        <f aca="false">IF($W52*P53&gt;150000,($W52*P53-150000)*6%*45%,0)</f>
        <v>0</v>
      </c>
      <c r="AT53" s="130" t="n">
        <f aca="false">IF($W52*Q53&gt;150000,($W52*Q53-150000)*6%*45%,0)</f>
        <v>0</v>
      </c>
      <c r="AU53" s="130" t="n">
        <f aca="false">IF($W52*R53&gt;150000,($W52*R53-150000)*6%*45%,0)</f>
        <v>0</v>
      </c>
      <c r="AV53" s="130" t="n">
        <f aca="false">IF($W52*S53&gt;150000,($W52*S53-150000)*6%*45%,0)</f>
        <v>0</v>
      </c>
      <c r="AW53" s="130" t="n">
        <f aca="false">IF($W52*T53&gt;150000,($W52*T53-150000)*6%*45%,0)</f>
        <v>0</v>
      </c>
      <c r="AX53" s="130" t="n">
        <f aca="false">IF($W52*U53&gt;150000,($W52*U53-150000)*6%*45%,0)</f>
        <v>0</v>
      </c>
      <c r="AY53" s="13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/>
      <c r="IW53" s="11"/>
    </row>
    <row r="54" customFormat="false" ht="12.6" hidden="false" customHeight="true" outlineLevel="0" collapsed="false">
      <c r="A54" s="108" t="n">
        <f aca="false">A52+1</f>
        <v>23</v>
      </c>
      <c r="B54" s="142" t="n">
        <f aca="false">IF(ISERROR(VLOOKUP(C54,일용직명단!$A$3:$I$104,2,FALSE())),0,VLOOKUP(C54,일용직명단!$A$3:$I$104,2,FALSE()))</f>
        <v>0</v>
      </c>
      <c r="C54" s="143" t="s">
        <v>75</v>
      </c>
      <c r="D54" s="111" t="str">
        <f aca="false">IF(ISERROR(VLOOKUP(C54,일용직명단!$A$3:$K$1246,3,FALSE())),0,VLOOKUP(C54,일용직명단!$A$3:$K$1246,3,FALSE()))</f>
        <v>730108-1148320</v>
      </c>
      <c r="E54" s="140" t="str">
        <f aca="false">IF(ISERROR(VLOOKUP(C54,일용직명단!$A$3:$K$1246,4,FALSE())),0,VLOOKUP(C54,일용직명단!$A$3:$K$1246,4,FALSE()))</f>
        <v>충북 영동군 양강면 마포2길 8</v>
      </c>
      <c r="F54" s="113"/>
      <c r="G54" s="114"/>
      <c r="H54" s="115"/>
      <c r="I54" s="115"/>
      <c r="J54" s="113"/>
      <c r="K54" s="115"/>
      <c r="L54" s="113"/>
      <c r="M54" s="113"/>
      <c r="N54" s="115"/>
      <c r="O54" s="114"/>
      <c r="P54" s="113"/>
      <c r="Q54" s="114"/>
      <c r="R54" s="115"/>
      <c r="S54" s="114"/>
      <c r="T54" s="115"/>
      <c r="U54" s="119"/>
      <c r="V54" s="144" t="n">
        <f aca="false">SUM(F54:U55)</f>
        <v>9.5</v>
      </c>
      <c r="W54" s="121" t="n">
        <f aca="false">IF(ISERROR(VLOOKUP(C54,일용직명단!$A$3:$K$1246,8,FALSE())),0,VLOOKUP(C54,일용직명단!$A$3:$K$1246,8,FALSE()))</f>
        <v>170000</v>
      </c>
      <c r="X54" s="123" t="n">
        <f aca="false">IFERROR(IF(AG54&gt;=65,0,ROUNDDOWN(W55*$Z$4,-1)),0)</f>
        <v>14530</v>
      </c>
      <c r="Y54" s="123" t="n">
        <f aca="false">IF(AE54&gt;=8,ROUNDDOWN(W55*$M$4,-1),0)</f>
        <v>57250</v>
      </c>
      <c r="Z54" s="123" t="n">
        <f aca="false">IFERROR(IF(AND(COUNT(F54:U55)&gt;=8,$AG54&lt;60,W55&lt;=5530000),ROUNDDOWN(ROUNDDOWN(W55,-3)*4.5%,-1),IF(AND(COUNT(F54:U55)&gt;=8,AG54&lt;60,W55&gt;5530000),248850,0)),0)</f>
        <v>72670</v>
      </c>
      <c r="AA54" s="145" t="n">
        <f aca="false">+X54+Y54+X55+Y55+Z54+Z55</f>
        <v>153490</v>
      </c>
      <c r="AB54" s="146" t="n">
        <f aca="false">W55-AA54</f>
        <v>1461510</v>
      </c>
      <c r="AC54" s="147" t="str">
        <f aca="false">IF(ISERROR(VLOOKUP(C54,일용직명단!$A$3:$I$1226,5,FALSE())),0,VLOOKUP(C54,일용직명단!$A$3:$I$1226,5,FALSE()))</f>
        <v>농협</v>
      </c>
      <c r="AD54" s="148" t="str">
        <f aca="false">IF(ISERROR(VLOOKUP(C54,일용직명단!$A$3:$I$1226,6,FALSE())),0,VLOOKUP(C54,일용직명단!$A$3:$I$1226,6,FALSE()))</f>
        <v>심종섭</v>
      </c>
      <c r="AE54" s="141" t="n">
        <f aca="false">COUNT(F54:U55)</f>
        <v>10</v>
      </c>
      <c r="AF54" s="169" t="str">
        <f aca="false">IF(OR(MID(D54,8,1)="1",MID(D54,8,1)="2"),19&amp;LEFT(D54,2),20&amp;LEFT(D54,2))&amp;"-"&amp;MID(D54,3,2)&amp;"-"&amp;MID(D54,5,2)</f>
        <v>1973-01-08</v>
      </c>
      <c r="AG54" s="169" t="n">
        <f aca="true">INT((TODAY()-AF54)/365.25)</f>
        <v>53</v>
      </c>
      <c r="AH54" s="130" t="n">
        <f aca="false">ROUNDDOWN(SUM(AI54:AX55),-1)</f>
        <v>4860</v>
      </c>
      <c r="AI54" s="130" t="n">
        <f aca="false">IF($W54*F54&gt;150000,($W54*F54-150000)*6%*45%,0)</f>
        <v>0</v>
      </c>
      <c r="AJ54" s="130" t="n">
        <f aca="false">IF($W54*G54&gt;150000,($W54*G54-150000)*6%*45%,0)</f>
        <v>0</v>
      </c>
      <c r="AK54" s="130" t="n">
        <f aca="false">IF($W54*H54&gt;150000,($W54*H54-150000)*6%*45%,0)</f>
        <v>0</v>
      </c>
      <c r="AL54" s="130" t="n">
        <f aca="false">IF($W54*I54&gt;150000,($W54*I54-150000)*6%*45%,0)</f>
        <v>0</v>
      </c>
      <c r="AM54" s="130" t="n">
        <f aca="false">IF($W54*J54&gt;150000,($W54*J54-150000)*6%*45%,0)</f>
        <v>0</v>
      </c>
      <c r="AN54" s="130" t="n">
        <f aca="false">IF($W54*K54&gt;150000,($W54*K54-150000)*6%*45%,0)</f>
        <v>0</v>
      </c>
      <c r="AO54" s="130" t="n">
        <f aca="false">IF($W54*L54&gt;150000,($W54*L54-150000)*6%*45%,0)</f>
        <v>0</v>
      </c>
      <c r="AP54" s="130" t="n">
        <f aca="false">IF($W54*M54&gt;150000,($W54*M54-150000)*6%*45%,0)</f>
        <v>0</v>
      </c>
      <c r="AQ54" s="130" t="n">
        <f aca="false">IF($W54*N54&gt;150000,($W54*N54-150000)*6%*45%,0)</f>
        <v>0</v>
      </c>
      <c r="AR54" s="130" t="n">
        <f aca="false">IF($W54*O54&gt;150000,($W54*O54-150000)*6%*45%,0)</f>
        <v>0</v>
      </c>
      <c r="AS54" s="130" t="n">
        <f aca="false">IF($W54*P54&gt;150000,($W54*P54-150000)*6%*45%,0)</f>
        <v>0</v>
      </c>
      <c r="AT54" s="130" t="n">
        <f aca="false">IF($W54*Q54&gt;150000,($W54*Q54-150000)*6%*45%,0)</f>
        <v>0</v>
      </c>
      <c r="AU54" s="130" t="n">
        <f aca="false">IF($W54*R54&gt;150000,($W54*R54-150000)*6%*45%,0)</f>
        <v>0</v>
      </c>
      <c r="AV54" s="130" t="n">
        <f aca="false">IF($W54*S54&gt;150000,($W54*S54-150000)*6%*45%,0)</f>
        <v>0</v>
      </c>
      <c r="AW54" s="130" t="n">
        <f aca="false">IF($W54*T54&gt;150000,($W54*T54-150000)*6%*45%,0)</f>
        <v>0</v>
      </c>
      <c r="AX54" s="130"/>
      <c r="AY54" s="131" t="n">
        <f aca="false">IF(ISERROR(VLOOKUP(C54,[26]일용직명단!$A$3:$M$1151,11,FALSE())),0,VLOOKUP(C54,[26]일용직명단!$A$3:$M$1151,11,FALSE()))</f>
        <v>0</v>
      </c>
      <c r="AZ54" s="11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</row>
    <row r="55" customFormat="false" ht="12.6" hidden="false" customHeight="true" outlineLevel="0" collapsed="false">
      <c r="A55" s="108"/>
      <c r="B55" s="142"/>
      <c r="C55" s="143"/>
      <c r="D55" s="111"/>
      <c r="E55" s="140" t="str">
        <f aca="false">IF(ISERROR(VLOOKUP(C54,일용직명단!$A$3:$K$1246,9,FALSE())),0,VLOOKUP(C54,일용직명단!$A$3:$K$1246,9,FALSE()))</f>
        <v>010-2304-8648</v>
      </c>
      <c r="F55" s="188" t="n">
        <v>1</v>
      </c>
      <c r="G55" s="189" t="n">
        <v>1</v>
      </c>
      <c r="H55" s="134"/>
      <c r="I55" s="114"/>
      <c r="J55" s="181" t="n">
        <v>1</v>
      </c>
      <c r="K55" s="190" t="n">
        <v>1</v>
      </c>
      <c r="L55" s="184" t="n">
        <v>1</v>
      </c>
      <c r="M55" s="184" t="n">
        <v>1</v>
      </c>
      <c r="N55" s="190" t="n">
        <v>0.5</v>
      </c>
      <c r="O55" s="115"/>
      <c r="P55" s="113"/>
      <c r="Q55" s="114"/>
      <c r="R55" s="184" t="n">
        <v>1</v>
      </c>
      <c r="S55" s="184" t="n">
        <v>1</v>
      </c>
      <c r="T55" s="184" t="n">
        <v>1</v>
      </c>
      <c r="U55" s="115"/>
      <c r="V55" s="144"/>
      <c r="W55" s="138" t="n">
        <f aca="false">W54*V54</f>
        <v>1615000</v>
      </c>
      <c r="X55" s="123" t="n">
        <f aca="false">IF(AH54&lt;1000,0,AH54)</f>
        <v>4860</v>
      </c>
      <c r="Y55" s="123" t="n">
        <f aca="false">ROUNDDOWN(X55*10%,-1)</f>
        <v>480</v>
      </c>
      <c r="Z55" s="123" t="n">
        <f aca="false">IF(AE54&gt;=8,ROUNDDOWN(Y54*$Q$4,-1),0)</f>
        <v>3700</v>
      </c>
      <c r="AA55" s="145"/>
      <c r="AB55" s="146"/>
      <c r="AC55" s="148" t="str">
        <f aca="false">IF(ISERROR(VLOOKUP(C54,일용직명단!$A$3:$I$1226,7,FALSE())),0,VLOOKUP(C54,일용직명단!$A$3:$I$1226,7,FALSE()))</f>
        <v>352-1213-5051-73</v>
      </c>
      <c r="AD55" s="148"/>
      <c r="AE55" s="141"/>
      <c r="AF55" s="169"/>
      <c r="AG55" s="169"/>
      <c r="AH55" s="130"/>
      <c r="AI55" s="130" t="n">
        <f aca="false">IF($W54*F55&gt;150000,($W54*F55-150000)*6%*45%,0)</f>
        <v>540</v>
      </c>
      <c r="AJ55" s="130" t="n">
        <f aca="false">IF($W54*G55&gt;150000,($W54*G55-150000)*6%*45%,0)</f>
        <v>540</v>
      </c>
      <c r="AK55" s="130" t="n">
        <f aca="false">IF($W54*H55&gt;150000,($W54*H55-150000)*6%*45%,0)</f>
        <v>0</v>
      </c>
      <c r="AL55" s="130" t="n">
        <f aca="false">IF($W54*I55&gt;150000,($W54*I55-150000)*6%*45%,0)</f>
        <v>0</v>
      </c>
      <c r="AM55" s="130" t="n">
        <f aca="false">IF($W54*J55&gt;150000,($W54*J55-150000)*6%*45%,0)</f>
        <v>540</v>
      </c>
      <c r="AN55" s="130" t="n">
        <f aca="false">IF($W54*K55&gt;150000,($W54*K55-150000)*6%*45%,0)</f>
        <v>540</v>
      </c>
      <c r="AO55" s="130" t="n">
        <f aca="false">IF($W54*L55&gt;150000,($W54*L55-150000)*6%*45%,0)</f>
        <v>540</v>
      </c>
      <c r="AP55" s="130" t="n">
        <f aca="false">IF($W54*M55&gt;150000,($W54*M55-150000)*6%*45%,0)</f>
        <v>540</v>
      </c>
      <c r="AQ55" s="130" t="n">
        <f aca="false">IF($W54*N55&gt;150000,($W54*N55-150000)*6%*45%,0)</f>
        <v>0</v>
      </c>
      <c r="AR55" s="130" t="n">
        <f aca="false">IF($W54*O55&gt;150000,($W54*O55-150000)*6%*45%,0)</f>
        <v>0</v>
      </c>
      <c r="AS55" s="130" t="n">
        <f aca="false">IF($W54*P55&gt;150000,($W54*P55-150000)*6%*45%,0)</f>
        <v>0</v>
      </c>
      <c r="AT55" s="130" t="n">
        <f aca="false">IF($W54*Q55&gt;150000,($W54*Q55-150000)*6%*45%,0)</f>
        <v>0</v>
      </c>
      <c r="AU55" s="130" t="n">
        <f aca="false">IF($W54*R55&gt;150000,($W54*R55-150000)*6%*45%,0)</f>
        <v>540</v>
      </c>
      <c r="AV55" s="130" t="n">
        <f aca="false">IF($W54*S55&gt;150000,($W54*S55-150000)*6%*45%,0)</f>
        <v>540</v>
      </c>
      <c r="AW55" s="130" t="n">
        <f aca="false">IF($W54*T55&gt;150000,($W54*T55-150000)*6%*45%,0)</f>
        <v>540</v>
      </c>
      <c r="AX55" s="130" t="n">
        <f aca="false">IF($W54*U55&gt;150000,($W54*U55-150000)*6%*45%,0)</f>
        <v>0</v>
      </c>
      <c r="AY55" s="131"/>
      <c r="AZ55" s="11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</row>
    <row r="56" customFormat="false" ht="12.6" hidden="false" customHeight="true" outlineLevel="0" collapsed="false">
      <c r="A56" s="108" t="n">
        <f aca="false">A54+1</f>
        <v>24</v>
      </c>
      <c r="B56" s="109" t="n">
        <f aca="false">IF(ISERROR(VLOOKUP(C56,일용직명단!$A$3:$I$104,2,FALSE())),0,VLOOKUP(C56,일용직명단!$A$3:$I$104,2,FALSE()))</f>
        <v>0</v>
      </c>
      <c r="C56" s="143" t="s">
        <v>76</v>
      </c>
      <c r="D56" s="111" t="str">
        <f aca="false">IF(ISERROR(VLOOKUP(C56,일용직명단!$A$3:$K$1246,3,FALSE())),0,VLOOKUP(C56,일용직명단!$A$3:$K$1246,3,FALSE()))</f>
        <v>540710-1332822</v>
      </c>
      <c r="E56" s="140" t="str">
        <f aca="false">IF(ISERROR(VLOOKUP(C56,일용직명단!$A$3:$K$1246,4,FALSE())),0,VLOOKUP(C56,일용직명단!$A$3:$K$1246,4,FALSE()))</f>
        <v>충북 청주시 서원구 수곡로27번길 40, (수곡동)</v>
      </c>
      <c r="F56" s="113"/>
      <c r="G56" s="114"/>
      <c r="H56" s="115"/>
      <c r="I56" s="115"/>
      <c r="J56" s="113"/>
      <c r="K56" s="115"/>
      <c r="L56" s="113"/>
      <c r="M56" s="183" t="n">
        <v>1</v>
      </c>
      <c r="N56" s="182" t="n">
        <v>1</v>
      </c>
      <c r="O56" s="182" t="n">
        <v>1</v>
      </c>
      <c r="P56" s="113"/>
      <c r="Q56" s="114"/>
      <c r="R56" s="115"/>
      <c r="S56" s="114"/>
      <c r="T56" s="115"/>
      <c r="U56" s="119"/>
      <c r="V56" s="120" t="n">
        <f aca="false">SUM(F56:U57)</f>
        <v>10</v>
      </c>
      <c r="W56" s="121" t="n">
        <f aca="false">IF(ISERROR(VLOOKUP(C56,일용직명단!$A$3:$K$1246,8,FALSE())),0,VLOOKUP(C56,일용직명단!$A$3:$K$1246,8,FALSE()))</f>
        <v>150000</v>
      </c>
      <c r="X56" s="122" t="n">
        <f aca="false">IFERROR(IF(AG56&gt;=65,0,ROUNDDOWN(W57*$Z$4,-1)),0)</f>
        <v>0</v>
      </c>
      <c r="Y56" s="122" t="n">
        <f aca="false">IF(AE56&gt;=8,ROUNDDOWN(W57*$M$4,-1),0)</f>
        <v>53170</v>
      </c>
      <c r="Z56" s="123" t="n">
        <f aca="false">IFERROR(IF(AND(COUNT(F56:U57)&gt;=8,$AG56&lt;60,W57&lt;=5530000),ROUNDDOWN(ROUNDDOWN(W57,-3)*4.5%,-1),IF(AND(COUNT(F56:U57)&gt;=8,AG56&lt;60,W57&gt;5530000),248850,0)),0)</f>
        <v>0</v>
      </c>
      <c r="AA56" s="124" t="n">
        <f aca="false">+X56+Y56+X57+Y57+Z56+Z57</f>
        <v>56610</v>
      </c>
      <c r="AB56" s="125" t="n">
        <f aca="false">W57-AA56</f>
        <v>1443390</v>
      </c>
      <c r="AC56" s="126" t="str">
        <f aca="false">IF(ISERROR(VLOOKUP(C56,일용직명단!$A$3:$I$1226,5,FALSE())),0,VLOOKUP(C56,일용직명단!$A$3:$I$1226,5,FALSE()))</f>
        <v>신한</v>
      </c>
      <c r="AD56" s="127" t="str">
        <f aca="false">IF(ISERROR(VLOOKUP(C56,일용직명단!$A$3:$I$1226,6,FALSE())),0,VLOOKUP(C56,일용직명단!$A$3:$I$1226,6,FALSE()))</f>
        <v>장경훈</v>
      </c>
      <c r="AE56" s="141" t="n">
        <f aca="false">COUNT(F56:U57)</f>
        <v>10</v>
      </c>
      <c r="AF56" s="129" t="str">
        <f aca="false">IF(OR(MID(D56,8,1)="1",MID(D56,8,1)="2"),19&amp;LEFT(D56,2),20&amp;LEFT(D56,2))&amp;"-"&amp;MID(D56,3,2)&amp;"-"&amp;MID(D56,5,2)</f>
        <v>1954-07-10</v>
      </c>
      <c r="AG56" s="129" t="n">
        <f aca="true">INT((TODAY()-AF56)/365.25)</f>
        <v>71</v>
      </c>
      <c r="AH56" s="130" t="n">
        <f aca="false">ROUNDDOWN(SUM(AI56:AX57),-1)</f>
        <v>0</v>
      </c>
      <c r="AI56" s="130" t="n">
        <f aca="false">IF($W56*F56&gt;150000,($W56*F56-150000)*6%*45%,0)</f>
        <v>0</v>
      </c>
      <c r="AJ56" s="130" t="n">
        <f aca="false">IF($W56*G56&gt;150000,($W56*G56-150000)*6%*45%,0)</f>
        <v>0</v>
      </c>
      <c r="AK56" s="130" t="n">
        <f aca="false">IF($W56*H56&gt;150000,($W56*H56-150000)*6%*45%,0)</f>
        <v>0</v>
      </c>
      <c r="AL56" s="130" t="n">
        <f aca="false">IF($W56*I56&gt;150000,($W56*I56-150000)*6%*45%,0)</f>
        <v>0</v>
      </c>
      <c r="AM56" s="130" t="n">
        <f aca="false">IF($W56*J56&gt;150000,($W56*J56-150000)*6%*45%,0)</f>
        <v>0</v>
      </c>
      <c r="AN56" s="130" t="n">
        <f aca="false">IF($W56*K56&gt;150000,($W56*K56-150000)*6%*45%,0)</f>
        <v>0</v>
      </c>
      <c r="AO56" s="130" t="n">
        <f aca="false">IF($W56*L56&gt;150000,($W56*L56-150000)*6%*45%,0)</f>
        <v>0</v>
      </c>
      <c r="AP56" s="130" t="n">
        <f aca="false">IF($W56*M56&gt;150000,($W56*M56-150000)*6%*45%,0)</f>
        <v>0</v>
      </c>
      <c r="AQ56" s="130" t="n">
        <f aca="false">IF($W56*N56&gt;150000,($W56*N56-150000)*6%*45%,0)</f>
        <v>0</v>
      </c>
      <c r="AR56" s="130" t="n">
        <f aca="false">IF($W56*O56&gt;150000,($W56*O56-150000)*6%*45%,0)</f>
        <v>0</v>
      </c>
      <c r="AS56" s="130" t="n">
        <f aca="false">IF($W56*P56&gt;150000,($W56*P56-150000)*6%*45%,0)</f>
        <v>0</v>
      </c>
      <c r="AT56" s="130" t="n">
        <f aca="false">IF($W56*Q56&gt;150000,($W56*Q56-150000)*6%*45%,0)</f>
        <v>0</v>
      </c>
      <c r="AU56" s="130" t="n">
        <f aca="false">IF($W56*R56&gt;150000,($W56*R56-150000)*6%*45%,0)</f>
        <v>0</v>
      </c>
      <c r="AV56" s="130" t="n">
        <f aca="false">IF($W56*S56&gt;150000,($W56*S56-150000)*6%*45%,0)</f>
        <v>0</v>
      </c>
      <c r="AW56" s="130" t="n">
        <f aca="false">IF($W56*T56&gt;150000,($W56*T56-150000)*6%*45%,0)</f>
        <v>0</v>
      </c>
      <c r="AX56" s="130"/>
      <c r="AY56" s="131" t="n">
        <f aca="false">IF(ISERROR(VLOOKUP(C56,[26]일용직명단!$A$3:$M$1151,11,FALSE())),0,VLOOKUP(C56,[26]일용직명단!$A$3:$M$1151,11,FALSE()))</f>
        <v>0</v>
      </c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/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  <c r="IV56" s="11"/>
      <c r="IW56" s="11"/>
    </row>
    <row r="57" customFormat="false" ht="12.6" hidden="false" customHeight="true" outlineLevel="0" collapsed="false">
      <c r="A57" s="108"/>
      <c r="B57" s="109"/>
      <c r="C57" s="143"/>
      <c r="D57" s="111"/>
      <c r="E57" s="140" t="n">
        <f aca="false">IF(ISERROR(VLOOKUP(C56,일용직명단!$A$3:$K$1246,9,FALSE())),0,VLOOKUP(C56,일용직명단!$A$3:$K$1246,9,FALSE()))</f>
        <v>0</v>
      </c>
      <c r="F57" s="180"/>
      <c r="G57" s="187" t="n">
        <v>1</v>
      </c>
      <c r="H57" s="187" t="n">
        <v>1</v>
      </c>
      <c r="I57" s="182" t="n">
        <v>1</v>
      </c>
      <c r="J57" s="115"/>
      <c r="K57" s="114"/>
      <c r="L57" s="113"/>
      <c r="M57" s="113"/>
      <c r="N57" s="114"/>
      <c r="O57" s="115"/>
      <c r="P57" s="136"/>
      <c r="Q57" s="114"/>
      <c r="R57" s="183" t="n">
        <v>1</v>
      </c>
      <c r="S57" s="183" t="n">
        <v>1</v>
      </c>
      <c r="T57" s="183" t="n">
        <v>1</v>
      </c>
      <c r="U57" s="185" t="n">
        <v>1</v>
      </c>
      <c r="V57" s="120"/>
      <c r="W57" s="138" t="n">
        <f aca="false">W56*V56</f>
        <v>1500000</v>
      </c>
      <c r="X57" s="122" t="n">
        <f aca="false">IF(AH56&lt;1000,0,AH56)</f>
        <v>0</v>
      </c>
      <c r="Y57" s="122" t="n">
        <f aca="false">ROUNDDOWN(X57*10%,-1)</f>
        <v>0</v>
      </c>
      <c r="Z57" s="123" t="n">
        <f aca="false">IF(AE56&gt;=8,ROUNDDOWN(Y56*$Q$4,-1),0)</f>
        <v>3440</v>
      </c>
      <c r="AA57" s="124"/>
      <c r="AB57" s="125"/>
      <c r="AC57" s="127" t="str">
        <f aca="false">IF(ISERROR(VLOOKUP(C56,일용직명단!$A$3:$I$1226,7,FALSE())),0,VLOOKUP(C56,일용직명단!$A$3:$I$1226,7,FALSE()))</f>
        <v>110 06 95606 40</v>
      </c>
      <c r="AD57" s="127"/>
      <c r="AE57" s="141"/>
      <c r="AF57" s="129"/>
      <c r="AG57" s="129"/>
      <c r="AH57" s="130"/>
      <c r="AI57" s="130" t="n">
        <f aca="false">IF($W56*F57&gt;150000,($W56*F57-150000)*6%*45%,0)</f>
        <v>0</v>
      </c>
      <c r="AJ57" s="130" t="n">
        <f aca="false">IF($W56*G57&gt;150000,($W56*G57-150000)*6%*45%,0)</f>
        <v>0</v>
      </c>
      <c r="AK57" s="130" t="n">
        <f aca="false">IF($W56*H57&gt;150000,($W56*H57-150000)*6%*45%,0)</f>
        <v>0</v>
      </c>
      <c r="AL57" s="130" t="n">
        <f aca="false">IF($W56*I57&gt;150000,($W56*I57-150000)*6%*45%,0)</f>
        <v>0</v>
      </c>
      <c r="AM57" s="130" t="n">
        <f aca="false">IF($W56*J57&gt;150000,($W56*J57-150000)*6%*45%,0)</f>
        <v>0</v>
      </c>
      <c r="AN57" s="130" t="n">
        <f aca="false">IF($W56*K57&gt;150000,($W56*K57-150000)*6%*45%,0)</f>
        <v>0</v>
      </c>
      <c r="AO57" s="130" t="n">
        <f aca="false">IF($W56*L57&gt;150000,($W56*L57-150000)*6%*45%,0)</f>
        <v>0</v>
      </c>
      <c r="AP57" s="130" t="n">
        <f aca="false">IF($W56*M57&gt;150000,($W56*M57-150000)*6%*45%,0)</f>
        <v>0</v>
      </c>
      <c r="AQ57" s="130" t="n">
        <f aca="false">IF($W56*N57&gt;150000,($W56*N57-150000)*6%*45%,0)</f>
        <v>0</v>
      </c>
      <c r="AR57" s="130" t="n">
        <f aca="false">IF($W56*O57&gt;150000,($W56*O57-150000)*6%*45%,0)</f>
        <v>0</v>
      </c>
      <c r="AS57" s="130" t="n">
        <f aca="false">IF($W56*P57&gt;150000,($W56*P57-150000)*6%*45%,0)</f>
        <v>0</v>
      </c>
      <c r="AT57" s="130" t="n">
        <f aca="false">IF($W56*Q57&gt;150000,($W56*Q57-150000)*6%*45%,0)</f>
        <v>0</v>
      </c>
      <c r="AU57" s="130" t="n">
        <f aca="false">IF($W56*R57&gt;150000,($W56*R57-150000)*6%*45%,0)</f>
        <v>0</v>
      </c>
      <c r="AV57" s="130" t="n">
        <f aca="false">IF($W56*S57&gt;150000,($W56*S57-150000)*6%*45%,0)</f>
        <v>0</v>
      </c>
      <c r="AW57" s="130" t="n">
        <f aca="false">IF($W56*T57&gt;150000,($W56*T57-150000)*6%*45%,0)</f>
        <v>0</v>
      </c>
      <c r="AX57" s="130" t="n">
        <f aca="false">IF($W56*U57&gt;150000,($W56*U57-150000)*6%*45%,0)</f>
        <v>0</v>
      </c>
      <c r="AY57" s="13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</row>
    <row r="58" customFormat="false" ht="12.6" hidden="false" customHeight="true" outlineLevel="0" collapsed="false">
      <c r="A58" s="108" t="n">
        <f aca="false">A56+1</f>
        <v>25</v>
      </c>
      <c r="B58" s="109" t="n">
        <f aca="false">IF(ISERROR(VLOOKUP(C58,일용직명단!$A$3:$I$104,2,FALSE())),0,VLOOKUP(C58,일용직명단!$A$3:$I$104,2,FALSE()))</f>
        <v>0</v>
      </c>
      <c r="C58" s="139" t="s">
        <v>77</v>
      </c>
      <c r="D58" s="111" t="str">
        <f aca="false">IF(ISERROR(VLOOKUP(C58,일용직명단!$A$3:$K$1246,3,FALSE())),0,VLOOKUP(C58,일용직명단!$A$3:$K$1246,3,FALSE()))</f>
        <v>570814-2221110</v>
      </c>
      <c r="E58" s="140" t="str">
        <f aca="false">IF(ISERROR(VLOOKUP(C58,일용직명단!$A$3:$K$1246,4,FALSE())),0,VLOOKUP(C58,일용직명단!$A$3:$K$1246,4,FALSE()))</f>
        <v>충북 청주시 서원구 수곡로27번길 40, (수곡동)</v>
      </c>
      <c r="F58" s="113"/>
      <c r="G58" s="114"/>
      <c r="H58" s="115"/>
      <c r="I58" s="115"/>
      <c r="J58" s="113"/>
      <c r="K58" s="115"/>
      <c r="L58" s="113"/>
      <c r="M58" s="183" t="n">
        <v>1</v>
      </c>
      <c r="N58" s="182" t="n">
        <v>1</v>
      </c>
      <c r="O58" s="182" t="n">
        <v>1</v>
      </c>
      <c r="P58" s="113"/>
      <c r="Q58" s="114"/>
      <c r="R58" s="115"/>
      <c r="S58" s="114"/>
      <c r="T58" s="115"/>
      <c r="U58" s="119"/>
      <c r="V58" s="120" t="n">
        <f aca="false">SUM(F58:U59)</f>
        <v>10</v>
      </c>
      <c r="W58" s="121" t="n">
        <f aca="false">IF(ISERROR(VLOOKUP(C58,일용직명단!$A$3:$K$1246,8,FALSE())),0,VLOOKUP(C58,일용직명단!$A$3:$K$1246,8,FALSE()))</f>
        <v>160000</v>
      </c>
      <c r="X58" s="122" t="n">
        <f aca="false">IFERROR(IF(AG58&gt;=65,0,ROUNDDOWN(W59*$Z$4,-1)),0)</f>
        <v>0</v>
      </c>
      <c r="Y58" s="122" t="n">
        <f aca="false">IF(AE58&gt;=8,ROUNDDOWN(W59*$M$4,-1),0)</f>
        <v>56720</v>
      </c>
      <c r="Z58" s="123" t="n">
        <f aca="false">IFERROR(IF(AND(COUNT(F58:U59)&gt;=8,$AG58&lt;60,W59&lt;=5530000),ROUNDDOWN(ROUNDDOWN(W59,-3)*4.5%,-1),IF(AND(COUNT(F58:U59)&gt;=8,AG58&lt;60,W59&gt;5530000),248850,0)),0)</f>
        <v>0</v>
      </c>
      <c r="AA58" s="124" t="n">
        <f aca="false">+X58+Y58+X59+Y59+Z58+Z59</f>
        <v>63360</v>
      </c>
      <c r="AB58" s="125" t="n">
        <f aca="false">W59-AA58</f>
        <v>1536640</v>
      </c>
      <c r="AC58" s="126" t="str">
        <f aca="false">IF(ISERROR(VLOOKUP(C58,일용직명단!$A$3:$I$1226,5,FALSE())),0,VLOOKUP(C58,일용직명단!$A$3:$I$1226,5,FALSE()))</f>
        <v>농협</v>
      </c>
      <c r="AD58" s="127" t="str">
        <f aca="false">IF(ISERROR(VLOOKUP(C58,일용직명단!$A$3:$I$1226,6,FALSE())),0,VLOOKUP(C58,일용직명단!$A$3:$I$1226,6,FALSE()))</f>
        <v>황지화</v>
      </c>
      <c r="AE58" s="141" t="n">
        <f aca="false">COUNT(F58:U59)</f>
        <v>10</v>
      </c>
      <c r="AF58" s="129" t="str">
        <f aca="false">IF(OR(MID(D58,8,1)="1",MID(D58,8,1)="2"),19&amp;LEFT(D58,2),20&amp;LEFT(D58,2))&amp;"-"&amp;MID(D58,3,2)&amp;"-"&amp;MID(D58,5,2)</f>
        <v>1957-08-14</v>
      </c>
      <c r="AG58" s="129" t="n">
        <f aca="true">INT((TODAY()-AF58)/365.25)</f>
        <v>68</v>
      </c>
      <c r="AH58" s="130" t="n">
        <f aca="false">ROUNDDOWN(SUM(AI58:AX59),-1)</f>
        <v>2700</v>
      </c>
      <c r="AI58" s="130" t="n">
        <f aca="false">IF($W58*F58&gt;150000,($W58*F58-150000)*6%*45%,0)</f>
        <v>0</v>
      </c>
      <c r="AJ58" s="130" t="n">
        <f aca="false">IF($W58*G58&gt;150000,($W58*G58-150000)*6%*45%,0)</f>
        <v>0</v>
      </c>
      <c r="AK58" s="130" t="n">
        <f aca="false">IF($W58*H58&gt;150000,($W58*H58-150000)*6%*45%,0)</f>
        <v>0</v>
      </c>
      <c r="AL58" s="130" t="n">
        <f aca="false">IF($W58*I58&gt;150000,($W58*I58-150000)*6%*45%,0)</f>
        <v>0</v>
      </c>
      <c r="AM58" s="130" t="n">
        <f aca="false">IF($W58*J58&gt;150000,($W58*J58-150000)*6%*45%,0)</f>
        <v>0</v>
      </c>
      <c r="AN58" s="130" t="n">
        <f aca="false">IF($W58*K58&gt;150000,($W58*K58-150000)*6%*45%,0)</f>
        <v>0</v>
      </c>
      <c r="AO58" s="130" t="n">
        <f aca="false">IF($W58*L58&gt;150000,($W58*L58-150000)*6%*45%,0)</f>
        <v>0</v>
      </c>
      <c r="AP58" s="130" t="n">
        <f aca="false">IF($W58*M58&gt;150000,($W58*M58-150000)*6%*45%,0)</f>
        <v>270</v>
      </c>
      <c r="AQ58" s="130" t="n">
        <f aca="false">IF($W58*N58&gt;150000,($W58*N58-150000)*6%*45%,0)</f>
        <v>270</v>
      </c>
      <c r="AR58" s="130" t="n">
        <f aca="false">IF($W58*O58&gt;150000,($W58*O58-150000)*6%*45%,0)</f>
        <v>270</v>
      </c>
      <c r="AS58" s="130" t="n">
        <f aca="false">IF($W58*P58&gt;150000,($W58*P58-150000)*6%*45%,0)</f>
        <v>0</v>
      </c>
      <c r="AT58" s="130" t="n">
        <f aca="false">IF($W58*Q58&gt;150000,($W58*Q58-150000)*6%*45%,0)</f>
        <v>0</v>
      </c>
      <c r="AU58" s="130" t="n">
        <f aca="false">IF($W58*R58&gt;150000,($W58*R58-150000)*6%*45%,0)</f>
        <v>0</v>
      </c>
      <c r="AV58" s="130" t="n">
        <f aca="false">IF($W58*S58&gt;150000,($W58*S58-150000)*6%*45%,0)</f>
        <v>0</v>
      </c>
      <c r="AW58" s="130" t="n">
        <f aca="false">IF($W58*T58&gt;150000,($W58*T58-150000)*6%*45%,0)</f>
        <v>0</v>
      </c>
      <c r="AX58" s="130"/>
      <c r="AY58" s="131" t="n">
        <f aca="false">IF(ISERROR(VLOOKUP(C58,[26]일용직명단!$A$3:$M$1151,11,FALSE())),0,VLOOKUP(C58,[26]일용직명단!$A$3:$M$1151,11,FALSE()))</f>
        <v>0</v>
      </c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</row>
    <row r="59" customFormat="false" ht="12.6" hidden="false" customHeight="true" outlineLevel="0" collapsed="false">
      <c r="A59" s="108"/>
      <c r="B59" s="109"/>
      <c r="C59" s="139"/>
      <c r="D59" s="111"/>
      <c r="E59" s="140" t="n">
        <f aca="false">IF(ISERROR(VLOOKUP(C58,일용직명단!$A$3:$K$1246,9,FALSE())),0,VLOOKUP(C58,일용직명단!$A$3:$K$1246,9,FALSE()))</f>
        <v>0</v>
      </c>
      <c r="F59" s="180"/>
      <c r="G59" s="187" t="n">
        <v>1</v>
      </c>
      <c r="H59" s="187" t="n">
        <v>1</v>
      </c>
      <c r="I59" s="182" t="n">
        <v>1</v>
      </c>
      <c r="J59" s="115"/>
      <c r="K59" s="114"/>
      <c r="L59" s="113"/>
      <c r="M59" s="113"/>
      <c r="N59" s="114"/>
      <c r="O59" s="115"/>
      <c r="P59" s="114"/>
      <c r="Q59" s="114"/>
      <c r="R59" s="183" t="n">
        <v>1</v>
      </c>
      <c r="S59" s="183" t="n">
        <v>1</v>
      </c>
      <c r="T59" s="183" t="n">
        <v>1</v>
      </c>
      <c r="U59" s="185" t="n">
        <v>1</v>
      </c>
      <c r="V59" s="120"/>
      <c r="W59" s="138" t="n">
        <f aca="false">W58*V58</f>
        <v>1600000</v>
      </c>
      <c r="X59" s="122" t="n">
        <f aca="false">IF(AH58&lt;1000,0,AH58)</f>
        <v>2700</v>
      </c>
      <c r="Y59" s="122" t="n">
        <f aca="false">ROUNDDOWN(X59*10%,-1)</f>
        <v>270</v>
      </c>
      <c r="Z59" s="123" t="n">
        <f aca="false">IF(AE58&gt;=8,ROUNDDOWN(Y58*$Q$4,-1),0)</f>
        <v>3670</v>
      </c>
      <c r="AA59" s="124"/>
      <c r="AB59" s="125"/>
      <c r="AC59" s="127" t="str">
        <f aca="false">IF(ISERROR(VLOOKUP(C58,일용직명단!$A$3:$I$1226,7,FALSE())),0,VLOOKUP(C58,일용직명단!$A$3:$I$1226,7,FALSE()))</f>
        <v>352-0265-8174-33</v>
      </c>
      <c r="AD59" s="127"/>
      <c r="AE59" s="141"/>
      <c r="AF59" s="129"/>
      <c r="AG59" s="129"/>
      <c r="AH59" s="130"/>
      <c r="AI59" s="130" t="n">
        <f aca="false">IF($W58*F59&gt;150000,($W58*F59-150000)*6%*45%,0)</f>
        <v>0</v>
      </c>
      <c r="AJ59" s="130" t="n">
        <f aca="false">IF($W58*G59&gt;150000,($W58*G59-150000)*6%*45%,0)</f>
        <v>270</v>
      </c>
      <c r="AK59" s="130" t="n">
        <f aca="false">IF($W58*H59&gt;150000,($W58*H59-150000)*6%*45%,0)</f>
        <v>270</v>
      </c>
      <c r="AL59" s="130" t="n">
        <f aca="false">IF($W58*I59&gt;150000,($W58*I59-150000)*6%*45%,0)</f>
        <v>270</v>
      </c>
      <c r="AM59" s="130" t="n">
        <f aca="false">IF($W58*J59&gt;150000,($W58*J59-150000)*6%*45%,0)</f>
        <v>0</v>
      </c>
      <c r="AN59" s="130" t="n">
        <f aca="false">IF($W58*K59&gt;150000,($W58*K59-150000)*6%*45%,0)</f>
        <v>0</v>
      </c>
      <c r="AO59" s="130" t="n">
        <f aca="false">IF($W58*L59&gt;150000,($W58*L59-150000)*6%*45%,0)</f>
        <v>0</v>
      </c>
      <c r="AP59" s="130" t="n">
        <f aca="false">IF($W58*M59&gt;150000,($W58*M59-150000)*6%*45%,0)</f>
        <v>0</v>
      </c>
      <c r="AQ59" s="130" t="n">
        <f aca="false">IF($W58*N59&gt;150000,($W58*N59-150000)*6%*45%,0)</f>
        <v>0</v>
      </c>
      <c r="AR59" s="130" t="n">
        <f aca="false">IF($W58*O59&gt;150000,($W58*O59-150000)*6%*45%,0)</f>
        <v>0</v>
      </c>
      <c r="AS59" s="130" t="n">
        <f aca="false">IF($W58*P59&gt;150000,($W58*P59-150000)*6%*45%,0)</f>
        <v>0</v>
      </c>
      <c r="AT59" s="130" t="n">
        <f aca="false">IF($W58*Q59&gt;150000,($W58*Q59-150000)*6%*45%,0)</f>
        <v>0</v>
      </c>
      <c r="AU59" s="130" t="n">
        <f aca="false">IF($W58*R59&gt;150000,($W58*R59-150000)*6%*45%,0)</f>
        <v>270</v>
      </c>
      <c r="AV59" s="130" t="n">
        <f aca="false">IF($W58*S59&gt;150000,($W58*S59-150000)*6%*45%,0)</f>
        <v>270</v>
      </c>
      <c r="AW59" s="130" t="n">
        <f aca="false">IF($W58*T59&gt;150000,($W58*T59-150000)*6%*45%,0)</f>
        <v>270</v>
      </c>
      <c r="AX59" s="130" t="n">
        <f aca="false">IF($W58*U59&gt;150000,($W58*U59-150000)*6%*45%,0)</f>
        <v>270</v>
      </c>
      <c r="AY59" s="13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</row>
    <row r="60" customFormat="false" ht="12.6" hidden="false" customHeight="true" outlineLevel="0" collapsed="false">
      <c r="A60" s="108" t="n">
        <f aca="false">A58+1</f>
        <v>26</v>
      </c>
      <c r="B60" s="142"/>
      <c r="C60" s="143" t="s">
        <v>78</v>
      </c>
      <c r="D60" s="111" t="str">
        <f aca="false">IF(ISERROR(VLOOKUP(C60,일용직명단!$A$3:$K$1246,3,FALSE())),0,VLOOKUP(C60,일용직명단!$A$3:$K$1246,3,FALSE()))</f>
        <v>640430-1449018</v>
      </c>
      <c r="E60" s="140" t="str">
        <f aca="false">IF(ISERROR(VLOOKUP(C60,일용직명단!$A$3:$K$1246,4,FALSE())),0,VLOOKUP(C60,일용직명단!$A$3:$K$1246,4,FALSE()))</f>
        <v>대전광역시 중구 보문산로245번길 3-18, 1층(문화동)</v>
      </c>
      <c r="F60" s="183" t="n">
        <v>1</v>
      </c>
      <c r="G60" s="182" t="n">
        <v>1</v>
      </c>
      <c r="H60" s="191"/>
      <c r="I60" s="185" t="n">
        <v>1</v>
      </c>
      <c r="J60" s="192"/>
      <c r="K60" s="191"/>
      <c r="L60" s="192"/>
      <c r="M60" s="192"/>
      <c r="N60" s="193"/>
      <c r="O60" s="182" t="n">
        <v>1</v>
      </c>
      <c r="P60" s="183" t="n">
        <v>1</v>
      </c>
      <c r="Q60" s="193"/>
      <c r="R60" s="185" t="n">
        <v>1</v>
      </c>
      <c r="S60" s="182" t="n">
        <v>1</v>
      </c>
      <c r="T60" s="191"/>
      <c r="U60" s="194"/>
      <c r="V60" s="168" t="n">
        <f aca="false">SUM(F60:U61)</f>
        <v>7</v>
      </c>
      <c r="W60" s="121" t="n">
        <f aca="false">IF(ISERROR(VLOOKUP(C60,일용직명단!$A$3:$K$1246,8,FALSE())),0,VLOOKUP(C60,일용직명단!$A$3:$K$1246,8,FALSE()))</f>
        <v>170000</v>
      </c>
      <c r="X60" s="123" t="n">
        <f aca="false">IFERROR(IF(AG60&gt;=65,0,ROUNDDOWN(W61*$Z$4,-1)),0)</f>
        <v>10710</v>
      </c>
      <c r="Y60" s="123" t="n">
        <f aca="false">IF(AE60&gt;=8,ROUNDDOWN(W61*$M$4,-1),0)</f>
        <v>0</v>
      </c>
      <c r="Z60" s="123" t="n">
        <f aca="false">IFERROR(IF(AND(COUNT(F60:U61)&gt;=8,$AG60&lt;60,W61&lt;=5530000),ROUNDDOWN(ROUNDDOWN(W61,-3)*4.5%,-1),IF(AND(COUNT(F60:U61)&gt;=8,AG60&lt;60,W61&gt;5530000),248850,0)),0)</f>
        <v>0</v>
      </c>
      <c r="AA60" s="124" t="n">
        <f aca="false">+X60+Y60+X61+Y61+Z60+Z61</f>
        <v>14860</v>
      </c>
      <c r="AB60" s="146" t="n">
        <f aca="false">W61-AA60</f>
        <v>1175140</v>
      </c>
      <c r="AC60" s="165" t="str">
        <f aca="false">IF(ISERROR(VLOOKUP(C60,일용직명단!$A$3:$I$1226,5,FALSE())),0,VLOOKUP(C60,일용직명단!$A$3:$I$1226,5,FALSE()))</f>
        <v>농협</v>
      </c>
      <c r="AD60" s="166" t="str">
        <f aca="false">IF(ISERROR(VLOOKUP(C60,일용직명단!$A$3:$I$1226,6,FALSE())),0,VLOOKUP(C60,일용직명단!$A$3:$I$1226,6,FALSE()))</f>
        <v>박원용</v>
      </c>
      <c r="AE60" s="141" t="n">
        <f aca="false">COUNT(F60:U61)</f>
        <v>7</v>
      </c>
      <c r="AF60" s="169" t="str">
        <f aca="false">IF(OR(MID(D60,8,1)="1",MID(D60,8,1)="2"),19&amp;LEFT(D60,2),20&amp;LEFT(D60,2))&amp;"-"&amp;MID(D60,3,2)&amp;"-"&amp;MID(D60,5,2)</f>
        <v>1964-04-30</v>
      </c>
      <c r="AG60" s="169" t="n">
        <f aca="true">INT((TODAY()-AF60)/365.25)</f>
        <v>61</v>
      </c>
      <c r="AH60" s="130" t="n">
        <f aca="false">ROUNDDOWN(SUM(AI60:AX61),-1)</f>
        <v>3780</v>
      </c>
      <c r="AI60" s="130" t="n">
        <f aca="false">IF($W60*F60&gt;150000,($W60*F60-150000)*6%*45%,0)</f>
        <v>540</v>
      </c>
      <c r="AJ60" s="130" t="n">
        <f aca="false">IF($W60*G60&gt;150000,($W60*G60-150000)*6%*45%,0)</f>
        <v>540</v>
      </c>
      <c r="AK60" s="130" t="n">
        <f aca="false">IF($W60*H60&gt;150000,($W60*H60-150000)*6%*45%,0)</f>
        <v>0</v>
      </c>
      <c r="AL60" s="130" t="n">
        <f aca="false">IF($W60*I60&gt;150000,($W60*I60-150000)*6%*45%,0)</f>
        <v>540</v>
      </c>
      <c r="AM60" s="130" t="n">
        <f aca="false">IF($W60*J60&gt;150000,($W60*J60-150000)*6%*45%,0)</f>
        <v>0</v>
      </c>
      <c r="AN60" s="130" t="n">
        <f aca="false">IF($W60*K60&gt;150000,($W60*K60-150000)*6%*45%,0)</f>
        <v>0</v>
      </c>
      <c r="AO60" s="130" t="n">
        <f aca="false">IF($W60*L60&gt;150000,($W60*L60-150000)*6%*45%,0)</f>
        <v>0</v>
      </c>
      <c r="AP60" s="130" t="n">
        <f aca="false">IF($W60*M60&gt;150000,($W60*M60-150000)*6%*45%,0)</f>
        <v>0</v>
      </c>
      <c r="AQ60" s="130" t="n">
        <f aca="false">IF($W60*N60&gt;150000,($W60*N60-150000)*6%*45%,0)</f>
        <v>0</v>
      </c>
      <c r="AR60" s="130" t="n">
        <f aca="false">IF($W60*O60&gt;150000,($W60*O60-150000)*6%*45%,0)</f>
        <v>540</v>
      </c>
      <c r="AS60" s="130" t="n">
        <f aca="false">IF($W60*P60&gt;150000,($W60*P60-150000)*6%*45%,0)</f>
        <v>540</v>
      </c>
      <c r="AT60" s="130" t="n">
        <f aca="false">IF($W60*Q60&gt;150000,($W60*Q60-150000)*6%*45%,0)</f>
        <v>0</v>
      </c>
      <c r="AU60" s="130" t="n">
        <f aca="false">IF($W60*R60&gt;150000,($W60*R60-150000)*6%*45%,0)</f>
        <v>540</v>
      </c>
      <c r="AV60" s="130" t="n">
        <f aca="false">IF($W60*S60&gt;150000,($W60*S60-150000)*6%*45%,0)</f>
        <v>540</v>
      </c>
      <c r="AW60" s="130" t="n">
        <f aca="false">IF($W60*T60&gt;150000,($W60*T60-150000)*6%*45%,0)</f>
        <v>0</v>
      </c>
      <c r="AX60" s="130"/>
      <c r="AY60" s="131" t="n">
        <f aca="false">IF(ISERROR(VLOOKUP(C60,[26]일용직명단!$A$3:$M$1151,11,FALSE())),0,VLOOKUP(C60,[26]일용직명단!$A$3:$M$1151,11,FALSE()))</f>
        <v>0</v>
      </c>
      <c r="AZ60" s="11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</row>
    <row r="61" customFormat="false" ht="12.6" hidden="false" customHeight="true" outlineLevel="0" collapsed="false">
      <c r="A61" s="108"/>
      <c r="B61" s="142"/>
      <c r="C61" s="143"/>
      <c r="D61" s="111"/>
      <c r="E61" s="140" t="str">
        <f aca="false">IF(ISERROR(VLOOKUP(C60,일용직명단!$A$3:$K$1246,9,FALSE())),0,VLOOKUP(C60,일용직명단!$A$3:$K$1246,9,FALSE()))</f>
        <v>010-3034-8317</v>
      </c>
      <c r="F61" s="195"/>
      <c r="G61" s="196"/>
      <c r="H61" s="196"/>
      <c r="I61" s="193"/>
      <c r="J61" s="191"/>
      <c r="K61" s="193"/>
      <c r="L61" s="192"/>
      <c r="M61" s="197"/>
      <c r="N61" s="198"/>
      <c r="O61" s="199"/>
      <c r="P61" s="198"/>
      <c r="Q61" s="193"/>
      <c r="R61" s="192"/>
      <c r="S61" s="192"/>
      <c r="T61" s="192"/>
      <c r="U61" s="191"/>
      <c r="V61" s="168"/>
      <c r="W61" s="138" t="n">
        <f aca="false">W60*V60</f>
        <v>1190000</v>
      </c>
      <c r="X61" s="123" t="n">
        <f aca="false">IF(AH60&lt;1000,0,AH60)</f>
        <v>3780</v>
      </c>
      <c r="Y61" s="123" t="n">
        <f aca="false">ROUNDDOWN(X61*10%,-1)</f>
        <v>370</v>
      </c>
      <c r="Z61" s="123" t="n">
        <f aca="false">IF(AE60&gt;=8,ROUNDDOWN(Y60*$Q$4,-1),0)</f>
        <v>0</v>
      </c>
      <c r="AA61" s="124"/>
      <c r="AB61" s="146"/>
      <c r="AC61" s="166" t="str">
        <f aca="false">IF(ISERROR(VLOOKUP(C60,일용직명단!$A$3:$I$1226,7,FALSE())),0,VLOOKUP(C60,일용직명단!$A$3:$I$1226,7,FALSE()))</f>
        <v>352-0194-1212-63</v>
      </c>
      <c r="AD61" s="166"/>
      <c r="AE61" s="141"/>
      <c r="AF61" s="169"/>
      <c r="AG61" s="169"/>
      <c r="AH61" s="130"/>
      <c r="AI61" s="130" t="n">
        <f aca="false">IF($W60*F61&gt;150000,($W60*F61-150000)*6%*45%,0)</f>
        <v>0</v>
      </c>
      <c r="AJ61" s="130" t="n">
        <f aca="false">IF($W60*G61&gt;150000,($W60*G61-150000)*6%*45%,0)</f>
        <v>0</v>
      </c>
      <c r="AK61" s="130" t="n">
        <f aca="false">IF($W60*H61&gt;150000,($W60*H61-150000)*6%*45%,0)</f>
        <v>0</v>
      </c>
      <c r="AL61" s="130" t="n">
        <f aca="false">IF($W60*I61&gt;150000,($W60*I61-150000)*6%*45%,0)</f>
        <v>0</v>
      </c>
      <c r="AM61" s="130" t="n">
        <f aca="false">IF($W60*J61&gt;150000,($W60*J61-150000)*6%*45%,0)</f>
        <v>0</v>
      </c>
      <c r="AN61" s="130" t="n">
        <f aca="false">IF($W60*K61&gt;150000,($W60*K61-150000)*6%*45%,0)</f>
        <v>0</v>
      </c>
      <c r="AO61" s="130" t="n">
        <f aca="false">IF($W60*L61&gt;150000,($W60*L61-150000)*6%*45%,0)</f>
        <v>0</v>
      </c>
      <c r="AP61" s="130" t="n">
        <f aca="false">IF($W60*M61&gt;150000,($W60*M61-150000)*6%*45%,0)</f>
        <v>0</v>
      </c>
      <c r="AQ61" s="130" t="n">
        <f aca="false">IF($W60*N61&gt;150000,($W60*N61-150000)*6%*45%,0)</f>
        <v>0</v>
      </c>
      <c r="AR61" s="130" t="n">
        <f aca="false">IF($W60*O61&gt;150000,($W60*O61-150000)*6%*45%,0)</f>
        <v>0</v>
      </c>
      <c r="AS61" s="130" t="n">
        <f aca="false">IF($W60*P61&gt;150000,($W60*P61-150000)*6%*45%,0)</f>
        <v>0</v>
      </c>
      <c r="AT61" s="130" t="n">
        <f aca="false">IF($W60*Q61&gt;150000,($W60*Q61-150000)*6%*45%,0)</f>
        <v>0</v>
      </c>
      <c r="AU61" s="130" t="n">
        <f aca="false">IF($W60*R61&gt;150000,($W60*R61-150000)*6%*45%,0)</f>
        <v>0</v>
      </c>
      <c r="AV61" s="130" t="n">
        <f aca="false">IF($W60*S61&gt;150000,($W60*S61-150000)*6%*45%,0)</f>
        <v>0</v>
      </c>
      <c r="AW61" s="130" t="n">
        <f aca="false">IF($W60*T61&gt;150000,($W60*T61-150000)*6%*45%,0)</f>
        <v>0</v>
      </c>
      <c r="AX61" s="130" t="n">
        <f aca="false">IF($W60*U61&gt;150000,($W60*U61-150000)*6%*45%,0)</f>
        <v>0</v>
      </c>
      <c r="AY61" s="131"/>
      <c r="AZ61" s="11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</row>
    <row r="62" customFormat="false" ht="12.6" hidden="false" customHeight="true" outlineLevel="0" collapsed="false">
      <c r="A62" s="108" t="n">
        <f aca="false">A60+1</f>
        <v>27</v>
      </c>
      <c r="B62" s="109" t="n">
        <f aca="false">IF(ISERROR(VLOOKUP(C62,일용직명단!$A$3:$I$104,2,FALSE())),0,VLOOKUP(C62,일용직명단!$A$3:$I$104,2,FALSE()))</f>
        <v>0</v>
      </c>
      <c r="C62" s="143" t="s">
        <v>79</v>
      </c>
      <c r="D62" s="111" t="str">
        <f aca="false">IF(ISERROR(VLOOKUP(C62,일용직명단!$A$3:$K$1246,3,FALSE())),0,VLOOKUP(C62,일용직명단!$A$3:$K$1246,3,FALSE()))</f>
        <v>610510-2684239</v>
      </c>
      <c r="E62" s="140" t="str">
        <f aca="false">IF(ISERROR(VLOOKUP(C62,일용직명단!$A$3:$K$1246,4,FALSE())),0,VLOOKUP(C62,일용직명단!$A$3:$K$1246,4,FALSE()))</f>
        <v>전북 무주군 무주읍 단천로6길 13</v>
      </c>
      <c r="F62" s="183" t="n">
        <v>1</v>
      </c>
      <c r="G62" s="182" t="n">
        <v>1</v>
      </c>
      <c r="H62" s="185" t="n">
        <v>1</v>
      </c>
      <c r="I62" s="185" t="n">
        <v>1</v>
      </c>
      <c r="J62" s="113"/>
      <c r="K62" s="115"/>
      <c r="L62" s="113"/>
      <c r="M62" s="183" t="n">
        <v>1</v>
      </c>
      <c r="N62" s="182" t="n">
        <v>1</v>
      </c>
      <c r="O62" s="182" t="n">
        <v>1</v>
      </c>
      <c r="P62" s="113"/>
      <c r="Q62" s="114"/>
      <c r="R62" s="115"/>
      <c r="S62" s="114"/>
      <c r="T62" s="115"/>
      <c r="U62" s="119"/>
      <c r="V62" s="120" t="n">
        <f aca="false">SUM(F62:U63)</f>
        <v>7</v>
      </c>
      <c r="W62" s="121" t="n">
        <f aca="false">IF(ISERROR(VLOOKUP(C62,일용직명단!$A$3:$K$1246,8,FALSE())),0,VLOOKUP(C62,일용직명단!$A$3:$K$1246,8,FALSE()))</f>
        <v>170000</v>
      </c>
      <c r="X62" s="122" t="n">
        <f aca="false">IFERROR(IF(AG62&gt;=65,0,ROUNDDOWN(W63*$Z$4,-1)),0)</f>
        <v>10710</v>
      </c>
      <c r="Y62" s="122" t="n">
        <f aca="false">IF(AE62&gt;=8,ROUNDDOWN(W63*$M$4,-1),0)</f>
        <v>0</v>
      </c>
      <c r="Z62" s="123" t="n">
        <f aca="false">IFERROR(IF(AND(COUNT(F62:U63)&gt;=8,$AG62&lt;60,W63&lt;=5530000),ROUNDDOWN(ROUNDDOWN(W63,-3)*4.5%,-1),IF(AND(COUNT(F62:U63)&gt;=8,AG62&lt;60,W63&gt;5530000),248850,0)),0)</f>
        <v>0</v>
      </c>
      <c r="AA62" s="124" t="n">
        <f aca="false">+X62+Y62+X63+Y63+Z62+Z63</f>
        <v>14860</v>
      </c>
      <c r="AB62" s="125" t="n">
        <f aca="false">W63-AA62</f>
        <v>1175140</v>
      </c>
      <c r="AC62" s="126" t="str">
        <f aca="false">IF(ISERROR(VLOOKUP(C62,일용직명단!$A$3:$I$1226,5,FALSE())),0,VLOOKUP(C62,일용직명단!$A$3:$I$1226,5,FALSE()))</f>
        <v>우체국</v>
      </c>
      <c r="AD62" s="127" t="str">
        <f aca="false">IF(ISERROR(VLOOKUP(C62,일용직명단!$A$3:$I$1226,6,FALSE())),0,VLOOKUP(C62,일용직명단!$A$3:$I$1226,6,FALSE()))</f>
        <v>배순히</v>
      </c>
      <c r="AE62" s="141" t="n">
        <f aca="false">COUNT(F62:U63)</f>
        <v>7</v>
      </c>
      <c r="AF62" s="129" t="str">
        <f aca="false">IF(OR(MID(D62,8,1)="1",MID(D62,8,1)="2"),19&amp;LEFT(D62,2),20&amp;LEFT(D62,2))&amp;"-"&amp;MID(D62,3,2)&amp;"-"&amp;MID(D62,5,2)</f>
        <v>1961-05-10</v>
      </c>
      <c r="AG62" s="129" t="n">
        <f aca="true">INT((TODAY()-AF62)/365.25)</f>
        <v>64</v>
      </c>
      <c r="AH62" s="130" t="n">
        <f aca="false">ROUNDDOWN(SUM(AI62:AX63),-1)</f>
        <v>3780</v>
      </c>
      <c r="AI62" s="130" t="n">
        <f aca="false">IF($W62*F62&gt;150000,($W62*F62-150000)*6%*45%,0)</f>
        <v>540</v>
      </c>
      <c r="AJ62" s="130" t="n">
        <f aca="false">IF($W62*G62&gt;150000,($W62*G62-150000)*6%*45%,0)</f>
        <v>540</v>
      </c>
      <c r="AK62" s="130" t="n">
        <f aca="false">IF($W62*H62&gt;150000,($W62*H62-150000)*6%*45%,0)</f>
        <v>540</v>
      </c>
      <c r="AL62" s="130" t="n">
        <f aca="false">IF($W62*I62&gt;150000,($W62*I62-150000)*6%*45%,0)</f>
        <v>540</v>
      </c>
      <c r="AM62" s="130" t="n">
        <f aca="false">IF($W62*J62&gt;150000,($W62*J62-150000)*6%*45%,0)</f>
        <v>0</v>
      </c>
      <c r="AN62" s="130" t="n">
        <f aca="false">IF($W62*K62&gt;150000,($W62*K62-150000)*6%*45%,0)</f>
        <v>0</v>
      </c>
      <c r="AO62" s="130" t="n">
        <f aca="false">IF($W62*L62&gt;150000,($W62*L62-150000)*6%*45%,0)</f>
        <v>0</v>
      </c>
      <c r="AP62" s="130" t="n">
        <f aca="false">IF($W62*M62&gt;150000,($W62*M62-150000)*6%*45%,0)</f>
        <v>540</v>
      </c>
      <c r="AQ62" s="130" t="n">
        <f aca="false">IF($W62*N62&gt;150000,($W62*N62-150000)*6%*45%,0)</f>
        <v>540</v>
      </c>
      <c r="AR62" s="130" t="n">
        <f aca="false">IF($W62*O62&gt;150000,($W62*O62-150000)*6%*45%,0)</f>
        <v>540</v>
      </c>
      <c r="AS62" s="130" t="n">
        <f aca="false">IF($W62*P62&gt;150000,($W62*P62-150000)*6%*45%,0)</f>
        <v>0</v>
      </c>
      <c r="AT62" s="130" t="n">
        <f aca="false">IF($W62*Q62&gt;150000,($W62*Q62-150000)*6%*45%,0)</f>
        <v>0</v>
      </c>
      <c r="AU62" s="130" t="n">
        <f aca="false">IF($W62*R62&gt;150000,($W62*R62-150000)*6%*45%,0)</f>
        <v>0</v>
      </c>
      <c r="AV62" s="130" t="n">
        <f aca="false">IF($W62*S62&gt;150000,($W62*S62-150000)*6%*45%,0)</f>
        <v>0</v>
      </c>
      <c r="AW62" s="130" t="n">
        <f aca="false">IF($W62*T62&gt;150000,($W62*T62-150000)*6%*45%,0)</f>
        <v>0</v>
      </c>
      <c r="AX62" s="130"/>
      <c r="AY62" s="131" t="n">
        <f aca="false">IF(ISERROR(VLOOKUP(C62,[26]일용직명단!$A$3:$M$1151,11,FALSE())),0,VLOOKUP(C62,[26]일용직명단!$A$3:$M$1151,11,FALSE()))</f>
        <v>0</v>
      </c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  <c r="IW62" s="11"/>
    </row>
    <row r="63" customFormat="false" ht="12.6" hidden="false" customHeight="true" outlineLevel="0" collapsed="false">
      <c r="A63" s="108"/>
      <c r="B63" s="109"/>
      <c r="C63" s="143"/>
      <c r="D63" s="111"/>
      <c r="E63" s="140" t="n">
        <f aca="false">IF(ISERROR(VLOOKUP(C62,일용직명단!$A$3:$K$1246,9,FALSE())),0,VLOOKUP(C62,일용직명단!$A$3:$K$1246,9,FALSE()))</f>
        <v>0</v>
      </c>
      <c r="F63" s="180"/>
      <c r="G63" s="134"/>
      <c r="H63" s="134"/>
      <c r="I63" s="114"/>
      <c r="J63" s="115"/>
      <c r="K63" s="114"/>
      <c r="L63" s="113"/>
      <c r="M63" s="113"/>
      <c r="N63" s="114"/>
      <c r="O63" s="115"/>
      <c r="P63" s="114"/>
      <c r="Q63" s="114"/>
      <c r="R63" s="113"/>
      <c r="S63" s="113"/>
      <c r="T63" s="113"/>
      <c r="U63" s="115"/>
      <c r="V63" s="120"/>
      <c r="W63" s="138" t="n">
        <f aca="false">W62*V62</f>
        <v>1190000</v>
      </c>
      <c r="X63" s="122" t="n">
        <f aca="false">IF(AH62&lt;1000,0,AH62)</f>
        <v>3780</v>
      </c>
      <c r="Y63" s="122" t="n">
        <f aca="false">ROUNDDOWN(X63*10%,-1)</f>
        <v>370</v>
      </c>
      <c r="Z63" s="123" t="n">
        <f aca="false">IF(AE62&gt;=8,ROUNDDOWN(Y62*$Q$4,-1),0)</f>
        <v>0</v>
      </c>
      <c r="AA63" s="124"/>
      <c r="AB63" s="125"/>
      <c r="AC63" s="127" t="str">
        <f aca="false">IF(ISERROR(VLOOKUP(C62,일용직명단!$A$3:$I$1226,7,FALSE())),0,VLOOKUP(C62,일용직명단!$A$3:$I$1226,7,FALSE()))</f>
        <v>110-0116-35806</v>
      </c>
      <c r="AD63" s="127"/>
      <c r="AE63" s="141"/>
      <c r="AF63" s="129"/>
      <c r="AG63" s="129"/>
      <c r="AH63" s="130"/>
      <c r="AI63" s="130" t="n">
        <f aca="false">IF($W62*F63&gt;150000,($W62*F63-150000)*6%*45%,0)</f>
        <v>0</v>
      </c>
      <c r="AJ63" s="130" t="n">
        <f aca="false">IF($W62*G63&gt;150000,($W62*G63-150000)*6%*45%,0)</f>
        <v>0</v>
      </c>
      <c r="AK63" s="130" t="n">
        <f aca="false">IF($W62*H63&gt;150000,($W62*H63-150000)*6%*45%,0)</f>
        <v>0</v>
      </c>
      <c r="AL63" s="130" t="n">
        <f aca="false">IF($W62*I63&gt;150000,($W62*I63-150000)*6%*45%,0)</f>
        <v>0</v>
      </c>
      <c r="AM63" s="130" t="n">
        <f aca="false">IF($W62*J63&gt;150000,($W62*J63-150000)*6%*45%,0)</f>
        <v>0</v>
      </c>
      <c r="AN63" s="130" t="n">
        <f aca="false">IF($W62*K63&gt;150000,($W62*K63-150000)*6%*45%,0)</f>
        <v>0</v>
      </c>
      <c r="AO63" s="130" t="n">
        <f aca="false">IF($W62*L63&gt;150000,($W62*L63-150000)*6%*45%,0)</f>
        <v>0</v>
      </c>
      <c r="AP63" s="130" t="n">
        <f aca="false">IF($W62*M63&gt;150000,($W62*M63-150000)*6%*45%,0)</f>
        <v>0</v>
      </c>
      <c r="AQ63" s="130" t="n">
        <f aca="false">IF($W62*N63&gt;150000,($W62*N63-150000)*6%*45%,0)</f>
        <v>0</v>
      </c>
      <c r="AR63" s="130" t="n">
        <f aca="false">IF($W62*O63&gt;150000,($W62*O63-150000)*6%*45%,0)</f>
        <v>0</v>
      </c>
      <c r="AS63" s="130" t="n">
        <f aca="false">IF($W62*P63&gt;150000,($W62*P63-150000)*6%*45%,0)</f>
        <v>0</v>
      </c>
      <c r="AT63" s="130" t="n">
        <f aca="false">IF($W62*Q63&gt;150000,($W62*Q63-150000)*6%*45%,0)</f>
        <v>0</v>
      </c>
      <c r="AU63" s="130" t="n">
        <f aca="false">IF($W62*R63&gt;150000,($W62*R63-150000)*6%*45%,0)</f>
        <v>0</v>
      </c>
      <c r="AV63" s="130" t="n">
        <f aca="false">IF($W62*S63&gt;150000,($W62*S63-150000)*6%*45%,0)</f>
        <v>0</v>
      </c>
      <c r="AW63" s="130" t="n">
        <f aca="false">IF($W62*T63&gt;150000,($W62*T63-150000)*6%*45%,0)</f>
        <v>0</v>
      </c>
      <c r="AX63" s="130" t="n">
        <f aca="false">IF($W62*U63&gt;150000,($W62*U63-150000)*6%*45%,0)</f>
        <v>0</v>
      </c>
      <c r="AY63" s="13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</row>
    <row r="64" customFormat="false" ht="12.6" hidden="false" customHeight="true" outlineLevel="0" collapsed="false">
      <c r="A64" s="108" t="n">
        <f aca="false">A62+1</f>
        <v>28</v>
      </c>
      <c r="B64" s="159"/>
      <c r="C64" s="139"/>
      <c r="D64" s="111" t="n">
        <f aca="false">IF(ISERROR(VLOOKUP(C64,일용직명단!$A$3:$K$1246,3,FALSE())),0,VLOOKUP(C64,일용직명단!$A$3:$K$1246,3,FALSE()))</f>
        <v>0</v>
      </c>
      <c r="E64" s="200" t="n">
        <f aca="false">IF(ISERROR(VLOOKUP(C64,일용직명단!$A$3:$K$1246,4,FALSE())),0,VLOOKUP(C64,일용직명단!$A$3:$K$1246,4,FALSE()))</f>
        <v>0</v>
      </c>
      <c r="F64" s="113"/>
      <c r="G64" s="114"/>
      <c r="H64" s="115"/>
      <c r="I64" s="115"/>
      <c r="J64" s="113"/>
      <c r="K64" s="115"/>
      <c r="L64" s="113"/>
      <c r="M64" s="113"/>
      <c r="N64" s="114"/>
      <c r="O64" s="114"/>
      <c r="P64" s="113"/>
      <c r="Q64" s="114"/>
      <c r="R64" s="115"/>
      <c r="S64" s="114"/>
      <c r="T64" s="115"/>
      <c r="U64" s="119"/>
      <c r="V64" s="120" t="n">
        <f aca="false">SUM(F64:U65)</f>
        <v>0</v>
      </c>
      <c r="W64" s="121" t="n">
        <f aca="false">IF(ISERROR(VLOOKUP(C64,일용직명단!$A$3:$K$1246,8,FALSE())),0,VLOOKUP(C64,일용직명단!$A$3:$K$1246,8,FALSE()))</f>
        <v>0</v>
      </c>
      <c r="X64" s="177" t="n">
        <f aca="false">IFERROR(IF(AG64&gt;=65,0,ROUNDDOWN(W65*$Z$4,-1)),0)</f>
        <v>0</v>
      </c>
      <c r="Y64" s="177" t="n">
        <f aca="false">IF(AE64&gt;=8,ROUNDDOWN(W65*$M$4,-1),0)</f>
        <v>0</v>
      </c>
      <c r="Z64" s="177" t="n">
        <f aca="false">IFERROR(IF(AND(COUNT(F64:U65)&gt;=8,$AG64&lt;60,W65&lt;=5530000),ROUNDDOWN(ROUNDDOWN(W65,-3)*4.5%,-1),IF(AND(COUNT(F64:U65)&gt;=8,AG64&lt;60,W65&gt;5530000),248850,0)),0)</f>
        <v>0</v>
      </c>
      <c r="AA64" s="124" t="n">
        <f aca="false">+X64+Y64+X65+Y65+Z64+Z65</f>
        <v>0</v>
      </c>
      <c r="AB64" s="125" t="n">
        <f aca="false">W65-AA64</f>
        <v>0</v>
      </c>
      <c r="AC64" s="178" t="n">
        <f aca="false">IF(ISERROR(VLOOKUP(C64,일용직명단!$A$3:$I$1226,5,FALSE())),0,VLOOKUP(C64,일용직명단!$A$3:$I$1226,5,FALSE()))</f>
        <v>0</v>
      </c>
      <c r="AD64" s="179" t="n">
        <f aca="false">IF(ISERROR(VLOOKUP(C64,일용직명단!$A$3:$I$1226,6,FALSE())),0,VLOOKUP(C64,일용직명단!$A$3:$I$1226,6,FALSE()))</f>
        <v>0</v>
      </c>
      <c r="AE64" s="141" t="n">
        <f aca="false">COUNT(F64:U65)</f>
        <v>0</v>
      </c>
      <c r="AF64" s="129" t="str">
        <f aca="false">IF(OR(MID(D64,8,1)="1",MID(D64,8,1)="2"),19&amp;LEFT(D64,2),20&amp;LEFT(D64,2))&amp;"-"&amp;MID(D64,3,2)&amp;"-"&amp;MID(D64,5,2)</f>
        <v>200--</v>
      </c>
      <c r="AG64" s="129" t="e">
        <f aca="true">INT((TODAY()-AF64)/365.25)</f>
        <v>#VALUE!</v>
      </c>
      <c r="AH64" s="161" t="n">
        <f aca="false">ROUNDDOWN(SUM(AI64:AX65),-1)</f>
        <v>0</v>
      </c>
      <c r="AI64" s="130" t="n">
        <f aca="false">IF($W64*F64&gt;150000,($W64*F64-150000)*6%*45%,0)</f>
        <v>0</v>
      </c>
      <c r="AJ64" s="130" t="n">
        <f aca="false">IF($W64*G64&gt;150000,($W64*G64-150000)*6%*45%,0)</f>
        <v>0</v>
      </c>
      <c r="AK64" s="130" t="n">
        <f aca="false">IF($W64*H64&gt;150000,($W64*H64-150000)*6%*45%,0)</f>
        <v>0</v>
      </c>
      <c r="AL64" s="130" t="n">
        <f aca="false">IF($W64*I64&gt;150000,($W64*I64-150000)*6%*45%,0)</f>
        <v>0</v>
      </c>
      <c r="AM64" s="130" t="n">
        <f aca="false">IF($W64*J64&gt;150000,($W64*J64-150000)*6%*45%,0)</f>
        <v>0</v>
      </c>
      <c r="AN64" s="130" t="n">
        <f aca="false">IF($W64*K64&gt;150000,($W64*K64-150000)*6%*45%,0)</f>
        <v>0</v>
      </c>
      <c r="AO64" s="130" t="n">
        <f aca="false">IF($W64*L64&gt;150000,($W64*L64-150000)*6%*45%,0)</f>
        <v>0</v>
      </c>
      <c r="AP64" s="130" t="n">
        <f aca="false">IF($W64*M64&gt;150000,($W64*M64-150000)*6%*45%,0)</f>
        <v>0</v>
      </c>
      <c r="AQ64" s="130" t="n">
        <f aca="false">IF($W64*N64&gt;150000,($W64*N64-150000)*6%*45%,0)</f>
        <v>0</v>
      </c>
      <c r="AR64" s="130" t="n">
        <f aca="false">IF($W64*O64&gt;150000,($W64*O64-150000)*6%*45%,0)</f>
        <v>0</v>
      </c>
      <c r="AS64" s="130" t="n">
        <f aca="false">IF($W64*P64&gt;150000,($W64*P64-150000)*6%*45%,0)</f>
        <v>0</v>
      </c>
      <c r="AT64" s="130" t="n">
        <f aca="false">IF($W64*Q64&gt;150000,($W64*Q64-150000)*6%*45%,0)</f>
        <v>0</v>
      </c>
      <c r="AU64" s="130" t="n">
        <f aca="false">IF($W64*R64&gt;150000,($W64*R64-150000)*6%*45%,0)</f>
        <v>0</v>
      </c>
      <c r="AV64" s="130" t="n">
        <f aca="false">IF($W64*S64&gt;150000,($W64*S64-150000)*6%*45%,0)</f>
        <v>0</v>
      </c>
      <c r="AW64" s="130" t="n">
        <f aca="false">IF($W64*T64&gt;150000,($W64*T64-150000)*6%*45%,0)</f>
        <v>0</v>
      </c>
      <c r="AX64" s="130"/>
      <c r="AY64" s="162" t="n">
        <f aca="false">IF(ISERROR(VLOOKUP(C64,[27]일용직명단!$A$3:$M$1151,11,FALSE())),0,VLOOKUP(C64,[27]일용직명단!$A$3:$M$1151,11,FALSE()))</f>
        <v>0</v>
      </c>
      <c r="AZ64" s="163"/>
      <c r="BA64" s="163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</row>
    <row r="65" customFormat="false" ht="12.6" hidden="false" customHeight="true" outlineLevel="0" collapsed="false">
      <c r="A65" s="108"/>
      <c r="B65" s="159"/>
      <c r="C65" s="139"/>
      <c r="D65" s="111"/>
      <c r="E65" s="200" t="n">
        <f aca="false">IF(ISERROR(VLOOKUP(C64,일용직명단!$A$3:$K$1246,9,FALSE())),0,VLOOKUP(C64,일용직명단!$A$3:$K$1246,9,FALSE()))</f>
        <v>0</v>
      </c>
      <c r="F65" s="180"/>
      <c r="G65" s="134"/>
      <c r="H65" s="134"/>
      <c r="I65" s="114"/>
      <c r="J65" s="115"/>
      <c r="K65" s="114"/>
      <c r="L65" s="113"/>
      <c r="M65" s="113"/>
      <c r="N65" s="114"/>
      <c r="O65" s="115"/>
      <c r="P65" s="114"/>
      <c r="Q65" s="114"/>
      <c r="R65" s="113"/>
      <c r="S65" s="113"/>
      <c r="T65" s="113"/>
      <c r="U65" s="115"/>
      <c r="V65" s="120"/>
      <c r="W65" s="138" t="n">
        <f aca="false">W64*V64</f>
        <v>0</v>
      </c>
      <c r="X65" s="177" t="n">
        <f aca="false">IF(AH64&lt;1000,0,AH64)</f>
        <v>0</v>
      </c>
      <c r="Y65" s="177" t="n">
        <f aca="false">ROUNDDOWN(X65*10%,-1)</f>
        <v>0</v>
      </c>
      <c r="Z65" s="177" t="n">
        <f aca="false">IF(AE64&gt;=8,ROUNDDOWN(Y64*$Q$4,-1),0)</f>
        <v>0</v>
      </c>
      <c r="AA65" s="124"/>
      <c r="AB65" s="125"/>
      <c r="AC65" s="179" t="n">
        <f aca="false">IF(ISERROR(VLOOKUP(C64,일용직명단!$A$3:$I$1226,7,FALSE())),0,VLOOKUP(C64,일용직명단!$A$3:$I$1226,7,FALSE()))</f>
        <v>0</v>
      </c>
      <c r="AD65" s="179"/>
      <c r="AE65" s="141"/>
      <c r="AF65" s="129"/>
      <c r="AG65" s="129"/>
      <c r="AH65" s="161"/>
      <c r="AI65" s="130" t="n">
        <f aca="false">IF($W64*F65&gt;150000,($W64*F65-150000)*6%*45%,0)</f>
        <v>0</v>
      </c>
      <c r="AJ65" s="130" t="n">
        <f aca="false">IF($W64*G65&gt;150000,($W64*G65-150000)*6%*45%,0)</f>
        <v>0</v>
      </c>
      <c r="AK65" s="130" t="n">
        <f aca="false">IF($W64*H65&gt;150000,($W64*H65-150000)*6%*45%,0)</f>
        <v>0</v>
      </c>
      <c r="AL65" s="130" t="n">
        <f aca="false">IF($W64*I65&gt;150000,($W64*I65-150000)*6%*45%,0)</f>
        <v>0</v>
      </c>
      <c r="AM65" s="130" t="n">
        <f aca="false">IF($W64*J65&gt;150000,($W64*J65-150000)*6%*45%,0)</f>
        <v>0</v>
      </c>
      <c r="AN65" s="130" t="n">
        <f aca="false">IF($W64*K65&gt;150000,($W64*K65-150000)*6%*45%,0)</f>
        <v>0</v>
      </c>
      <c r="AO65" s="130" t="n">
        <f aca="false">IF($W64*L65&gt;150000,($W64*L65-150000)*6%*45%,0)</f>
        <v>0</v>
      </c>
      <c r="AP65" s="130" t="n">
        <f aca="false">IF($W64*M65&gt;150000,($W64*M65-150000)*6%*45%,0)</f>
        <v>0</v>
      </c>
      <c r="AQ65" s="130" t="n">
        <f aca="false">IF($W64*N65&gt;150000,($W64*N65-150000)*6%*45%,0)</f>
        <v>0</v>
      </c>
      <c r="AR65" s="130" t="n">
        <f aca="false">IF($W64*O65&gt;150000,($W64*O65-150000)*6%*45%,0)</f>
        <v>0</v>
      </c>
      <c r="AS65" s="130" t="n">
        <f aca="false">IF($W64*P65&gt;150000,($W64*P65-150000)*6%*45%,0)</f>
        <v>0</v>
      </c>
      <c r="AT65" s="130" t="n">
        <f aca="false">IF($W64*Q65&gt;150000,($W64*Q65-150000)*6%*45%,0)</f>
        <v>0</v>
      </c>
      <c r="AU65" s="130" t="n">
        <f aca="false">IF($W64*R65&gt;150000,($W64*R65-150000)*6%*45%,0)</f>
        <v>0</v>
      </c>
      <c r="AV65" s="130" t="n">
        <f aca="false">IF($W64*S65&gt;150000,($W64*S65-150000)*6%*45%,0)</f>
        <v>0</v>
      </c>
      <c r="AW65" s="130" t="n">
        <f aca="false">IF($W64*T65&gt;150000,($W64*T65-150000)*6%*45%,0)</f>
        <v>0</v>
      </c>
      <c r="AX65" s="130" t="n">
        <f aca="false">IF($W64*U65&gt;150000,($W64*U65-150000)*6%*45%,0)</f>
        <v>0</v>
      </c>
      <c r="AY65" s="162"/>
      <c r="AZ65" s="163"/>
      <c r="BA65" s="163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</row>
    <row r="66" customFormat="false" ht="11.25" hidden="true" customHeight="true" outlineLevel="0" collapsed="false">
      <c r="A66" s="108" t="n">
        <f aca="false">A64+1</f>
        <v>29</v>
      </c>
      <c r="B66" s="142" t="n">
        <f aca="false">IF(ISERROR(VLOOKUP(C66,일용직명단!$A$3:$I$104,2,FALSE())),0,VLOOKUP(C66,일용직명단!$A$3:$I$104,2,FALSE()))</f>
        <v>0</v>
      </c>
      <c r="C66" s="143"/>
      <c r="D66" s="111" t="n">
        <f aca="false">IF(ISERROR(VLOOKUP(C66,일용직명단!$A$3:$K$1246,3,FALSE())),0,VLOOKUP(C66,일용직명단!$A$3:$K$1246,3,FALSE()))</f>
        <v>0</v>
      </c>
      <c r="E66" s="112" t="n">
        <f aca="false">IF(ISERROR(VLOOKUP(C66,일용직명단!$A$3:$K$1246,4,FALSE())),0,VLOOKUP(C66,일용직명단!$A$3:$K$1246,4,FALSE()))</f>
        <v>0</v>
      </c>
      <c r="F66" s="113"/>
      <c r="G66" s="114"/>
      <c r="H66" s="115"/>
      <c r="I66" s="115"/>
      <c r="J66" s="113"/>
      <c r="K66" s="115"/>
      <c r="L66" s="113"/>
      <c r="M66" s="113"/>
      <c r="N66" s="114"/>
      <c r="O66" s="114"/>
      <c r="P66" s="113"/>
      <c r="Q66" s="114"/>
      <c r="R66" s="115"/>
      <c r="S66" s="114"/>
      <c r="T66" s="115"/>
      <c r="U66" s="119"/>
      <c r="V66" s="120" t="n">
        <f aca="false">SUM(F66:U67)</f>
        <v>0</v>
      </c>
      <c r="W66" s="201" t="n">
        <f aca="false">IF(ISERROR(VLOOKUP(C66,일용직명단!$A$3:$K$1246,8,FALSE())),0,VLOOKUP(C66,일용직명단!$A$3:$K$1246,8,FALSE()))</f>
        <v>0</v>
      </c>
      <c r="X66" s="122" t="n">
        <f aca="false">IFERROR(IF(AG66&gt;=65,0,ROUNDDOWN(W67*$Z$4,-1)),0)</f>
        <v>0</v>
      </c>
      <c r="Y66" s="122" t="n">
        <f aca="false">IF(AE66&gt;=8,ROUNDDOWN(W67*$M$4,-1),0)</f>
        <v>0</v>
      </c>
      <c r="Z66" s="122" t="n">
        <f aca="false">IFERROR(IF(AND(COUNT(F66:U67)&gt;=8,$AG66&lt;60,W67&lt;=5530000),ROUNDDOWN(ROUNDDOWN(W67,-3)*4.5%,-1),IF(AND(COUNT(F66:U67)&gt;=8,AG66&lt;60,W67&gt;5530000),248850,0)),0)</f>
        <v>0</v>
      </c>
      <c r="AA66" s="124" t="n">
        <f aca="false">+X66+Y66+X67+Y67+Z66+Z67</f>
        <v>0</v>
      </c>
      <c r="AB66" s="125" t="n">
        <f aca="false">W67-AA66</f>
        <v>0</v>
      </c>
      <c r="AC66" s="175" t="n">
        <f aca="false">IF(ISERROR(VLOOKUP(C66,일용직명단!$A$3:$I$1226,5,FALSE())),0,VLOOKUP(C66,일용직명단!$A$3:$I$1226,5,FALSE()))</f>
        <v>0</v>
      </c>
      <c r="AD66" s="176" t="n">
        <f aca="false">IF(ISERROR(VLOOKUP(C66,일용직명단!$A$3:$I$1226,6,FALSE())),0,VLOOKUP(C66,일용직명단!$A$3:$I$1226,6,FALSE()))</f>
        <v>0</v>
      </c>
      <c r="AE66" s="128" t="n">
        <f aca="false">COUNT(F66:U67)</f>
        <v>0</v>
      </c>
      <c r="AF66" s="129" t="str">
        <f aca="false">IF(OR(MID(D66,8,1)="1",MID(D66,8,1)="2"),19&amp;LEFT(D66,2),20&amp;LEFT(D66,2))&amp;"-"&amp;MID(D66,3,2)&amp;"-"&amp;MID(D66,5,2)</f>
        <v>200--</v>
      </c>
      <c r="AG66" s="129" t="e">
        <f aca="true">INT((TODAY()-AF66)/365.25)</f>
        <v>#VALUE!</v>
      </c>
      <c r="AH66" s="130" t="n">
        <f aca="false">ROUNDDOWN(SUM(AI66:AX67),-1)</f>
        <v>0</v>
      </c>
      <c r="AI66" s="130" t="n">
        <f aca="false">IF($W66*F66&gt;150000,($W66*F66-150000)*6%*45%,0)</f>
        <v>0</v>
      </c>
      <c r="AJ66" s="130" t="n">
        <f aca="false">IF($W66*G66&gt;150000,($W66*G66-150000)*6%*45%,0)</f>
        <v>0</v>
      </c>
      <c r="AK66" s="130" t="n">
        <f aca="false">IF($W66*H66&gt;150000,($W66*H66-150000)*6%*45%,0)</f>
        <v>0</v>
      </c>
      <c r="AL66" s="130" t="n">
        <f aca="false">IF($W66*I66&gt;150000,($W66*I66-150000)*6%*45%,0)</f>
        <v>0</v>
      </c>
      <c r="AM66" s="130" t="n">
        <f aca="false">IF($W66*J66&gt;150000,($W66*J66-150000)*6%*45%,0)</f>
        <v>0</v>
      </c>
      <c r="AN66" s="130" t="n">
        <f aca="false">IF($W66*K66&gt;150000,($W66*K66-150000)*6%*45%,0)</f>
        <v>0</v>
      </c>
      <c r="AO66" s="130" t="n">
        <f aca="false">IF($W66*L66&gt;150000,($W66*L66-150000)*6%*45%,0)</f>
        <v>0</v>
      </c>
      <c r="AP66" s="130" t="n">
        <f aca="false">IF($W66*M66&gt;150000,($W66*M66-150000)*6%*45%,0)</f>
        <v>0</v>
      </c>
      <c r="AQ66" s="130" t="n">
        <f aca="false">IF($W66*N66&gt;150000,($W66*N66-150000)*6%*45%,0)</f>
        <v>0</v>
      </c>
      <c r="AR66" s="130" t="n">
        <f aca="false">IF($W66*O66&gt;150000,($W66*O66-150000)*6%*45%,0)</f>
        <v>0</v>
      </c>
      <c r="AS66" s="130" t="n">
        <f aca="false">IF($W66*P66&gt;150000,($W66*P66-150000)*6%*45%,0)</f>
        <v>0</v>
      </c>
      <c r="AT66" s="130" t="n">
        <f aca="false">IF($W66*Q66&gt;150000,($W66*Q66-150000)*6%*45%,0)</f>
        <v>0</v>
      </c>
      <c r="AU66" s="130" t="n">
        <f aca="false">IF($W66*R66&gt;150000,($W66*R66-150000)*6%*45%,0)</f>
        <v>0</v>
      </c>
      <c r="AV66" s="130" t="n">
        <f aca="false">IF($W66*S66&gt;150000,($W66*S66-150000)*6%*45%,0)</f>
        <v>0</v>
      </c>
      <c r="AW66" s="130" t="n">
        <f aca="false">IF($W66*T66&gt;150000,($W66*T66-150000)*6%*45%,0)</f>
        <v>0</v>
      </c>
      <c r="AX66" s="130"/>
      <c r="AY66" s="131" t="n">
        <f aca="false">IF(ISERROR(VLOOKUP(C66,[26]일용직명단!$A$3:$M$1151,11,FALSE())),0,VLOOKUP(C66,[26]일용직명단!$A$3:$M$1151,11,FALSE()))</f>
        <v>0</v>
      </c>
      <c r="AZ66" s="11"/>
      <c r="BA66" s="167"/>
      <c r="BB66" s="167"/>
      <c r="BC66" s="167"/>
      <c r="BD66" s="167"/>
      <c r="BE66" s="167"/>
      <c r="BF66" s="167"/>
      <c r="BG66" s="167"/>
      <c r="BH66" s="167"/>
      <c r="BI66" s="167"/>
      <c r="BJ66" s="167"/>
      <c r="BK66" s="167"/>
      <c r="BL66" s="167"/>
      <c r="BM66" s="167"/>
      <c r="BN66" s="167"/>
      <c r="BO66" s="167"/>
      <c r="BP66" s="167"/>
      <c r="BQ66" s="167"/>
      <c r="BR66" s="167"/>
      <c r="BS66" s="167"/>
      <c r="BT66" s="167"/>
      <c r="BU66" s="167"/>
      <c r="BV66" s="167"/>
      <c r="BW66" s="167"/>
      <c r="BX66" s="167"/>
      <c r="BY66" s="167"/>
      <c r="BZ66" s="167"/>
      <c r="CA66" s="167"/>
      <c r="CB66" s="167"/>
      <c r="CC66" s="167"/>
      <c r="CD66" s="167"/>
      <c r="CE66" s="167"/>
      <c r="CF66" s="167"/>
      <c r="CG66" s="167"/>
      <c r="CH66" s="167"/>
      <c r="CI66" s="167"/>
      <c r="CJ66" s="167"/>
      <c r="CK66" s="167"/>
      <c r="CL66" s="167"/>
      <c r="CM66" s="167"/>
      <c r="CN66" s="167"/>
      <c r="CO66" s="167"/>
      <c r="CP66" s="167"/>
      <c r="CQ66" s="167"/>
      <c r="CR66" s="167"/>
      <c r="CS66" s="167"/>
      <c r="CT66" s="167"/>
      <c r="CU66" s="167"/>
      <c r="CV66" s="167"/>
      <c r="CW66" s="167"/>
      <c r="CX66" s="167"/>
      <c r="CY66" s="167"/>
      <c r="CZ66" s="167"/>
      <c r="DA66" s="167"/>
      <c r="DB66" s="167"/>
      <c r="DC66" s="167"/>
      <c r="DD66" s="167"/>
      <c r="DE66" s="167"/>
      <c r="DF66" s="167"/>
      <c r="DG66" s="167"/>
      <c r="DH66" s="167"/>
      <c r="DI66" s="167"/>
      <c r="DJ66" s="167"/>
      <c r="DK66" s="167"/>
      <c r="DL66" s="167"/>
      <c r="DM66" s="167"/>
      <c r="DN66" s="167"/>
      <c r="DO66" s="167"/>
      <c r="DP66" s="167"/>
      <c r="DQ66" s="167"/>
      <c r="DR66" s="167"/>
      <c r="DS66" s="167"/>
      <c r="DT66" s="167"/>
      <c r="DU66" s="167"/>
      <c r="DV66" s="167"/>
      <c r="DW66" s="167"/>
      <c r="DX66" s="167"/>
      <c r="DY66" s="167"/>
      <c r="DZ66" s="167"/>
      <c r="EA66" s="167"/>
      <c r="EB66" s="167"/>
      <c r="EC66" s="167"/>
      <c r="ED66" s="167"/>
      <c r="EE66" s="167"/>
      <c r="EF66" s="167"/>
      <c r="EG66" s="167"/>
      <c r="EH66" s="167"/>
      <c r="EI66" s="167"/>
      <c r="EJ66" s="167"/>
      <c r="EK66" s="167"/>
      <c r="EL66" s="167"/>
      <c r="EM66" s="167"/>
      <c r="EN66" s="167"/>
      <c r="EO66" s="167"/>
      <c r="EP66" s="167"/>
      <c r="EQ66" s="167"/>
      <c r="ER66" s="167"/>
      <c r="ES66" s="167"/>
      <c r="ET66" s="167"/>
      <c r="EU66" s="167"/>
      <c r="EV66" s="167"/>
      <c r="EW66" s="167"/>
      <c r="EX66" s="167"/>
      <c r="EY66" s="167"/>
      <c r="EZ66" s="167"/>
      <c r="FA66" s="167"/>
      <c r="FB66" s="167"/>
      <c r="FC66" s="167"/>
      <c r="FD66" s="167"/>
      <c r="FE66" s="167"/>
      <c r="FF66" s="167"/>
      <c r="FG66" s="167"/>
      <c r="FH66" s="167"/>
      <c r="FI66" s="167"/>
      <c r="FJ66" s="167"/>
      <c r="FK66" s="167"/>
      <c r="FL66" s="167"/>
      <c r="FM66" s="167"/>
      <c r="FN66" s="167"/>
      <c r="FO66" s="167"/>
      <c r="FP66" s="167"/>
      <c r="FQ66" s="167"/>
      <c r="FR66" s="167"/>
      <c r="FS66" s="167"/>
      <c r="FT66" s="167"/>
      <c r="FU66" s="167"/>
      <c r="FV66" s="167"/>
      <c r="FW66" s="167"/>
      <c r="FX66" s="167"/>
      <c r="FY66" s="167"/>
      <c r="FZ66" s="167"/>
      <c r="GA66" s="167"/>
      <c r="GB66" s="167"/>
      <c r="GC66" s="167"/>
      <c r="GD66" s="167"/>
      <c r="GE66" s="167"/>
      <c r="GF66" s="167"/>
      <c r="GG66" s="167"/>
      <c r="GH66" s="167"/>
      <c r="GI66" s="167"/>
      <c r="GJ66" s="167"/>
      <c r="GK66" s="167"/>
      <c r="GL66" s="167"/>
      <c r="GM66" s="167"/>
      <c r="GN66" s="167"/>
      <c r="GO66" s="167"/>
      <c r="GP66" s="167"/>
      <c r="GQ66" s="167"/>
      <c r="GR66" s="167"/>
      <c r="GS66" s="167"/>
      <c r="GT66" s="167"/>
      <c r="GU66" s="167"/>
      <c r="GV66" s="167"/>
      <c r="GW66" s="167"/>
      <c r="GX66" s="167"/>
      <c r="GY66" s="167"/>
      <c r="GZ66" s="167"/>
      <c r="HA66" s="167"/>
      <c r="HB66" s="167"/>
      <c r="HC66" s="167"/>
      <c r="HD66" s="167"/>
      <c r="HE66" s="167"/>
      <c r="HF66" s="167"/>
      <c r="HG66" s="167"/>
      <c r="HH66" s="167"/>
      <c r="HI66" s="167"/>
      <c r="HJ66" s="167"/>
      <c r="HK66" s="167"/>
      <c r="HL66" s="167"/>
      <c r="HM66" s="167"/>
      <c r="HN66" s="167"/>
      <c r="HO66" s="167"/>
      <c r="HP66" s="167"/>
      <c r="HQ66" s="167"/>
      <c r="HR66" s="167"/>
      <c r="HS66" s="167"/>
      <c r="HT66" s="167"/>
      <c r="HU66" s="167"/>
      <c r="HV66" s="167"/>
      <c r="HW66" s="167"/>
      <c r="HX66" s="167"/>
      <c r="HY66" s="167"/>
      <c r="HZ66" s="167"/>
      <c r="IA66" s="167"/>
      <c r="IB66" s="167"/>
      <c r="IC66" s="167"/>
      <c r="ID66" s="167"/>
      <c r="IE66" s="167"/>
      <c r="IF66" s="167"/>
      <c r="IG66" s="167"/>
      <c r="IH66" s="167"/>
      <c r="II66" s="167"/>
      <c r="IJ66" s="167"/>
      <c r="IK66" s="167"/>
      <c r="IL66" s="167"/>
      <c r="IM66" s="167"/>
      <c r="IN66" s="167"/>
      <c r="IO66" s="167"/>
      <c r="IP66" s="167"/>
      <c r="IQ66" s="167"/>
      <c r="IR66" s="167"/>
      <c r="IS66" s="167"/>
      <c r="IT66" s="167"/>
      <c r="IU66" s="167"/>
      <c r="IV66" s="167"/>
      <c r="IW66" s="167"/>
    </row>
    <row r="67" customFormat="false" ht="11.25" hidden="true" customHeight="true" outlineLevel="0" collapsed="false">
      <c r="A67" s="108"/>
      <c r="B67" s="142"/>
      <c r="C67" s="143"/>
      <c r="D67" s="111"/>
      <c r="E67" s="112" t="n">
        <f aca="false">IF(ISERROR(VLOOKUP(C66,일용직명단!$A$3:$K$1246,9,FALSE())),0,VLOOKUP(C66,일용직명단!$A$3:$K$1246,9,FALSE()))</f>
        <v>0</v>
      </c>
      <c r="F67" s="180"/>
      <c r="G67" s="134"/>
      <c r="H67" s="134"/>
      <c r="I67" s="114"/>
      <c r="J67" s="115"/>
      <c r="K67" s="114"/>
      <c r="L67" s="113"/>
      <c r="M67" s="113"/>
      <c r="N67" s="114"/>
      <c r="O67" s="115"/>
      <c r="P67" s="114"/>
      <c r="Q67" s="114"/>
      <c r="R67" s="113"/>
      <c r="S67" s="113"/>
      <c r="T67" s="113"/>
      <c r="U67" s="115"/>
      <c r="V67" s="120"/>
      <c r="W67" s="202" t="n">
        <f aca="false">W66*V66</f>
        <v>0</v>
      </c>
      <c r="X67" s="122" t="n">
        <f aca="false">IF(AH66&lt;1000,0,AH66)</f>
        <v>0</v>
      </c>
      <c r="Y67" s="122" t="n">
        <f aca="false">ROUNDDOWN(X67*10%,-1)</f>
        <v>0</v>
      </c>
      <c r="Z67" s="122" t="n">
        <f aca="false">IF(AE66&gt;=8,ROUNDDOWN(Y66*$Q$4,-1),0)</f>
        <v>0</v>
      </c>
      <c r="AA67" s="124"/>
      <c r="AB67" s="125"/>
      <c r="AC67" s="176" t="n">
        <f aca="false">IF(ISERROR(VLOOKUP(C66,일용직명단!$A$3:$I$1226,7,FALSE())),0,VLOOKUP(C66,일용직명단!$A$3:$I$1226,7,FALSE()))</f>
        <v>0</v>
      </c>
      <c r="AD67" s="176"/>
      <c r="AE67" s="128"/>
      <c r="AF67" s="129"/>
      <c r="AG67" s="129"/>
      <c r="AH67" s="130"/>
      <c r="AI67" s="130" t="n">
        <f aca="false">IF($W66*F67&gt;150000,($W66*F67-150000)*6%*45%,0)</f>
        <v>0</v>
      </c>
      <c r="AJ67" s="130" t="n">
        <f aca="false">IF($W66*G67&gt;150000,($W66*G67-150000)*6%*45%,0)</f>
        <v>0</v>
      </c>
      <c r="AK67" s="130" t="n">
        <f aca="false">IF($W66*H67&gt;150000,($W66*H67-150000)*6%*45%,0)</f>
        <v>0</v>
      </c>
      <c r="AL67" s="130" t="n">
        <f aca="false">IF($W66*I67&gt;150000,($W66*I67-150000)*6%*45%,0)</f>
        <v>0</v>
      </c>
      <c r="AM67" s="130" t="n">
        <f aca="false">IF($W66*J67&gt;150000,($W66*J67-150000)*6%*45%,0)</f>
        <v>0</v>
      </c>
      <c r="AN67" s="130" t="n">
        <f aca="false">IF($W66*K67&gt;150000,($W66*K67-150000)*6%*45%,0)</f>
        <v>0</v>
      </c>
      <c r="AO67" s="130" t="n">
        <f aca="false">IF($W66*L67&gt;150000,($W66*L67-150000)*6%*45%,0)</f>
        <v>0</v>
      </c>
      <c r="AP67" s="130" t="n">
        <f aca="false">IF($W66*M67&gt;150000,($W66*M67-150000)*6%*45%,0)</f>
        <v>0</v>
      </c>
      <c r="AQ67" s="130" t="n">
        <f aca="false">IF($W66*N67&gt;150000,($W66*N67-150000)*6%*45%,0)</f>
        <v>0</v>
      </c>
      <c r="AR67" s="130" t="n">
        <f aca="false">IF($W66*O67&gt;150000,($W66*O67-150000)*6%*45%,0)</f>
        <v>0</v>
      </c>
      <c r="AS67" s="130" t="n">
        <f aca="false">IF($W66*P67&gt;150000,($W66*P67-150000)*6%*45%,0)</f>
        <v>0</v>
      </c>
      <c r="AT67" s="130" t="n">
        <f aca="false">IF($W66*Q67&gt;150000,($W66*Q67-150000)*6%*45%,0)</f>
        <v>0</v>
      </c>
      <c r="AU67" s="130" t="n">
        <f aca="false">IF($W66*R67&gt;150000,($W66*R67-150000)*6%*45%,0)</f>
        <v>0</v>
      </c>
      <c r="AV67" s="130" t="n">
        <f aca="false">IF($W66*S67&gt;150000,($W66*S67-150000)*6%*45%,0)</f>
        <v>0</v>
      </c>
      <c r="AW67" s="130" t="n">
        <f aca="false">IF($W66*T67&gt;150000,($W66*T67-150000)*6%*45%,0)</f>
        <v>0</v>
      </c>
      <c r="AX67" s="130" t="n">
        <f aca="false">IF($W66*U67&gt;150000,($W66*U67-150000)*6%*45%,0)</f>
        <v>0</v>
      </c>
      <c r="AY67" s="131"/>
      <c r="AZ67" s="11"/>
      <c r="BA67" s="167"/>
      <c r="BB67" s="167"/>
      <c r="BC67" s="167"/>
      <c r="BD67" s="167"/>
      <c r="BE67" s="167"/>
      <c r="BF67" s="167"/>
      <c r="BG67" s="167"/>
      <c r="BH67" s="167"/>
      <c r="BI67" s="167"/>
      <c r="BJ67" s="167"/>
      <c r="BK67" s="167"/>
      <c r="BL67" s="167"/>
      <c r="BM67" s="167"/>
      <c r="BN67" s="167"/>
      <c r="BO67" s="167"/>
      <c r="BP67" s="167"/>
      <c r="BQ67" s="167"/>
      <c r="BR67" s="167"/>
      <c r="BS67" s="167"/>
      <c r="BT67" s="167"/>
      <c r="BU67" s="167"/>
      <c r="BV67" s="167"/>
      <c r="BW67" s="167"/>
      <c r="BX67" s="167"/>
      <c r="BY67" s="167"/>
      <c r="BZ67" s="167"/>
      <c r="CA67" s="167"/>
      <c r="CB67" s="167"/>
      <c r="CC67" s="167"/>
      <c r="CD67" s="167"/>
      <c r="CE67" s="167"/>
      <c r="CF67" s="167"/>
      <c r="CG67" s="167"/>
      <c r="CH67" s="167"/>
      <c r="CI67" s="167"/>
      <c r="CJ67" s="167"/>
      <c r="CK67" s="167"/>
      <c r="CL67" s="167"/>
      <c r="CM67" s="167"/>
      <c r="CN67" s="167"/>
      <c r="CO67" s="167"/>
      <c r="CP67" s="167"/>
      <c r="CQ67" s="167"/>
      <c r="CR67" s="167"/>
      <c r="CS67" s="167"/>
      <c r="CT67" s="167"/>
      <c r="CU67" s="167"/>
      <c r="CV67" s="167"/>
      <c r="CW67" s="167"/>
      <c r="CX67" s="167"/>
      <c r="CY67" s="167"/>
      <c r="CZ67" s="167"/>
      <c r="DA67" s="167"/>
      <c r="DB67" s="167"/>
      <c r="DC67" s="167"/>
      <c r="DD67" s="167"/>
      <c r="DE67" s="167"/>
      <c r="DF67" s="167"/>
      <c r="DG67" s="167"/>
      <c r="DH67" s="167"/>
      <c r="DI67" s="167"/>
      <c r="DJ67" s="167"/>
      <c r="DK67" s="167"/>
      <c r="DL67" s="167"/>
      <c r="DM67" s="167"/>
      <c r="DN67" s="167"/>
      <c r="DO67" s="167"/>
      <c r="DP67" s="167"/>
      <c r="DQ67" s="167"/>
      <c r="DR67" s="167"/>
      <c r="DS67" s="167"/>
      <c r="DT67" s="167"/>
      <c r="DU67" s="167"/>
      <c r="DV67" s="167"/>
      <c r="DW67" s="167"/>
      <c r="DX67" s="167"/>
      <c r="DY67" s="167"/>
      <c r="DZ67" s="167"/>
      <c r="EA67" s="167"/>
      <c r="EB67" s="167"/>
      <c r="EC67" s="167"/>
      <c r="ED67" s="167"/>
      <c r="EE67" s="167"/>
      <c r="EF67" s="167"/>
      <c r="EG67" s="167"/>
      <c r="EH67" s="167"/>
      <c r="EI67" s="167"/>
      <c r="EJ67" s="167"/>
      <c r="EK67" s="167"/>
      <c r="EL67" s="167"/>
      <c r="EM67" s="167"/>
      <c r="EN67" s="167"/>
      <c r="EO67" s="167"/>
      <c r="EP67" s="167"/>
      <c r="EQ67" s="167"/>
      <c r="ER67" s="167"/>
      <c r="ES67" s="167"/>
      <c r="ET67" s="167"/>
      <c r="EU67" s="167"/>
      <c r="EV67" s="167"/>
      <c r="EW67" s="167"/>
      <c r="EX67" s="167"/>
      <c r="EY67" s="167"/>
      <c r="EZ67" s="167"/>
      <c r="FA67" s="167"/>
      <c r="FB67" s="167"/>
      <c r="FC67" s="167"/>
      <c r="FD67" s="167"/>
      <c r="FE67" s="167"/>
      <c r="FF67" s="167"/>
      <c r="FG67" s="167"/>
      <c r="FH67" s="167"/>
      <c r="FI67" s="167"/>
      <c r="FJ67" s="167"/>
      <c r="FK67" s="167"/>
      <c r="FL67" s="167"/>
      <c r="FM67" s="167"/>
      <c r="FN67" s="167"/>
      <c r="FO67" s="167"/>
      <c r="FP67" s="167"/>
      <c r="FQ67" s="167"/>
      <c r="FR67" s="167"/>
      <c r="FS67" s="167"/>
      <c r="FT67" s="167"/>
      <c r="FU67" s="167"/>
      <c r="FV67" s="167"/>
      <c r="FW67" s="167"/>
      <c r="FX67" s="167"/>
      <c r="FY67" s="167"/>
      <c r="FZ67" s="167"/>
      <c r="GA67" s="167"/>
      <c r="GB67" s="167"/>
      <c r="GC67" s="167"/>
      <c r="GD67" s="167"/>
      <c r="GE67" s="167"/>
      <c r="GF67" s="167"/>
      <c r="GG67" s="167"/>
      <c r="GH67" s="167"/>
      <c r="GI67" s="167"/>
      <c r="GJ67" s="167"/>
      <c r="GK67" s="167"/>
      <c r="GL67" s="167"/>
      <c r="GM67" s="167"/>
      <c r="GN67" s="167"/>
      <c r="GO67" s="167"/>
      <c r="GP67" s="167"/>
      <c r="GQ67" s="167"/>
      <c r="GR67" s="167"/>
      <c r="GS67" s="167"/>
      <c r="GT67" s="167"/>
      <c r="GU67" s="167"/>
      <c r="GV67" s="167"/>
      <c r="GW67" s="167"/>
      <c r="GX67" s="167"/>
      <c r="GY67" s="167"/>
      <c r="GZ67" s="167"/>
      <c r="HA67" s="167"/>
      <c r="HB67" s="167"/>
      <c r="HC67" s="167"/>
      <c r="HD67" s="167"/>
      <c r="HE67" s="167"/>
      <c r="HF67" s="167"/>
      <c r="HG67" s="167"/>
      <c r="HH67" s="167"/>
      <c r="HI67" s="167"/>
      <c r="HJ67" s="167"/>
      <c r="HK67" s="167"/>
      <c r="HL67" s="167"/>
      <c r="HM67" s="167"/>
      <c r="HN67" s="167"/>
      <c r="HO67" s="167"/>
      <c r="HP67" s="167"/>
      <c r="HQ67" s="167"/>
      <c r="HR67" s="167"/>
      <c r="HS67" s="167"/>
      <c r="HT67" s="167"/>
      <c r="HU67" s="167"/>
      <c r="HV67" s="167"/>
      <c r="HW67" s="167"/>
      <c r="HX67" s="167"/>
      <c r="HY67" s="167"/>
      <c r="HZ67" s="167"/>
      <c r="IA67" s="167"/>
      <c r="IB67" s="167"/>
      <c r="IC67" s="167"/>
      <c r="ID67" s="167"/>
      <c r="IE67" s="167"/>
      <c r="IF67" s="167"/>
      <c r="IG67" s="167"/>
      <c r="IH67" s="167"/>
      <c r="II67" s="167"/>
      <c r="IJ67" s="167"/>
      <c r="IK67" s="167"/>
      <c r="IL67" s="167"/>
      <c r="IM67" s="167"/>
      <c r="IN67" s="167"/>
      <c r="IO67" s="167"/>
      <c r="IP67" s="167"/>
      <c r="IQ67" s="167"/>
      <c r="IR67" s="167"/>
      <c r="IS67" s="167"/>
      <c r="IT67" s="167"/>
      <c r="IU67" s="167"/>
      <c r="IV67" s="167"/>
      <c r="IW67" s="167"/>
    </row>
    <row r="68" customFormat="false" ht="13.5" hidden="true" customHeight="true" outlineLevel="0" collapsed="false">
      <c r="A68" s="108" t="n">
        <f aca="false">A66+1</f>
        <v>30</v>
      </c>
      <c r="B68" s="109" t="n">
        <f aca="false">IF(ISERROR(VLOOKUP(C68,일용직명단!$A$3:$I$104,2,FALSE())),0,VLOOKUP(C68,일용직명단!$A$3:$I$104,2,FALSE()))</f>
        <v>0</v>
      </c>
      <c r="C68" s="203"/>
      <c r="D68" s="111" t="n">
        <f aca="false">IF(ISERROR(VLOOKUP(C68,일용직명단!$A$3:$K$1246,3,FALSE())),0,VLOOKUP(C68,일용직명단!$A$3:$K$1246,3,FALSE()))</f>
        <v>0</v>
      </c>
      <c r="E68" s="140" t="n">
        <f aca="false">IF(ISERROR(VLOOKUP(C68,일용직명단!$A$3:$K$1246,4,FALSE())),0,VLOOKUP(C68,일용직명단!$A$3:$K$1246,4,FALSE()))</f>
        <v>0</v>
      </c>
      <c r="F68" s="113"/>
      <c r="G68" s="114"/>
      <c r="H68" s="115"/>
      <c r="I68" s="115"/>
      <c r="J68" s="113"/>
      <c r="K68" s="115"/>
      <c r="L68" s="113"/>
      <c r="M68" s="113"/>
      <c r="N68" s="114"/>
      <c r="O68" s="114"/>
      <c r="P68" s="113"/>
      <c r="Q68" s="114"/>
      <c r="R68" s="115"/>
      <c r="S68" s="114"/>
      <c r="T68" s="115"/>
      <c r="U68" s="119"/>
      <c r="V68" s="144" t="n">
        <f aca="false">SUM(F68:U69)</f>
        <v>0</v>
      </c>
      <c r="W68" s="121" t="n">
        <f aca="false">IF(ISERROR(VLOOKUP(C68,일용직명단!$A$3:$K$1246,8,FALSE())),0,VLOOKUP(C68,일용직명단!$A$3:$K$1246,8,FALSE()))</f>
        <v>0</v>
      </c>
      <c r="X68" s="123" t="n">
        <f aca="false">IFERROR(IF(AG68&gt;=65,0,ROUNDDOWN(W69*$Z$4,-1)),0)</f>
        <v>0</v>
      </c>
      <c r="Y68" s="123" t="n">
        <f aca="false">IF(AE68&gt;=8,ROUNDDOWN(W69*$M$4,-1),0)</f>
        <v>0</v>
      </c>
      <c r="Z68" s="123" t="n">
        <f aca="false">IFERROR(IF(AND(COUNT(F68:U69)&gt;=8,$AG68&lt;60,W69&lt;=5530000),ROUNDDOWN(ROUNDDOWN(W69,-3)*4.5%,-1),IF(AND(COUNT(F68:U69)&gt;=8,AG68&lt;60,W69&gt;5530000),248850,0)),0)</f>
        <v>0</v>
      </c>
      <c r="AA68" s="145" t="n">
        <f aca="false">+X68+Y68+X69+Y69+Z68+Z69</f>
        <v>0</v>
      </c>
      <c r="AB68" s="146" t="n">
        <f aca="false">W69-AA68</f>
        <v>0</v>
      </c>
      <c r="AC68" s="147" t="n">
        <f aca="false">IF(ISERROR(VLOOKUP(C68,일용직명단!$A$3:$I$1226,5,FALSE())),0,VLOOKUP(C68,일용직명단!$A$3:$I$1226,5,FALSE()))</f>
        <v>0</v>
      </c>
      <c r="AD68" s="148" t="n">
        <f aca="false">IF(ISERROR(VLOOKUP(C68,일용직명단!$A$3:$I$1226,6,FALSE())),0,VLOOKUP(C68,일용직명단!$A$3:$I$1226,6,FALSE()))</f>
        <v>0</v>
      </c>
      <c r="AE68" s="149" t="n">
        <f aca="false">COUNT(F68:U69)</f>
        <v>0</v>
      </c>
      <c r="AF68" s="129" t="str">
        <f aca="false">IF(OR(MID(D68,8,1)="1",MID(D68,8,1)="2"),19&amp;LEFT(D68,2),20&amp;LEFT(D68,2))&amp;"-"&amp;MID(D68,3,2)&amp;"-"&amp;MID(D68,5,2)</f>
        <v>200--</v>
      </c>
      <c r="AG68" s="129" t="e">
        <f aca="true">INT((TODAY()-AF68)/365.25)</f>
        <v>#VALUE!</v>
      </c>
      <c r="AH68" s="130" t="n">
        <f aca="false">ROUNDDOWN(SUM(AI68:AX69),-1)</f>
        <v>0</v>
      </c>
      <c r="AI68" s="130" t="n">
        <f aca="false">IF($W68*F68&gt;150000,($W68*F68-150000)*6%*45%,0)</f>
        <v>0</v>
      </c>
      <c r="AJ68" s="130" t="n">
        <f aca="false">IF($W68*G68&gt;150000,($W68*G68-150000)*6%*45%,0)</f>
        <v>0</v>
      </c>
      <c r="AK68" s="130" t="n">
        <f aca="false">IF($W68*H68&gt;150000,($W68*H68-150000)*6%*45%,0)</f>
        <v>0</v>
      </c>
      <c r="AL68" s="130" t="n">
        <f aca="false">IF($W68*I68&gt;150000,($W68*I68-150000)*6%*45%,0)</f>
        <v>0</v>
      </c>
      <c r="AM68" s="130" t="n">
        <f aca="false">IF($W68*J68&gt;150000,($W68*J68-150000)*6%*45%,0)</f>
        <v>0</v>
      </c>
      <c r="AN68" s="130" t="n">
        <f aca="false">IF($W68*K68&gt;150000,($W68*K68-150000)*6%*45%,0)</f>
        <v>0</v>
      </c>
      <c r="AO68" s="130" t="n">
        <f aca="false">IF($W68*L68&gt;150000,($W68*L68-150000)*6%*45%,0)</f>
        <v>0</v>
      </c>
      <c r="AP68" s="130" t="n">
        <f aca="false">IF($W68*M68&gt;150000,($W68*M68-150000)*6%*45%,0)</f>
        <v>0</v>
      </c>
      <c r="AQ68" s="130" t="n">
        <f aca="false">IF($W68*N68&gt;150000,($W68*N68-150000)*6%*45%,0)</f>
        <v>0</v>
      </c>
      <c r="AR68" s="130" t="n">
        <f aca="false">IF($W68*O68&gt;150000,($W68*O68-150000)*6%*45%,0)</f>
        <v>0</v>
      </c>
      <c r="AS68" s="130" t="n">
        <f aca="false">IF($W68*P68&gt;150000,($W68*P68-150000)*6%*45%,0)</f>
        <v>0</v>
      </c>
      <c r="AT68" s="130" t="n">
        <f aca="false">IF($W68*Q68&gt;150000,($W68*Q68-150000)*6%*45%,0)</f>
        <v>0</v>
      </c>
      <c r="AU68" s="130" t="n">
        <f aca="false">IF($W68*R68&gt;150000,($W68*R68-150000)*6%*45%,0)</f>
        <v>0</v>
      </c>
      <c r="AV68" s="130" t="n">
        <f aca="false">IF($W68*S68&gt;150000,($W68*S68-150000)*6%*45%,0)</f>
        <v>0</v>
      </c>
      <c r="AW68" s="130" t="n">
        <f aca="false">IF($W68*T68&gt;150000,($W68*T68-150000)*6%*45%,0)</f>
        <v>0</v>
      </c>
      <c r="AX68" s="130"/>
      <c r="AY68" s="131" t="n">
        <f aca="false">IF(ISERROR(VLOOKUP(C68,[26]일용직명단!$A$3:$M$1151,11,FALSE())),0,VLOOKUP(C68,[26]일용직명단!$A$3:$M$1151,11,FALSE()))</f>
        <v>0</v>
      </c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</row>
    <row r="69" customFormat="false" ht="13.5" hidden="true" customHeight="true" outlineLevel="0" collapsed="false">
      <c r="A69" s="108"/>
      <c r="B69" s="109"/>
      <c r="C69" s="203"/>
      <c r="D69" s="111"/>
      <c r="E69" s="140" t="n">
        <f aca="false">IF(ISERROR(VLOOKUP(C68,일용직명단!$A$3:$K$1246,9,FALSE())),0,VLOOKUP(C68,일용직명단!$A$3:$K$1246,9,FALSE()))</f>
        <v>0</v>
      </c>
      <c r="F69" s="180"/>
      <c r="G69" s="134"/>
      <c r="H69" s="134"/>
      <c r="I69" s="114"/>
      <c r="J69" s="115"/>
      <c r="K69" s="114"/>
      <c r="L69" s="113"/>
      <c r="M69" s="113"/>
      <c r="N69" s="114"/>
      <c r="O69" s="115"/>
      <c r="P69" s="114"/>
      <c r="Q69" s="114"/>
      <c r="R69" s="113"/>
      <c r="S69" s="113"/>
      <c r="T69" s="113"/>
      <c r="U69" s="115"/>
      <c r="V69" s="144"/>
      <c r="W69" s="138" t="n">
        <f aca="false">W68*V68</f>
        <v>0</v>
      </c>
      <c r="X69" s="123" t="n">
        <f aca="false">IF(AH68&lt;1000,0,AH68)</f>
        <v>0</v>
      </c>
      <c r="Y69" s="123" t="n">
        <f aca="false">ROUNDDOWN(X69*10%,-1)</f>
        <v>0</v>
      </c>
      <c r="Z69" s="123" t="n">
        <f aca="false">IF(AE68&gt;=8,ROUNDDOWN(Y68*$Q$4,-1),0)</f>
        <v>0</v>
      </c>
      <c r="AA69" s="145"/>
      <c r="AB69" s="146"/>
      <c r="AC69" s="148" t="n">
        <f aca="false">IF(ISERROR(VLOOKUP(C68,일용직명단!$A$3:$I$1226,7,FALSE())),0,VLOOKUP(C68,일용직명단!$A$3:$I$1226,7,FALSE()))</f>
        <v>0</v>
      </c>
      <c r="AD69" s="148"/>
      <c r="AE69" s="149"/>
      <c r="AF69" s="129"/>
      <c r="AG69" s="129"/>
      <c r="AH69" s="130"/>
      <c r="AI69" s="130" t="n">
        <f aca="false">IF($W68*F69&gt;150000,($W68*F69-150000)*6%*45%,0)</f>
        <v>0</v>
      </c>
      <c r="AJ69" s="130" t="n">
        <f aca="false">IF($W68*G69&gt;150000,($W68*G69-150000)*6%*45%,0)</f>
        <v>0</v>
      </c>
      <c r="AK69" s="130" t="n">
        <f aca="false">IF($W68*H69&gt;150000,($W68*H69-150000)*6%*45%,0)</f>
        <v>0</v>
      </c>
      <c r="AL69" s="130" t="n">
        <f aca="false">IF($W68*I69&gt;150000,($W68*I69-150000)*6%*45%,0)</f>
        <v>0</v>
      </c>
      <c r="AM69" s="130" t="n">
        <f aca="false">IF($W68*J69&gt;150000,($W68*J69-150000)*6%*45%,0)</f>
        <v>0</v>
      </c>
      <c r="AN69" s="130" t="n">
        <f aca="false">IF($W68*K69&gt;150000,($W68*K69-150000)*6%*45%,0)</f>
        <v>0</v>
      </c>
      <c r="AO69" s="130" t="n">
        <f aca="false">IF($W68*L69&gt;150000,($W68*L69-150000)*6%*45%,0)</f>
        <v>0</v>
      </c>
      <c r="AP69" s="130" t="n">
        <f aca="false">IF($W68*M69&gt;150000,($W68*M69-150000)*6%*45%,0)</f>
        <v>0</v>
      </c>
      <c r="AQ69" s="130" t="n">
        <f aca="false">IF($W68*N69&gt;150000,($W68*N69-150000)*6%*45%,0)</f>
        <v>0</v>
      </c>
      <c r="AR69" s="130" t="n">
        <f aca="false">IF($W68*O69&gt;150000,($W68*O69-150000)*6%*45%,0)</f>
        <v>0</v>
      </c>
      <c r="AS69" s="130" t="n">
        <f aca="false">IF($W68*P69&gt;150000,($W68*P69-150000)*6%*45%,0)</f>
        <v>0</v>
      </c>
      <c r="AT69" s="130" t="n">
        <f aca="false">IF($W68*Q69&gt;150000,($W68*Q69-150000)*6%*45%,0)</f>
        <v>0</v>
      </c>
      <c r="AU69" s="130" t="n">
        <f aca="false">IF($W68*R69&gt;150000,($W68*R69-150000)*6%*45%,0)</f>
        <v>0</v>
      </c>
      <c r="AV69" s="130" t="n">
        <f aca="false">IF($W68*S69&gt;150000,($W68*S69-150000)*6%*45%,0)</f>
        <v>0</v>
      </c>
      <c r="AW69" s="130" t="n">
        <f aca="false">IF($W68*T69&gt;150000,($W68*T69-150000)*6%*45%,0)</f>
        <v>0</v>
      </c>
      <c r="AX69" s="130" t="n">
        <f aca="false">IF($W68*U69&gt;150000,($W68*U69-150000)*6%*45%,0)</f>
        <v>0</v>
      </c>
      <c r="AY69" s="13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</row>
    <row r="70" customFormat="false" ht="13.5" hidden="true" customHeight="true" outlineLevel="0" collapsed="false">
      <c r="A70" s="108" t="n">
        <f aca="false">A68+1</f>
        <v>31</v>
      </c>
      <c r="B70" s="109" t="n">
        <f aca="false">IF(ISERROR(VLOOKUP(C70,일용직명단!$A$3:$I$104,2,FALSE())),0,VLOOKUP(C70,일용직명단!$A$3:$I$104,2,FALSE()))</f>
        <v>0</v>
      </c>
      <c r="C70" s="204"/>
      <c r="D70" s="111" t="n">
        <f aca="false">IF(ISERROR(VLOOKUP(C70,일용직명단!$A$3:$K$1246,3,FALSE())),0,VLOOKUP(C70,일용직명단!$A$3:$K$1246,3,FALSE()))</f>
        <v>0</v>
      </c>
      <c r="E70" s="112" t="n">
        <f aca="false">IF(ISERROR(VLOOKUP(C70,일용직명단!$A$3:$K$1246,4,FALSE())),0,VLOOKUP(C70,일용직명단!$A$3:$K$1246,4,FALSE()))</f>
        <v>0</v>
      </c>
      <c r="F70" s="113"/>
      <c r="G70" s="114"/>
      <c r="H70" s="115"/>
      <c r="I70" s="115"/>
      <c r="J70" s="113"/>
      <c r="K70" s="115"/>
      <c r="L70" s="113"/>
      <c r="M70" s="113"/>
      <c r="N70" s="114"/>
      <c r="O70" s="114"/>
      <c r="P70" s="113"/>
      <c r="Q70" s="114"/>
      <c r="R70" s="115"/>
      <c r="S70" s="114"/>
      <c r="T70" s="115"/>
      <c r="U70" s="119"/>
      <c r="V70" s="120" t="n">
        <f aca="false">SUM(F70:U71)</f>
        <v>0</v>
      </c>
      <c r="W70" s="121" t="n">
        <f aca="false">IF(ISERROR(VLOOKUP(C70,일용직명단!$A$3:$K$1246,8,FALSE())),0,VLOOKUP(C70,일용직명단!$A$3:$K$1246,8,FALSE()))</f>
        <v>0</v>
      </c>
      <c r="X70" s="122" t="n">
        <f aca="false">IFERROR(IF(AG70&gt;=65,0,ROUNDDOWN(W71*$Z$4,-1)),0)</f>
        <v>0</v>
      </c>
      <c r="Y70" s="122" t="n">
        <f aca="false">IF(AE70&gt;=8,ROUNDDOWN(W71*$M$4,-1),0)</f>
        <v>0</v>
      </c>
      <c r="Z70" s="123" t="n">
        <f aca="false">IFERROR(IF(AND(COUNT(F70:U71)&gt;=8,$AG70&lt;60,W71&lt;=5530000),ROUNDDOWN(ROUNDDOWN(W71,-3)*4.5%,-1),IF(AND(COUNT(F70:U71)&gt;=8,AG70&lt;60,W71&gt;5530000),248850,0)),0)</f>
        <v>0</v>
      </c>
      <c r="AA70" s="124" t="n">
        <f aca="false">+X70+Y70+X71+Y71+Z70+Z71</f>
        <v>0</v>
      </c>
      <c r="AB70" s="125" t="n">
        <f aca="false">W71-AA70</f>
        <v>0</v>
      </c>
      <c r="AC70" s="126" t="n">
        <f aca="false">IF(ISERROR(VLOOKUP(C70,일용직명단!$A$3:$I$1226,5,FALSE())),0,VLOOKUP(C70,일용직명단!$A$3:$I$1226,5,FALSE()))</f>
        <v>0</v>
      </c>
      <c r="AD70" s="127" t="n">
        <f aca="false">IF(ISERROR(VLOOKUP(C70,일용직명단!$A$3:$I$1226,6,FALSE())),0,VLOOKUP(C70,일용직명단!$A$3:$I$1226,6,FALSE()))</f>
        <v>0</v>
      </c>
      <c r="AE70" s="128" t="n">
        <f aca="false">COUNT(F70:U71)</f>
        <v>0</v>
      </c>
      <c r="AF70" s="129" t="str">
        <f aca="false">IF(OR(MID(D70,8,1)="1",MID(D70,8,1)="2"),19&amp;LEFT(D70,2),20&amp;LEFT(D70,2))&amp;"-"&amp;MID(D70,3,2)&amp;"-"&amp;MID(D70,5,2)</f>
        <v>200--</v>
      </c>
      <c r="AG70" s="129" t="e">
        <f aca="true">INT((TODAY()-AF70)/365.25)</f>
        <v>#VALUE!</v>
      </c>
      <c r="AH70" s="130" t="n">
        <f aca="false">ROUNDDOWN(SUM(AI70:AX71),-1)</f>
        <v>0</v>
      </c>
      <c r="AI70" s="130" t="n">
        <f aca="false">IF($W70*F70&gt;150000,($W70*F70-150000)*6%*45%,0)</f>
        <v>0</v>
      </c>
      <c r="AJ70" s="130" t="n">
        <f aca="false">IF($W70*G70&gt;150000,($W70*G70-150000)*6%*45%,0)</f>
        <v>0</v>
      </c>
      <c r="AK70" s="130" t="n">
        <f aca="false">IF($W70*H70&gt;150000,($W70*H70-150000)*6%*45%,0)</f>
        <v>0</v>
      </c>
      <c r="AL70" s="130" t="n">
        <f aca="false">IF($W70*I70&gt;150000,($W70*I70-150000)*6%*45%,0)</f>
        <v>0</v>
      </c>
      <c r="AM70" s="130" t="n">
        <f aca="false">IF($W70*J70&gt;150000,($W70*J70-150000)*6%*45%,0)</f>
        <v>0</v>
      </c>
      <c r="AN70" s="130" t="n">
        <f aca="false">IF($W70*K70&gt;150000,($W70*K70-150000)*6%*45%,0)</f>
        <v>0</v>
      </c>
      <c r="AO70" s="130" t="n">
        <f aca="false">IF($W70*L70&gt;150000,($W70*L70-150000)*6%*45%,0)</f>
        <v>0</v>
      </c>
      <c r="AP70" s="130" t="n">
        <f aca="false">IF($W70*M70&gt;150000,($W70*M70-150000)*6%*45%,0)</f>
        <v>0</v>
      </c>
      <c r="AQ70" s="130" t="n">
        <f aca="false">IF($W70*N70&gt;150000,($W70*N70-150000)*6%*45%,0)</f>
        <v>0</v>
      </c>
      <c r="AR70" s="130" t="n">
        <f aca="false">IF($W70*O70&gt;150000,($W70*O70-150000)*6%*45%,0)</f>
        <v>0</v>
      </c>
      <c r="AS70" s="130" t="n">
        <f aca="false">IF($W70*P70&gt;150000,($W70*P70-150000)*6%*45%,0)</f>
        <v>0</v>
      </c>
      <c r="AT70" s="130" t="n">
        <f aca="false">IF($W70*Q70&gt;150000,($W70*Q70-150000)*6%*45%,0)</f>
        <v>0</v>
      </c>
      <c r="AU70" s="130" t="n">
        <f aca="false">IF($W70*R70&gt;150000,($W70*R70-150000)*6%*45%,0)</f>
        <v>0</v>
      </c>
      <c r="AV70" s="130" t="n">
        <f aca="false">IF($W70*S70&gt;150000,($W70*S70-150000)*6%*45%,0)</f>
        <v>0</v>
      </c>
      <c r="AW70" s="130" t="n">
        <f aca="false">IF($W70*T70&gt;150000,($W70*T70-150000)*6%*45%,0)</f>
        <v>0</v>
      </c>
      <c r="AX70" s="130"/>
      <c r="AY70" s="131" t="n">
        <f aca="false">IF(ISERROR(VLOOKUP(C70,[26]일용직명단!$A$3:$M$1151,11,FALSE())),0,VLOOKUP(C70,[26]일용직명단!$A$3:$M$1151,11,FALSE()))</f>
        <v>0</v>
      </c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</row>
    <row r="71" customFormat="false" ht="13.5" hidden="true" customHeight="true" outlineLevel="0" collapsed="false">
      <c r="A71" s="108"/>
      <c r="B71" s="109"/>
      <c r="C71" s="204"/>
      <c r="D71" s="111"/>
      <c r="E71" s="112" t="n">
        <f aca="false">IF(ISERROR(VLOOKUP(C70,일용직명단!$A$3:$K$1246,9,FALSE())),0,VLOOKUP(C70,일용직명단!$A$3:$K$1246,9,FALSE()))</f>
        <v>0</v>
      </c>
      <c r="F71" s="180"/>
      <c r="G71" s="134"/>
      <c r="H71" s="134"/>
      <c r="I71" s="114"/>
      <c r="J71" s="115"/>
      <c r="K71" s="114"/>
      <c r="L71" s="113"/>
      <c r="M71" s="113"/>
      <c r="N71" s="114"/>
      <c r="O71" s="115"/>
      <c r="P71" s="114"/>
      <c r="Q71" s="114"/>
      <c r="R71" s="113"/>
      <c r="S71" s="113"/>
      <c r="T71" s="113"/>
      <c r="U71" s="115"/>
      <c r="V71" s="120"/>
      <c r="W71" s="138" t="n">
        <f aca="false">W70*V70</f>
        <v>0</v>
      </c>
      <c r="X71" s="122" t="n">
        <f aca="false">IF(AH70&lt;1000,0,AH70)</f>
        <v>0</v>
      </c>
      <c r="Y71" s="122" t="n">
        <f aca="false">ROUNDDOWN(X71*10%,-1)</f>
        <v>0</v>
      </c>
      <c r="Z71" s="123" t="n">
        <f aca="false">IF(AE70&gt;=8,ROUNDDOWN(Y70*$Q$4,-1),0)</f>
        <v>0</v>
      </c>
      <c r="AA71" s="124"/>
      <c r="AB71" s="125"/>
      <c r="AC71" s="127" t="n">
        <f aca="false">IF(ISERROR(VLOOKUP(C70,일용직명단!$A$3:$I$1226,7,FALSE())),0,VLOOKUP(C70,일용직명단!$A$3:$I$1226,7,FALSE()))</f>
        <v>0</v>
      </c>
      <c r="AD71" s="127"/>
      <c r="AE71" s="128"/>
      <c r="AF71" s="129"/>
      <c r="AG71" s="129"/>
      <c r="AH71" s="130"/>
      <c r="AI71" s="130" t="n">
        <f aca="false">IF($W70*F71&gt;150000,($W70*F71-150000)*6%*45%,0)</f>
        <v>0</v>
      </c>
      <c r="AJ71" s="130" t="n">
        <f aca="false">IF($W70*G71&gt;150000,($W70*G71-150000)*6%*45%,0)</f>
        <v>0</v>
      </c>
      <c r="AK71" s="130" t="n">
        <f aca="false">IF($W70*H71&gt;150000,($W70*H71-150000)*6%*45%,0)</f>
        <v>0</v>
      </c>
      <c r="AL71" s="130" t="n">
        <f aca="false">IF($W70*I71&gt;150000,($W70*I71-150000)*6%*45%,0)</f>
        <v>0</v>
      </c>
      <c r="AM71" s="130" t="n">
        <f aca="false">IF($W70*J71&gt;150000,($W70*J71-150000)*6%*45%,0)</f>
        <v>0</v>
      </c>
      <c r="AN71" s="130" t="n">
        <f aca="false">IF($W70*K71&gt;150000,($W70*K71-150000)*6%*45%,0)</f>
        <v>0</v>
      </c>
      <c r="AO71" s="130" t="n">
        <f aca="false">IF($W70*L71&gt;150000,($W70*L71-150000)*6%*45%,0)</f>
        <v>0</v>
      </c>
      <c r="AP71" s="130" t="n">
        <f aca="false">IF($W70*M71&gt;150000,($W70*M71-150000)*6%*45%,0)</f>
        <v>0</v>
      </c>
      <c r="AQ71" s="130" t="n">
        <f aca="false">IF($W70*N71&gt;150000,($W70*N71-150000)*6%*45%,0)</f>
        <v>0</v>
      </c>
      <c r="AR71" s="130" t="n">
        <f aca="false">IF($W70*O71&gt;150000,($W70*O71-150000)*6%*45%,0)</f>
        <v>0</v>
      </c>
      <c r="AS71" s="130" t="n">
        <f aca="false">IF($W70*P71&gt;150000,($W70*P71-150000)*6%*45%,0)</f>
        <v>0</v>
      </c>
      <c r="AT71" s="130" t="n">
        <f aca="false">IF($W70*Q71&gt;150000,($W70*Q71-150000)*6%*45%,0)</f>
        <v>0</v>
      </c>
      <c r="AU71" s="130" t="n">
        <f aca="false">IF($W70*R71&gt;150000,($W70*R71-150000)*6%*45%,0)</f>
        <v>0</v>
      </c>
      <c r="AV71" s="130" t="n">
        <f aca="false">IF($W70*S71&gt;150000,($W70*S71-150000)*6%*45%,0)</f>
        <v>0</v>
      </c>
      <c r="AW71" s="130" t="n">
        <f aca="false">IF($W70*T71&gt;150000,($W70*T71-150000)*6%*45%,0)</f>
        <v>0</v>
      </c>
      <c r="AX71" s="130" t="n">
        <f aca="false">IF($W70*U71&gt;150000,($W70*U71-150000)*6%*45%,0)</f>
        <v>0</v>
      </c>
      <c r="AY71" s="13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/>
    </row>
    <row r="72" customFormat="false" ht="13.5" hidden="true" customHeight="true" outlineLevel="0" collapsed="false">
      <c r="A72" s="108" t="n">
        <f aca="false">A70+1</f>
        <v>32</v>
      </c>
      <c r="B72" s="109" t="n">
        <f aca="false">IF(ISERROR(VLOOKUP(C72,일용직명단!$A$3:$I$104,2,FALSE())),0,VLOOKUP(C72,일용직명단!$A$3:$I$104,2,FALSE()))</f>
        <v>0</v>
      </c>
      <c r="C72" s="204"/>
      <c r="D72" s="111" t="n">
        <f aca="false">IF(ISERROR(VLOOKUP(C72,일용직명단!$A$3:$K$1246,3,FALSE())),0,VLOOKUP(C72,일용직명단!$A$3:$K$1246,3,FALSE()))</f>
        <v>0</v>
      </c>
      <c r="E72" s="112" t="n">
        <f aca="false">IF(ISERROR(VLOOKUP(C72,일용직명단!$A$3:$K$1246,4,FALSE())),0,VLOOKUP(C72,일용직명단!$A$3:$K$1246,4,FALSE()))</f>
        <v>0</v>
      </c>
      <c r="F72" s="113"/>
      <c r="G72" s="114"/>
      <c r="H72" s="115"/>
      <c r="I72" s="115"/>
      <c r="J72" s="113"/>
      <c r="K72" s="115"/>
      <c r="L72" s="113"/>
      <c r="M72" s="113"/>
      <c r="N72" s="114"/>
      <c r="O72" s="114"/>
      <c r="P72" s="113"/>
      <c r="Q72" s="114"/>
      <c r="R72" s="115"/>
      <c r="S72" s="114"/>
      <c r="T72" s="115"/>
      <c r="U72" s="119"/>
      <c r="V72" s="120" t="n">
        <f aca="false">SUM(F72:U73)</f>
        <v>0</v>
      </c>
      <c r="W72" s="121" t="n">
        <f aca="false">IF(ISERROR(VLOOKUP(C72,일용직명단!$A$3:$K$1246,8,FALSE())),0,VLOOKUP(C72,일용직명단!$A$3:$K$1246,8,FALSE()))</f>
        <v>0</v>
      </c>
      <c r="X72" s="122" t="n">
        <f aca="false">IFERROR(IF(AG72&gt;=65,0,ROUNDDOWN(W73*$Z$4,-1)),0)</f>
        <v>0</v>
      </c>
      <c r="Y72" s="122" t="n">
        <f aca="false">IF(AE72&gt;=8,ROUNDDOWN(W73*$M$4,-1),0)</f>
        <v>0</v>
      </c>
      <c r="Z72" s="123" t="n">
        <f aca="false">IFERROR(IF(AND(COUNT(F72:U73)&gt;=8,$AG72&lt;60,W73&lt;=5530000),ROUNDDOWN(ROUNDDOWN(W73,-3)*4.5%,-1),IF(AND(COUNT(F72:U73)&gt;=8,AG72&lt;60,W73&gt;5530000),248850,0)),0)</f>
        <v>0</v>
      </c>
      <c r="AA72" s="124" t="n">
        <f aca="false">+X72+Y72+X73+Y73+Z72+Z73</f>
        <v>0</v>
      </c>
      <c r="AB72" s="125" t="n">
        <f aca="false">W73-AA72</f>
        <v>0</v>
      </c>
      <c r="AC72" s="126" t="n">
        <f aca="false">IF(ISERROR(VLOOKUP(C72,일용직명단!$A$3:$I$1226,5,FALSE())),0,VLOOKUP(C72,일용직명단!$A$3:$I$1226,5,FALSE()))</f>
        <v>0</v>
      </c>
      <c r="AD72" s="127" t="n">
        <f aca="false">IF(ISERROR(VLOOKUP(C72,일용직명단!$A$3:$I$1226,6,FALSE())),0,VLOOKUP(C72,일용직명단!$A$3:$I$1226,6,FALSE()))</f>
        <v>0</v>
      </c>
      <c r="AE72" s="128" t="n">
        <f aca="false">COUNT(F72:U73)</f>
        <v>0</v>
      </c>
      <c r="AF72" s="129" t="str">
        <f aca="false">IF(OR(MID(D72,8,1)="1",MID(D72,8,1)="2"),19&amp;LEFT(D72,2),20&amp;LEFT(D72,2))&amp;"-"&amp;MID(D72,3,2)&amp;"-"&amp;MID(D72,5,2)</f>
        <v>200--</v>
      </c>
      <c r="AG72" s="129" t="e">
        <f aca="true">INT((TODAY()-AF72)/365.25)</f>
        <v>#VALUE!</v>
      </c>
      <c r="AH72" s="130" t="n">
        <f aca="false">ROUNDDOWN(SUM(AI72:AX73),-1)</f>
        <v>0</v>
      </c>
      <c r="AI72" s="130" t="n">
        <f aca="false">IF($W72*F72&gt;150000,($W72*F72-150000)*6%*45%,0)</f>
        <v>0</v>
      </c>
      <c r="AJ72" s="130" t="n">
        <f aca="false">IF($W72*G72&gt;150000,($W72*G72-150000)*6%*45%,0)</f>
        <v>0</v>
      </c>
      <c r="AK72" s="130" t="n">
        <f aca="false">IF($W72*H72&gt;150000,($W72*H72-150000)*6%*45%,0)</f>
        <v>0</v>
      </c>
      <c r="AL72" s="130" t="n">
        <f aca="false">IF($W72*I72&gt;150000,($W72*I72-150000)*6%*45%,0)</f>
        <v>0</v>
      </c>
      <c r="AM72" s="130" t="n">
        <f aca="false">IF($W72*J72&gt;150000,($W72*J72-150000)*6%*45%,0)</f>
        <v>0</v>
      </c>
      <c r="AN72" s="130" t="n">
        <f aca="false">IF($W72*K72&gt;150000,($W72*K72-150000)*6%*45%,0)</f>
        <v>0</v>
      </c>
      <c r="AO72" s="130" t="n">
        <f aca="false">IF($W72*L72&gt;150000,($W72*L72-150000)*6%*45%,0)</f>
        <v>0</v>
      </c>
      <c r="AP72" s="130" t="n">
        <f aca="false">IF($W72*M72&gt;150000,($W72*M72-150000)*6%*45%,0)</f>
        <v>0</v>
      </c>
      <c r="AQ72" s="130" t="n">
        <f aca="false">IF($W72*N72&gt;150000,($W72*N72-150000)*6%*45%,0)</f>
        <v>0</v>
      </c>
      <c r="AR72" s="130" t="n">
        <f aca="false">IF($W72*O72&gt;150000,($W72*O72-150000)*6%*45%,0)</f>
        <v>0</v>
      </c>
      <c r="AS72" s="130" t="n">
        <f aca="false">IF($W72*P72&gt;150000,($W72*P72-150000)*6%*45%,0)</f>
        <v>0</v>
      </c>
      <c r="AT72" s="130" t="n">
        <f aca="false">IF($W72*Q72&gt;150000,($W72*Q72-150000)*6%*45%,0)</f>
        <v>0</v>
      </c>
      <c r="AU72" s="130" t="n">
        <f aca="false">IF($W72*R72&gt;150000,($W72*R72-150000)*6%*45%,0)</f>
        <v>0</v>
      </c>
      <c r="AV72" s="130" t="n">
        <f aca="false">IF($W72*S72&gt;150000,($W72*S72-150000)*6%*45%,0)</f>
        <v>0</v>
      </c>
      <c r="AW72" s="130" t="n">
        <f aca="false">IF($W72*T72&gt;150000,($W72*T72-150000)*6%*45%,0)</f>
        <v>0</v>
      </c>
      <c r="AX72" s="130"/>
      <c r="AY72" s="131" t="n">
        <f aca="false">IF(ISERROR(VLOOKUP(C72,[26]일용직명단!$A$3:$M$1151,11,FALSE())),0,VLOOKUP(C72,[26]일용직명단!$A$3:$M$1151,11,FALSE()))</f>
        <v>0</v>
      </c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</row>
    <row r="73" customFormat="false" ht="13.5" hidden="true" customHeight="true" outlineLevel="0" collapsed="false">
      <c r="A73" s="108"/>
      <c r="B73" s="109"/>
      <c r="C73" s="204"/>
      <c r="D73" s="111"/>
      <c r="E73" s="112" t="n">
        <f aca="false">IF(ISERROR(VLOOKUP(C72,일용직명단!$A$3:$K$1246,9,FALSE())),0,VLOOKUP(C72,일용직명단!$A$3:$K$1246,9,FALSE()))</f>
        <v>0</v>
      </c>
      <c r="F73" s="180"/>
      <c r="G73" s="134"/>
      <c r="H73" s="134"/>
      <c r="I73" s="114"/>
      <c r="J73" s="115"/>
      <c r="K73" s="114"/>
      <c r="L73" s="113"/>
      <c r="M73" s="113"/>
      <c r="N73" s="114"/>
      <c r="O73" s="115"/>
      <c r="P73" s="114"/>
      <c r="Q73" s="114"/>
      <c r="R73" s="113"/>
      <c r="S73" s="113"/>
      <c r="T73" s="113"/>
      <c r="U73" s="115"/>
      <c r="V73" s="120"/>
      <c r="W73" s="138" t="n">
        <f aca="false">W72*V72</f>
        <v>0</v>
      </c>
      <c r="X73" s="122" t="n">
        <f aca="false">IF(AH72&lt;1000,0,AH72)</f>
        <v>0</v>
      </c>
      <c r="Y73" s="122" t="n">
        <f aca="false">ROUNDDOWN(X73*10%,-1)</f>
        <v>0</v>
      </c>
      <c r="Z73" s="123" t="n">
        <f aca="false">IF(AE72&gt;=8,ROUNDDOWN(Y72*$Q$4,-1),0)</f>
        <v>0</v>
      </c>
      <c r="AA73" s="124"/>
      <c r="AB73" s="125"/>
      <c r="AC73" s="127" t="n">
        <f aca="false">IF(ISERROR(VLOOKUP(C72,일용직명단!$A$3:$I$1226,7,FALSE())),0,VLOOKUP(C72,일용직명단!$A$3:$I$1226,7,FALSE()))</f>
        <v>0</v>
      </c>
      <c r="AD73" s="127"/>
      <c r="AE73" s="128"/>
      <c r="AF73" s="129"/>
      <c r="AG73" s="129"/>
      <c r="AH73" s="130"/>
      <c r="AI73" s="130" t="n">
        <f aca="false">IF($W72*F73&gt;150000,($W72*F73-150000)*6%*45%,0)</f>
        <v>0</v>
      </c>
      <c r="AJ73" s="130" t="n">
        <f aca="false">IF($W72*G73&gt;150000,($W72*G73-150000)*6%*45%,0)</f>
        <v>0</v>
      </c>
      <c r="AK73" s="130" t="n">
        <f aca="false">IF($W72*H73&gt;150000,($W72*H73-150000)*6%*45%,0)</f>
        <v>0</v>
      </c>
      <c r="AL73" s="130" t="n">
        <f aca="false">IF($W72*I73&gt;150000,($W72*I73-150000)*6%*45%,0)</f>
        <v>0</v>
      </c>
      <c r="AM73" s="130" t="n">
        <f aca="false">IF($W72*J73&gt;150000,($W72*J73-150000)*6%*45%,0)</f>
        <v>0</v>
      </c>
      <c r="AN73" s="130" t="n">
        <f aca="false">IF($W72*K73&gt;150000,($W72*K73-150000)*6%*45%,0)</f>
        <v>0</v>
      </c>
      <c r="AO73" s="130" t="n">
        <f aca="false">IF($W72*L73&gt;150000,($W72*L73-150000)*6%*45%,0)</f>
        <v>0</v>
      </c>
      <c r="AP73" s="130" t="n">
        <f aca="false">IF($W72*M73&gt;150000,($W72*M73-150000)*6%*45%,0)</f>
        <v>0</v>
      </c>
      <c r="AQ73" s="130" t="n">
        <f aca="false">IF($W72*N73&gt;150000,($W72*N73-150000)*6%*45%,0)</f>
        <v>0</v>
      </c>
      <c r="AR73" s="130" t="n">
        <f aca="false">IF($W72*O73&gt;150000,($W72*O73-150000)*6%*45%,0)</f>
        <v>0</v>
      </c>
      <c r="AS73" s="130" t="n">
        <f aca="false">IF($W72*P73&gt;150000,($W72*P73-150000)*6%*45%,0)</f>
        <v>0</v>
      </c>
      <c r="AT73" s="130" t="n">
        <f aca="false">IF($W72*Q73&gt;150000,($W72*Q73-150000)*6%*45%,0)</f>
        <v>0</v>
      </c>
      <c r="AU73" s="130" t="n">
        <f aca="false">IF($W72*R73&gt;150000,($W72*R73-150000)*6%*45%,0)</f>
        <v>0</v>
      </c>
      <c r="AV73" s="130" t="n">
        <f aca="false">IF($W72*S73&gt;150000,($W72*S73-150000)*6%*45%,0)</f>
        <v>0</v>
      </c>
      <c r="AW73" s="130" t="n">
        <f aca="false">IF($W72*T73&gt;150000,($W72*T73-150000)*6%*45%,0)</f>
        <v>0</v>
      </c>
      <c r="AX73" s="130" t="n">
        <f aca="false">IF($W72*U73&gt;150000,($W72*U73-150000)*6%*45%,0)</f>
        <v>0</v>
      </c>
      <c r="AY73" s="13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</row>
    <row r="74" customFormat="false" ht="13.5" hidden="true" customHeight="true" outlineLevel="0" collapsed="false">
      <c r="A74" s="108" t="n">
        <f aca="false">A72+1</f>
        <v>33</v>
      </c>
      <c r="B74" s="109" t="n">
        <f aca="false">IF(ISERROR(VLOOKUP(C74,일용직명단!$A$3:$I$104,2,FALSE())),0,VLOOKUP(C74,일용직명단!$A$3:$I$104,2,FALSE()))</f>
        <v>0</v>
      </c>
      <c r="C74" s="110"/>
      <c r="D74" s="111" t="n">
        <f aca="false">IF(ISERROR(VLOOKUP(C74,일용직명단!$A$3:$K$1246,3,FALSE())),0,VLOOKUP(C74,일용직명단!$A$3:$K$1246,3,FALSE()))</f>
        <v>0</v>
      </c>
      <c r="E74" s="112" t="n">
        <f aca="false">IF(ISERROR(VLOOKUP(C74,일용직명단!$A$3:$K$1246,4,FALSE())),0,VLOOKUP(C74,일용직명단!$A$3:$K$1246,4,FALSE()))</f>
        <v>0</v>
      </c>
      <c r="F74" s="113"/>
      <c r="G74" s="114"/>
      <c r="H74" s="115"/>
      <c r="I74" s="115"/>
      <c r="J74" s="113"/>
      <c r="K74" s="115"/>
      <c r="L74" s="113"/>
      <c r="M74" s="113"/>
      <c r="N74" s="114"/>
      <c r="O74" s="114"/>
      <c r="P74" s="113"/>
      <c r="Q74" s="114"/>
      <c r="R74" s="115"/>
      <c r="S74" s="114"/>
      <c r="T74" s="115"/>
      <c r="U74" s="119"/>
      <c r="V74" s="120" t="n">
        <f aca="false">SUM(F74:U75)</f>
        <v>0</v>
      </c>
      <c r="W74" s="121" t="n">
        <f aca="false">IF(ISERROR(VLOOKUP(C74,일용직명단!$A$3:$K$1246,8,FALSE())),0,VLOOKUP(C74,일용직명단!$A$3:$K$1246,8,FALSE()))</f>
        <v>0</v>
      </c>
      <c r="X74" s="122" t="n">
        <f aca="false">IFERROR(IF(AG74&gt;=65,0,ROUNDDOWN(W75*$Z$4,-1)),0)</f>
        <v>0</v>
      </c>
      <c r="Y74" s="122" t="n">
        <f aca="false">IF(AE74&gt;=8,ROUNDDOWN(W75*$M$4,-1),0)</f>
        <v>0</v>
      </c>
      <c r="Z74" s="123" t="n">
        <f aca="false">IFERROR(IF(AND(COUNT(F74:U75)&gt;=8,$AG74&lt;60,W75&lt;=5530000),ROUNDDOWN(ROUNDDOWN(W75,-3)*4.5%,-1),IF(AND(COUNT(F74:U75)&gt;=8,AG74&lt;60,W75&gt;5530000),248850,0)),0)</f>
        <v>0</v>
      </c>
      <c r="AA74" s="124" t="n">
        <f aca="false">+X74+Y74+X75+Y75+Z74+Z75</f>
        <v>0</v>
      </c>
      <c r="AB74" s="125" t="n">
        <f aca="false">W75-AA74</f>
        <v>0</v>
      </c>
      <c r="AC74" s="126" t="n">
        <f aca="false">IF(ISERROR(VLOOKUP(C74,일용직명단!$A$3:$I$1226,5,FALSE())),0,VLOOKUP(C74,일용직명단!$A$3:$I$1226,5,FALSE()))</f>
        <v>0</v>
      </c>
      <c r="AD74" s="127" t="n">
        <f aca="false">IF(ISERROR(VLOOKUP(C74,일용직명단!$A$3:$I$1226,6,FALSE())),0,VLOOKUP(C74,일용직명단!$A$3:$I$1226,6,FALSE()))</f>
        <v>0</v>
      </c>
      <c r="AE74" s="128" t="n">
        <f aca="false">COUNT(F74:U75)</f>
        <v>0</v>
      </c>
      <c r="AF74" s="129" t="str">
        <f aca="false">IF(OR(MID(D74,8,1)="1",MID(D74,8,1)="2"),19&amp;LEFT(D74,2),20&amp;LEFT(D74,2))&amp;"-"&amp;MID(D74,3,2)&amp;"-"&amp;MID(D74,5,2)</f>
        <v>200--</v>
      </c>
      <c r="AG74" s="129" t="e">
        <f aca="true">INT((TODAY()-AF74)/365.25)</f>
        <v>#VALUE!</v>
      </c>
      <c r="AH74" s="130" t="n">
        <f aca="false">ROUNDDOWN(SUM(AI74:AX75),-1)</f>
        <v>0</v>
      </c>
      <c r="AI74" s="130" t="n">
        <f aca="false">IF($W74*F74&gt;150000,($W74*F74-150000)*6%*45%,0)</f>
        <v>0</v>
      </c>
      <c r="AJ74" s="130" t="n">
        <f aca="false">IF($W74*G74&gt;150000,($W74*G74-150000)*6%*45%,0)</f>
        <v>0</v>
      </c>
      <c r="AK74" s="130" t="n">
        <f aca="false">IF($W74*H74&gt;150000,($W74*H74-150000)*6%*45%,0)</f>
        <v>0</v>
      </c>
      <c r="AL74" s="130" t="n">
        <f aca="false">IF($W74*I74&gt;150000,($W74*I74-150000)*6%*45%,0)</f>
        <v>0</v>
      </c>
      <c r="AM74" s="130" t="n">
        <f aca="false">IF($W74*J74&gt;150000,($W74*J74-150000)*6%*45%,0)</f>
        <v>0</v>
      </c>
      <c r="AN74" s="130" t="n">
        <f aca="false">IF($W74*K74&gt;150000,($W74*K74-150000)*6%*45%,0)</f>
        <v>0</v>
      </c>
      <c r="AO74" s="130" t="n">
        <f aca="false">IF($W74*L74&gt;150000,($W74*L74-150000)*6%*45%,0)</f>
        <v>0</v>
      </c>
      <c r="AP74" s="130" t="n">
        <f aca="false">IF($W74*M74&gt;150000,($W74*M74-150000)*6%*45%,0)</f>
        <v>0</v>
      </c>
      <c r="AQ74" s="130" t="n">
        <f aca="false">IF($W74*N74&gt;150000,($W74*N74-150000)*6%*45%,0)</f>
        <v>0</v>
      </c>
      <c r="AR74" s="130" t="n">
        <f aca="false">IF($W74*O74&gt;150000,($W74*O74-150000)*6%*45%,0)</f>
        <v>0</v>
      </c>
      <c r="AS74" s="130" t="n">
        <f aca="false">IF($W74*P74&gt;150000,($W74*P74-150000)*6%*45%,0)</f>
        <v>0</v>
      </c>
      <c r="AT74" s="130" t="n">
        <f aca="false">IF($W74*Q74&gt;150000,($W74*Q74-150000)*6%*45%,0)</f>
        <v>0</v>
      </c>
      <c r="AU74" s="130" t="n">
        <f aca="false">IF($W74*R74&gt;150000,($W74*R74-150000)*6%*45%,0)</f>
        <v>0</v>
      </c>
      <c r="AV74" s="130" t="n">
        <f aca="false">IF($W74*S74&gt;150000,($W74*S74-150000)*6%*45%,0)</f>
        <v>0</v>
      </c>
      <c r="AW74" s="130" t="n">
        <f aca="false">IF($W74*T74&gt;150000,($W74*T74-150000)*6%*45%,0)</f>
        <v>0</v>
      </c>
      <c r="AX74" s="130"/>
      <c r="AY74" s="131" t="n">
        <f aca="false">IF(ISERROR(VLOOKUP(C74,[26]일용직명단!$A$3:$M$1151,11,FALSE())),0,VLOOKUP(C74,[26]일용직명단!$A$3:$M$1151,11,FALSE()))</f>
        <v>0</v>
      </c>
      <c r="AZ74" s="11"/>
      <c r="BA74" s="167"/>
      <c r="BB74" s="167"/>
      <c r="BC74" s="167"/>
      <c r="BD74" s="167"/>
      <c r="BE74" s="167"/>
      <c r="BF74" s="167"/>
      <c r="BG74" s="167"/>
      <c r="BH74" s="167"/>
      <c r="BI74" s="167"/>
      <c r="BJ74" s="167"/>
      <c r="BK74" s="167"/>
      <c r="BL74" s="167"/>
      <c r="BM74" s="167"/>
      <c r="BN74" s="167"/>
      <c r="BO74" s="167"/>
      <c r="BP74" s="167"/>
      <c r="BQ74" s="167"/>
      <c r="BR74" s="167"/>
      <c r="BS74" s="167"/>
      <c r="BT74" s="167"/>
      <c r="BU74" s="167"/>
      <c r="BV74" s="167"/>
      <c r="BW74" s="167"/>
      <c r="BX74" s="167"/>
      <c r="BY74" s="167"/>
      <c r="BZ74" s="167"/>
      <c r="CA74" s="167"/>
      <c r="CB74" s="167"/>
      <c r="CC74" s="167"/>
      <c r="CD74" s="167"/>
      <c r="CE74" s="167"/>
      <c r="CF74" s="167"/>
      <c r="CG74" s="167"/>
      <c r="CH74" s="167"/>
      <c r="CI74" s="167"/>
      <c r="CJ74" s="167"/>
      <c r="CK74" s="167"/>
      <c r="CL74" s="167"/>
      <c r="CM74" s="167"/>
      <c r="CN74" s="167"/>
      <c r="CO74" s="167"/>
      <c r="CP74" s="167"/>
      <c r="CQ74" s="167"/>
      <c r="CR74" s="167"/>
      <c r="CS74" s="167"/>
      <c r="CT74" s="167"/>
      <c r="CU74" s="167"/>
      <c r="CV74" s="167"/>
      <c r="CW74" s="167"/>
      <c r="CX74" s="167"/>
      <c r="CY74" s="167"/>
      <c r="CZ74" s="167"/>
      <c r="DA74" s="167"/>
      <c r="DB74" s="167"/>
      <c r="DC74" s="167"/>
      <c r="DD74" s="167"/>
      <c r="DE74" s="167"/>
      <c r="DF74" s="167"/>
      <c r="DG74" s="167"/>
      <c r="DH74" s="167"/>
      <c r="DI74" s="167"/>
      <c r="DJ74" s="167"/>
      <c r="DK74" s="167"/>
      <c r="DL74" s="167"/>
      <c r="DM74" s="167"/>
      <c r="DN74" s="167"/>
      <c r="DO74" s="167"/>
      <c r="DP74" s="167"/>
      <c r="DQ74" s="167"/>
      <c r="DR74" s="167"/>
      <c r="DS74" s="167"/>
      <c r="DT74" s="167"/>
      <c r="DU74" s="167"/>
      <c r="DV74" s="167"/>
      <c r="DW74" s="167"/>
      <c r="DX74" s="167"/>
      <c r="DY74" s="167"/>
      <c r="DZ74" s="167"/>
      <c r="EA74" s="167"/>
      <c r="EB74" s="167"/>
      <c r="EC74" s="167"/>
      <c r="ED74" s="167"/>
      <c r="EE74" s="167"/>
      <c r="EF74" s="167"/>
      <c r="EG74" s="167"/>
      <c r="EH74" s="167"/>
      <c r="EI74" s="167"/>
      <c r="EJ74" s="167"/>
      <c r="EK74" s="167"/>
      <c r="EL74" s="167"/>
      <c r="EM74" s="167"/>
      <c r="EN74" s="167"/>
      <c r="EO74" s="167"/>
      <c r="EP74" s="167"/>
      <c r="EQ74" s="167"/>
      <c r="ER74" s="167"/>
      <c r="ES74" s="167"/>
      <c r="ET74" s="167"/>
      <c r="EU74" s="167"/>
      <c r="EV74" s="167"/>
      <c r="EW74" s="167"/>
      <c r="EX74" s="167"/>
      <c r="EY74" s="167"/>
      <c r="EZ74" s="167"/>
      <c r="FA74" s="167"/>
      <c r="FB74" s="167"/>
      <c r="FC74" s="167"/>
      <c r="FD74" s="167"/>
      <c r="FE74" s="167"/>
      <c r="FF74" s="167"/>
      <c r="FG74" s="167"/>
      <c r="FH74" s="167"/>
      <c r="FI74" s="167"/>
      <c r="FJ74" s="167"/>
      <c r="FK74" s="167"/>
      <c r="FL74" s="167"/>
      <c r="FM74" s="167"/>
      <c r="FN74" s="167"/>
      <c r="FO74" s="167"/>
      <c r="FP74" s="167"/>
      <c r="FQ74" s="167"/>
      <c r="FR74" s="167"/>
      <c r="FS74" s="167"/>
      <c r="FT74" s="167"/>
      <c r="FU74" s="167"/>
      <c r="FV74" s="167"/>
      <c r="FW74" s="167"/>
      <c r="FX74" s="167"/>
      <c r="FY74" s="167"/>
      <c r="FZ74" s="167"/>
      <c r="GA74" s="167"/>
      <c r="GB74" s="167"/>
      <c r="GC74" s="167"/>
      <c r="GD74" s="167"/>
      <c r="GE74" s="167"/>
      <c r="GF74" s="167"/>
      <c r="GG74" s="167"/>
      <c r="GH74" s="167"/>
      <c r="GI74" s="167"/>
      <c r="GJ74" s="167"/>
      <c r="GK74" s="167"/>
      <c r="GL74" s="167"/>
      <c r="GM74" s="167"/>
      <c r="GN74" s="167"/>
      <c r="GO74" s="167"/>
      <c r="GP74" s="167"/>
      <c r="GQ74" s="167"/>
      <c r="GR74" s="167"/>
      <c r="GS74" s="167"/>
      <c r="GT74" s="167"/>
      <c r="GU74" s="167"/>
      <c r="GV74" s="167"/>
      <c r="GW74" s="167"/>
      <c r="GX74" s="167"/>
      <c r="GY74" s="167"/>
      <c r="GZ74" s="167"/>
      <c r="HA74" s="167"/>
      <c r="HB74" s="167"/>
      <c r="HC74" s="167"/>
      <c r="HD74" s="167"/>
      <c r="HE74" s="167"/>
      <c r="HF74" s="167"/>
      <c r="HG74" s="167"/>
      <c r="HH74" s="167"/>
      <c r="HI74" s="167"/>
      <c r="HJ74" s="167"/>
      <c r="HK74" s="167"/>
      <c r="HL74" s="167"/>
      <c r="HM74" s="167"/>
      <c r="HN74" s="167"/>
      <c r="HO74" s="167"/>
      <c r="HP74" s="167"/>
      <c r="HQ74" s="167"/>
      <c r="HR74" s="167"/>
      <c r="HS74" s="167"/>
      <c r="HT74" s="167"/>
      <c r="HU74" s="167"/>
      <c r="HV74" s="167"/>
      <c r="HW74" s="167"/>
      <c r="HX74" s="167"/>
      <c r="HY74" s="167"/>
      <c r="HZ74" s="167"/>
      <c r="IA74" s="167"/>
      <c r="IB74" s="167"/>
      <c r="IC74" s="167"/>
      <c r="ID74" s="167"/>
      <c r="IE74" s="167"/>
      <c r="IF74" s="167"/>
      <c r="IG74" s="167"/>
      <c r="IH74" s="167"/>
      <c r="II74" s="167"/>
      <c r="IJ74" s="167"/>
      <c r="IK74" s="167"/>
      <c r="IL74" s="167"/>
      <c r="IM74" s="167"/>
      <c r="IN74" s="167"/>
      <c r="IO74" s="167"/>
      <c r="IP74" s="167"/>
      <c r="IQ74" s="167"/>
      <c r="IR74" s="167"/>
      <c r="IS74" s="167"/>
      <c r="IT74" s="167"/>
      <c r="IU74" s="167"/>
      <c r="IV74" s="167"/>
      <c r="IW74" s="167"/>
    </row>
    <row r="75" customFormat="false" ht="13.5" hidden="true" customHeight="true" outlineLevel="0" collapsed="false">
      <c r="A75" s="108"/>
      <c r="B75" s="109"/>
      <c r="C75" s="110"/>
      <c r="D75" s="111"/>
      <c r="E75" s="112" t="n">
        <f aca="false">IF(ISERROR(VLOOKUP(C74,일용직명단!$A$3:$K$1246,9,FALSE())),0,VLOOKUP(C74,일용직명단!$A$3:$K$1246,9,FALSE()))</f>
        <v>0</v>
      </c>
      <c r="F75" s="180"/>
      <c r="G75" s="134"/>
      <c r="H75" s="134"/>
      <c r="I75" s="114"/>
      <c r="J75" s="115"/>
      <c r="K75" s="114"/>
      <c r="L75" s="113"/>
      <c r="M75" s="113"/>
      <c r="N75" s="114"/>
      <c r="O75" s="115"/>
      <c r="P75" s="114"/>
      <c r="Q75" s="114"/>
      <c r="R75" s="113"/>
      <c r="S75" s="113"/>
      <c r="T75" s="113"/>
      <c r="U75" s="115"/>
      <c r="V75" s="120"/>
      <c r="W75" s="138" t="n">
        <f aca="false">W74*V74</f>
        <v>0</v>
      </c>
      <c r="X75" s="122" t="n">
        <f aca="false">IF(AH74&lt;1000,0,AH74)</f>
        <v>0</v>
      </c>
      <c r="Y75" s="122" t="n">
        <f aca="false">ROUNDDOWN(X75*10%,-1)</f>
        <v>0</v>
      </c>
      <c r="Z75" s="123" t="n">
        <f aca="false">IF(AE74&gt;=8,ROUNDDOWN(Y74*$Q$4,-1),0)</f>
        <v>0</v>
      </c>
      <c r="AA75" s="124"/>
      <c r="AB75" s="125"/>
      <c r="AC75" s="127" t="n">
        <f aca="false">IF(ISERROR(VLOOKUP(C74,일용직명단!$A$3:$I$1226,7,FALSE())),0,VLOOKUP(C74,일용직명단!$A$3:$I$1226,7,FALSE()))</f>
        <v>0</v>
      </c>
      <c r="AD75" s="127"/>
      <c r="AE75" s="128"/>
      <c r="AF75" s="129"/>
      <c r="AG75" s="129"/>
      <c r="AH75" s="130"/>
      <c r="AI75" s="130" t="n">
        <f aca="false">IF($W74*F75&gt;150000,($W74*F75-150000)*6%*45%,0)</f>
        <v>0</v>
      </c>
      <c r="AJ75" s="130" t="n">
        <f aca="false">IF($W74*G75&gt;150000,($W74*G75-150000)*6%*45%,0)</f>
        <v>0</v>
      </c>
      <c r="AK75" s="130" t="n">
        <f aca="false">IF($W74*H75&gt;150000,($W74*H75-150000)*6%*45%,0)</f>
        <v>0</v>
      </c>
      <c r="AL75" s="130" t="n">
        <f aca="false">IF($W74*I75&gt;150000,($W74*I75-150000)*6%*45%,0)</f>
        <v>0</v>
      </c>
      <c r="AM75" s="130" t="n">
        <f aca="false">IF($W74*J75&gt;150000,($W74*J75-150000)*6%*45%,0)</f>
        <v>0</v>
      </c>
      <c r="AN75" s="130" t="n">
        <f aca="false">IF($W74*K75&gt;150000,($W74*K75-150000)*6%*45%,0)</f>
        <v>0</v>
      </c>
      <c r="AO75" s="130" t="n">
        <f aca="false">IF($W74*L75&gt;150000,($W74*L75-150000)*6%*45%,0)</f>
        <v>0</v>
      </c>
      <c r="AP75" s="130" t="n">
        <f aca="false">IF($W74*M75&gt;150000,($W74*M75-150000)*6%*45%,0)</f>
        <v>0</v>
      </c>
      <c r="AQ75" s="130" t="n">
        <f aca="false">IF($W74*N75&gt;150000,($W74*N75-150000)*6%*45%,0)</f>
        <v>0</v>
      </c>
      <c r="AR75" s="130" t="n">
        <f aca="false">IF($W74*O75&gt;150000,($W74*O75-150000)*6%*45%,0)</f>
        <v>0</v>
      </c>
      <c r="AS75" s="130" t="n">
        <f aca="false">IF($W74*P75&gt;150000,($W74*P75-150000)*6%*45%,0)</f>
        <v>0</v>
      </c>
      <c r="AT75" s="130" t="n">
        <f aca="false">IF($W74*Q75&gt;150000,($W74*Q75-150000)*6%*45%,0)</f>
        <v>0</v>
      </c>
      <c r="AU75" s="130" t="n">
        <f aca="false">IF($W74*R75&gt;150000,($W74*R75-150000)*6%*45%,0)</f>
        <v>0</v>
      </c>
      <c r="AV75" s="130" t="n">
        <f aca="false">IF($W74*S75&gt;150000,($W74*S75-150000)*6%*45%,0)</f>
        <v>0</v>
      </c>
      <c r="AW75" s="130" t="n">
        <f aca="false">IF($W74*T75&gt;150000,($W74*T75-150000)*6%*45%,0)</f>
        <v>0</v>
      </c>
      <c r="AX75" s="130" t="n">
        <f aca="false">IF($W74*U75&gt;150000,($W74*U75-150000)*6%*45%,0)</f>
        <v>0</v>
      </c>
      <c r="AY75" s="131"/>
      <c r="AZ75" s="11"/>
      <c r="BA75" s="167"/>
      <c r="BB75" s="167"/>
      <c r="BC75" s="167"/>
      <c r="BD75" s="167"/>
      <c r="BE75" s="167"/>
      <c r="BF75" s="167"/>
      <c r="BG75" s="167"/>
      <c r="BH75" s="167"/>
      <c r="BI75" s="167"/>
      <c r="BJ75" s="167"/>
      <c r="BK75" s="167"/>
      <c r="BL75" s="167"/>
      <c r="BM75" s="167"/>
      <c r="BN75" s="167"/>
      <c r="BO75" s="167"/>
      <c r="BP75" s="167"/>
      <c r="BQ75" s="167"/>
      <c r="BR75" s="167"/>
      <c r="BS75" s="167"/>
      <c r="BT75" s="167"/>
      <c r="BU75" s="167"/>
      <c r="BV75" s="167"/>
      <c r="BW75" s="167"/>
      <c r="BX75" s="167"/>
      <c r="BY75" s="167"/>
      <c r="BZ75" s="167"/>
      <c r="CA75" s="167"/>
      <c r="CB75" s="167"/>
      <c r="CC75" s="167"/>
      <c r="CD75" s="167"/>
      <c r="CE75" s="167"/>
      <c r="CF75" s="167"/>
      <c r="CG75" s="167"/>
      <c r="CH75" s="167"/>
      <c r="CI75" s="167"/>
      <c r="CJ75" s="167"/>
      <c r="CK75" s="167"/>
      <c r="CL75" s="167"/>
      <c r="CM75" s="167"/>
      <c r="CN75" s="167"/>
      <c r="CO75" s="167"/>
      <c r="CP75" s="167"/>
      <c r="CQ75" s="167"/>
      <c r="CR75" s="167"/>
      <c r="CS75" s="167"/>
      <c r="CT75" s="167"/>
      <c r="CU75" s="167"/>
      <c r="CV75" s="167"/>
      <c r="CW75" s="167"/>
      <c r="CX75" s="167"/>
      <c r="CY75" s="167"/>
      <c r="CZ75" s="167"/>
      <c r="DA75" s="167"/>
      <c r="DB75" s="167"/>
      <c r="DC75" s="167"/>
      <c r="DD75" s="167"/>
      <c r="DE75" s="167"/>
      <c r="DF75" s="167"/>
      <c r="DG75" s="167"/>
      <c r="DH75" s="167"/>
      <c r="DI75" s="167"/>
      <c r="DJ75" s="167"/>
      <c r="DK75" s="167"/>
      <c r="DL75" s="167"/>
      <c r="DM75" s="167"/>
      <c r="DN75" s="167"/>
      <c r="DO75" s="167"/>
      <c r="DP75" s="167"/>
      <c r="DQ75" s="167"/>
      <c r="DR75" s="167"/>
      <c r="DS75" s="167"/>
      <c r="DT75" s="167"/>
      <c r="DU75" s="167"/>
      <c r="DV75" s="167"/>
      <c r="DW75" s="167"/>
      <c r="DX75" s="167"/>
      <c r="DY75" s="167"/>
      <c r="DZ75" s="167"/>
      <c r="EA75" s="167"/>
      <c r="EB75" s="167"/>
      <c r="EC75" s="167"/>
      <c r="ED75" s="167"/>
      <c r="EE75" s="167"/>
      <c r="EF75" s="167"/>
      <c r="EG75" s="167"/>
      <c r="EH75" s="167"/>
      <c r="EI75" s="167"/>
      <c r="EJ75" s="167"/>
      <c r="EK75" s="167"/>
      <c r="EL75" s="167"/>
      <c r="EM75" s="167"/>
      <c r="EN75" s="167"/>
      <c r="EO75" s="167"/>
      <c r="EP75" s="167"/>
      <c r="EQ75" s="167"/>
      <c r="ER75" s="167"/>
      <c r="ES75" s="167"/>
      <c r="ET75" s="167"/>
      <c r="EU75" s="167"/>
      <c r="EV75" s="167"/>
      <c r="EW75" s="167"/>
      <c r="EX75" s="167"/>
      <c r="EY75" s="167"/>
      <c r="EZ75" s="167"/>
      <c r="FA75" s="167"/>
      <c r="FB75" s="167"/>
      <c r="FC75" s="167"/>
      <c r="FD75" s="167"/>
      <c r="FE75" s="167"/>
      <c r="FF75" s="167"/>
      <c r="FG75" s="167"/>
      <c r="FH75" s="167"/>
      <c r="FI75" s="167"/>
      <c r="FJ75" s="167"/>
      <c r="FK75" s="167"/>
      <c r="FL75" s="167"/>
      <c r="FM75" s="167"/>
      <c r="FN75" s="167"/>
      <c r="FO75" s="167"/>
      <c r="FP75" s="167"/>
      <c r="FQ75" s="167"/>
      <c r="FR75" s="167"/>
      <c r="FS75" s="167"/>
      <c r="FT75" s="167"/>
      <c r="FU75" s="167"/>
      <c r="FV75" s="167"/>
      <c r="FW75" s="167"/>
      <c r="FX75" s="167"/>
      <c r="FY75" s="167"/>
      <c r="FZ75" s="167"/>
      <c r="GA75" s="167"/>
      <c r="GB75" s="167"/>
      <c r="GC75" s="167"/>
      <c r="GD75" s="167"/>
      <c r="GE75" s="167"/>
      <c r="GF75" s="167"/>
      <c r="GG75" s="167"/>
      <c r="GH75" s="167"/>
      <c r="GI75" s="167"/>
      <c r="GJ75" s="167"/>
      <c r="GK75" s="167"/>
      <c r="GL75" s="167"/>
      <c r="GM75" s="167"/>
      <c r="GN75" s="167"/>
      <c r="GO75" s="167"/>
      <c r="GP75" s="167"/>
      <c r="GQ75" s="167"/>
      <c r="GR75" s="167"/>
      <c r="GS75" s="167"/>
      <c r="GT75" s="167"/>
      <c r="GU75" s="167"/>
      <c r="GV75" s="167"/>
      <c r="GW75" s="167"/>
      <c r="GX75" s="167"/>
      <c r="GY75" s="167"/>
      <c r="GZ75" s="167"/>
      <c r="HA75" s="167"/>
      <c r="HB75" s="167"/>
      <c r="HC75" s="167"/>
      <c r="HD75" s="167"/>
      <c r="HE75" s="167"/>
      <c r="HF75" s="167"/>
      <c r="HG75" s="167"/>
      <c r="HH75" s="167"/>
      <c r="HI75" s="167"/>
      <c r="HJ75" s="167"/>
      <c r="HK75" s="167"/>
      <c r="HL75" s="167"/>
      <c r="HM75" s="167"/>
      <c r="HN75" s="167"/>
      <c r="HO75" s="167"/>
      <c r="HP75" s="167"/>
      <c r="HQ75" s="167"/>
      <c r="HR75" s="167"/>
      <c r="HS75" s="167"/>
      <c r="HT75" s="167"/>
      <c r="HU75" s="167"/>
      <c r="HV75" s="167"/>
      <c r="HW75" s="167"/>
      <c r="HX75" s="167"/>
      <c r="HY75" s="167"/>
      <c r="HZ75" s="167"/>
      <c r="IA75" s="167"/>
      <c r="IB75" s="167"/>
      <c r="IC75" s="167"/>
      <c r="ID75" s="167"/>
      <c r="IE75" s="167"/>
      <c r="IF75" s="167"/>
      <c r="IG75" s="167"/>
      <c r="IH75" s="167"/>
      <c r="II75" s="167"/>
      <c r="IJ75" s="167"/>
      <c r="IK75" s="167"/>
      <c r="IL75" s="167"/>
      <c r="IM75" s="167"/>
      <c r="IN75" s="167"/>
      <c r="IO75" s="167"/>
      <c r="IP75" s="167"/>
      <c r="IQ75" s="167"/>
      <c r="IR75" s="167"/>
      <c r="IS75" s="167"/>
      <c r="IT75" s="167"/>
      <c r="IU75" s="167"/>
      <c r="IV75" s="167"/>
      <c r="IW75" s="167"/>
    </row>
    <row r="76" customFormat="false" ht="13.5" hidden="true" customHeight="true" outlineLevel="0" collapsed="false">
      <c r="A76" s="108" t="n">
        <f aca="false">A74+1</f>
        <v>34</v>
      </c>
      <c r="B76" s="109" t="n">
        <f aca="false">IF(ISERROR(VLOOKUP(C76,일용직명단!$A$3:$I$104,2,FALSE())),0,VLOOKUP(C76,일용직명단!$A$3:$I$104,2,FALSE()))</f>
        <v>0</v>
      </c>
      <c r="C76" s="110"/>
      <c r="D76" s="111" t="n">
        <f aca="false">IF(ISERROR(VLOOKUP(C76,일용직명단!$A$3:$K$1246,3,FALSE())),0,VLOOKUP(C76,일용직명단!$A$3:$K$1246,3,FALSE()))</f>
        <v>0</v>
      </c>
      <c r="E76" s="164" t="n">
        <f aca="false">IF(ISERROR(VLOOKUP(C76,일용직명단!$A$3:$K$1246,4,FALSE())),0,VLOOKUP(C76,일용직명단!$A$3:$K$1246,4,FALSE()))</f>
        <v>0</v>
      </c>
      <c r="F76" s="113"/>
      <c r="G76" s="114"/>
      <c r="H76" s="115"/>
      <c r="I76" s="115"/>
      <c r="J76" s="113"/>
      <c r="K76" s="115"/>
      <c r="L76" s="113"/>
      <c r="M76" s="113"/>
      <c r="N76" s="114"/>
      <c r="O76" s="114"/>
      <c r="P76" s="113"/>
      <c r="Q76" s="114"/>
      <c r="R76" s="115"/>
      <c r="S76" s="114"/>
      <c r="T76" s="115"/>
      <c r="U76" s="119"/>
      <c r="V76" s="144" t="n">
        <f aca="false">SUM(F76:U77)</f>
        <v>0</v>
      </c>
      <c r="W76" s="121" t="n">
        <f aca="false">IF(ISERROR(VLOOKUP(C76,일용직명단!$A$3:$K$1246,8,FALSE())),0,VLOOKUP(C76,일용직명단!$A$3:$K$1246,8,FALSE()))</f>
        <v>0</v>
      </c>
      <c r="X76" s="123" t="n">
        <f aca="false">IFERROR(IF(AG76&gt;=65,0,ROUNDDOWN(W77*$Z$4,-1)),0)</f>
        <v>0</v>
      </c>
      <c r="Y76" s="123" t="n">
        <f aca="false">IF(AE76&gt;=8,ROUNDDOWN(W77*$M$4,-1),0)</f>
        <v>0</v>
      </c>
      <c r="Z76" s="123" t="n">
        <f aca="false">IFERROR(IF(AND(COUNT(F76:U77)&gt;=8,$AG76&lt;60,W77&lt;=5530000),ROUNDDOWN(ROUNDDOWN(W77,-3)*4.5%,-1),IF(AND(COUNT(F76:U77)&gt;=8,AG76&lt;60,W77&gt;5530000),248850,0)),0)</f>
        <v>0</v>
      </c>
      <c r="AA76" s="145" t="n">
        <f aca="false">+X76+Y76+X77+Y77+Z76+Z77</f>
        <v>0</v>
      </c>
      <c r="AB76" s="146" t="n">
        <f aca="false">W77-AA76</f>
        <v>0</v>
      </c>
      <c r="AC76" s="147" t="n">
        <f aca="false">IF(ISERROR(VLOOKUP(C76,일용직명단!$A$3:$I$1226,5,FALSE())),0,VLOOKUP(C76,일용직명단!$A$3:$I$1226,5,FALSE()))</f>
        <v>0</v>
      </c>
      <c r="AD76" s="148" t="n">
        <f aca="false">IF(ISERROR(VLOOKUP(C76,일용직명단!$A$3:$I$1226,6,FALSE())),0,VLOOKUP(C76,일용직명단!$A$3:$I$1226,6,FALSE()))</f>
        <v>0</v>
      </c>
      <c r="AE76" s="128" t="n">
        <f aca="false">COUNT(F76:U77)</f>
        <v>0</v>
      </c>
      <c r="AF76" s="129" t="str">
        <f aca="false">IF(OR(MID(D76,8,1)="1",MID(D76,8,1)="2"),19&amp;LEFT(D76,2),20&amp;LEFT(D76,2))&amp;"-"&amp;MID(D76,3,2)&amp;"-"&amp;MID(D76,5,2)</f>
        <v>200--</v>
      </c>
      <c r="AG76" s="129" t="e">
        <f aca="true">INT((TODAY()-AF76)/365.25)</f>
        <v>#VALUE!</v>
      </c>
      <c r="AH76" s="130" t="n">
        <f aca="false">ROUNDDOWN(SUM(AI76:AX77),-1)</f>
        <v>0</v>
      </c>
      <c r="AI76" s="130" t="n">
        <f aca="false">IF($W76*F76&gt;150000,($W76*F76-150000)*6%*45%,0)</f>
        <v>0</v>
      </c>
      <c r="AJ76" s="130" t="n">
        <f aca="false">IF($W76*G76&gt;150000,($W76*G76-150000)*6%*45%,0)</f>
        <v>0</v>
      </c>
      <c r="AK76" s="130" t="n">
        <f aca="false">IF($W76*H76&gt;150000,($W76*H76-150000)*6%*45%,0)</f>
        <v>0</v>
      </c>
      <c r="AL76" s="130" t="n">
        <f aca="false">IF($W76*I76&gt;150000,($W76*I76-150000)*6%*45%,0)</f>
        <v>0</v>
      </c>
      <c r="AM76" s="130" t="n">
        <f aca="false">IF($W76*J76&gt;150000,($W76*J76-150000)*6%*45%,0)</f>
        <v>0</v>
      </c>
      <c r="AN76" s="130" t="n">
        <f aca="false">IF($W76*K76&gt;150000,($W76*K76-150000)*6%*45%,0)</f>
        <v>0</v>
      </c>
      <c r="AO76" s="130" t="n">
        <f aca="false">IF($W76*L76&gt;150000,($W76*L76-150000)*6%*45%,0)</f>
        <v>0</v>
      </c>
      <c r="AP76" s="130" t="n">
        <f aca="false">IF($W76*M76&gt;150000,($W76*M76-150000)*6%*45%,0)</f>
        <v>0</v>
      </c>
      <c r="AQ76" s="130" t="n">
        <f aca="false">IF($W76*N76&gt;150000,($W76*N76-150000)*6%*45%,0)</f>
        <v>0</v>
      </c>
      <c r="AR76" s="130" t="n">
        <f aca="false">IF($W76*O76&gt;150000,($W76*O76-150000)*6%*45%,0)</f>
        <v>0</v>
      </c>
      <c r="AS76" s="130" t="n">
        <f aca="false">IF($W76*P76&gt;150000,($W76*P76-150000)*6%*45%,0)</f>
        <v>0</v>
      </c>
      <c r="AT76" s="130" t="n">
        <f aca="false">IF($W76*Q76&gt;150000,($W76*Q76-150000)*6%*45%,0)</f>
        <v>0</v>
      </c>
      <c r="AU76" s="130" t="n">
        <f aca="false">IF($W76*R76&gt;150000,($W76*R76-150000)*6%*45%,0)</f>
        <v>0</v>
      </c>
      <c r="AV76" s="130" t="n">
        <f aca="false">IF($W76*S76&gt;150000,($W76*S76-150000)*6%*45%,0)</f>
        <v>0</v>
      </c>
      <c r="AW76" s="130" t="n">
        <f aca="false">IF($W76*T76&gt;150000,($W76*T76-150000)*6%*45%,0)</f>
        <v>0</v>
      </c>
      <c r="AX76" s="130"/>
      <c r="AY76" s="131" t="n">
        <f aca="false">IF(ISERROR(VLOOKUP(C76,[26]일용직명단!$A$3:$M$1151,11,FALSE())),0,VLOOKUP(C76,[26]일용직명단!$A$3:$M$1151,11,FALSE()))</f>
        <v>0</v>
      </c>
      <c r="AZ76" s="11"/>
      <c r="BA76" s="167"/>
      <c r="BB76" s="167"/>
      <c r="BC76" s="167"/>
      <c r="BD76" s="167"/>
      <c r="BE76" s="167"/>
      <c r="BF76" s="167"/>
      <c r="BG76" s="167"/>
      <c r="BH76" s="167"/>
      <c r="BI76" s="167"/>
      <c r="BJ76" s="167"/>
      <c r="BK76" s="167"/>
      <c r="BL76" s="167"/>
      <c r="BM76" s="167"/>
      <c r="BN76" s="167"/>
      <c r="BO76" s="167"/>
      <c r="BP76" s="167"/>
      <c r="BQ76" s="167"/>
      <c r="BR76" s="167"/>
      <c r="BS76" s="167"/>
      <c r="BT76" s="167"/>
      <c r="BU76" s="167"/>
      <c r="BV76" s="167"/>
      <c r="BW76" s="167"/>
      <c r="BX76" s="167"/>
      <c r="BY76" s="167"/>
      <c r="BZ76" s="167"/>
      <c r="CA76" s="167"/>
      <c r="CB76" s="167"/>
      <c r="CC76" s="167"/>
      <c r="CD76" s="167"/>
      <c r="CE76" s="167"/>
      <c r="CF76" s="167"/>
      <c r="CG76" s="167"/>
      <c r="CH76" s="167"/>
      <c r="CI76" s="167"/>
      <c r="CJ76" s="167"/>
      <c r="CK76" s="167"/>
      <c r="CL76" s="167"/>
      <c r="CM76" s="167"/>
      <c r="CN76" s="167"/>
      <c r="CO76" s="167"/>
      <c r="CP76" s="167"/>
      <c r="CQ76" s="167"/>
      <c r="CR76" s="167"/>
      <c r="CS76" s="167"/>
      <c r="CT76" s="167"/>
      <c r="CU76" s="167"/>
      <c r="CV76" s="167"/>
      <c r="CW76" s="167"/>
      <c r="CX76" s="167"/>
      <c r="CY76" s="167"/>
      <c r="CZ76" s="167"/>
      <c r="DA76" s="167"/>
      <c r="DB76" s="167"/>
      <c r="DC76" s="167"/>
      <c r="DD76" s="167"/>
      <c r="DE76" s="167"/>
      <c r="DF76" s="167"/>
      <c r="DG76" s="167"/>
      <c r="DH76" s="167"/>
      <c r="DI76" s="167"/>
      <c r="DJ76" s="167"/>
      <c r="DK76" s="167"/>
      <c r="DL76" s="167"/>
      <c r="DM76" s="167"/>
      <c r="DN76" s="167"/>
      <c r="DO76" s="167"/>
      <c r="DP76" s="167"/>
      <c r="DQ76" s="167"/>
      <c r="DR76" s="167"/>
      <c r="DS76" s="167"/>
      <c r="DT76" s="167"/>
      <c r="DU76" s="167"/>
      <c r="DV76" s="167"/>
      <c r="DW76" s="167"/>
      <c r="DX76" s="167"/>
      <c r="DY76" s="167"/>
      <c r="DZ76" s="167"/>
      <c r="EA76" s="167"/>
      <c r="EB76" s="167"/>
      <c r="EC76" s="167"/>
      <c r="ED76" s="167"/>
      <c r="EE76" s="167"/>
      <c r="EF76" s="167"/>
      <c r="EG76" s="167"/>
      <c r="EH76" s="167"/>
      <c r="EI76" s="167"/>
      <c r="EJ76" s="167"/>
      <c r="EK76" s="167"/>
      <c r="EL76" s="167"/>
      <c r="EM76" s="167"/>
      <c r="EN76" s="167"/>
      <c r="EO76" s="167"/>
      <c r="EP76" s="167"/>
      <c r="EQ76" s="167"/>
      <c r="ER76" s="167"/>
      <c r="ES76" s="167"/>
      <c r="ET76" s="167"/>
      <c r="EU76" s="167"/>
      <c r="EV76" s="167"/>
      <c r="EW76" s="167"/>
      <c r="EX76" s="167"/>
      <c r="EY76" s="167"/>
      <c r="EZ76" s="167"/>
      <c r="FA76" s="167"/>
      <c r="FB76" s="167"/>
      <c r="FC76" s="167"/>
      <c r="FD76" s="167"/>
      <c r="FE76" s="167"/>
      <c r="FF76" s="167"/>
      <c r="FG76" s="167"/>
      <c r="FH76" s="167"/>
      <c r="FI76" s="167"/>
      <c r="FJ76" s="167"/>
      <c r="FK76" s="167"/>
      <c r="FL76" s="167"/>
      <c r="FM76" s="167"/>
      <c r="FN76" s="167"/>
      <c r="FO76" s="167"/>
      <c r="FP76" s="167"/>
      <c r="FQ76" s="167"/>
      <c r="FR76" s="167"/>
      <c r="FS76" s="167"/>
      <c r="FT76" s="167"/>
      <c r="FU76" s="167"/>
      <c r="FV76" s="167"/>
      <c r="FW76" s="167"/>
      <c r="FX76" s="167"/>
      <c r="FY76" s="167"/>
      <c r="FZ76" s="167"/>
      <c r="GA76" s="167"/>
      <c r="GB76" s="167"/>
      <c r="GC76" s="167"/>
      <c r="GD76" s="167"/>
      <c r="GE76" s="167"/>
      <c r="GF76" s="167"/>
      <c r="GG76" s="167"/>
      <c r="GH76" s="167"/>
      <c r="GI76" s="167"/>
      <c r="GJ76" s="167"/>
      <c r="GK76" s="167"/>
      <c r="GL76" s="167"/>
      <c r="GM76" s="167"/>
      <c r="GN76" s="167"/>
      <c r="GO76" s="167"/>
      <c r="GP76" s="167"/>
      <c r="GQ76" s="167"/>
      <c r="GR76" s="167"/>
      <c r="GS76" s="167"/>
      <c r="GT76" s="167"/>
      <c r="GU76" s="167"/>
      <c r="GV76" s="167"/>
      <c r="GW76" s="167"/>
      <c r="GX76" s="167"/>
      <c r="GY76" s="167"/>
      <c r="GZ76" s="167"/>
      <c r="HA76" s="167"/>
      <c r="HB76" s="167"/>
      <c r="HC76" s="167"/>
      <c r="HD76" s="167"/>
      <c r="HE76" s="167"/>
      <c r="HF76" s="167"/>
      <c r="HG76" s="167"/>
      <c r="HH76" s="167"/>
      <c r="HI76" s="167"/>
      <c r="HJ76" s="167"/>
      <c r="HK76" s="167"/>
      <c r="HL76" s="167"/>
      <c r="HM76" s="167"/>
      <c r="HN76" s="167"/>
      <c r="HO76" s="167"/>
      <c r="HP76" s="167"/>
      <c r="HQ76" s="167"/>
      <c r="HR76" s="167"/>
      <c r="HS76" s="167"/>
      <c r="HT76" s="167"/>
      <c r="HU76" s="167"/>
      <c r="HV76" s="167"/>
      <c r="HW76" s="167"/>
      <c r="HX76" s="167"/>
      <c r="HY76" s="167"/>
      <c r="HZ76" s="167"/>
      <c r="IA76" s="167"/>
      <c r="IB76" s="167"/>
      <c r="IC76" s="167"/>
      <c r="ID76" s="167"/>
      <c r="IE76" s="167"/>
      <c r="IF76" s="167"/>
      <c r="IG76" s="167"/>
      <c r="IH76" s="167"/>
      <c r="II76" s="167"/>
      <c r="IJ76" s="167"/>
      <c r="IK76" s="167"/>
      <c r="IL76" s="167"/>
      <c r="IM76" s="167"/>
      <c r="IN76" s="167"/>
      <c r="IO76" s="167"/>
      <c r="IP76" s="167"/>
      <c r="IQ76" s="167"/>
      <c r="IR76" s="167"/>
      <c r="IS76" s="167"/>
      <c r="IT76" s="167"/>
      <c r="IU76" s="167"/>
      <c r="IV76" s="167"/>
      <c r="IW76" s="167"/>
    </row>
    <row r="77" customFormat="false" ht="12.75" hidden="true" customHeight="true" outlineLevel="0" collapsed="false">
      <c r="A77" s="108"/>
      <c r="B77" s="109"/>
      <c r="C77" s="110"/>
      <c r="D77" s="111"/>
      <c r="E77" s="164" t="n">
        <f aca="false">IF(ISERROR(VLOOKUP(C76,일용직명단!$A$3:$K$1246,9,FALSE())),0,VLOOKUP(C76,일용직명단!$A$3:$K$1246,9,FALSE()))</f>
        <v>0</v>
      </c>
      <c r="F77" s="180"/>
      <c r="G77" s="134"/>
      <c r="H77" s="134"/>
      <c r="I77" s="114"/>
      <c r="J77" s="115"/>
      <c r="K77" s="114"/>
      <c r="L77" s="113"/>
      <c r="M77" s="113"/>
      <c r="N77" s="114"/>
      <c r="O77" s="115"/>
      <c r="P77" s="114"/>
      <c r="Q77" s="114"/>
      <c r="R77" s="113"/>
      <c r="S77" s="113"/>
      <c r="T77" s="113"/>
      <c r="U77" s="115"/>
      <c r="V77" s="144"/>
      <c r="W77" s="138" t="n">
        <f aca="false">W76*V76</f>
        <v>0</v>
      </c>
      <c r="X77" s="123" t="n">
        <f aca="false">IF(AH76&lt;1000,0,AH76)</f>
        <v>0</v>
      </c>
      <c r="Y77" s="123" t="n">
        <f aca="false">ROUNDDOWN(X77*10%,-1)</f>
        <v>0</v>
      </c>
      <c r="Z77" s="123" t="n">
        <f aca="false">IF(AE76&gt;=8,ROUNDDOWN(Y76*$Q$4,-1),0)</f>
        <v>0</v>
      </c>
      <c r="AA77" s="145"/>
      <c r="AB77" s="146"/>
      <c r="AC77" s="148" t="n">
        <f aca="false">IF(ISERROR(VLOOKUP(C76,일용직명단!$A$3:$I$1226,7,FALSE())),0,VLOOKUP(C76,일용직명단!$A$3:$I$1226,7,FALSE()))</f>
        <v>0</v>
      </c>
      <c r="AD77" s="148"/>
      <c r="AE77" s="128"/>
      <c r="AF77" s="129"/>
      <c r="AG77" s="129"/>
      <c r="AH77" s="130"/>
      <c r="AI77" s="130" t="n">
        <f aca="false">IF($W76*F77&gt;150000,($W76*F77-150000)*6%*45%,0)</f>
        <v>0</v>
      </c>
      <c r="AJ77" s="130" t="n">
        <f aca="false">IF($W76*G77&gt;150000,($W76*G77-150000)*6%*45%,0)</f>
        <v>0</v>
      </c>
      <c r="AK77" s="130" t="n">
        <f aca="false">IF($W76*H77&gt;150000,($W76*H77-150000)*6%*45%,0)</f>
        <v>0</v>
      </c>
      <c r="AL77" s="130" t="n">
        <f aca="false">IF($W76*I77&gt;150000,($W76*I77-150000)*6%*45%,0)</f>
        <v>0</v>
      </c>
      <c r="AM77" s="130" t="n">
        <f aca="false">IF($W76*J77&gt;150000,($W76*J77-150000)*6%*45%,0)</f>
        <v>0</v>
      </c>
      <c r="AN77" s="130" t="n">
        <f aca="false">IF($W76*K77&gt;150000,($W76*K77-150000)*6%*45%,0)</f>
        <v>0</v>
      </c>
      <c r="AO77" s="130" t="n">
        <f aca="false">IF($W76*L77&gt;150000,($W76*L77-150000)*6%*45%,0)</f>
        <v>0</v>
      </c>
      <c r="AP77" s="130" t="n">
        <f aca="false">IF($W76*M77&gt;150000,($W76*M77-150000)*6%*45%,0)</f>
        <v>0</v>
      </c>
      <c r="AQ77" s="130" t="n">
        <f aca="false">IF($W76*N77&gt;150000,($W76*N77-150000)*6%*45%,0)</f>
        <v>0</v>
      </c>
      <c r="AR77" s="130" t="n">
        <f aca="false">IF($W76*O77&gt;150000,($W76*O77-150000)*6%*45%,0)</f>
        <v>0</v>
      </c>
      <c r="AS77" s="130" t="n">
        <f aca="false">IF($W76*P77&gt;150000,($W76*P77-150000)*6%*45%,0)</f>
        <v>0</v>
      </c>
      <c r="AT77" s="130" t="n">
        <f aca="false">IF($W76*Q77&gt;150000,($W76*Q77-150000)*6%*45%,0)</f>
        <v>0</v>
      </c>
      <c r="AU77" s="130" t="n">
        <f aca="false">IF($W76*R77&gt;150000,($W76*R77-150000)*6%*45%,0)</f>
        <v>0</v>
      </c>
      <c r="AV77" s="130" t="n">
        <f aca="false">IF($W76*S77&gt;150000,($W76*S77-150000)*6%*45%,0)</f>
        <v>0</v>
      </c>
      <c r="AW77" s="130" t="n">
        <f aca="false">IF($W76*T77&gt;150000,($W76*T77-150000)*6%*45%,0)</f>
        <v>0</v>
      </c>
      <c r="AX77" s="130" t="n">
        <f aca="false">IF($W76*U77&gt;150000,($W76*U77-150000)*6%*45%,0)</f>
        <v>0</v>
      </c>
      <c r="AY77" s="131"/>
      <c r="AZ77" s="11"/>
      <c r="BA77" s="167"/>
      <c r="BB77" s="167"/>
      <c r="BC77" s="167"/>
      <c r="BD77" s="167"/>
      <c r="BE77" s="167"/>
      <c r="BF77" s="167"/>
      <c r="BG77" s="167"/>
      <c r="BH77" s="167"/>
      <c r="BI77" s="167"/>
      <c r="BJ77" s="167"/>
      <c r="BK77" s="167"/>
      <c r="BL77" s="167"/>
      <c r="BM77" s="167"/>
      <c r="BN77" s="167"/>
      <c r="BO77" s="167"/>
      <c r="BP77" s="167"/>
      <c r="BQ77" s="167"/>
      <c r="BR77" s="167"/>
      <c r="BS77" s="167"/>
      <c r="BT77" s="167"/>
      <c r="BU77" s="167"/>
      <c r="BV77" s="167"/>
      <c r="BW77" s="167"/>
      <c r="BX77" s="167"/>
      <c r="BY77" s="167"/>
      <c r="BZ77" s="167"/>
      <c r="CA77" s="167"/>
      <c r="CB77" s="167"/>
      <c r="CC77" s="167"/>
      <c r="CD77" s="167"/>
      <c r="CE77" s="167"/>
      <c r="CF77" s="167"/>
      <c r="CG77" s="167"/>
      <c r="CH77" s="167"/>
      <c r="CI77" s="167"/>
      <c r="CJ77" s="167"/>
      <c r="CK77" s="167"/>
      <c r="CL77" s="167"/>
      <c r="CM77" s="167"/>
      <c r="CN77" s="167"/>
      <c r="CO77" s="167"/>
      <c r="CP77" s="167"/>
      <c r="CQ77" s="167"/>
      <c r="CR77" s="167"/>
      <c r="CS77" s="167"/>
      <c r="CT77" s="167"/>
      <c r="CU77" s="167"/>
      <c r="CV77" s="167"/>
      <c r="CW77" s="167"/>
      <c r="CX77" s="167"/>
      <c r="CY77" s="167"/>
      <c r="CZ77" s="167"/>
      <c r="DA77" s="167"/>
      <c r="DB77" s="167"/>
      <c r="DC77" s="167"/>
      <c r="DD77" s="167"/>
      <c r="DE77" s="167"/>
      <c r="DF77" s="167"/>
      <c r="DG77" s="167"/>
      <c r="DH77" s="167"/>
      <c r="DI77" s="167"/>
      <c r="DJ77" s="167"/>
      <c r="DK77" s="167"/>
      <c r="DL77" s="167"/>
      <c r="DM77" s="167"/>
      <c r="DN77" s="167"/>
      <c r="DO77" s="167"/>
      <c r="DP77" s="167"/>
      <c r="DQ77" s="167"/>
      <c r="DR77" s="167"/>
      <c r="DS77" s="167"/>
      <c r="DT77" s="167"/>
      <c r="DU77" s="167"/>
      <c r="DV77" s="167"/>
      <c r="DW77" s="167"/>
      <c r="DX77" s="167"/>
      <c r="DY77" s="167"/>
      <c r="DZ77" s="167"/>
      <c r="EA77" s="167"/>
      <c r="EB77" s="167"/>
      <c r="EC77" s="167"/>
      <c r="ED77" s="167"/>
      <c r="EE77" s="167"/>
      <c r="EF77" s="167"/>
      <c r="EG77" s="167"/>
      <c r="EH77" s="167"/>
      <c r="EI77" s="167"/>
      <c r="EJ77" s="167"/>
      <c r="EK77" s="167"/>
      <c r="EL77" s="167"/>
      <c r="EM77" s="167"/>
      <c r="EN77" s="167"/>
      <c r="EO77" s="167"/>
      <c r="EP77" s="167"/>
      <c r="EQ77" s="167"/>
      <c r="ER77" s="167"/>
      <c r="ES77" s="167"/>
      <c r="ET77" s="167"/>
      <c r="EU77" s="167"/>
      <c r="EV77" s="167"/>
      <c r="EW77" s="167"/>
      <c r="EX77" s="167"/>
      <c r="EY77" s="167"/>
      <c r="EZ77" s="167"/>
      <c r="FA77" s="167"/>
      <c r="FB77" s="167"/>
      <c r="FC77" s="167"/>
      <c r="FD77" s="167"/>
      <c r="FE77" s="167"/>
      <c r="FF77" s="167"/>
      <c r="FG77" s="167"/>
      <c r="FH77" s="167"/>
      <c r="FI77" s="167"/>
      <c r="FJ77" s="167"/>
      <c r="FK77" s="167"/>
      <c r="FL77" s="167"/>
      <c r="FM77" s="167"/>
      <c r="FN77" s="167"/>
      <c r="FO77" s="167"/>
      <c r="FP77" s="167"/>
      <c r="FQ77" s="167"/>
      <c r="FR77" s="167"/>
      <c r="FS77" s="167"/>
      <c r="FT77" s="167"/>
      <c r="FU77" s="167"/>
      <c r="FV77" s="167"/>
      <c r="FW77" s="167"/>
      <c r="FX77" s="167"/>
      <c r="FY77" s="167"/>
      <c r="FZ77" s="167"/>
      <c r="GA77" s="167"/>
      <c r="GB77" s="167"/>
      <c r="GC77" s="167"/>
      <c r="GD77" s="167"/>
      <c r="GE77" s="167"/>
      <c r="GF77" s="167"/>
      <c r="GG77" s="167"/>
      <c r="GH77" s="167"/>
      <c r="GI77" s="167"/>
      <c r="GJ77" s="167"/>
      <c r="GK77" s="167"/>
      <c r="GL77" s="167"/>
      <c r="GM77" s="167"/>
      <c r="GN77" s="167"/>
      <c r="GO77" s="167"/>
      <c r="GP77" s="167"/>
      <c r="GQ77" s="167"/>
      <c r="GR77" s="167"/>
      <c r="GS77" s="167"/>
      <c r="GT77" s="167"/>
      <c r="GU77" s="167"/>
      <c r="GV77" s="167"/>
      <c r="GW77" s="167"/>
      <c r="GX77" s="167"/>
      <c r="GY77" s="167"/>
      <c r="GZ77" s="167"/>
      <c r="HA77" s="167"/>
      <c r="HB77" s="167"/>
      <c r="HC77" s="167"/>
      <c r="HD77" s="167"/>
      <c r="HE77" s="167"/>
      <c r="HF77" s="167"/>
      <c r="HG77" s="167"/>
      <c r="HH77" s="167"/>
      <c r="HI77" s="167"/>
      <c r="HJ77" s="167"/>
      <c r="HK77" s="167"/>
      <c r="HL77" s="167"/>
      <c r="HM77" s="167"/>
      <c r="HN77" s="167"/>
      <c r="HO77" s="167"/>
      <c r="HP77" s="167"/>
      <c r="HQ77" s="167"/>
      <c r="HR77" s="167"/>
      <c r="HS77" s="167"/>
      <c r="HT77" s="167"/>
      <c r="HU77" s="167"/>
      <c r="HV77" s="167"/>
      <c r="HW77" s="167"/>
      <c r="HX77" s="167"/>
      <c r="HY77" s="167"/>
      <c r="HZ77" s="167"/>
      <c r="IA77" s="167"/>
      <c r="IB77" s="167"/>
      <c r="IC77" s="167"/>
      <c r="ID77" s="167"/>
      <c r="IE77" s="167"/>
      <c r="IF77" s="167"/>
      <c r="IG77" s="167"/>
      <c r="IH77" s="167"/>
      <c r="II77" s="167"/>
      <c r="IJ77" s="167"/>
      <c r="IK77" s="167"/>
      <c r="IL77" s="167"/>
      <c r="IM77" s="167"/>
      <c r="IN77" s="167"/>
      <c r="IO77" s="167"/>
      <c r="IP77" s="167"/>
      <c r="IQ77" s="167"/>
      <c r="IR77" s="167"/>
      <c r="IS77" s="167"/>
      <c r="IT77" s="167"/>
      <c r="IU77" s="167"/>
      <c r="IV77" s="167"/>
      <c r="IW77" s="167"/>
    </row>
    <row r="78" customFormat="false" ht="13.5" hidden="true" customHeight="true" outlineLevel="0" collapsed="false">
      <c r="A78" s="108" t="n">
        <f aca="false">A76+1</f>
        <v>35</v>
      </c>
      <c r="B78" s="142" t="n">
        <f aca="false">IF(ISERROR(VLOOKUP(C78,일용직명단!$A$3:$I$104,2,FALSE())),0,VLOOKUP(C78,일용직명단!$A$3:$I$104,2,FALSE()))</f>
        <v>0</v>
      </c>
      <c r="C78" s="143"/>
      <c r="D78" s="111" t="n">
        <f aca="false">IF(ISERROR(VLOOKUP(C78,일용직명단!$A$3:$K$1246,3,FALSE())),0,VLOOKUP(C78,일용직명단!$A$3:$K$1246,3,FALSE()))</f>
        <v>0</v>
      </c>
      <c r="E78" s="140" t="n">
        <f aca="false">IF(ISERROR(VLOOKUP(C78,일용직명단!$A$3:$K$1246,4,FALSE())),0,VLOOKUP(C78,일용직명단!$A$3:$K$1246,4,FALSE()))</f>
        <v>0</v>
      </c>
      <c r="F78" s="113"/>
      <c r="G78" s="114"/>
      <c r="H78" s="115"/>
      <c r="I78" s="115"/>
      <c r="J78" s="113"/>
      <c r="K78" s="115"/>
      <c r="L78" s="113"/>
      <c r="M78" s="113"/>
      <c r="N78" s="114"/>
      <c r="O78" s="114"/>
      <c r="P78" s="113"/>
      <c r="Q78" s="114"/>
      <c r="R78" s="115"/>
      <c r="S78" s="114"/>
      <c r="T78" s="115"/>
      <c r="U78" s="119"/>
      <c r="V78" s="144" t="n">
        <f aca="false">SUM(F78:U79)</f>
        <v>0</v>
      </c>
      <c r="W78" s="121" t="n">
        <f aca="false">IF(ISERROR(VLOOKUP(C78,일용직명단!$A$3:$K$1246,8,FALSE())),0,VLOOKUP(C78,일용직명단!$A$3:$K$1246,8,FALSE()))</f>
        <v>0</v>
      </c>
      <c r="X78" s="123" t="n">
        <f aca="false">IFERROR(IF(AG78&gt;=65,0,ROUNDDOWN(W79*$Z$4,-1)),0)</f>
        <v>0</v>
      </c>
      <c r="Y78" s="123" t="n">
        <f aca="false">IF(AE78&gt;=8,ROUNDDOWN(W79*$M$4,-1),0)</f>
        <v>0</v>
      </c>
      <c r="Z78" s="123" t="n">
        <f aca="false">IFERROR(IF(AND(COUNT(F78:U79)&gt;=8,$AG78&lt;60,W79&lt;=5530000),ROUNDDOWN(ROUNDDOWN(W79,-3)*4.5%,-1),IF(AND(COUNT(F78:U79)&gt;=8,AG78&lt;60,W79&gt;5530000),248850,0)),0)</f>
        <v>0</v>
      </c>
      <c r="AA78" s="145" t="n">
        <f aca="false">+X78+Y78+X79+Y79+Z78+Z79</f>
        <v>0</v>
      </c>
      <c r="AB78" s="146" t="n">
        <f aca="false">W79-AA78</f>
        <v>0</v>
      </c>
      <c r="AC78" s="147" t="n">
        <f aca="false">IF(ISERROR(VLOOKUP(C78,일용직명단!$A$3:$I$1226,5,FALSE())),0,VLOOKUP(C78,일용직명단!$A$3:$I$1226,5,FALSE()))</f>
        <v>0</v>
      </c>
      <c r="AD78" s="148" t="n">
        <f aca="false">IF(ISERROR(VLOOKUP(C78,일용직명단!$A$3:$I$1226,6,FALSE())),0,VLOOKUP(C78,일용직명단!$A$3:$I$1226,6,FALSE()))</f>
        <v>0</v>
      </c>
      <c r="AE78" s="149" t="n">
        <f aca="false">COUNT(F78:U79)</f>
        <v>0</v>
      </c>
      <c r="AF78" s="129" t="str">
        <f aca="false">IF(OR(MID(D78,8,1)="1",MID(D78,8,1)="2"),19&amp;LEFT(D78,2),20&amp;LEFT(D78,2))&amp;"-"&amp;MID(D78,3,2)&amp;"-"&amp;MID(D78,5,2)</f>
        <v>200--</v>
      </c>
      <c r="AG78" s="129" t="e">
        <f aca="true">INT((TODAY()-AF78)/365.25)</f>
        <v>#VALUE!</v>
      </c>
      <c r="AH78" s="130" t="n">
        <f aca="false">ROUNDDOWN(SUM(AI78:AX79),-1)</f>
        <v>0</v>
      </c>
      <c r="AI78" s="130" t="n">
        <f aca="false">IF($W78*F78&gt;150000,($W78*F78-150000)*6%*45%,0)</f>
        <v>0</v>
      </c>
      <c r="AJ78" s="130" t="n">
        <f aca="false">IF($W78*G78&gt;150000,($W78*G78-150000)*6%*45%,0)</f>
        <v>0</v>
      </c>
      <c r="AK78" s="130" t="n">
        <f aca="false">IF($W78*H78&gt;150000,($W78*H78-150000)*6%*45%,0)</f>
        <v>0</v>
      </c>
      <c r="AL78" s="130" t="n">
        <f aca="false">IF($W78*I78&gt;150000,($W78*I78-150000)*6%*45%,0)</f>
        <v>0</v>
      </c>
      <c r="AM78" s="130" t="n">
        <f aca="false">IF($W78*J78&gt;150000,($W78*J78-150000)*6%*45%,0)</f>
        <v>0</v>
      </c>
      <c r="AN78" s="130" t="n">
        <f aca="false">IF($W78*K78&gt;150000,($W78*K78-150000)*6%*45%,0)</f>
        <v>0</v>
      </c>
      <c r="AO78" s="130" t="n">
        <f aca="false">IF($W78*L78&gt;150000,($W78*L78-150000)*6%*45%,0)</f>
        <v>0</v>
      </c>
      <c r="AP78" s="130" t="n">
        <f aca="false">IF($W78*M78&gt;150000,($W78*M78-150000)*6%*45%,0)</f>
        <v>0</v>
      </c>
      <c r="AQ78" s="130" t="n">
        <f aca="false">IF($W78*N78&gt;150000,($W78*N78-150000)*6%*45%,0)</f>
        <v>0</v>
      </c>
      <c r="AR78" s="130" t="n">
        <f aca="false">IF($W78*O78&gt;150000,($W78*O78-150000)*6%*45%,0)</f>
        <v>0</v>
      </c>
      <c r="AS78" s="130" t="n">
        <f aca="false">IF($W78*P78&gt;150000,($W78*P78-150000)*6%*45%,0)</f>
        <v>0</v>
      </c>
      <c r="AT78" s="130" t="n">
        <f aca="false">IF($W78*Q78&gt;150000,($W78*Q78-150000)*6%*45%,0)</f>
        <v>0</v>
      </c>
      <c r="AU78" s="130" t="n">
        <f aca="false">IF($W78*R78&gt;150000,($W78*R78-150000)*6%*45%,0)</f>
        <v>0</v>
      </c>
      <c r="AV78" s="130" t="n">
        <f aca="false">IF($W78*S78&gt;150000,($W78*S78-150000)*6%*45%,0)</f>
        <v>0</v>
      </c>
      <c r="AW78" s="130" t="n">
        <f aca="false">IF($W78*T78&gt;150000,($W78*T78-150000)*6%*45%,0)</f>
        <v>0</v>
      </c>
      <c r="AX78" s="130"/>
      <c r="AY78" s="131" t="n">
        <f aca="false">IF(ISERROR(VLOOKUP(C78,[26]일용직명단!$A$3:$M$1151,11,FALSE())),0,VLOOKUP(C78,[26]일용직명단!$A$3:$M$1151,11,FALSE()))</f>
        <v>0</v>
      </c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</row>
    <row r="79" customFormat="false" ht="13.5" hidden="true" customHeight="true" outlineLevel="0" collapsed="false">
      <c r="A79" s="108"/>
      <c r="B79" s="142"/>
      <c r="C79" s="143"/>
      <c r="D79" s="111"/>
      <c r="E79" s="140" t="n">
        <f aca="false">IF(ISERROR(VLOOKUP(C78,일용직명단!$A$3:$K$1246,9,FALSE())),0,VLOOKUP(C78,일용직명단!$A$3:$K$1246,9,FALSE()))</f>
        <v>0</v>
      </c>
      <c r="F79" s="180"/>
      <c r="G79" s="134"/>
      <c r="H79" s="134"/>
      <c r="I79" s="114"/>
      <c r="J79" s="115"/>
      <c r="K79" s="114"/>
      <c r="L79" s="113"/>
      <c r="M79" s="113"/>
      <c r="N79" s="114"/>
      <c r="O79" s="115"/>
      <c r="P79" s="114"/>
      <c r="Q79" s="114"/>
      <c r="R79" s="113"/>
      <c r="S79" s="113"/>
      <c r="T79" s="113"/>
      <c r="U79" s="115"/>
      <c r="V79" s="144"/>
      <c r="W79" s="138" t="n">
        <f aca="false">W78*V78</f>
        <v>0</v>
      </c>
      <c r="X79" s="123" t="n">
        <f aca="false">IF(AH78&lt;1000,0,AH78)</f>
        <v>0</v>
      </c>
      <c r="Y79" s="123" t="n">
        <f aca="false">ROUNDDOWN(X79*10%,-1)</f>
        <v>0</v>
      </c>
      <c r="Z79" s="123" t="n">
        <f aca="false">IF(AE78&gt;=8,ROUNDDOWN(Y78*$Q$4,-1),0)</f>
        <v>0</v>
      </c>
      <c r="AA79" s="145"/>
      <c r="AB79" s="146"/>
      <c r="AC79" s="148" t="n">
        <f aca="false">IF(ISERROR(VLOOKUP(C78,일용직명단!$A$3:$I$1226,7,FALSE())),0,VLOOKUP(C78,일용직명단!$A$3:$I$1226,7,FALSE()))</f>
        <v>0</v>
      </c>
      <c r="AD79" s="148"/>
      <c r="AE79" s="149"/>
      <c r="AF79" s="129"/>
      <c r="AG79" s="129"/>
      <c r="AH79" s="130"/>
      <c r="AI79" s="130" t="n">
        <f aca="false">IF($W78*F79&gt;150000,($W78*F79-150000)*6%*45%,0)</f>
        <v>0</v>
      </c>
      <c r="AJ79" s="130" t="n">
        <f aca="false">IF($W78*G79&gt;150000,($W78*G79-150000)*6%*45%,0)</f>
        <v>0</v>
      </c>
      <c r="AK79" s="130" t="n">
        <f aca="false">IF($W78*H79&gt;150000,($W78*H79-150000)*6%*45%,0)</f>
        <v>0</v>
      </c>
      <c r="AL79" s="130" t="n">
        <f aca="false">IF($W78*I79&gt;150000,($W78*I79-150000)*6%*45%,0)</f>
        <v>0</v>
      </c>
      <c r="AM79" s="130" t="n">
        <f aca="false">IF($W78*J79&gt;150000,($W78*J79-150000)*6%*45%,0)</f>
        <v>0</v>
      </c>
      <c r="AN79" s="130" t="n">
        <f aca="false">IF($W78*K79&gt;150000,($W78*K79-150000)*6%*45%,0)</f>
        <v>0</v>
      </c>
      <c r="AO79" s="130" t="n">
        <f aca="false">IF($W78*L79&gt;150000,($W78*L79-150000)*6%*45%,0)</f>
        <v>0</v>
      </c>
      <c r="AP79" s="130" t="n">
        <f aca="false">IF($W78*M79&gt;150000,($W78*M79-150000)*6%*45%,0)</f>
        <v>0</v>
      </c>
      <c r="AQ79" s="130" t="n">
        <f aca="false">IF($W78*N79&gt;150000,($W78*N79-150000)*6%*45%,0)</f>
        <v>0</v>
      </c>
      <c r="AR79" s="130" t="n">
        <f aca="false">IF($W78*O79&gt;150000,($W78*O79-150000)*6%*45%,0)</f>
        <v>0</v>
      </c>
      <c r="AS79" s="130" t="n">
        <f aca="false">IF($W78*P79&gt;150000,($W78*P79-150000)*6%*45%,0)</f>
        <v>0</v>
      </c>
      <c r="AT79" s="130" t="n">
        <f aca="false">IF($W78*Q79&gt;150000,($W78*Q79-150000)*6%*45%,0)</f>
        <v>0</v>
      </c>
      <c r="AU79" s="130" t="n">
        <f aca="false">IF($W78*R79&gt;150000,($W78*R79-150000)*6%*45%,0)</f>
        <v>0</v>
      </c>
      <c r="AV79" s="130" t="n">
        <f aca="false">IF($W78*S79&gt;150000,($W78*S79-150000)*6%*45%,0)</f>
        <v>0</v>
      </c>
      <c r="AW79" s="130" t="n">
        <f aca="false">IF($W78*T79&gt;150000,($W78*T79-150000)*6%*45%,0)</f>
        <v>0</v>
      </c>
      <c r="AX79" s="130" t="n">
        <f aca="false">IF($W78*U79&gt;150000,($W78*U79-150000)*6%*45%,0)</f>
        <v>0</v>
      </c>
      <c r="AY79" s="13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GZ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  <c r="HO79" s="11"/>
      <c r="HP79" s="11"/>
      <c r="HQ79" s="11"/>
      <c r="HR79" s="11"/>
      <c r="HS79" s="11"/>
      <c r="HT79" s="11"/>
      <c r="HU79" s="11"/>
      <c r="HV79" s="11"/>
      <c r="HW79" s="11"/>
      <c r="HX79" s="11"/>
      <c r="HY79" s="11"/>
      <c r="HZ79" s="11"/>
      <c r="IA79" s="11"/>
      <c r="IB79" s="11"/>
      <c r="IC79" s="11"/>
      <c r="ID79" s="11"/>
      <c r="IE79" s="11"/>
      <c r="IF79" s="11"/>
      <c r="IG79" s="11"/>
      <c r="IH79" s="11"/>
      <c r="II79" s="11"/>
      <c r="IJ79" s="11"/>
      <c r="IK79" s="11"/>
      <c r="IL79" s="11"/>
      <c r="IM79" s="11"/>
      <c r="IN79" s="11"/>
      <c r="IO79" s="11"/>
      <c r="IP79" s="11"/>
      <c r="IQ79" s="11"/>
      <c r="IR79" s="11"/>
      <c r="IS79" s="11"/>
      <c r="IT79" s="11"/>
      <c r="IU79" s="11"/>
      <c r="IV79" s="11"/>
      <c r="IW79" s="11"/>
    </row>
    <row r="80" customFormat="false" ht="13.5" hidden="true" customHeight="true" outlineLevel="0" collapsed="false">
      <c r="A80" s="108" t="n">
        <f aca="false">A78+1</f>
        <v>36</v>
      </c>
      <c r="B80" s="109" t="n">
        <f aca="false">IF(ISERROR(VLOOKUP(C80,일용직명단!$A$3:$I$104,2,FALSE())),0,VLOOKUP(C80,일용직명단!$A$3:$I$104,2,FALSE()))</f>
        <v>0</v>
      </c>
      <c r="C80" s="203"/>
      <c r="D80" s="111" t="n">
        <f aca="false">IF(ISERROR(VLOOKUP(C80,일용직명단!$A$3:$K$1246,3,FALSE())),0,VLOOKUP(C80,일용직명단!$A$3:$K$1246,3,FALSE()))</f>
        <v>0</v>
      </c>
      <c r="E80" s="140" t="n">
        <f aca="false">IF(ISERROR(VLOOKUP(C80,일용직명단!$A$3:$K$1246,4,FALSE())),0,VLOOKUP(C80,일용직명단!$A$3:$K$1246,4,FALSE()))</f>
        <v>0</v>
      </c>
      <c r="F80" s="113"/>
      <c r="G80" s="114"/>
      <c r="H80" s="115"/>
      <c r="I80" s="115"/>
      <c r="J80" s="113"/>
      <c r="K80" s="115"/>
      <c r="L80" s="113"/>
      <c r="M80" s="113"/>
      <c r="N80" s="114"/>
      <c r="O80" s="114"/>
      <c r="P80" s="113"/>
      <c r="Q80" s="114"/>
      <c r="R80" s="115"/>
      <c r="S80" s="114"/>
      <c r="T80" s="115"/>
      <c r="U80" s="119"/>
      <c r="V80" s="144" t="n">
        <f aca="false">SUM(F80:U81)</f>
        <v>0</v>
      </c>
      <c r="W80" s="121" t="n">
        <f aca="false">IF(ISERROR(VLOOKUP(C80,일용직명단!$A$3:$K$1246,8,FALSE())),0,VLOOKUP(C80,일용직명단!$A$3:$K$1246,8,FALSE()))</f>
        <v>0</v>
      </c>
      <c r="X80" s="123" t="n">
        <f aca="false">IFERROR(IF(AG80&gt;=65,0,ROUNDDOWN(W81*$Z$4,-1)),0)</f>
        <v>0</v>
      </c>
      <c r="Y80" s="123" t="n">
        <f aca="false">IF(AE80&gt;=8,ROUNDDOWN(W81*$M$4,-1),0)</f>
        <v>0</v>
      </c>
      <c r="Z80" s="123" t="n">
        <f aca="false">IFERROR(IF(AND(COUNT(F80:U81)&gt;=8,$AG80&lt;60,W81&lt;=5530000),ROUNDDOWN(ROUNDDOWN(W81,-3)*4.5%,-1),IF(AND(COUNT(F80:U81)&gt;=8,AG80&lt;60,W81&gt;5530000),248850,0)),0)</f>
        <v>0</v>
      </c>
      <c r="AA80" s="145" t="n">
        <f aca="false">+X80+Y80+X81+Y81+Z80+Z81</f>
        <v>0</v>
      </c>
      <c r="AB80" s="146" t="n">
        <f aca="false">W81-AA80</f>
        <v>0</v>
      </c>
      <c r="AC80" s="147" t="n">
        <f aca="false">IF(ISERROR(VLOOKUP(C80,일용직명단!$A$3:$I$1226,5,FALSE())),0,VLOOKUP(C80,일용직명단!$A$3:$I$1226,5,FALSE()))</f>
        <v>0</v>
      </c>
      <c r="AD80" s="148" t="n">
        <f aca="false">IF(ISERROR(VLOOKUP(C80,일용직명단!$A$3:$I$1226,6,FALSE())),0,VLOOKUP(C80,일용직명단!$A$3:$I$1226,6,FALSE()))</f>
        <v>0</v>
      </c>
      <c r="AE80" s="149" t="n">
        <f aca="false">COUNT(F80:U81)</f>
        <v>0</v>
      </c>
      <c r="AF80" s="129" t="str">
        <f aca="false">IF(OR(MID(D80,8,1)="1",MID(D80,8,1)="2"),19&amp;LEFT(D80,2),20&amp;LEFT(D80,2))&amp;"-"&amp;MID(D80,3,2)&amp;"-"&amp;MID(D80,5,2)</f>
        <v>200--</v>
      </c>
      <c r="AG80" s="129" t="e">
        <f aca="true">INT((TODAY()-AF80)/365.25)</f>
        <v>#VALUE!</v>
      </c>
      <c r="AH80" s="130" t="n">
        <f aca="false">ROUNDDOWN(SUM(AI80:AX81),-1)</f>
        <v>0</v>
      </c>
      <c r="AI80" s="130" t="n">
        <f aca="false">IF($W80*F80&gt;150000,($W80*F80-150000)*6%*45%,0)</f>
        <v>0</v>
      </c>
      <c r="AJ80" s="130" t="n">
        <f aca="false">IF($W80*G80&gt;150000,($W80*G80-150000)*6%*45%,0)</f>
        <v>0</v>
      </c>
      <c r="AK80" s="130" t="n">
        <f aca="false">IF($W80*H80&gt;150000,($W80*H80-150000)*6%*45%,0)</f>
        <v>0</v>
      </c>
      <c r="AL80" s="130" t="n">
        <f aca="false">IF($W80*I80&gt;150000,($W80*I80-150000)*6%*45%,0)</f>
        <v>0</v>
      </c>
      <c r="AM80" s="130" t="n">
        <f aca="false">IF($W80*J80&gt;150000,($W80*J80-150000)*6%*45%,0)</f>
        <v>0</v>
      </c>
      <c r="AN80" s="130" t="n">
        <f aca="false">IF($W80*K80&gt;150000,($W80*K80-150000)*6%*45%,0)</f>
        <v>0</v>
      </c>
      <c r="AO80" s="130" t="n">
        <f aca="false">IF($W80*L80&gt;150000,($W80*L80-150000)*6%*45%,0)</f>
        <v>0</v>
      </c>
      <c r="AP80" s="130" t="n">
        <f aca="false">IF($W80*M80&gt;150000,($W80*M80-150000)*6%*45%,0)</f>
        <v>0</v>
      </c>
      <c r="AQ80" s="130" t="n">
        <f aca="false">IF($W80*N80&gt;150000,($W80*N80-150000)*6%*45%,0)</f>
        <v>0</v>
      </c>
      <c r="AR80" s="130" t="n">
        <f aca="false">IF($W80*O80&gt;150000,($W80*O80-150000)*6%*45%,0)</f>
        <v>0</v>
      </c>
      <c r="AS80" s="130" t="n">
        <f aca="false">IF($W80*P80&gt;150000,($W80*P80-150000)*6%*45%,0)</f>
        <v>0</v>
      </c>
      <c r="AT80" s="130" t="n">
        <f aca="false">IF($W80*Q80&gt;150000,($W80*Q80-150000)*6%*45%,0)</f>
        <v>0</v>
      </c>
      <c r="AU80" s="130" t="n">
        <f aca="false">IF($W80*R80&gt;150000,($W80*R80-150000)*6%*45%,0)</f>
        <v>0</v>
      </c>
      <c r="AV80" s="130" t="n">
        <f aca="false">IF($W80*S80&gt;150000,($W80*S80-150000)*6%*45%,0)</f>
        <v>0</v>
      </c>
      <c r="AW80" s="130" t="n">
        <f aca="false">IF($W80*T80&gt;150000,($W80*T80-150000)*6%*45%,0)</f>
        <v>0</v>
      </c>
      <c r="AX80" s="130"/>
      <c r="AY80" s="131" t="n">
        <f aca="false">IF(ISERROR(VLOOKUP(C80,[26]일용직명단!$A$3:$M$1151,11,FALSE())),0,VLOOKUP(C80,[26]일용직명단!$A$3:$M$1151,11,FALSE()))</f>
        <v>0</v>
      </c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/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1"/>
      <c r="IO80" s="11"/>
      <c r="IP80" s="11"/>
      <c r="IQ80" s="11"/>
      <c r="IR80" s="11"/>
      <c r="IS80" s="11"/>
      <c r="IT80" s="11"/>
      <c r="IU80" s="11"/>
      <c r="IV80" s="11"/>
      <c r="IW80" s="11"/>
    </row>
    <row r="81" customFormat="false" ht="13.5" hidden="true" customHeight="true" outlineLevel="0" collapsed="false">
      <c r="A81" s="108"/>
      <c r="B81" s="109"/>
      <c r="C81" s="203"/>
      <c r="D81" s="111"/>
      <c r="E81" s="140" t="n">
        <f aca="false">IF(ISERROR(VLOOKUP(C80,일용직명단!$A$3:$K$1246,9,FALSE())),0,VLOOKUP(C80,일용직명단!$A$3:$K$1246,9,FALSE()))</f>
        <v>0</v>
      </c>
      <c r="F81" s="180"/>
      <c r="G81" s="134"/>
      <c r="H81" s="134"/>
      <c r="I81" s="114"/>
      <c r="J81" s="115"/>
      <c r="K81" s="114"/>
      <c r="L81" s="113"/>
      <c r="M81" s="113"/>
      <c r="N81" s="114"/>
      <c r="O81" s="115"/>
      <c r="P81" s="114"/>
      <c r="Q81" s="114"/>
      <c r="R81" s="113"/>
      <c r="S81" s="113"/>
      <c r="T81" s="113"/>
      <c r="U81" s="115"/>
      <c r="V81" s="144"/>
      <c r="W81" s="138" t="n">
        <f aca="false">W80*V80</f>
        <v>0</v>
      </c>
      <c r="X81" s="123" t="n">
        <f aca="false">IF(AH80&lt;1000,0,AH80)</f>
        <v>0</v>
      </c>
      <c r="Y81" s="123" t="n">
        <f aca="false">ROUNDDOWN(X81*10%,-1)</f>
        <v>0</v>
      </c>
      <c r="Z81" s="123" t="n">
        <f aca="false">IF(AE80&gt;=8,ROUNDDOWN(Y80*$Q$4,-1),0)</f>
        <v>0</v>
      </c>
      <c r="AA81" s="145"/>
      <c r="AB81" s="146"/>
      <c r="AC81" s="148" t="n">
        <f aca="false">IF(ISERROR(VLOOKUP(C80,일용직명단!$A$3:$I$1226,7,FALSE())),0,VLOOKUP(C80,일용직명단!$A$3:$I$1226,7,FALSE()))</f>
        <v>0</v>
      </c>
      <c r="AD81" s="148"/>
      <c r="AE81" s="149"/>
      <c r="AF81" s="129"/>
      <c r="AG81" s="129"/>
      <c r="AH81" s="130"/>
      <c r="AI81" s="130" t="n">
        <f aca="false">IF($W80*F81&gt;150000,($W80*F81-150000)*6%*45%,0)</f>
        <v>0</v>
      </c>
      <c r="AJ81" s="130" t="n">
        <f aca="false">IF($W80*G81&gt;150000,($W80*G81-150000)*6%*45%,0)</f>
        <v>0</v>
      </c>
      <c r="AK81" s="130" t="n">
        <f aca="false">IF($W80*H81&gt;150000,($W80*H81-150000)*6%*45%,0)</f>
        <v>0</v>
      </c>
      <c r="AL81" s="130" t="n">
        <f aca="false">IF($W80*I81&gt;150000,($W80*I81-150000)*6%*45%,0)</f>
        <v>0</v>
      </c>
      <c r="AM81" s="130" t="n">
        <f aca="false">IF($W80*J81&gt;150000,($W80*J81-150000)*6%*45%,0)</f>
        <v>0</v>
      </c>
      <c r="AN81" s="130" t="n">
        <f aca="false">IF($W80*K81&gt;150000,($W80*K81-150000)*6%*45%,0)</f>
        <v>0</v>
      </c>
      <c r="AO81" s="130" t="n">
        <f aca="false">IF($W80*L81&gt;150000,($W80*L81-150000)*6%*45%,0)</f>
        <v>0</v>
      </c>
      <c r="AP81" s="130" t="n">
        <f aca="false">IF($W80*M81&gt;150000,($W80*M81-150000)*6%*45%,0)</f>
        <v>0</v>
      </c>
      <c r="AQ81" s="130" t="n">
        <f aca="false">IF($W80*N81&gt;150000,($W80*N81-150000)*6%*45%,0)</f>
        <v>0</v>
      </c>
      <c r="AR81" s="130" t="n">
        <f aca="false">IF($W80*O81&gt;150000,($W80*O81-150000)*6%*45%,0)</f>
        <v>0</v>
      </c>
      <c r="AS81" s="130" t="n">
        <f aca="false">IF($W80*P81&gt;150000,($W80*P81-150000)*6%*45%,0)</f>
        <v>0</v>
      </c>
      <c r="AT81" s="130" t="n">
        <f aca="false">IF($W80*Q81&gt;150000,($W80*Q81-150000)*6%*45%,0)</f>
        <v>0</v>
      </c>
      <c r="AU81" s="130" t="n">
        <f aca="false">IF($W80*R81&gt;150000,($W80*R81-150000)*6%*45%,0)</f>
        <v>0</v>
      </c>
      <c r="AV81" s="130" t="n">
        <f aca="false">IF($W80*S81&gt;150000,($W80*S81-150000)*6%*45%,0)</f>
        <v>0</v>
      </c>
      <c r="AW81" s="130" t="n">
        <f aca="false">IF($W80*T81&gt;150000,($W80*T81-150000)*6%*45%,0)</f>
        <v>0</v>
      </c>
      <c r="AX81" s="130" t="n">
        <f aca="false">IF($W80*U81&gt;150000,($W80*U81-150000)*6%*45%,0)</f>
        <v>0</v>
      </c>
      <c r="AY81" s="13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/>
    </row>
    <row r="82" customFormat="false" ht="13.5" hidden="true" customHeight="true" outlineLevel="0" collapsed="false">
      <c r="A82" s="108" t="n">
        <f aca="false">A80+1</f>
        <v>37</v>
      </c>
      <c r="B82" s="109" t="n">
        <f aca="false">IF(ISERROR(VLOOKUP(C82,일용직명단!$A$3:$I$104,2,FALSE())),0,VLOOKUP(C82,일용직명단!$A$3:$I$104,2,FALSE()))</f>
        <v>0</v>
      </c>
      <c r="C82" s="204"/>
      <c r="D82" s="111" t="n">
        <f aca="false">IF(ISERROR(VLOOKUP(C82,일용직명단!$A$3:$K$1246,3,FALSE())),0,VLOOKUP(C82,일용직명단!$A$3:$K$1246,3,FALSE()))</f>
        <v>0</v>
      </c>
      <c r="E82" s="112" t="n">
        <f aca="false">IF(ISERROR(VLOOKUP(C82,일용직명단!$A$3:$K$1246,4,FALSE())),0,VLOOKUP(C82,일용직명단!$A$3:$K$1246,4,FALSE()))</f>
        <v>0</v>
      </c>
      <c r="F82" s="113"/>
      <c r="G82" s="114"/>
      <c r="H82" s="115"/>
      <c r="I82" s="115"/>
      <c r="J82" s="113"/>
      <c r="K82" s="115"/>
      <c r="L82" s="113"/>
      <c r="M82" s="113"/>
      <c r="N82" s="114"/>
      <c r="O82" s="114"/>
      <c r="P82" s="113"/>
      <c r="Q82" s="114"/>
      <c r="R82" s="115"/>
      <c r="S82" s="114"/>
      <c r="T82" s="115"/>
      <c r="U82" s="119"/>
      <c r="V82" s="120" t="n">
        <f aca="false">SUM(F82:U83)</f>
        <v>0</v>
      </c>
      <c r="W82" s="121" t="n">
        <f aca="false">IF(ISERROR(VLOOKUP(C82,일용직명단!$A$3:$K$1246,8,FALSE())),0,VLOOKUP(C82,일용직명단!$A$3:$K$1246,8,FALSE()))</f>
        <v>0</v>
      </c>
      <c r="X82" s="122" t="n">
        <f aca="false">IFERROR(IF(AG82&gt;=65,0,ROUNDDOWN(W83*$Z$4,-1)),0)</f>
        <v>0</v>
      </c>
      <c r="Y82" s="122" t="n">
        <f aca="false">IF(AE82&gt;=8,ROUNDDOWN(W83*$M$4,-1),0)</f>
        <v>0</v>
      </c>
      <c r="Z82" s="123" t="n">
        <f aca="false">IFERROR(IF(AND(COUNT(F82:U83)&gt;=8,$AG82&lt;60,W83&lt;=5530000),ROUNDDOWN(ROUNDDOWN(W83,-3)*4.5%,-1),IF(AND(COUNT(F82:U83)&gt;=8,AG82&lt;60,W83&gt;5530000),248850,0)),0)</f>
        <v>0</v>
      </c>
      <c r="AA82" s="124" t="n">
        <f aca="false">+X82+Y82+X83+Y83+Z82+Z83</f>
        <v>0</v>
      </c>
      <c r="AB82" s="125" t="n">
        <f aca="false">W83-AA82</f>
        <v>0</v>
      </c>
      <c r="AC82" s="126" t="n">
        <f aca="false">IF(ISERROR(VLOOKUP(C82,일용직명단!$A$3:$I$1226,5,FALSE())),0,VLOOKUP(C82,일용직명단!$A$3:$I$1226,5,FALSE()))</f>
        <v>0</v>
      </c>
      <c r="AD82" s="127" t="n">
        <f aca="false">IF(ISERROR(VLOOKUP(C82,일용직명단!$A$3:$I$1226,6,FALSE())),0,VLOOKUP(C82,일용직명단!$A$3:$I$1226,6,FALSE()))</f>
        <v>0</v>
      </c>
      <c r="AE82" s="128" t="n">
        <f aca="false">COUNT(F82:U83)</f>
        <v>0</v>
      </c>
      <c r="AF82" s="129" t="str">
        <f aca="false">IF(OR(MID(D82,8,1)="1",MID(D82,8,1)="2"),19&amp;LEFT(D82,2),20&amp;LEFT(D82,2))&amp;"-"&amp;MID(D82,3,2)&amp;"-"&amp;MID(D82,5,2)</f>
        <v>200--</v>
      </c>
      <c r="AG82" s="129" t="e">
        <f aca="true">INT((TODAY()-AF82)/365.25)</f>
        <v>#VALUE!</v>
      </c>
      <c r="AH82" s="130" t="n">
        <f aca="false">ROUNDDOWN(SUM(AI82:AX83),-1)</f>
        <v>0</v>
      </c>
      <c r="AI82" s="130" t="n">
        <f aca="false">IF($W82*F82&gt;150000,($W82*F82-150000)*6%*45%,0)</f>
        <v>0</v>
      </c>
      <c r="AJ82" s="130" t="n">
        <f aca="false">IF($W82*G82&gt;150000,($W82*G82-150000)*6%*45%,0)</f>
        <v>0</v>
      </c>
      <c r="AK82" s="130" t="n">
        <f aca="false">IF($W82*H82&gt;150000,($W82*H82-150000)*6%*45%,0)</f>
        <v>0</v>
      </c>
      <c r="AL82" s="130" t="n">
        <f aca="false">IF($W82*I82&gt;150000,($W82*I82-150000)*6%*45%,0)</f>
        <v>0</v>
      </c>
      <c r="AM82" s="130" t="n">
        <f aca="false">IF($W82*J82&gt;150000,($W82*J82-150000)*6%*45%,0)</f>
        <v>0</v>
      </c>
      <c r="AN82" s="130" t="n">
        <f aca="false">IF($W82*K82&gt;150000,($W82*K82-150000)*6%*45%,0)</f>
        <v>0</v>
      </c>
      <c r="AO82" s="130" t="n">
        <f aca="false">IF($W82*L82&gt;150000,($W82*L82-150000)*6%*45%,0)</f>
        <v>0</v>
      </c>
      <c r="AP82" s="130" t="n">
        <f aca="false">IF($W82*M82&gt;150000,($W82*M82-150000)*6%*45%,0)</f>
        <v>0</v>
      </c>
      <c r="AQ82" s="130" t="n">
        <f aca="false">IF($W82*N82&gt;150000,($W82*N82-150000)*6%*45%,0)</f>
        <v>0</v>
      </c>
      <c r="AR82" s="130" t="n">
        <f aca="false">IF($W82*O82&gt;150000,($W82*O82-150000)*6%*45%,0)</f>
        <v>0</v>
      </c>
      <c r="AS82" s="130" t="n">
        <f aca="false">IF($W82*P82&gt;150000,($W82*P82-150000)*6%*45%,0)</f>
        <v>0</v>
      </c>
      <c r="AT82" s="130" t="n">
        <f aca="false">IF($W82*Q82&gt;150000,($W82*Q82-150000)*6%*45%,0)</f>
        <v>0</v>
      </c>
      <c r="AU82" s="130" t="n">
        <f aca="false">IF($W82*R82&gt;150000,($W82*R82-150000)*6%*45%,0)</f>
        <v>0</v>
      </c>
      <c r="AV82" s="130" t="n">
        <f aca="false">IF($W82*S82&gt;150000,($W82*S82-150000)*6%*45%,0)</f>
        <v>0</v>
      </c>
      <c r="AW82" s="130" t="n">
        <f aca="false">IF($W82*T82&gt;150000,($W82*T82-150000)*6%*45%,0)</f>
        <v>0</v>
      </c>
      <c r="AX82" s="130"/>
      <c r="AY82" s="131" t="n">
        <f aca="false">IF(ISERROR(VLOOKUP(C82,[26]일용직명단!$A$3:$M$1151,11,FALSE())),0,VLOOKUP(C82,[26]일용직명단!$A$3:$M$1151,11,FALSE()))</f>
        <v>0</v>
      </c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/>
    </row>
    <row r="83" customFormat="false" ht="13.5" hidden="true" customHeight="true" outlineLevel="0" collapsed="false">
      <c r="A83" s="108"/>
      <c r="B83" s="109"/>
      <c r="C83" s="204"/>
      <c r="D83" s="111"/>
      <c r="E83" s="112" t="n">
        <f aca="false">IF(ISERROR(VLOOKUP(C82,일용직명단!$A$3:$K$1246,9,FALSE())),0,VLOOKUP(C82,일용직명단!$A$3:$K$1246,9,FALSE()))</f>
        <v>0</v>
      </c>
      <c r="F83" s="180"/>
      <c r="G83" s="134"/>
      <c r="H83" s="134"/>
      <c r="I83" s="114"/>
      <c r="J83" s="115"/>
      <c r="K83" s="114"/>
      <c r="L83" s="113"/>
      <c r="M83" s="113"/>
      <c r="N83" s="114"/>
      <c r="O83" s="115"/>
      <c r="P83" s="114"/>
      <c r="Q83" s="114"/>
      <c r="R83" s="113"/>
      <c r="S83" s="113"/>
      <c r="T83" s="113"/>
      <c r="U83" s="115"/>
      <c r="V83" s="120"/>
      <c r="W83" s="138" t="n">
        <f aca="false">W82*V82</f>
        <v>0</v>
      </c>
      <c r="X83" s="122" t="n">
        <f aca="false">IF(AH82&lt;1000,0,AH82)</f>
        <v>0</v>
      </c>
      <c r="Y83" s="122" t="n">
        <f aca="false">ROUNDDOWN(X83*10%,-1)</f>
        <v>0</v>
      </c>
      <c r="Z83" s="123" t="n">
        <f aca="false">IF(AE82&gt;=8,ROUNDDOWN(Y82*$Q$4,-1),0)</f>
        <v>0</v>
      </c>
      <c r="AA83" s="124"/>
      <c r="AB83" s="125"/>
      <c r="AC83" s="127" t="n">
        <f aca="false">IF(ISERROR(VLOOKUP(C82,일용직명단!$A$3:$I$1226,7,FALSE())),0,VLOOKUP(C82,일용직명단!$A$3:$I$1226,7,FALSE()))</f>
        <v>0</v>
      </c>
      <c r="AD83" s="127"/>
      <c r="AE83" s="128"/>
      <c r="AF83" s="129"/>
      <c r="AG83" s="129"/>
      <c r="AH83" s="130"/>
      <c r="AI83" s="130" t="n">
        <f aca="false">IF($W82*F83&gt;150000,($W82*F83-150000)*6%*45%,0)</f>
        <v>0</v>
      </c>
      <c r="AJ83" s="130" t="n">
        <f aca="false">IF($W82*G83&gt;150000,($W82*G83-150000)*6%*45%,0)</f>
        <v>0</v>
      </c>
      <c r="AK83" s="130" t="n">
        <f aca="false">IF($W82*H83&gt;150000,($W82*H83-150000)*6%*45%,0)</f>
        <v>0</v>
      </c>
      <c r="AL83" s="130" t="n">
        <f aca="false">IF($W82*I83&gt;150000,($W82*I83-150000)*6%*45%,0)</f>
        <v>0</v>
      </c>
      <c r="AM83" s="130" t="n">
        <f aca="false">IF($W82*J83&gt;150000,($W82*J83-150000)*6%*45%,0)</f>
        <v>0</v>
      </c>
      <c r="AN83" s="130" t="n">
        <f aca="false">IF($W82*K83&gt;150000,($W82*K83-150000)*6%*45%,0)</f>
        <v>0</v>
      </c>
      <c r="AO83" s="130" t="n">
        <f aca="false">IF($W82*L83&gt;150000,($W82*L83-150000)*6%*45%,0)</f>
        <v>0</v>
      </c>
      <c r="AP83" s="130" t="n">
        <f aca="false">IF($W82*M83&gt;150000,($W82*M83-150000)*6%*45%,0)</f>
        <v>0</v>
      </c>
      <c r="AQ83" s="130" t="n">
        <f aca="false">IF($W82*N83&gt;150000,($W82*N83-150000)*6%*45%,0)</f>
        <v>0</v>
      </c>
      <c r="AR83" s="130" t="n">
        <f aca="false">IF($W82*O83&gt;150000,($W82*O83-150000)*6%*45%,0)</f>
        <v>0</v>
      </c>
      <c r="AS83" s="130" t="n">
        <f aca="false">IF($W82*P83&gt;150000,($W82*P83-150000)*6%*45%,0)</f>
        <v>0</v>
      </c>
      <c r="AT83" s="130" t="n">
        <f aca="false">IF($W82*Q83&gt;150000,($W82*Q83-150000)*6%*45%,0)</f>
        <v>0</v>
      </c>
      <c r="AU83" s="130" t="n">
        <f aca="false">IF($W82*R83&gt;150000,($W82*R83-150000)*6%*45%,0)</f>
        <v>0</v>
      </c>
      <c r="AV83" s="130" t="n">
        <f aca="false">IF($W82*S83&gt;150000,($W82*S83-150000)*6%*45%,0)</f>
        <v>0</v>
      </c>
      <c r="AW83" s="130" t="n">
        <f aca="false">IF($W82*T83&gt;150000,($W82*T83-150000)*6%*45%,0)</f>
        <v>0</v>
      </c>
      <c r="AX83" s="130" t="n">
        <f aca="false">IF($W82*U83&gt;150000,($W82*U83-150000)*6%*45%,0)</f>
        <v>0</v>
      </c>
      <c r="AY83" s="13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/>
      <c r="FW83" s="11"/>
      <c r="FX83" s="11"/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1"/>
      <c r="GW83" s="11"/>
      <c r="GX83" s="11"/>
      <c r="GY83" s="11"/>
      <c r="GZ83" s="11"/>
      <c r="HA83" s="11"/>
      <c r="HB83" s="11"/>
      <c r="HC83" s="11"/>
      <c r="HD83" s="11"/>
      <c r="HE83" s="11"/>
      <c r="HF83" s="11"/>
      <c r="HG83" s="11"/>
      <c r="HH83" s="11"/>
      <c r="HI83" s="11"/>
      <c r="HJ83" s="11"/>
      <c r="HK83" s="11"/>
      <c r="HL83" s="11"/>
      <c r="HM83" s="11"/>
      <c r="HN83" s="11"/>
      <c r="HO83" s="11"/>
      <c r="HP83" s="11"/>
      <c r="HQ83" s="11"/>
      <c r="HR83" s="11"/>
      <c r="HS83" s="11"/>
      <c r="HT83" s="11"/>
      <c r="HU83" s="11"/>
      <c r="HV83" s="11"/>
      <c r="HW83" s="11"/>
      <c r="HX83" s="11"/>
      <c r="HY83" s="11"/>
      <c r="HZ83" s="11"/>
      <c r="IA83" s="11"/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1"/>
      <c r="IM83" s="11"/>
      <c r="IN83" s="11"/>
      <c r="IO83" s="11"/>
      <c r="IP83" s="11"/>
      <c r="IQ83" s="11"/>
      <c r="IR83" s="11"/>
      <c r="IS83" s="11"/>
      <c r="IT83" s="11"/>
      <c r="IU83" s="11"/>
      <c r="IV83" s="11"/>
      <c r="IW83" s="11"/>
    </row>
    <row r="84" customFormat="false" ht="13.5" hidden="true" customHeight="true" outlineLevel="0" collapsed="false">
      <c r="A84" s="108" t="n">
        <f aca="false">A82+1</f>
        <v>38</v>
      </c>
      <c r="B84" s="109" t="n">
        <f aca="false">IF(ISERROR(VLOOKUP(C84,일용직명단!$A$3:$I$104,2,FALSE())),0,VLOOKUP(C84,일용직명단!$A$3:$I$104,2,FALSE()))</f>
        <v>0</v>
      </c>
      <c r="C84" s="204"/>
      <c r="D84" s="111" t="n">
        <f aca="false">IF(ISERROR(VLOOKUP(C84,일용직명단!$A$3:$K$1246,3,FALSE())),0,VLOOKUP(C84,일용직명단!$A$3:$K$1246,3,FALSE()))</f>
        <v>0</v>
      </c>
      <c r="E84" s="112" t="n">
        <f aca="false">IF(ISERROR(VLOOKUP(C84,일용직명단!$A$3:$K$1246,4,FALSE())),0,VLOOKUP(C84,일용직명단!$A$3:$K$1246,4,FALSE()))</f>
        <v>0</v>
      </c>
      <c r="F84" s="113"/>
      <c r="G84" s="114"/>
      <c r="H84" s="115"/>
      <c r="I84" s="115"/>
      <c r="J84" s="113"/>
      <c r="K84" s="115"/>
      <c r="L84" s="113"/>
      <c r="M84" s="113"/>
      <c r="N84" s="114"/>
      <c r="O84" s="114"/>
      <c r="P84" s="113"/>
      <c r="Q84" s="114"/>
      <c r="R84" s="115"/>
      <c r="S84" s="114"/>
      <c r="T84" s="115"/>
      <c r="U84" s="119"/>
      <c r="V84" s="120" t="n">
        <f aca="false">SUM(F84:U85)</f>
        <v>0</v>
      </c>
      <c r="W84" s="121" t="n">
        <f aca="false">IF(ISERROR(VLOOKUP(C84,일용직명단!$A$3:$K$1246,8,FALSE())),0,VLOOKUP(C84,일용직명단!$A$3:$K$1246,8,FALSE()))</f>
        <v>0</v>
      </c>
      <c r="X84" s="122" t="n">
        <f aca="false">IFERROR(IF(AG84&gt;=65,0,ROUNDDOWN(W85*$Z$4,-1)),0)</f>
        <v>0</v>
      </c>
      <c r="Y84" s="122" t="n">
        <f aca="false">IF(AE84&gt;=8,ROUNDDOWN(W85*$M$4,-1),0)</f>
        <v>0</v>
      </c>
      <c r="Z84" s="123" t="n">
        <f aca="false">IFERROR(IF(AND(COUNT(F84:U85)&gt;=8,$AG84&lt;60,W85&lt;=5530000),ROUNDDOWN(ROUNDDOWN(W85,-3)*4.5%,-1),IF(AND(COUNT(F84:U85)&gt;=8,AG84&lt;60,W85&gt;5530000),248850,0)),0)</f>
        <v>0</v>
      </c>
      <c r="AA84" s="124" t="n">
        <f aca="false">+X84+Y84+X85+Y85+Z84+Z85</f>
        <v>0</v>
      </c>
      <c r="AB84" s="125" t="n">
        <f aca="false">W85-AA84</f>
        <v>0</v>
      </c>
      <c r="AC84" s="126" t="n">
        <f aca="false">IF(ISERROR(VLOOKUP(C84,일용직명단!$A$3:$I$1226,5,FALSE())),0,VLOOKUP(C84,일용직명단!$A$3:$I$1226,5,FALSE()))</f>
        <v>0</v>
      </c>
      <c r="AD84" s="127" t="n">
        <f aca="false">IF(ISERROR(VLOOKUP(C84,일용직명단!$A$3:$I$1226,6,FALSE())),0,VLOOKUP(C84,일용직명단!$A$3:$I$1226,6,FALSE()))</f>
        <v>0</v>
      </c>
      <c r="AE84" s="128" t="n">
        <f aca="false">COUNT(F84:U85)</f>
        <v>0</v>
      </c>
      <c r="AF84" s="129" t="str">
        <f aca="false">IF(OR(MID(D84,8,1)="1",MID(D84,8,1)="2"),19&amp;LEFT(D84,2),20&amp;LEFT(D84,2))&amp;"-"&amp;MID(D84,3,2)&amp;"-"&amp;MID(D84,5,2)</f>
        <v>200--</v>
      </c>
      <c r="AG84" s="129" t="e">
        <f aca="true">INT((TODAY()-AF84)/365.25)</f>
        <v>#VALUE!</v>
      </c>
      <c r="AH84" s="130" t="n">
        <f aca="false">ROUNDDOWN(SUM(AI84:AX85),-1)</f>
        <v>0</v>
      </c>
      <c r="AI84" s="130" t="n">
        <f aca="false">IF($W84*F84&gt;150000,($W84*F84-150000)*6%*45%,0)</f>
        <v>0</v>
      </c>
      <c r="AJ84" s="130" t="n">
        <f aca="false">IF($W84*G84&gt;150000,($W84*G84-150000)*6%*45%,0)</f>
        <v>0</v>
      </c>
      <c r="AK84" s="130" t="n">
        <f aca="false">IF($W84*H84&gt;150000,($W84*H84-150000)*6%*45%,0)</f>
        <v>0</v>
      </c>
      <c r="AL84" s="130" t="n">
        <f aca="false">IF($W84*I84&gt;150000,($W84*I84-150000)*6%*45%,0)</f>
        <v>0</v>
      </c>
      <c r="AM84" s="130" t="n">
        <f aca="false">IF($W84*J84&gt;150000,($W84*J84-150000)*6%*45%,0)</f>
        <v>0</v>
      </c>
      <c r="AN84" s="130" t="n">
        <f aca="false">IF($W84*K84&gt;150000,($W84*K84-150000)*6%*45%,0)</f>
        <v>0</v>
      </c>
      <c r="AO84" s="130" t="n">
        <f aca="false">IF($W84*L84&gt;150000,($W84*L84-150000)*6%*45%,0)</f>
        <v>0</v>
      </c>
      <c r="AP84" s="130" t="n">
        <f aca="false">IF($W84*M84&gt;150000,($W84*M84-150000)*6%*45%,0)</f>
        <v>0</v>
      </c>
      <c r="AQ84" s="130" t="n">
        <f aca="false">IF($W84*N84&gt;150000,($W84*N84-150000)*6%*45%,0)</f>
        <v>0</v>
      </c>
      <c r="AR84" s="130" t="n">
        <f aca="false">IF($W84*O84&gt;150000,($W84*O84-150000)*6%*45%,0)</f>
        <v>0</v>
      </c>
      <c r="AS84" s="130" t="n">
        <f aca="false">IF($W84*P84&gt;150000,($W84*P84-150000)*6%*45%,0)</f>
        <v>0</v>
      </c>
      <c r="AT84" s="130" t="n">
        <f aca="false">IF($W84*Q84&gt;150000,($W84*Q84-150000)*6%*45%,0)</f>
        <v>0</v>
      </c>
      <c r="AU84" s="130" t="n">
        <f aca="false">IF($W84*R84&gt;150000,($W84*R84-150000)*6%*45%,0)</f>
        <v>0</v>
      </c>
      <c r="AV84" s="130" t="n">
        <f aca="false">IF($W84*S84&gt;150000,($W84*S84-150000)*6%*45%,0)</f>
        <v>0</v>
      </c>
      <c r="AW84" s="130" t="n">
        <f aca="false">IF($W84*T84&gt;150000,($W84*T84-150000)*6%*45%,0)</f>
        <v>0</v>
      </c>
      <c r="AX84" s="130"/>
      <c r="AY84" s="131" t="n">
        <f aca="false">IF(ISERROR(VLOOKUP(C84,[26]일용직명단!$A$3:$M$1151,11,FALSE())),0,VLOOKUP(C84,[26]일용직명단!$A$3:$M$1151,11,FALSE()))</f>
        <v>0</v>
      </c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  <c r="GP84" s="11"/>
      <c r="GQ84" s="11"/>
      <c r="GR84" s="11"/>
      <c r="GS84" s="11"/>
      <c r="GT84" s="11"/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/>
    </row>
    <row r="85" customFormat="false" ht="13.5" hidden="true" customHeight="true" outlineLevel="0" collapsed="false">
      <c r="A85" s="108"/>
      <c r="B85" s="109"/>
      <c r="C85" s="204"/>
      <c r="D85" s="111"/>
      <c r="E85" s="112" t="n">
        <f aca="false">IF(ISERROR(VLOOKUP(C84,일용직명단!$A$3:$K$1246,9,FALSE())),0,VLOOKUP(C84,일용직명단!$A$3:$K$1246,9,FALSE()))</f>
        <v>0</v>
      </c>
      <c r="F85" s="180"/>
      <c r="G85" s="134"/>
      <c r="H85" s="134"/>
      <c r="I85" s="114"/>
      <c r="J85" s="115"/>
      <c r="K85" s="114"/>
      <c r="L85" s="113"/>
      <c r="M85" s="113"/>
      <c r="N85" s="114"/>
      <c r="O85" s="115"/>
      <c r="P85" s="114"/>
      <c r="Q85" s="114"/>
      <c r="R85" s="113"/>
      <c r="S85" s="113"/>
      <c r="T85" s="113"/>
      <c r="U85" s="115"/>
      <c r="V85" s="120"/>
      <c r="W85" s="138" t="n">
        <f aca="false">W84*V84</f>
        <v>0</v>
      </c>
      <c r="X85" s="122" t="n">
        <f aca="false">IF(AH84&lt;1000,0,AH84)</f>
        <v>0</v>
      </c>
      <c r="Y85" s="122" t="n">
        <f aca="false">ROUNDDOWN(X85*10%,-1)</f>
        <v>0</v>
      </c>
      <c r="Z85" s="123" t="n">
        <f aca="false">IF(AE84&gt;=8,ROUNDDOWN(Y84*$Q$4,-1),0)</f>
        <v>0</v>
      </c>
      <c r="AA85" s="124"/>
      <c r="AB85" s="125"/>
      <c r="AC85" s="127" t="n">
        <f aca="false">IF(ISERROR(VLOOKUP(C84,일용직명단!$A$3:$I$1226,7,FALSE())),0,VLOOKUP(C84,일용직명단!$A$3:$I$1226,7,FALSE()))</f>
        <v>0</v>
      </c>
      <c r="AD85" s="127"/>
      <c r="AE85" s="128"/>
      <c r="AF85" s="129"/>
      <c r="AG85" s="129"/>
      <c r="AH85" s="130"/>
      <c r="AI85" s="130" t="n">
        <f aca="false">IF($W84*F85&gt;150000,($W84*F85-150000)*6%*45%,0)</f>
        <v>0</v>
      </c>
      <c r="AJ85" s="130" t="n">
        <f aca="false">IF($W84*G85&gt;150000,($W84*G85-150000)*6%*45%,0)</f>
        <v>0</v>
      </c>
      <c r="AK85" s="130" t="n">
        <f aca="false">IF($W84*H85&gt;150000,($W84*H85-150000)*6%*45%,0)</f>
        <v>0</v>
      </c>
      <c r="AL85" s="130" t="n">
        <f aca="false">IF($W84*I85&gt;150000,($W84*I85-150000)*6%*45%,0)</f>
        <v>0</v>
      </c>
      <c r="AM85" s="130" t="n">
        <f aca="false">IF($W84*J85&gt;150000,($W84*J85-150000)*6%*45%,0)</f>
        <v>0</v>
      </c>
      <c r="AN85" s="130" t="n">
        <f aca="false">IF($W84*K85&gt;150000,($W84*K85-150000)*6%*45%,0)</f>
        <v>0</v>
      </c>
      <c r="AO85" s="130" t="n">
        <f aca="false">IF($W84*L85&gt;150000,($W84*L85-150000)*6%*45%,0)</f>
        <v>0</v>
      </c>
      <c r="AP85" s="130" t="n">
        <f aca="false">IF($W84*M85&gt;150000,($W84*M85-150000)*6%*45%,0)</f>
        <v>0</v>
      </c>
      <c r="AQ85" s="130" t="n">
        <f aca="false">IF($W84*N85&gt;150000,($W84*N85-150000)*6%*45%,0)</f>
        <v>0</v>
      </c>
      <c r="AR85" s="130" t="n">
        <f aca="false">IF($W84*O85&gt;150000,($W84*O85-150000)*6%*45%,0)</f>
        <v>0</v>
      </c>
      <c r="AS85" s="130" t="n">
        <f aca="false">IF($W84*P85&gt;150000,($W84*P85-150000)*6%*45%,0)</f>
        <v>0</v>
      </c>
      <c r="AT85" s="130" t="n">
        <f aca="false">IF($W84*Q85&gt;150000,($W84*Q85-150000)*6%*45%,0)</f>
        <v>0</v>
      </c>
      <c r="AU85" s="130" t="n">
        <f aca="false">IF($W84*R85&gt;150000,($W84*R85-150000)*6%*45%,0)</f>
        <v>0</v>
      </c>
      <c r="AV85" s="130" t="n">
        <f aca="false">IF($W84*S85&gt;150000,($W84*S85-150000)*6%*45%,0)</f>
        <v>0</v>
      </c>
      <c r="AW85" s="130" t="n">
        <f aca="false">IF($W84*T85&gt;150000,($W84*T85-150000)*6%*45%,0)</f>
        <v>0</v>
      </c>
      <c r="AX85" s="130" t="n">
        <f aca="false">IF($W84*U85&gt;150000,($W84*U85-150000)*6%*45%,0)</f>
        <v>0</v>
      </c>
      <c r="AY85" s="13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/>
      <c r="GL85" s="11"/>
      <c r="GM85" s="11"/>
      <c r="GN85" s="11"/>
      <c r="GO85" s="11"/>
      <c r="GP85" s="11"/>
      <c r="GQ85" s="11"/>
      <c r="GR85" s="11"/>
      <c r="GS85" s="11"/>
      <c r="GT85" s="11"/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/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  <c r="IV85" s="11"/>
      <c r="IW85" s="11"/>
    </row>
    <row r="86" customFormat="false" ht="13.5" hidden="true" customHeight="true" outlineLevel="0" collapsed="false">
      <c r="A86" s="108" t="n">
        <f aca="false">A84+1</f>
        <v>39</v>
      </c>
      <c r="B86" s="109" t="n">
        <f aca="false">IF(ISERROR(VLOOKUP(C86,일용직명단!$A$3:$I$104,2,FALSE())),0,VLOOKUP(C86,일용직명단!$A$3:$I$104,2,FALSE()))</f>
        <v>0</v>
      </c>
      <c r="C86" s="204"/>
      <c r="D86" s="111" t="n">
        <f aca="false">IF(ISERROR(VLOOKUP(C86,일용직명단!$A$3:$K$1246,3,FALSE())),0,VLOOKUP(C86,일용직명단!$A$3:$K$1246,3,FALSE()))</f>
        <v>0</v>
      </c>
      <c r="E86" s="112" t="n">
        <f aca="false">IF(ISERROR(VLOOKUP(C86,일용직명단!$A$3:$K$1246,4,FALSE())),0,VLOOKUP(C86,일용직명단!$A$3:$K$1246,4,FALSE()))</f>
        <v>0</v>
      </c>
      <c r="F86" s="113"/>
      <c r="G86" s="114"/>
      <c r="H86" s="115"/>
      <c r="I86" s="115"/>
      <c r="J86" s="113"/>
      <c r="K86" s="115"/>
      <c r="L86" s="113"/>
      <c r="M86" s="113"/>
      <c r="N86" s="114"/>
      <c r="O86" s="114"/>
      <c r="P86" s="113"/>
      <c r="Q86" s="114"/>
      <c r="R86" s="115"/>
      <c r="S86" s="114"/>
      <c r="T86" s="115"/>
      <c r="U86" s="119"/>
      <c r="V86" s="120" t="n">
        <f aca="false">SUM(F86:U87)</f>
        <v>0</v>
      </c>
      <c r="W86" s="121" t="n">
        <f aca="false">IF(ISERROR(VLOOKUP(C86,일용직명단!$A$3:$K$1246,8,FALSE())),0,VLOOKUP(C86,일용직명단!$A$3:$K$1246,8,FALSE()))</f>
        <v>0</v>
      </c>
      <c r="X86" s="122" t="n">
        <f aca="false">IFERROR(IF(AG86&gt;=65,0,ROUNDDOWN(W87*$Z$4,-1)),0)</f>
        <v>0</v>
      </c>
      <c r="Y86" s="122" t="n">
        <f aca="false">IF(AE86&gt;=8,ROUNDDOWN(W87*$M$4,-1),0)</f>
        <v>0</v>
      </c>
      <c r="Z86" s="123" t="n">
        <f aca="false">IFERROR(IF(AND(COUNT(F86:U87)&gt;=8,$AG86&lt;60,W87&lt;=5530000),ROUNDDOWN(ROUNDDOWN(W87,-3)*4.5%,-1),IF(AND(COUNT(F86:U87)&gt;=8,AG86&lt;60,W87&gt;5530000),248850,0)),0)</f>
        <v>0</v>
      </c>
      <c r="AA86" s="124" t="n">
        <f aca="false">+X86+Y86+X87+Y87+Z86+Z87</f>
        <v>0</v>
      </c>
      <c r="AB86" s="125" t="n">
        <f aca="false">W87-AA86</f>
        <v>0</v>
      </c>
      <c r="AC86" s="126" t="n">
        <f aca="false">IF(ISERROR(VLOOKUP(C86,일용직명단!$A$3:$I$1226,5,FALSE())),0,VLOOKUP(C86,일용직명단!$A$3:$I$1226,5,FALSE()))</f>
        <v>0</v>
      </c>
      <c r="AD86" s="127" t="n">
        <f aca="false">IF(ISERROR(VLOOKUP(C86,일용직명단!$A$3:$I$1226,6,FALSE())),0,VLOOKUP(C86,일용직명단!$A$3:$I$1226,6,FALSE()))</f>
        <v>0</v>
      </c>
      <c r="AE86" s="128" t="n">
        <f aca="false">COUNT(F86:U87)</f>
        <v>0</v>
      </c>
      <c r="AF86" s="129" t="str">
        <f aca="false">IF(OR(MID(D86,8,1)="1",MID(D86,8,1)="2"),19&amp;LEFT(D86,2),20&amp;LEFT(D86,2))&amp;"-"&amp;MID(D86,3,2)&amp;"-"&amp;MID(D86,5,2)</f>
        <v>200--</v>
      </c>
      <c r="AG86" s="129" t="e">
        <f aca="true">INT((TODAY()-AF86)/365.25)</f>
        <v>#VALUE!</v>
      </c>
      <c r="AH86" s="130" t="n">
        <f aca="false">ROUNDDOWN(SUM(AI86:AX87),-1)</f>
        <v>0</v>
      </c>
      <c r="AI86" s="130" t="n">
        <f aca="false">IF($W86*F86&gt;150000,($W86*F86-150000)*6%*45%,0)</f>
        <v>0</v>
      </c>
      <c r="AJ86" s="130" t="n">
        <f aca="false">IF($W86*G86&gt;150000,($W86*G86-150000)*6%*45%,0)</f>
        <v>0</v>
      </c>
      <c r="AK86" s="130" t="n">
        <f aca="false">IF($W86*H86&gt;150000,($W86*H86-150000)*6%*45%,0)</f>
        <v>0</v>
      </c>
      <c r="AL86" s="130" t="n">
        <f aca="false">IF($W86*I86&gt;150000,($W86*I86-150000)*6%*45%,0)</f>
        <v>0</v>
      </c>
      <c r="AM86" s="130" t="n">
        <f aca="false">IF($W86*J86&gt;150000,($W86*J86-150000)*6%*45%,0)</f>
        <v>0</v>
      </c>
      <c r="AN86" s="130" t="n">
        <f aca="false">IF($W86*K86&gt;150000,($W86*K86-150000)*6%*45%,0)</f>
        <v>0</v>
      </c>
      <c r="AO86" s="130" t="n">
        <f aca="false">IF($W86*L86&gt;150000,($W86*L86-150000)*6%*45%,0)</f>
        <v>0</v>
      </c>
      <c r="AP86" s="130" t="n">
        <f aca="false">IF($W86*M86&gt;150000,($W86*M86-150000)*6%*45%,0)</f>
        <v>0</v>
      </c>
      <c r="AQ86" s="130" t="n">
        <f aca="false">IF($W86*N86&gt;150000,($W86*N86-150000)*6%*45%,0)</f>
        <v>0</v>
      </c>
      <c r="AR86" s="130" t="n">
        <f aca="false">IF($W86*O86&gt;150000,($W86*O86-150000)*6%*45%,0)</f>
        <v>0</v>
      </c>
      <c r="AS86" s="130" t="n">
        <f aca="false">IF($W86*P86&gt;150000,($W86*P86-150000)*6%*45%,0)</f>
        <v>0</v>
      </c>
      <c r="AT86" s="130" t="n">
        <f aca="false">IF($W86*Q86&gt;150000,($W86*Q86-150000)*6%*45%,0)</f>
        <v>0</v>
      </c>
      <c r="AU86" s="130" t="n">
        <f aca="false">IF($W86*R86&gt;150000,($W86*R86-150000)*6%*45%,0)</f>
        <v>0</v>
      </c>
      <c r="AV86" s="130" t="n">
        <f aca="false">IF($W86*S86&gt;150000,($W86*S86-150000)*6%*45%,0)</f>
        <v>0</v>
      </c>
      <c r="AW86" s="130" t="n">
        <f aca="false">IF($W86*T86&gt;150000,($W86*T86-150000)*6%*45%,0)</f>
        <v>0</v>
      </c>
      <c r="AX86" s="130"/>
      <c r="AY86" s="131" t="n">
        <f aca="false">IF(ISERROR(VLOOKUP(C86,[26]일용직명단!$A$3:$M$1151,11,FALSE())),0,VLOOKUP(C86,[26]일용직명단!$A$3:$M$1151,11,FALSE()))</f>
        <v>0</v>
      </c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J86" s="11"/>
      <c r="GK86" s="11"/>
      <c r="GL86" s="11"/>
      <c r="GM86" s="11"/>
      <c r="GN86" s="11"/>
      <c r="GO86" s="11"/>
      <c r="GP86" s="11"/>
      <c r="GQ86" s="11"/>
      <c r="GR86" s="11"/>
      <c r="GS86" s="11"/>
      <c r="GT86" s="11"/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/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  <c r="IV86" s="11"/>
      <c r="IW86" s="11"/>
    </row>
    <row r="87" customFormat="false" ht="13.5" hidden="true" customHeight="true" outlineLevel="0" collapsed="false">
      <c r="A87" s="108"/>
      <c r="B87" s="109"/>
      <c r="C87" s="204"/>
      <c r="D87" s="111"/>
      <c r="E87" s="112" t="n">
        <f aca="false">IF(ISERROR(VLOOKUP(C86,일용직명단!$A$3:$K$1246,9,FALSE())),0,VLOOKUP(C86,일용직명단!$A$3:$K$1246,9,FALSE()))</f>
        <v>0</v>
      </c>
      <c r="F87" s="180"/>
      <c r="G87" s="134"/>
      <c r="H87" s="180"/>
      <c r="I87" s="114"/>
      <c r="J87" s="115"/>
      <c r="K87" s="114"/>
      <c r="L87" s="113"/>
      <c r="M87" s="113"/>
      <c r="N87" s="114"/>
      <c r="O87" s="115"/>
      <c r="P87" s="114"/>
      <c r="Q87" s="114"/>
      <c r="R87" s="113"/>
      <c r="S87" s="113"/>
      <c r="T87" s="113"/>
      <c r="U87" s="115"/>
      <c r="V87" s="120"/>
      <c r="W87" s="138" t="n">
        <f aca="false">W86*V86</f>
        <v>0</v>
      </c>
      <c r="X87" s="122" t="n">
        <f aca="false">IF(AH86&lt;1000,0,AH86)</f>
        <v>0</v>
      </c>
      <c r="Y87" s="122" t="n">
        <f aca="false">ROUNDDOWN(X87*10%,-1)</f>
        <v>0</v>
      </c>
      <c r="Z87" s="123" t="n">
        <f aca="false">IF(AE86&gt;=8,ROUNDDOWN(Y86*$Q$4,-1),0)</f>
        <v>0</v>
      </c>
      <c r="AA87" s="124"/>
      <c r="AB87" s="125"/>
      <c r="AC87" s="127" t="n">
        <f aca="false">IF(ISERROR(VLOOKUP(C86,일용직명단!$A$3:$I$1226,7,FALSE())),0,VLOOKUP(C86,일용직명단!$A$3:$I$1226,7,FALSE()))</f>
        <v>0</v>
      </c>
      <c r="AD87" s="127"/>
      <c r="AE87" s="128"/>
      <c r="AF87" s="129"/>
      <c r="AG87" s="129"/>
      <c r="AH87" s="130"/>
      <c r="AI87" s="130" t="n">
        <f aca="false">IF($W86*F87&gt;150000,($W86*F87-150000)*6%*45%,0)</f>
        <v>0</v>
      </c>
      <c r="AJ87" s="130" t="n">
        <f aca="false">IF($W86*G87&gt;150000,($W86*G87-150000)*6%*45%,0)</f>
        <v>0</v>
      </c>
      <c r="AK87" s="130" t="n">
        <f aca="false">IF($W86*H87&gt;150000,($W86*H87-150000)*6%*45%,0)</f>
        <v>0</v>
      </c>
      <c r="AL87" s="130" t="n">
        <f aca="false">IF($W86*I87&gt;150000,($W86*I87-150000)*6%*45%,0)</f>
        <v>0</v>
      </c>
      <c r="AM87" s="130" t="n">
        <f aca="false">IF($W86*J87&gt;150000,($W86*J87-150000)*6%*45%,0)</f>
        <v>0</v>
      </c>
      <c r="AN87" s="130" t="n">
        <f aca="false">IF($W86*K87&gt;150000,($W86*K87-150000)*6%*45%,0)</f>
        <v>0</v>
      </c>
      <c r="AO87" s="130" t="n">
        <f aca="false">IF($W86*L87&gt;150000,($W86*L87-150000)*6%*45%,0)</f>
        <v>0</v>
      </c>
      <c r="AP87" s="130" t="n">
        <f aca="false">IF($W86*M87&gt;150000,($W86*M87-150000)*6%*45%,0)</f>
        <v>0</v>
      </c>
      <c r="AQ87" s="130" t="n">
        <f aca="false">IF($W86*N87&gt;150000,($W86*N87-150000)*6%*45%,0)</f>
        <v>0</v>
      </c>
      <c r="AR87" s="130" t="n">
        <f aca="false">IF($W86*O87&gt;150000,($W86*O87-150000)*6%*45%,0)</f>
        <v>0</v>
      </c>
      <c r="AS87" s="130" t="n">
        <f aca="false">IF($W86*P87&gt;150000,($W86*P87-150000)*6%*45%,0)</f>
        <v>0</v>
      </c>
      <c r="AT87" s="130" t="n">
        <f aca="false">IF($W86*Q87&gt;150000,($W86*Q87-150000)*6%*45%,0)</f>
        <v>0</v>
      </c>
      <c r="AU87" s="130" t="n">
        <f aca="false">IF($W86*R87&gt;150000,($W86*R87-150000)*6%*45%,0)</f>
        <v>0</v>
      </c>
      <c r="AV87" s="130" t="n">
        <f aca="false">IF($W86*S87&gt;150000,($W86*S87-150000)*6%*45%,0)</f>
        <v>0</v>
      </c>
      <c r="AW87" s="130" t="n">
        <f aca="false">IF($W86*T87&gt;150000,($W86*T87-150000)*6%*45%,0)</f>
        <v>0</v>
      </c>
      <c r="AX87" s="130" t="n">
        <f aca="false">IF($W86*U87&gt;150000,($W86*U87-150000)*6%*45%,0)</f>
        <v>0</v>
      </c>
      <c r="AY87" s="13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/>
      <c r="GF87" s="11"/>
      <c r="GG87" s="11"/>
      <c r="GH87" s="11"/>
      <c r="GI87" s="11"/>
      <c r="GJ87" s="11"/>
      <c r="GK87" s="11"/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/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/>
      <c r="IS87" s="11"/>
      <c r="IT87" s="11"/>
      <c r="IU87" s="11"/>
      <c r="IV87" s="11"/>
      <c r="IW87" s="11"/>
    </row>
    <row r="88" customFormat="false" ht="13.5" hidden="true" customHeight="true" outlineLevel="0" collapsed="false">
      <c r="A88" s="108" t="n">
        <f aca="false">A86+1</f>
        <v>40</v>
      </c>
      <c r="B88" s="109" t="n">
        <f aca="false">IF(ISERROR(VLOOKUP(C88,일용직명단!$A$3:$I$104,2,FALSE())),0,VLOOKUP(C88,일용직명단!$A$3:$I$104,2,FALSE()))</f>
        <v>0</v>
      </c>
      <c r="C88" s="205"/>
      <c r="D88" s="111" t="n">
        <f aca="false">IF(ISERROR(VLOOKUP(C88,일용직명단!$A$3:$K$1246,3,FALSE())),0,VLOOKUP(C88,일용직명단!$A$3:$K$1246,3,FALSE()))</f>
        <v>0</v>
      </c>
      <c r="E88" s="140" t="n">
        <f aca="false">IF(ISERROR(VLOOKUP(C88,일용직명단!$A$3:$K$1246,4,FALSE())),0,VLOOKUP(C88,일용직명단!$A$3:$K$1246,4,FALSE()))</f>
        <v>0</v>
      </c>
      <c r="F88" s="113"/>
      <c r="G88" s="114"/>
      <c r="H88" s="115"/>
      <c r="I88" s="115"/>
      <c r="J88" s="113"/>
      <c r="K88" s="115"/>
      <c r="L88" s="113"/>
      <c r="M88" s="113"/>
      <c r="N88" s="114"/>
      <c r="O88" s="114"/>
      <c r="P88" s="113"/>
      <c r="Q88" s="114"/>
      <c r="R88" s="115"/>
      <c r="S88" s="114"/>
      <c r="T88" s="115"/>
      <c r="U88" s="119"/>
      <c r="V88" s="120" t="n">
        <f aca="false">SUM(F88:U89)</f>
        <v>0</v>
      </c>
      <c r="W88" s="121" t="n">
        <f aca="false">IF(ISERROR(VLOOKUP(C88,일용직명단!$A$3:$K$1246,8,FALSE())),0,VLOOKUP(C88,일용직명단!$A$3:$K$1246,8,FALSE()))</f>
        <v>0</v>
      </c>
      <c r="X88" s="122" t="n">
        <f aca="false">IFERROR(IF(AG88&gt;=65,0,ROUNDDOWN(W89*$Z$4,-1)),0)</f>
        <v>0</v>
      </c>
      <c r="Y88" s="122" t="n">
        <f aca="false">IF(AE88&gt;=8,ROUNDDOWN(W89*$M$4,-1),0)</f>
        <v>0</v>
      </c>
      <c r="Z88" s="123" t="n">
        <f aca="false">IFERROR(IF(AND(COUNT(F88:U89)&gt;=8,$AG88&lt;60,W89&lt;=5530000),ROUNDDOWN(ROUNDDOWN(W89,-3)*4.5%,-1),IF(AND(COUNT(F88:U89)&gt;=8,AG88&lt;60,W89&gt;5530000),248850,0)),0)</f>
        <v>0</v>
      </c>
      <c r="AA88" s="124" t="n">
        <f aca="false">+X88+Y88+X89+Y89+Z88+Z89</f>
        <v>0</v>
      </c>
      <c r="AB88" s="125" t="n">
        <f aca="false">W89-AA88</f>
        <v>0</v>
      </c>
      <c r="AC88" s="126" t="n">
        <f aca="false">IF(ISERROR(VLOOKUP(C88,일용직명단!$A$3:$I$1226,5,FALSE())),0,VLOOKUP(C88,일용직명단!$A$3:$I$1226,5,FALSE()))</f>
        <v>0</v>
      </c>
      <c r="AD88" s="127" t="n">
        <f aca="false">IF(ISERROR(VLOOKUP(C88,일용직명단!$A$3:$I$1226,6,FALSE())),0,VLOOKUP(C88,일용직명단!$A$3:$I$1226,6,FALSE()))</f>
        <v>0</v>
      </c>
      <c r="AE88" s="141" t="n">
        <f aca="false">COUNT(F88:U89)</f>
        <v>0</v>
      </c>
      <c r="AF88" s="129" t="str">
        <f aca="false">IF(OR(MID(D88,8,1)="1",MID(D88,8,1)="2"),19&amp;LEFT(D88,2),20&amp;LEFT(D88,2))&amp;"-"&amp;MID(D88,3,2)&amp;"-"&amp;MID(D88,5,2)</f>
        <v>200--</v>
      </c>
      <c r="AG88" s="129" t="e">
        <f aca="true">INT((TODAY()-AF88)/365.25)</f>
        <v>#VALUE!</v>
      </c>
      <c r="AH88" s="130" t="n">
        <f aca="false">ROUNDDOWN(SUM(AI88:AX89),-1)</f>
        <v>0</v>
      </c>
      <c r="AI88" s="130" t="n">
        <f aca="false">IF($W88*F88&gt;150000,($W88*F88-150000)*6%*45%,0)</f>
        <v>0</v>
      </c>
      <c r="AJ88" s="130" t="n">
        <f aca="false">IF($W88*G88&gt;150000,($W88*G88-150000)*6%*45%,0)</f>
        <v>0</v>
      </c>
      <c r="AK88" s="130" t="n">
        <f aca="false">IF($W88*H88&gt;150000,($W88*H88-150000)*6%*45%,0)</f>
        <v>0</v>
      </c>
      <c r="AL88" s="130" t="n">
        <f aca="false">IF($W88*I88&gt;150000,($W88*I88-150000)*6%*45%,0)</f>
        <v>0</v>
      </c>
      <c r="AM88" s="130" t="n">
        <f aca="false">IF($W88*J88&gt;150000,($W88*J88-150000)*6%*45%,0)</f>
        <v>0</v>
      </c>
      <c r="AN88" s="130" t="n">
        <f aca="false">IF($W88*K88&gt;150000,($W88*K88-150000)*6%*45%,0)</f>
        <v>0</v>
      </c>
      <c r="AO88" s="130" t="n">
        <f aca="false">IF($W88*L88&gt;150000,($W88*L88-150000)*6%*45%,0)</f>
        <v>0</v>
      </c>
      <c r="AP88" s="130" t="n">
        <f aca="false">IF($W88*M88&gt;150000,($W88*M88-150000)*6%*45%,0)</f>
        <v>0</v>
      </c>
      <c r="AQ88" s="130" t="n">
        <f aca="false">IF($W88*N88&gt;150000,($W88*N88-150000)*6%*45%,0)</f>
        <v>0</v>
      </c>
      <c r="AR88" s="130" t="n">
        <f aca="false">IF($W88*O88&gt;150000,($W88*O88-150000)*6%*45%,0)</f>
        <v>0</v>
      </c>
      <c r="AS88" s="130" t="n">
        <f aca="false">IF($W88*P88&gt;150000,($W88*P88-150000)*6%*45%,0)</f>
        <v>0</v>
      </c>
      <c r="AT88" s="130" t="n">
        <f aca="false">IF($W88*Q88&gt;150000,($W88*Q88-150000)*6%*45%,0)</f>
        <v>0</v>
      </c>
      <c r="AU88" s="130" t="n">
        <f aca="false">IF($W88*R88&gt;150000,($W88*R88-150000)*6%*45%,0)</f>
        <v>0</v>
      </c>
      <c r="AV88" s="130" t="n">
        <f aca="false">IF($W88*S88&gt;150000,($W88*S88-150000)*6%*45%,0)</f>
        <v>0</v>
      </c>
      <c r="AW88" s="130" t="n">
        <f aca="false">IF($W88*T88&gt;150000,($W88*T88-150000)*6%*45%,0)</f>
        <v>0</v>
      </c>
      <c r="AX88" s="130"/>
      <c r="AY88" s="131" t="n">
        <f aca="false">IF(ISERROR(VLOOKUP(C88,[26]일용직명단!$A$3:$M$1151,11,FALSE())),0,VLOOKUP(C88,[26]일용직명단!$A$3:$M$1151,11,FALSE()))</f>
        <v>0</v>
      </c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/>
      <c r="GC88" s="11"/>
      <c r="GD88" s="11"/>
      <c r="GE88" s="11"/>
      <c r="GF88" s="11"/>
      <c r="GG88" s="11"/>
      <c r="GH88" s="11"/>
      <c r="GI88" s="11"/>
      <c r="GJ88" s="11"/>
      <c r="GK88" s="11"/>
      <c r="GL88" s="11"/>
      <c r="GM88" s="11"/>
      <c r="GN88" s="11"/>
      <c r="GO88" s="11"/>
      <c r="GP88" s="11"/>
      <c r="GQ88" s="11"/>
      <c r="GR88" s="11"/>
      <c r="GS88" s="11"/>
      <c r="GT88" s="11"/>
      <c r="GU88" s="11"/>
      <c r="GV88" s="11"/>
      <c r="GW88" s="11"/>
      <c r="GX88" s="11"/>
      <c r="GY88" s="11"/>
      <c r="GZ88" s="11"/>
      <c r="HA88" s="11"/>
      <c r="HB88" s="11"/>
      <c r="HC88" s="11"/>
      <c r="HD88" s="11"/>
      <c r="HE88" s="11"/>
      <c r="HF88" s="11"/>
      <c r="HG88" s="11"/>
      <c r="HH88" s="11"/>
      <c r="HI88" s="11"/>
      <c r="HJ88" s="11"/>
      <c r="HK88" s="11"/>
      <c r="HL88" s="11"/>
      <c r="HM88" s="11"/>
      <c r="HN88" s="11"/>
      <c r="HO88" s="11"/>
      <c r="HP88" s="11"/>
      <c r="HQ88" s="11"/>
      <c r="HR88" s="11"/>
      <c r="HS88" s="11"/>
      <c r="HT88" s="11"/>
      <c r="HU88" s="11"/>
      <c r="HV88" s="11"/>
      <c r="HW88" s="11"/>
      <c r="HX88" s="11"/>
      <c r="HY88" s="11"/>
      <c r="HZ88" s="11"/>
      <c r="IA88" s="11"/>
      <c r="IB88" s="11"/>
      <c r="IC88" s="11"/>
      <c r="ID88" s="11"/>
      <c r="IE88" s="11"/>
      <c r="IF88" s="11"/>
      <c r="IG88" s="11"/>
      <c r="IH88" s="11"/>
      <c r="II88" s="11"/>
      <c r="IJ88" s="11"/>
      <c r="IK88" s="11"/>
      <c r="IL88" s="11"/>
      <c r="IM88" s="11"/>
      <c r="IN88" s="11"/>
      <c r="IO88" s="11"/>
      <c r="IP88" s="11"/>
      <c r="IQ88" s="11"/>
      <c r="IR88" s="11"/>
      <c r="IS88" s="11"/>
      <c r="IT88" s="11"/>
      <c r="IU88" s="11"/>
      <c r="IV88" s="11"/>
      <c r="IW88" s="11"/>
    </row>
    <row r="89" customFormat="false" ht="13.5" hidden="true" customHeight="true" outlineLevel="0" collapsed="false">
      <c r="A89" s="108"/>
      <c r="B89" s="109"/>
      <c r="C89" s="205"/>
      <c r="D89" s="111"/>
      <c r="E89" s="140" t="n">
        <f aca="false">IF(ISERROR(VLOOKUP(C88,일용직명단!$A$3:$K$1246,9,FALSE())),0,VLOOKUP(C88,일용직명단!$A$3:$K$1246,9,FALSE()))</f>
        <v>0</v>
      </c>
      <c r="F89" s="180"/>
      <c r="G89" s="134"/>
      <c r="H89" s="180"/>
      <c r="I89" s="114"/>
      <c r="J89" s="115"/>
      <c r="K89" s="114"/>
      <c r="L89" s="113"/>
      <c r="M89" s="113"/>
      <c r="N89" s="114"/>
      <c r="O89" s="115"/>
      <c r="P89" s="114"/>
      <c r="Q89" s="114"/>
      <c r="R89" s="113"/>
      <c r="S89" s="113"/>
      <c r="T89" s="113"/>
      <c r="U89" s="115"/>
      <c r="V89" s="120"/>
      <c r="W89" s="138" t="n">
        <f aca="false">W88*V88</f>
        <v>0</v>
      </c>
      <c r="X89" s="122" t="n">
        <f aca="false">IF(AH88&lt;1000,0,AH88)</f>
        <v>0</v>
      </c>
      <c r="Y89" s="122" t="n">
        <f aca="false">ROUNDDOWN(X89*10%,-1)</f>
        <v>0</v>
      </c>
      <c r="Z89" s="123" t="n">
        <f aca="false">IF(AE88&gt;=8,ROUNDDOWN(Y88*$Q$4,-1),0)</f>
        <v>0</v>
      </c>
      <c r="AA89" s="124"/>
      <c r="AB89" s="125"/>
      <c r="AC89" s="127" t="n">
        <f aca="false">IF(ISERROR(VLOOKUP(C88,일용직명단!$A$3:$I$1226,7,FALSE())),0,VLOOKUP(C88,일용직명단!$A$3:$I$1226,7,FALSE()))</f>
        <v>0</v>
      </c>
      <c r="AD89" s="127"/>
      <c r="AE89" s="141"/>
      <c r="AF89" s="129"/>
      <c r="AG89" s="129"/>
      <c r="AH89" s="130"/>
      <c r="AI89" s="130" t="n">
        <f aca="false">IF($W88*F89&gt;150000,($W88*F89-150000)*6%*45%,0)</f>
        <v>0</v>
      </c>
      <c r="AJ89" s="130" t="n">
        <f aca="false">IF($W88*G89&gt;150000,($W88*G89-150000)*6%*45%,0)</f>
        <v>0</v>
      </c>
      <c r="AK89" s="130" t="n">
        <f aca="false">IF($W88*H89&gt;150000,($W88*H89-150000)*6%*45%,0)</f>
        <v>0</v>
      </c>
      <c r="AL89" s="130" t="n">
        <f aca="false">IF($W88*I89&gt;150000,($W88*I89-150000)*6%*45%,0)</f>
        <v>0</v>
      </c>
      <c r="AM89" s="130" t="n">
        <f aca="false">IF($W88*J89&gt;150000,($W88*J89-150000)*6%*45%,0)</f>
        <v>0</v>
      </c>
      <c r="AN89" s="130" t="n">
        <f aca="false">IF($W88*K89&gt;150000,($W88*K89-150000)*6%*45%,0)</f>
        <v>0</v>
      </c>
      <c r="AO89" s="130" t="n">
        <f aca="false">IF($W88*L89&gt;150000,($W88*L89-150000)*6%*45%,0)</f>
        <v>0</v>
      </c>
      <c r="AP89" s="130" t="n">
        <f aca="false">IF($W88*M89&gt;150000,($W88*M89-150000)*6%*45%,0)</f>
        <v>0</v>
      </c>
      <c r="AQ89" s="130" t="n">
        <f aca="false">IF($W88*N89&gt;150000,($W88*N89-150000)*6%*45%,0)</f>
        <v>0</v>
      </c>
      <c r="AR89" s="130" t="n">
        <f aca="false">IF($W88*O89&gt;150000,($W88*O89-150000)*6%*45%,0)</f>
        <v>0</v>
      </c>
      <c r="AS89" s="130" t="n">
        <f aca="false">IF($W88*P89&gt;150000,($W88*P89-150000)*6%*45%,0)</f>
        <v>0</v>
      </c>
      <c r="AT89" s="130" t="n">
        <f aca="false">IF($W88*Q89&gt;150000,($W88*Q89-150000)*6%*45%,0)</f>
        <v>0</v>
      </c>
      <c r="AU89" s="130" t="n">
        <f aca="false">IF($W88*R89&gt;150000,($W88*R89-150000)*6%*45%,0)</f>
        <v>0</v>
      </c>
      <c r="AV89" s="130" t="n">
        <f aca="false">IF($W88*S89&gt;150000,($W88*S89-150000)*6%*45%,0)</f>
        <v>0</v>
      </c>
      <c r="AW89" s="130" t="n">
        <f aca="false">IF($W88*T89&gt;150000,($W88*T89-150000)*6%*45%,0)</f>
        <v>0</v>
      </c>
      <c r="AX89" s="130" t="n">
        <f aca="false">IF($W88*U89&gt;150000,($W88*U89-150000)*6%*45%,0)</f>
        <v>0</v>
      </c>
      <c r="AY89" s="13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/>
      <c r="GD89" s="11"/>
      <c r="GE89" s="11"/>
      <c r="GF89" s="11"/>
      <c r="GG89" s="11"/>
      <c r="GH89" s="11"/>
      <c r="GI89" s="11"/>
      <c r="GJ89" s="11"/>
      <c r="GK89" s="11"/>
      <c r="GL89" s="11"/>
      <c r="GM89" s="11"/>
      <c r="GN89" s="11"/>
      <c r="GO89" s="11"/>
      <c r="GP89" s="11"/>
      <c r="GQ89" s="11"/>
      <c r="GR89" s="11"/>
      <c r="GS89" s="11"/>
      <c r="GT89" s="11"/>
      <c r="GU89" s="11"/>
      <c r="GV89" s="11"/>
      <c r="GW89" s="11"/>
      <c r="GX89" s="11"/>
      <c r="GY89" s="11"/>
      <c r="GZ89" s="11"/>
      <c r="HA89" s="11"/>
      <c r="HB89" s="11"/>
      <c r="HC89" s="11"/>
      <c r="HD89" s="11"/>
      <c r="HE89" s="11"/>
      <c r="HF89" s="11"/>
      <c r="HG89" s="11"/>
      <c r="HH89" s="11"/>
      <c r="HI89" s="11"/>
      <c r="HJ89" s="11"/>
      <c r="HK89" s="11"/>
      <c r="HL89" s="11"/>
      <c r="HM89" s="11"/>
      <c r="HN89" s="11"/>
      <c r="HO89" s="11"/>
      <c r="HP89" s="11"/>
      <c r="HQ89" s="11"/>
      <c r="HR89" s="11"/>
      <c r="HS89" s="11"/>
      <c r="HT89" s="11"/>
      <c r="HU89" s="11"/>
      <c r="HV89" s="11"/>
      <c r="HW89" s="11"/>
      <c r="HX89" s="11"/>
      <c r="HY89" s="11"/>
      <c r="HZ89" s="11"/>
      <c r="IA89" s="11"/>
      <c r="IB89" s="11"/>
      <c r="IC89" s="11"/>
      <c r="ID89" s="11"/>
      <c r="IE89" s="11"/>
      <c r="IF89" s="11"/>
      <c r="IG89" s="11"/>
      <c r="IH89" s="11"/>
      <c r="II89" s="11"/>
      <c r="IJ89" s="11"/>
      <c r="IK89" s="11"/>
      <c r="IL89" s="11"/>
      <c r="IM89" s="11"/>
      <c r="IN89" s="11"/>
      <c r="IO89" s="11"/>
      <c r="IP89" s="11"/>
      <c r="IQ89" s="11"/>
      <c r="IR89" s="11"/>
      <c r="IS89" s="11"/>
      <c r="IT89" s="11"/>
      <c r="IU89" s="11"/>
      <c r="IV89" s="11"/>
      <c r="IW89" s="11"/>
    </row>
    <row r="90" customFormat="false" ht="13.5" hidden="true" customHeight="true" outlineLevel="0" collapsed="false">
      <c r="A90" s="108" t="n">
        <f aca="false">A88+1</f>
        <v>41</v>
      </c>
      <c r="B90" s="142"/>
      <c r="C90" s="204"/>
      <c r="D90" s="111" t="n">
        <f aca="false">IF(ISERROR(VLOOKUP(C90,일용직명단!$A$3:$K$1246,3,FALSE())),0,VLOOKUP(C90,일용직명단!$A$3:$K$1246,3,FALSE()))</f>
        <v>0</v>
      </c>
      <c r="E90" s="140" t="n">
        <f aca="false">IF(ISERROR(VLOOKUP(C90,일용직명단!$A$3:$K$1246,4,FALSE())),0,VLOOKUP(C90,일용직명단!$A$3:$K$1246,4,FALSE()))</f>
        <v>0</v>
      </c>
      <c r="F90" s="113"/>
      <c r="G90" s="114"/>
      <c r="H90" s="115"/>
      <c r="I90" s="115"/>
      <c r="J90" s="113"/>
      <c r="K90" s="115"/>
      <c r="L90" s="113"/>
      <c r="M90" s="113"/>
      <c r="N90" s="114"/>
      <c r="O90" s="114"/>
      <c r="P90" s="113"/>
      <c r="Q90" s="114"/>
      <c r="R90" s="115"/>
      <c r="S90" s="114"/>
      <c r="T90" s="115"/>
      <c r="U90" s="119"/>
      <c r="V90" s="168" t="n">
        <f aca="false">SUM(F90:U91)</f>
        <v>0</v>
      </c>
      <c r="W90" s="121" t="n">
        <f aca="false">IF(ISERROR(VLOOKUP(C90,일용직명단!$A$3:$K$1246,8,FALSE())),0,VLOOKUP(C90,일용직명단!$A$3:$K$1246,8,FALSE()))</f>
        <v>0</v>
      </c>
      <c r="X90" s="123" t="n">
        <f aca="false">IFERROR(IF(AG90&gt;=65,0,ROUNDDOWN(W91*$Z$4,-1)),0)</f>
        <v>0</v>
      </c>
      <c r="Y90" s="123" t="n">
        <f aca="false">IF(AE90&gt;=8,ROUNDDOWN(W91*$M$4,-1),0)</f>
        <v>0</v>
      </c>
      <c r="Z90" s="123" t="n">
        <f aca="false">IFERROR(IF(AND(COUNT(F90:U91)&gt;=8,$AG90&lt;60,W91&lt;=5530000),ROUNDDOWN(ROUNDDOWN(W91,-3)*4.5%,-1),IF(AND(COUNT(F90:U91)&gt;=8,AG90&lt;60,W91&gt;5530000),248850,0)),0)</f>
        <v>0</v>
      </c>
      <c r="AA90" s="145" t="n">
        <f aca="false">+X90+Y90+X91+Y91+Z90+Z91</f>
        <v>0</v>
      </c>
      <c r="AB90" s="146" t="n">
        <f aca="false">W91-AA90</f>
        <v>0</v>
      </c>
      <c r="AC90" s="165" t="n">
        <f aca="false">IF(ISERROR(VLOOKUP(C90,일용직명단!$A$3:$I$1226,5,FALSE())),0,VLOOKUP(C90,일용직명단!$A$3:$I$1226,5,FALSE()))</f>
        <v>0</v>
      </c>
      <c r="AD90" s="166" t="n">
        <f aca="false">IF(ISERROR(VLOOKUP(C90,일용직명단!$A$3:$I$1226,6,FALSE())),0,VLOOKUP(C90,일용직명단!$A$3:$I$1226,6,FALSE()))</f>
        <v>0</v>
      </c>
      <c r="AE90" s="141" t="n">
        <f aca="false">COUNT(F90:U91)</f>
        <v>0</v>
      </c>
      <c r="AF90" s="169" t="str">
        <f aca="false">IF(OR(MID(D90,8,1)="1",MID(D90,8,1)="2"),19&amp;LEFT(D90,2),20&amp;LEFT(D90,2))&amp;"-"&amp;MID(D90,3,2)&amp;"-"&amp;MID(D90,5,2)</f>
        <v>200--</v>
      </c>
      <c r="AG90" s="169" t="e">
        <f aca="true">INT((TODAY()-AF90)/365.25)</f>
        <v>#VALUE!</v>
      </c>
      <c r="AH90" s="130" t="n">
        <f aca="false">ROUNDDOWN(SUM(AI90:AX91),-1)</f>
        <v>0</v>
      </c>
      <c r="AI90" s="130" t="n">
        <f aca="false">IF($W90*F90&gt;150000,($W90*F90-150000)*6%*45%,0)</f>
        <v>0</v>
      </c>
      <c r="AJ90" s="130" t="n">
        <f aca="false">IF($W90*G90&gt;150000,($W90*G90-150000)*6%*45%,0)</f>
        <v>0</v>
      </c>
      <c r="AK90" s="130" t="n">
        <f aca="false">IF($W90*H90&gt;150000,($W90*H90-150000)*6%*45%,0)</f>
        <v>0</v>
      </c>
      <c r="AL90" s="130" t="n">
        <f aca="false">IF($W90*I90&gt;150000,($W90*I90-150000)*6%*45%,0)</f>
        <v>0</v>
      </c>
      <c r="AM90" s="130" t="n">
        <f aca="false">IF($W90*J90&gt;150000,($W90*J90-150000)*6%*45%,0)</f>
        <v>0</v>
      </c>
      <c r="AN90" s="130" t="n">
        <f aca="false">IF($W90*K90&gt;150000,($W90*K90-150000)*6%*45%,0)</f>
        <v>0</v>
      </c>
      <c r="AO90" s="130" t="n">
        <f aca="false">IF($W90*L90&gt;150000,($W90*L90-150000)*6%*45%,0)</f>
        <v>0</v>
      </c>
      <c r="AP90" s="130" t="n">
        <f aca="false">IF($W90*M90&gt;150000,($W90*M90-150000)*6%*45%,0)</f>
        <v>0</v>
      </c>
      <c r="AQ90" s="130" t="n">
        <f aca="false">IF($W90*N90&gt;150000,($W90*N90-150000)*6%*45%,0)</f>
        <v>0</v>
      </c>
      <c r="AR90" s="130" t="n">
        <f aca="false">IF($W90*O90&gt;150000,($W90*O90-150000)*6%*45%,0)</f>
        <v>0</v>
      </c>
      <c r="AS90" s="130" t="n">
        <f aca="false">IF($W90*P90&gt;150000,($W90*P90-150000)*6%*45%,0)</f>
        <v>0</v>
      </c>
      <c r="AT90" s="130" t="n">
        <f aca="false">IF($W90*Q90&gt;150000,($W90*Q90-150000)*6%*45%,0)</f>
        <v>0</v>
      </c>
      <c r="AU90" s="130" t="n">
        <f aca="false">IF($W90*R90&gt;150000,($W90*R90-150000)*6%*45%,0)</f>
        <v>0</v>
      </c>
      <c r="AV90" s="130" t="n">
        <f aca="false">IF($W90*S90&gt;150000,($W90*S90-150000)*6%*45%,0)</f>
        <v>0</v>
      </c>
      <c r="AW90" s="130" t="n">
        <f aca="false">IF($W90*T90&gt;150000,($W90*T90-150000)*6%*45%,0)</f>
        <v>0</v>
      </c>
      <c r="AX90" s="130"/>
      <c r="AY90" s="131" t="n">
        <f aca="false">IF(ISERROR(VLOOKUP(C90,[26]일용직명단!$A$3:$M$1151,11,FALSE())),0,VLOOKUP(C90,[26]일용직명단!$A$3:$M$1151,11,FALSE()))</f>
        <v>0</v>
      </c>
      <c r="AZ90" s="11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</row>
    <row r="91" customFormat="false" ht="13.5" hidden="true" customHeight="true" outlineLevel="0" collapsed="false">
      <c r="A91" s="108"/>
      <c r="B91" s="142"/>
      <c r="C91" s="204"/>
      <c r="D91" s="111"/>
      <c r="E91" s="140" t="n">
        <f aca="false">IF(ISERROR(VLOOKUP(C90,일용직명단!$A$3:$K$1246,9,FALSE())),0,VLOOKUP(C90,일용직명단!$A$3:$K$1246,9,FALSE()))</f>
        <v>0</v>
      </c>
      <c r="F91" s="180"/>
      <c r="G91" s="134"/>
      <c r="H91" s="180"/>
      <c r="I91" s="114"/>
      <c r="J91" s="115"/>
      <c r="K91" s="114"/>
      <c r="L91" s="113"/>
      <c r="M91" s="113"/>
      <c r="N91" s="114"/>
      <c r="O91" s="115"/>
      <c r="P91" s="114"/>
      <c r="Q91" s="114"/>
      <c r="R91" s="113"/>
      <c r="S91" s="113"/>
      <c r="T91" s="113"/>
      <c r="U91" s="115"/>
      <c r="V91" s="168"/>
      <c r="W91" s="138" t="n">
        <f aca="false">W90*V90</f>
        <v>0</v>
      </c>
      <c r="X91" s="123" t="n">
        <f aca="false">IF(AH90&lt;1000,0,AH90)</f>
        <v>0</v>
      </c>
      <c r="Y91" s="123" t="n">
        <f aca="false">ROUNDDOWN(X91*10%,-1)</f>
        <v>0</v>
      </c>
      <c r="Z91" s="123" t="n">
        <f aca="false">IF(AE90&gt;=8,ROUNDDOWN(Y90*$Q$4,-1),0)</f>
        <v>0</v>
      </c>
      <c r="AA91" s="145"/>
      <c r="AB91" s="146"/>
      <c r="AC91" s="166" t="n">
        <f aca="false">IF(ISERROR(VLOOKUP(C90,일용직명단!$A$3:$I$1226,7,FALSE())),0,VLOOKUP(C90,일용직명단!$A$3:$I$1226,7,FALSE()))</f>
        <v>0</v>
      </c>
      <c r="AD91" s="166"/>
      <c r="AE91" s="141"/>
      <c r="AF91" s="169"/>
      <c r="AG91" s="169"/>
      <c r="AH91" s="130"/>
      <c r="AI91" s="130" t="n">
        <f aca="false">IF($W90*F91&gt;150000,($W90*F91-150000)*6%*45%,0)</f>
        <v>0</v>
      </c>
      <c r="AJ91" s="130" t="n">
        <f aca="false">IF($W90*G91&gt;150000,($W90*G91-150000)*6%*45%,0)</f>
        <v>0</v>
      </c>
      <c r="AK91" s="130" t="n">
        <f aca="false">IF($W90*H91&gt;150000,($W90*H91-150000)*6%*45%,0)</f>
        <v>0</v>
      </c>
      <c r="AL91" s="130" t="n">
        <f aca="false">IF($W90*I91&gt;150000,($W90*I91-150000)*6%*45%,0)</f>
        <v>0</v>
      </c>
      <c r="AM91" s="130" t="n">
        <f aca="false">IF($W90*J91&gt;150000,($W90*J91-150000)*6%*45%,0)</f>
        <v>0</v>
      </c>
      <c r="AN91" s="130" t="n">
        <f aca="false">IF($W90*K91&gt;150000,($W90*K91-150000)*6%*45%,0)</f>
        <v>0</v>
      </c>
      <c r="AO91" s="130" t="n">
        <f aca="false">IF($W90*L91&gt;150000,($W90*L91-150000)*6%*45%,0)</f>
        <v>0</v>
      </c>
      <c r="AP91" s="130" t="n">
        <f aca="false">IF($W90*M91&gt;150000,($W90*M91-150000)*6%*45%,0)</f>
        <v>0</v>
      </c>
      <c r="AQ91" s="130" t="n">
        <f aca="false">IF($W90*N91&gt;150000,($W90*N91-150000)*6%*45%,0)</f>
        <v>0</v>
      </c>
      <c r="AR91" s="130" t="n">
        <f aca="false">IF($W90*O91&gt;150000,($W90*O91-150000)*6%*45%,0)</f>
        <v>0</v>
      </c>
      <c r="AS91" s="130" t="n">
        <f aca="false">IF($W90*P91&gt;150000,($W90*P91-150000)*6%*45%,0)</f>
        <v>0</v>
      </c>
      <c r="AT91" s="130" t="n">
        <f aca="false">IF($W90*Q91&gt;150000,($W90*Q91-150000)*6%*45%,0)</f>
        <v>0</v>
      </c>
      <c r="AU91" s="130" t="n">
        <f aca="false">IF($W90*R91&gt;150000,($W90*R91-150000)*6%*45%,0)</f>
        <v>0</v>
      </c>
      <c r="AV91" s="130" t="n">
        <f aca="false">IF($W90*S91&gt;150000,($W90*S91-150000)*6%*45%,0)</f>
        <v>0</v>
      </c>
      <c r="AW91" s="130" t="n">
        <f aca="false">IF($W90*T91&gt;150000,($W90*T91-150000)*6%*45%,0)</f>
        <v>0</v>
      </c>
      <c r="AX91" s="130" t="n">
        <f aca="false">IF($W90*U91&gt;150000,($W90*U91-150000)*6%*45%,0)</f>
        <v>0</v>
      </c>
      <c r="AY91" s="131"/>
      <c r="AZ91" s="11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</row>
    <row r="92" customFormat="false" ht="13.5" hidden="true" customHeight="true" outlineLevel="0" collapsed="false">
      <c r="A92" s="108" t="n">
        <f aca="false">A90+1</f>
        <v>42</v>
      </c>
      <c r="B92" s="109" t="n">
        <f aca="false">IF(ISERROR(VLOOKUP(C92,일용직명단!$A$3:$I$104,2,FALSE())),0,VLOOKUP(C92,일용직명단!$A$3:$I$104,2,FALSE()))</f>
        <v>0</v>
      </c>
      <c r="C92" s="204"/>
      <c r="D92" s="111" t="n">
        <f aca="false">IF(ISERROR(VLOOKUP(C92,일용직명단!$A$3:$K$1246,3,FALSE())),0,VLOOKUP(C92,일용직명단!$A$3:$K$1246,3,FALSE()))</f>
        <v>0</v>
      </c>
      <c r="E92" s="112" t="n">
        <f aca="false">IF(ISERROR(VLOOKUP(C92,일용직명단!$A$3:$K$1246,4,FALSE())),0,VLOOKUP(C92,일용직명단!$A$3:$K$1246,4,FALSE()))</f>
        <v>0</v>
      </c>
      <c r="F92" s="113"/>
      <c r="G92" s="114"/>
      <c r="H92" s="115"/>
      <c r="I92" s="115"/>
      <c r="J92" s="113"/>
      <c r="K92" s="115"/>
      <c r="L92" s="113"/>
      <c r="M92" s="113"/>
      <c r="N92" s="114"/>
      <c r="O92" s="114"/>
      <c r="P92" s="113"/>
      <c r="Q92" s="114"/>
      <c r="R92" s="115"/>
      <c r="S92" s="114"/>
      <c r="T92" s="115"/>
      <c r="U92" s="119"/>
      <c r="V92" s="120" t="n">
        <f aca="false">SUM(F92:U93)</f>
        <v>0</v>
      </c>
      <c r="W92" s="121" t="n">
        <f aca="false">IF(ISERROR(VLOOKUP(C92,일용직명단!$A$3:$K$1246,8,FALSE())),0,VLOOKUP(C92,일용직명단!$A$3:$K$1246,8,FALSE()))</f>
        <v>0</v>
      </c>
      <c r="X92" s="122" t="n">
        <f aca="false">IFERROR(IF(AG92&gt;=65,0,ROUNDDOWN(W93*$Z$4,-1)),0)</f>
        <v>0</v>
      </c>
      <c r="Y92" s="122" t="n">
        <f aca="false">IF(AE92&gt;=8,ROUNDDOWN(W93*$M$4,-1),0)</f>
        <v>0</v>
      </c>
      <c r="Z92" s="123" t="n">
        <f aca="false">IFERROR(IF(AND(COUNT(F92:U93)&gt;=8,$AG92&lt;60,W93&lt;=5530000),ROUNDDOWN(ROUNDDOWN(W93,-3)*4.5%,-1),IF(AND(COUNT(F92:U93)&gt;=8,AG92&lt;60,W93&gt;5530000),248850,0)),0)</f>
        <v>0</v>
      </c>
      <c r="AA92" s="124" t="n">
        <f aca="false">+X92+Y92+X93+Y93+Z92+Z93</f>
        <v>0</v>
      </c>
      <c r="AB92" s="125" t="n">
        <f aca="false">W93-AA92</f>
        <v>0</v>
      </c>
      <c r="AC92" s="126" t="n">
        <f aca="false">IF(ISERROR(VLOOKUP(C92,일용직명단!$A$3:$I$1226,5,FALSE())),0,VLOOKUP(C92,일용직명단!$A$3:$I$1226,5,FALSE()))</f>
        <v>0</v>
      </c>
      <c r="AD92" s="127" t="n">
        <f aca="false">IF(ISERROR(VLOOKUP(C92,일용직명단!$A$3:$I$1226,6,FALSE())),0,VLOOKUP(C92,일용직명단!$A$3:$I$1226,6,FALSE()))</f>
        <v>0</v>
      </c>
      <c r="AE92" s="128" t="n">
        <f aca="false">COUNT(F92:U93)</f>
        <v>0</v>
      </c>
      <c r="AF92" s="129" t="str">
        <f aca="false">IF(OR(MID(D92,8,1)="1",MID(D92,8,1)="2"),19&amp;LEFT(D92,2),20&amp;LEFT(D92,2))&amp;"-"&amp;MID(D92,3,2)&amp;"-"&amp;MID(D92,5,2)</f>
        <v>200--</v>
      </c>
      <c r="AG92" s="129" t="e">
        <f aca="true">INT((TODAY()-AF92)/365.25)</f>
        <v>#VALUE!</v>
      </c>
      <c r="AH92" s="130" t="n">
        <f aca="false">ROUNDDOWN(SUM(AI92:AX93),-1)</f>
        <v>0</v>
      </c>
      <c r="AI92" s="130" t="n">
        <f aca="false">IF($W92*F92&gt;150000,($W92*F92-150000)*6%*45%,0)</f>
        <v>0</v>
      </c>
      <c r="AJ92" s="130" t="n">
        <f aca="false">IF($W92*G92&gt;150000,($W92*G92-150000)*6%*45%,0)</f>
        <v>0</v>
      </c>
      <c r="AK92" s="130" t="n">
        <f aca="false">IF($W92*H92&gt;150000,($W92*H92-150000)*6%*45%,0)</f>
        <v>0</v>
      </c>
      <c r="AL92" s="130" t="n">
        <f aca="false">IF($W92*I92&gt;150000,($W92*I92-150000)*6%*45%,0)</f>
        <v>0</v>
      </c>
      <c r="AM92" s="130" t="n">
        <f aca="false">IF($W92*J92&gt;150000,($W92*J92-150000)*6%*45%,0)</f>
        <v>0</v>
      </c>
      <c r="AN92" s="130" t="n">
        <f aca="false">IF($W92*K92&gt;150000,($W92*K92-150000)*6%*45%,0)</f>
        <v>0</v>
      </c>
      <c r="AO92" s="130" t="n">
        <f aca="false">IF($W92*L92&gt;150000,($W92*L92-150000)*6%*45%,0)</f>
        <v>0</v>
      </c>
      <c r="AP92" s="130" t="n">
        <f aca="false">IF($W92*M92&gt;150000,($W92*M92-150000)*6%*45%,0)</f>
        <v>0</v>
      </c>
      <c r="AQ92" s="130" t="n">
        <f aca="false">IF($W92*N92&gt;150000,($W92*N92-150000)*6%*45%,0)</f>
        <v>0</v>
      </c>
      <c r="AR92" s="130" t="n">
        <f aca="false">IF($W92*O92&gt;150000,($W92*O92-150000)*6%*45%,0)</f>
        <v>0</v>
      </c>
      <c r="AS92" s="130" t="n">
        <f aca="false">IF($W92*P92&gt;150000,($W92*P92-150000)*6%*45%,0)</f>
        <v>0</v>
      </c>
      <c r="AT92" s="130" t="n">
        <f aca="false">IF($W92*Q92&gt;150000,($W92*Q92-150000)*6%*45%,0)</f>
        <v>0</v>
      </c>
      <c r="AU92" s="130" t="n">
        <f aca="false">IF($W92*R92&gt;150000,($W92*R92-150000)*6%*45%,0)</f>
        <v>0</v>
      </c>
      <c r="AV92" s="130" t="n">
        <f aca="false">IF($W92*S92&gt;150000,($W92*S92-150000)*6%*45%,0)</f>
        <v>0</v>
      </c>
      <c r="AW92" s="130" t="n">
        <f aca="false">IF($W92*T92&gt;150000,($W92*T92-150000)*6%*45%,0)</f>
        <v>0</v>
      </c>
      <c r="AX92" s="130"/>
      <c r="AY92" s="131" t="n">
        <f aca="false">IF(ISERROR(VLOOKUP(C92,[26]일용직명단!$A$3:$M$1151,11,FALSE())),0,VLOOKUP(C92,[26]일용직명단!$A$3:$M$1151,11,FALSE()))</f>
        <v>0</v>
      </c>
      <c r="AZ92" s="11"/>
      <c r="BA92" s="167"/>
      <c r="BB92" s="167"/>
      <c r="BC92" s="167"/>
      <c r="BD92" s="167"/>
      <c r="BE92" s="167"/>
      <c r="BF92" s="167"/>
      <c r="BG92" s="167"/>
      <c r="BH92" s="167"/>
      <c r="BI92" s="167"/>
      <c r="BJ92" s="167"/>
      <c r="BK92" s="167"/>
      <c r="BL92" s="167"/>
      <c r="BM92" s="167"/>
      <c r="BN92" s="167"/>
      <c r="BO92" s="167"/>
      <c r="BP92" s="167"/>
      <c r="BQ92" s="167"/>
      <c r="BR92" s="167"/>
      <c r="BS92" s="167"/>
      <c r="BT92" s="167"/>
      <c r="BU92" s="167"/>
      <c r="BV92" s="167"/>
      <c r="BW92" s="167"/>
      <c r="BX92" s="167"/>
      <c r="BY92" s="167"/>
      <c r="BZ92" s="167"/>
      <c r="CA92" s="167"/>
      <c r="CB92" s="167"/>
      <c r="CC92" s="167"/>
      <c r="CD92" s="167"/>
      <c r="CE92" s="167"/>
      <c r="CF92" s="167"/>
      <c r="CG92" s="167"/>
      <c r="CH92" s="167"/>
      <c r="CI92" s="167"/>
      <c r="CJ92" s="167"/>
      <c r="CK92" s="167"/>
      <c r="CL92" s="167"/>
      <c r="CM92" s="167"/>
      <c r="CN92" s="167"/>
      <c r="CO92" s="167"/>
      <c r="CP92" s="167"/>
      <c r="CQ92" s="167"/>
      <c r="CR92" s="167"/>
      <c r="CS92" s="167"/>
      <c r="CT92" s="167"/>
      <c r="CU92" s="167"/>
      <c r="CV92" s="167"/>
      <c r="CW92" s="167"/>
      <c r="CX92" s="167"/>
      <c r="CY92" s="167"/>
      <c r="CZ92" s="167"/>
      <c r="DA92" s="167"/>
      <c r="DB92" s="167"/>
      <c r="DC92" s="167"/>
      <c r="DD92" s="167"/>
      <c r="DE92" s="167"/>
      <c r="DF92" s="167"/>
      <c r="DG92" s="167"/>
      <c r="DH92" s="167"/>
      <c r="DI92" s="167"/>
      <c r="DJ92" s="167"/>
      <c r="DK92" s="167"/>
      <c r="DL92" s="167"/>
      <c r="DM92" s="167"/>
      <c r="DN92" s="167"/>
      <c r="DO92" s="167"/>
      <c r="DP92" s="167"/>
      <c r="DQ92" s="167"/>
      <c r="DR92" s="167"/>
      <c r="DS92" s="167"/>
      <c r="DT92" s="167"/>
      <c r="DU92" s="167"/>
      <c r="DV92" s="167"/>
      <c r="DW92" s="167"/>
      <c r="DX92" s="167"/>
      <c r="DY92" s="167"/>
      <c r="DZ92" s="167"/>
      <c r="EA92" s="167"/>
      <c r="EB92" s="167"/>
      <c r="EC92" s="167"/>
      <c r="ED92" s="167"/>
      <c r="EE92" s="167"/>
      <c r="EF92" s="167"/>
      <c r="EG92" s="167"/>
      <c r="EH92" s="167"/>
      <c r="EI92" s="167"/>
      <c r="EJ92" s="167"/>
      <c r="EK92" s="167"/>
      <c r="EL92" s="167"/>
      <c r="EM92" s="167"/>
      <c r="EN92" s="167"/>
      <c r="EO92" s="167"/>
      <c r="EP92" s="167"/>
      <c r="EQ92" s="167"/>
      <c r="ER92" s="167"/>
      <c r="ES92" s="167"/>
      <c r="ET92" s="167"/>
      <c r="EU92" s="167"/>
      <c r="EV92" s="167"/>
      <c r="EW92" s="167"/>
      <c r="EX92" s="167"/>
      <c r="EY92" s="167"/>
      <c r="EZ92" s="167"/>
      <c r="FA92" s="167"/>
      <c r="FB92" s="167"/>
      <c r="FC92" s="167"/>
      <c r="FD92" s="167"/>
      <c r="FE92" s="167"/>
      <c r="FF92" s="167"/>
      <c r="FG92" s="167"/>
      <c r="FH92" s="167"/>
      <c r="FI92" s="167"/>
      <c r="FJ92" s="167"/>
      <c r="FK92" s="167"/>
      <c r="FL92" s="167"/>
      <c r="FM92" s="167"/>
      <c r="FN92" s="167"/>
      <c r="FO92" s="167"/>
      <c r="FP92" s="167"/>
      <c r="FQ92" s="167"/>
      <c r="FR92" s="167"/>
      <c r="FS92" s="167"/>
      <c r="FT92" s="167"/>
      <c r="FU92" s="167"/>
      <c r="FV92" s="167"/>
      <c r="FW92" s="167"/>
      <c r="FX92" s="167"/>
      <c r="FY92" s="167"/>
      <c r="FZ92" s="167"/>
      <c r="GA92" s="167"/>
      <c r="GB92" s="167"/>
      <c r="GC92" s="167"/>
      <c r="GD92" s="167"/>
      <c r="GE92" s="167"/>
      <c r="GF92" s="167"/>
      <c r="GG92" s="167"/>
      <c r="GH92" s="167"/>
      <c r="GI92" s="167"/>
      <c r="GJ92" s="167"/>
      <c r="GK92" s="167"/>
      <c r="GL92" s="167"/>
      <c r="GM92" s="167"/>
      <c r="GN92" s="167"/>
      <c r="GO92" s="167"/>
      <c r="GP92" s="167"/>
      <c r="GQ92" s="167"/>
      <c r="GR92" s="167"/>
      <c r="GS92" s="167"/>
      <c r="GT92" s="167"/>
      <c r="GU92" s="167"/>
      <c r="GV92" s="167"/>
      <c r="GW92" s="167"/>
      <c r="GX92" s="167"/>
      <c r="GY92" s="167"/>
      <c r="GZ92" s="167"/>
      <c r="HA92" s="167"/>
      <c r="HB92" s="167"/>
      <c r="HC92" s="167"/>
      <c r="HD92" s="167"/>
      <c r="HE92" s="167"/>
      <c r="HF92" s="167"/>
      <c r="HG92" s="167"/>
      <c r="HH92" s="167"/>
      <c r="HI92" s="167"/>
      <c r="HJ92" s="167"/>
      <c r="HK92" s="167"/>
      <c r="HL92" s="167"/>
      <c r="HM92" s="167"/>
      <c r="HN92" s="167"/>
      <c r="HO92" s="167"/>
      <c r="HP92" s="167"/>
      <c r="HQ92" s="167"/>
      <c r="HR92" s="167"/>
      <c r="HS92" s="167"/>
      <c r="HT92" s="167"/>
      <c r="HU92" s="167"/>
      <c r="HV92" s="167"/>
      <c r="HW92" s="167"/>
      <c r="HX92" s="167"/>
      <c r="HY92" s="167"/>
      <c r="HZ92" s="167"/>
      <c r="IA92" s="167"/>
      <c r="IB92" s="167"/>
      <c r="IC92" s="167"/>
      <c r="ID92" s="167"/>
      <c r="IE92" s="167"/>
      <c r="IF92" s="167"/>
      <c r="IG92" s="167"/>
      <c r="IH92" s="167"/>
      <c r="II92" s="167"/>
      <c r="IJ92" s="167"/>
      <c r="IK92" s="167"/>
      <c r="IL92" s="167"/>
      <c r="IM92" s="167"/>
      <c r="IN92" s="167"/>
      <c r="IO92" s="167"/>
      <c r="IP92" s="167"/>
      <c r="IQ92" s="167"/>
      <c r="IR92" s="167"/>
      <c r="IS92" s="167"/>
      <c r="IT92" s="167"/>
      <c r="IU92" s="167"/>
      <c r="IV92" s="167"/>
      <c r="IW92" s="167"/>
    </row>
    <row r="93" customFormat="false" ht="13.5" hidden="true" customHeight="true" outlineLevel="0" collapsed="false">
      <c r="A93" s="108"/>
      <c r="B93" s="109"/>
      <c r="C93" s="204"/>
      <c r="D93" s="111"/>
      <c r="E93" s="112" t="n">
        <f aca="false">IF(ISERROR(VLOOKUP(C92,일용직명단!$A$3:$K$1246,9,FALSE())),0,VLOOKUP(C92,일용직명단!$A$3:$K$1246,9,FALSE()))</f>
        <v>0</v>
      </c>
      <c r="F93" s="180"/>
      <c r="G93" s="134"/>
      <c r="H93" s="134"/>
      <c r="I93" s="114"/>
      <c r="J93" s="115"/>
      <c r="K93" s="114"/>
      <c r="L93" s="113"/>
      <c r="M93" s="113"/>
      <c r="N93" s="114"/>
      <c r="O93" s="115"/>
      <c r="P93" s="114"/>
      <c r="Q93" s="114"/>
      <c r="R93" s="113"/>
      <c r="S93" s="113"/>
      <c r="T93" s="113"/>
      <c r="U93" s="115"/>
      <c r="V93" s="120"/>
      <c r="W93" s="138" t="n">
        <f aca="false">W92*V92</f>
        <v>0</v>
      </c>
      <c r="X93" s="122" t="n">
        <f aca="false">IF(AH92&lt;1000,0,AH92)</f>
        <v>0</v>
      </c>
      <c r="Y93" s="122" t="n">
        <f aca="false">ROUNDDOWN(X93*10%,-1)</f>
        <v>0</v>
      </c>
      <c r="Z93" s="123" t="n">
        <f aca="false">IF(AE92&gt;=8,ROUNDDOWN(Y92*$Q$4,-1),0)</f>
        <v>0</v>
      </c>
      <c r="AA93" s="124"/>
      <c r="AB93" s="125"/>
      <c r="AC93" s="127" t="n">
        <f aca="false">IF(ISERROR(VLOOKUP(C92,일용직명단!$A$3:$I$1226,7,FALSE())),0,VLOOKUP(C92,일용직명단!$A$3:$I$1226,7,FALSE()))</f>
        <v>0</v>
      </c>
      <c r="AD93" s="127"/>
      <c r="AE93" s="128"/>
      <c r="AF93" s="129"/>
      <c r="AG93" s="129"/>
      <c r="AH93" s="130"/>
      <c r="AI93" s="130" t="n">
        <f aca="false">IF($W92*F93&gt;150000,($W92*F93-150000)*6%*45%,0)</f>
        <v>0</v>
      </c>
      <c r="AJ93" s="130" t="n">
        <f aca="false">IF($W92*G93&gt;150000,($W92*G93-150000)*6%*45%,0)</f>
        <v>0</v>
      </c>
      <c r="AK93" s="130" t="n">
        <f aca="false">IF($W92*H93&gt;150000,($W92*H93-150000)*6%*45%,0)</f>
        <v>0</v>
      </c>
      <c r="AL93" s="130" t="n">
        <f aca="false">IF($W92*I93&gt;150000,($W92*I93-150000)*6%*45%,0)</f>
        <v>0</v>
      </c>
      <c r="AM93" s="130" t="n">
        <f aca="false">IF($W92*J93&gt;150000,($W92*J93-150000)*6%*45%,0)</f>
        <v>0</v>
      </c>
      <c r="AN93" s="130" t="n">
        <f aca="false">IF($W92*K93&gt;150000,($W92*K93-150000)*6%*45%,0)</f>
        <v>0</v>
      </c>
      <c r="AO93" s="130" t="n">
        <f aca="false">IF($W92*L93&gt;150000,($W92*L93-150000)*6%*45%,0)</f>
        <v>0</v>
      </c>
      <c r="AP93" s="130" t="n">
        <f aca="false">IF($W92*M93&gt;150000,($W92*M93-150000)*6%*45%,0)</f>
        <v>0</v>
      </c>
      <c r="AQ93" s="130" t="n">
        <f aca="false">IF($W92*N93&gt;150000,($W92*N93-150000)*6%*45%,0)</f>
        <v>0</v>
      </c>
      <c r="AR93" s="130" t="n">
        <f aca="false">IF($W92*O93&gt;150000,($W92*O93-150000)*6%*45%,0)</f>
        <v>0</v>
      </c>
      <c r="AS93" s="130" t="n">
        <f aca="false">IF($W92*P93&gt;150000,($W92*P93-150000)*6%*45%,0)</f>
        <v>0</v>
      </c>
      <c r="AT93" s="130" t="n">
        <f aca="false">IF($W92*Q93&gt;150000,($W92*Q93-150000)*6%*45%,0)</f>
        <v>0</v>
      </c>
      <c r="AU93" s="130" t="n">
        <f aca="false">IF($W92*R93&gt;150000,($W92*R93-150000)*6%*45%,0)</f>
        <v>0</v>
      </c>
      <c r="AV93" s="130" t="n">
        <f aca="false">IF($W92*S93&gt;150000,($W92*S93-150000)*6%*45%,0)</f>
        <v>0</v>
      </c>
      <c r="AW93" s="130" t="n">
        <f aca="false">IF($W92*T93&gt;150000,($W92*T93-150000)*6%*45%,0)</f>
        <v>0</v>
      </c>
      <c r="AX93" s="130" t="n">
        <f aca="false">IF($W92*U93&gt;150000,($W92*U93-150000)*6%*45%,0)</f>
        <v>0</v>
      </c>
      <c r="AY93" s="131"/>
      <c r="AZ93" s="11"/>
      <c r="BA93" s="167"/>
      <c r="BB93" s="167"/>
      <c r="BC93" s="167"/>
      <c r="BD93" s="167"/>
      <c r="BE93" s="167"/>
      <c r="BF93" s="167"/>
      <c r="BG93" s="167"/>
      <c r="BH93" s="167"/>
      <c r="BI93" s="167"/>
      <c r="BJ93" s="167"/>
      <c r="BK93" s="167"/>
      <c r="BL93" s="167"/>
      <c r="BM93" s="167"/>
      <c r="BN93" s="167"/>
      <c r="BO93" s="167"/>
      <c r="BP93" s="167"/>
      <c r="BQ93" s="167"/>
      <c r="BR93" s="167"/>
      <c r="BS93" s="167"/>
      <c r="BT93" s="167"/>
      <c r="BU93" s="167"/>
      <c r="BV93" s="167"/>
      <c r="BW93" s="167"/>
      <c r="BX93" s="167"/>
      <c r="BY93" s="167"/>
      <c r="BZ93" s="167"/>
      <c r="CA93" s="167"/>
      <c r="CB93" s="167"/>
      <c r="CC93" s="167"/>
      <c r="CD93" s="167"/>
      <c r="CE93" s="167"/>
      <c r="CF93" s="167"/>
      <c r="CG93" s="167"/>
      <c r="CH93" s="167"/>
      <c r="CI93" s="167"/>
      <c r="CJ93" s="167"/>
      <c r="CK93" s="167"/>
      <c r="CL93" s="167"/>
      <c r="CM93" s="167"/>
      <c r="CN93" s="167"/>
      <c r="CO93" s="167"/>
      <c r="CP93" s="167"/>
      <c r="CQ93" s="167"/>
      <c r="CR93" s="167"/>
      <c r="CS93" s="167"/>
      <c r="CT93" s="167"/>
      <c r="CU93" s="167"/>
      <c r="CV93" s="167"/>
      <c r="CW93" s="167"/>
      <c r="CX93" s="167"/>
      <c r="CY93" s="167"/>
      <c r="CZ93" s="167"/>
      <c r="DA93" s="167"/>
      <c r="DB93" s="167"/>
      <c r="DC93" s="167"/>
      <c r="DD93" s="167"/>
      <c r="DE93" s="167"/>
      <c r="DF93" s="167"/>
      <c r="DG93" s="167"/>
      <c r="DH93" s="167"/>
      <c r="DI93" s="167"/>
      <c r="DJ93" s="167"/>
      <c r="DK93" s="167"/>
      <c r="DL93" s="167"/>
      <c r="DM93" s="167"/>
      <c r="DN93" s="167"/>
      <c r="DO93" s="167"/>
      <c r="DP93" s="167"/>
      <c r="DQ93" s="167"/>
      <c r="DR93" s="167"/>
      <c r="DS93" s="167"/>
      <c r="DT93" s="167"/>
      <c r="DU93" s="167"/>
      <c r="DV93" s="167"/>
      <c r="DW93" s="167"/>
      <c r="DX93" s="167"/>
      <c r="DY93" s="167"/>
      <c r="DZ93" s="167"/>
      <c r="EA93" s="167"/>
      <c r="EB93" s="167"/>
      <c r="EC93" s="167"/>
      <c r="ED93" s="167"/>
      <c r="EE93" s="167"/>
      <c r="EF93" s="167"/>
      <c r="EG93" s="167"/>
      <c r="EH93" s="167"/>
      <c r="EI93" s="167"/>
      <c r="EJ93" s="167"/>
      <c r="EK93" s="167"/>
      <c r="EL93" s="167"/>
      <c r="EM93" s="167"/>
      <c r="EN93" s="167"/>
      <c r="EO93" s="167"/>
      <c r="EP93" s="167"/>
      <c r="EQ93" s="167"/>
      <c r="ER93" s="167"/>
      <c r="ES93" s="167"/>
      <c r="ET93" s="167"/>
      <c r="EU93" s="167"/>
      <c r="EV93" s="167"/>
      <c r="EW93" s="167"/>
      <c r="EX93" s="167"/>
      <c r="EY93" s="167"/>
      <c r="EZ93" s="167"/>
      <c r="FA93" s="167"/>
      <c r="FB93" s="167"/>
      <c r="FC93" s="167"/>
      <c r="FD93" s="167"/>
      <c r="FE93" s="167"/>
      <c r="FF93" s="167"/>
      <c r="FG93" s="167"/>
      <c r="FH93" s="167"/>
      <c r="FI93" s="167"/>
      <c r="FJ93" s="167"/>
      <c r="FK93" s="167"/>
      <c r="FL93" s="167"/>
      <c r="FM93" s="167"/>
      <c r="FN93" s="167"/>
      <c r="FO93" s="167"/>
      <c r="FP93" s="167"/>
      <c r="FQ93" s="167"/>
      <c r="FR93" s="167"/>
      <c r="FS93" s="167"/>
      <c r="FT93" s="167"/>
      <c r="FU93" s="167"/>
      <c r="FV93" s="167"/>
      <c r="FW93" s="167"/>
      <c r="FX93" s="167"/>
      <c r="FY93" s="167"/>
      <c r="FZ93" s="167"/>
      <c r="GA93" s="167"/>
      <c r="GB93" s="167"/>
      <c r="GC93" s="167"/>
      <c r="GD93" s="167"/>
      <c r="GE93" s="167"/>
      <c r="GF93" s="167"/>
      <c r="GG93" s="167"/>
      <c r="GH93" s="167"/>
      <c r="GI93" s="167"/>
      <c r="GJ93" s="167"/>
      <c r="GK93" s="167"/>
      <c r="GL93" s="167"/>
      <c r="GM93" s="167"/>
      <c r="GN93" s="167"/>
      <c r="GO93" s="167"/>
      <c r="GP93" s="167"/>
      <c r="GQ93" s="167"/>
      <c r="GR93" s="167"/>
      <c r="GS93" s="167"/>
      <c r="GT93" s="167"/>
      <c r="GU93" s="167"/>
      <c r="GV93" s="167"/>
      <c r="GW93" s="167"/>
      <c r="GX93" s="167"/>
      <c r="GY93" s="167"/>
      <c r="GZ93" s="167"/>
      <c r="HA93" s="167"/>
      <c r="HB93" s="167"/>
      <c r="HC93" s="167"/>
      <c r="HD93" s="167"/>
      <c r="HE93" s="167"/>
      <c r="HF93" s="167"/>
      <c r="HG93" s="167"/>
      <c r="HH93" s="167"/>
      <c r="HI93" s="167"/>
      <c r="HJ93" s="167"/>
      <c r="HK93" s="167"/>
      <c r="HL93" s="167"/>
      <c r="HM93" s="167"/>
      <c r="HN93" s="167"/>
      <c r="HO93" s="167"/>
      <c r="HP93" s="167"/>
      <c r="HQ93" s="167"/>
      <c r="HR93" s="167"/>
      <c r="HS93" s="167"/>
      <c r="HT93" s="167"/>
      <c r="HU93" s="167"/>
      <c r="HV93" s="167"/>
      <c r="HW93" s="167"/>
      <c r="HX93" s="167"/>
      <c r="HY93" s="167"/>
      <c r="HZ93" s="167"/>
      <c r="IA93" s="167"/>
      <c r="IB93" s="167"/>
      <c r="IC93" s="167"/>
      <c r="ID93" s="167"/>
      <c r="IE93" s="167"/>
      <c r="IF93" s="167"/>
      <c r="IG93" s="167"/>
      <c r="IH93" s="167"/>
      <c r="II93" s="167"/>
      <c r="IJ93" s="167"/>
      <c r="IK93" s="167"/>
      <c r="IL93" s="167"/>
      <c r="IM93" s="167"/>
      <c r="IN93" s="167"/>
      <c r="IO93" s="167"/>
      <c r="IP93" s="167"/>
      <c r="IQ93" s="167"/>
      <c r="IR93" s="167"/>
      <c r="IS93" s="167"/>
      <c r="IT93" s="167"/>
      <c r="IU93" s="167"/>
      <c r="IV93" s="167"/>
      <c r="IW93" s="167"/>
    </row>
    <row r="94" customFormat="false" ht="13.5" hidden="true" customHeight="true" outlineLevel="0" collapsed="false">
      <c r="A94" s="108" t="n">
        <f aca="false">A92+1</f>
        <v>43</v>
      </c>
      <c r="B94" s="109" t="n">
        <f aca="false">IF(ISERROR(VLOOKUP(C94,일용직명단!$A$3:$I$104,2,FALSE())),0,VLOOKUP(C94,일용직명단!$A$3:$I$104,2,FALSE()))</f>
        <v>0</v>
      </c>
      <c r="C94" s="204"/>
      <c r="D94" s="111" t="n">
        <f aca="false">IF(ISERROR(VLOOKUP(C94,일용직명단!$A$3:$K$1246,3,FALSE())),0,VLOOKUP(C94,일용직명단!$A$3:$K$1246,3,FALSE()))</f>
        <v>0</v>
      </c>
      <c r="E94" s="164" t="n">
        <f aca="false">IF(ISERROR(VLOOKUP(C94,일용직명단!$A$3:$K$1246,4,FALSE())),0,VLOOKUP(C94,일용직명단!$A$3:$K$1246,4,FALSE()))</f>
        <v>0</v>
      </c>
      <c r="F94" s="113"/>
      <c r="G94" s="114"/>
      <c r="H94" s="115"/>
      <c r="I94" s="115"/>
      <c r="J94" s="113"/>
      <c r="K94" s="115"/>
      <c r="L94" s="113"/>
      <c r="M94" s="113"/>
      <c r="N94" s="114"/>
      <c r="O94" s="114"/>
      <c r="P94" s="113"/>
      <c r="Q94" s="114"/>
      <c r="R94" s="115"/>
      <c r="S94" s="114"/>
      <c r="T94" s="115"/>
      <c r="U94" s="119"/>
      <c r="V94" s="144" t="n">
        <f aca="false">SUM(F94:U95)</f>
        <v>0</v>
      </c>
      <c r="W94" s="121" t="n">
        <f aca="false">IF(ISERROR(VLOOKUP(C94,일용직명단!$A$3:$K$1246,8,FALSE())),0,VLOOKUP(C94,일용직명단!$A$3:$K$1246,8,FALSE()))</f>
        <v>0</v>
      </c>
      <c r="X94" s="123" t="n">
        <f aca="false">IFERROR(IF(AG94&gt;=65,0,ROUNDDOWN(W95*$Z$4,-1)),0)</f>
        <v>0</v>
      </c>
      <c r="Y94" s="123" t="n">
        <f aca="false">IF(AE94&gt;=8,ROUNDDOWN(W95*$M$4,-1),0)</f>
        <v>0</v>
      </c>
      <c r="Z94" s="123" t="n">
        <f aca="false">IFERROR(IF(AND(COUNT(F94:U95)&gt;=8,$AG94&lt;60,W95&lt;=5530000),ROUNDDOWN(ROUNDDOWN(W95,-3)*4.5%,-1),IF(AND(COUNT(F94:U95)&gt;=8,AG94&lt;60,W95&gt;5530000),248850,0)),0)</f>
        <v>0</v>
      </c>
      <c r="AA94" s="145" t="n">
        <f aca="false">+X94+Y94+X95+Y95+Z94+Z95</f>
        <v>0</v>
      </c>
      <c r="AB94" s="146" t="n">
        <f aca="false">W95-AA94</f>
        <v>0</v>
      </c>
      <c r="AC94" s="147" t="n">
        <f aca="false">IF(ISERROR(VLOOKUP(C94,일용직명단!$A$3:$I$1226,5,FALSE())),0,VLOOKUP(C94,일용직명단!$A$3:$I$1226,5,FALSE()))</f>
        <v>0</v>
      </c>
      <c r="AD94" s="148" t="n">
        <f aca="false">IF(ISERROR(VLOOKUP(C94,일용직명단!$A$3:$I$1226,6,FALSE())),0,VLOOKUP(C94,일용직명단!$A$3:$I$1226,6,FALSE()))</f>
        <v>0</v>
      </c>
      <c r="AE94" s="128" t="n">
        <f aca="false">COUNT(F94:U95)</f>
        <v>0</v>
      </c>
      <c r="AF94" s="129" t="str">
        <f aca="false">IF(OR(MID(D94,8,1)="1",MID(D94,8,1)="2"),19&amp;LEFT(D94,2),20&amp;LEFT(D94,2))&amp;"-"&amp;MID(D94,3,2)&amp;"-"&amp;MID(D94,5,2)</f>
        <v>200--</v>
      </c>
      <c r="AG94" s="129" t="e">
        <f aca="true">INT((TODAY()-AF94)/365.25)</f>
        <v>#VALUE!</v>
      </c>
      <c r="AH94" s="130" t="n">
        <f aca="false">ROUNDDOWN(SUM(AI94:AX95),-1)</f>
        <v>0</v>
      </c>
      <c r="AI94" s="130" t="n">
        <f aca="false">IF($W94*F94&gt;150000,($W94*F94-150000)*6%*45%,0)</f>
        <v>0</v>
      </c>
      <c r="AJ94" s="130" t="n">
        <f aca="false">IF($W94*G94&gt;150000,($W94*G94-150000)*6%*45%,0)</f>
        <v>0</v>
      </c>
      <c r="AK94" s="130" t="n">
        <f aca="false">IF($W94*H94&gt;150000,($W94*H94-150000)*6%*45%,0)</f>
        <v>0</v>
      </c>
      <c r="AL94" s="130" t="n">
        <f aca="false">IF($W94*I94&gt;150000,($W94*I94-150000)*6%*45%,0)</f>
        <v>0</v>
      </c>
      <c r="AM94" s="130" t="n">
        <f aca="false">IF($W94*J94&gt;150000,($W94*J94-150000)*6%*45%,0)</f>
        <v>0</v>
      </c>
      <c r="AN94" s="130" t="n">
        <f aca="false">IF($W94*K94&gt;150000,($W94*K94-150000)*6%*45%,0)</f>
        <v>0</v>
      </c>
      <c r="AO94" s="130" t="n">
        <f aca="false">IF($W94*L94&gt;150000,($W94*L94-150000)*6%*45%,0)</f>
        <v>0</v>
      </c>
      <c r="AP94" s="130" t="n">
        <f aca="false">IF($W94*M94&gt;150000,($W94*M94-150000)*6%*45%,0)</f>
        <v>0</v>
      </c>
      <c r="AQ94" s="130" t="n">
        <f aca="false">IF($W94*N94&gt;150000,($W94*N94-150000)*6%*45%,0)</f>
        <v>0</v>
      </c>
      <c r="AR94" s="130" t="n">
        <f aca="false">IF($W94*O94&gt;150000,($W94*O94-150000)*6%*45%,0)</f>
        <v>0</v>
      </c>
      <c r="AS94" s="130" t="n">
        <f aca="false">IF($W94*P94&gt;150000,($W94*P94-150000)*6%*45%,0)</f>
        <v>0</v>
      </c>
      <c r="AT94" s="130" t="n">
        <f aca="false">IF($W94*Q94&gt;150000,($W94*Q94-150000)*6%*45%,0)</f>
        <v>0</v>
      </c>
      <c r="AU94" s="130" t="n">
        <f aca="false">IF($W94*R94&gt;150000,($W94*R94-150000)*6%*45%,0)</f>
        <v>0</v>
      </c>
      <c r="AV94" s="130" t="n">
        <f aca="false">IF($W94*S94&gt;150000,($W94*S94-150000)*6%*45%,0)</f>
        <v>0</v>
      </c>
      <c r="AW94" s="130" t="n">
        <f aca="false">IF($W94*T94&gt;150000,($W94*T94-150000)*6%*45%,0)</f>
        <v>0</v>
      </c>
      <c r="AX94" s="130"/>
      <c r="AY94" s="131" t="n">
        <f aca="false">IF(ISERROR(VLOOKUP(C94,[26]일용직명단!$A$3:$M$1151,11,FALSE())),0,VLOOKUP(C94,[26]일용직명단!$A$3:$M$1151,11,FALSE()))</f>
        <v>0</v>
      </c>
      <c r="AZ94" s="11"/>
      <c r="BA94" s="167"/>
      <c r="BB94" s="167"/>
      <c r="BC94" s="167"/>
      <c r="BD94" s="167"/>
      <c r="BE94" s="167"/>
      <c r="BF94" s="167"/>
      <c r="BG94" s="167"/>
      <c r="BH94" s="167"/>
      <c r="BI94" s="167"/>
      <c r="BJ94" s="167"/>
      <c r="BK94" s="167"/>
      <c r="BL94" s="167"/>
      <c r="BM94" s="167"/>
      <c r="BN94" s="167"/>
      <c r="BO94" s="167"/>
      <c r="BP94" s="167"/>
      <c r="BQ94" s="167"/>
      <c r="BR94" s="167"/>
      <c r="BS94" s="167"/>
      <c r="BT94" s="167"/>
      <c r="BU94" s="167"/>
      <c r="BV94" s="167"/>
      <c r="BW94" s="167"/>
      <c r="BX94" s="167"/>
      <c r="BY94" s="167"/>
      <c r="BZ94" s="167"/>
      <c r="CA94" s="167"/>
      <c r="CB94" s="167"/>
      <c r="CC94" s="167"/>
      <c r="CD94" s="167"/>
      <c r="CE94" s="167"/>
      <c r="CF94" s="167"/>
      <c r="CG94" s="167"/>
      <c r="CH94" s="167"/>
      <c r="CI94" s="167"/>
      <c r="CJ94" s="167"/>
      <c r="CK94" s="167"/>
      <c r="CL94" s="167"/>
      <c r="CM94" s="167"/>
      <c r="CN94" s="167"/>
      <c r="CO94" s="167"/>
      <c r="CP94" s="167"/>
      <c r="CQ94" s="167"/>
      <c r="CR94" s="167"/>
      <c r="CS94" s="167"/>
      <c r="CT94" s="167"/>
      <c r="CU94" s="167"/>
      <c r="CV94" s="167"/>
      <c r="CW94" s="167"/>
      <c r="CX94" s="167"/>
      <c r="CY94" s="167"/>
      <c r="CZ94" s="167"/>
      <c r="DA94" s="167"/>
      <c r="DB94" s="167"/>
      <c r="DC94" s="167"/>
      <c r="DD94" s="167"/>
      <c r="DE94" s="167"/>
      <c r="DF94" s="167"/>
      <c r="DG94" s="167"/>
      <c r="DH94" s="167"/>
      <c r="DI94" s="167"/>
      <c r="DJ94" s="167"/>
      <c r="DK94" s="167"/>
      <c r="DL94" s="167"/>
      <c r="DM94" s="167"/>
      <c r="DN94" s="167"/>
      <c r="DO94" s="167"/>
      <c r="DP94" s="167"/>
      <c r="DQ94" s="167"/>
      <c r="DR94" s="167"/>
      <c r="DS94" s="167"/>
      <c r="DT94" s="167"/>
      <c r="DU94" s="167"/>
      <c r="DV94" s="167"/>
      <c r="DW94" s="167"/>
      <c r="DX94" s="167"/>
      <c r="DY94" s="167"/>
      <c r="DZ94" s="167"/>
      <c r="EA94" s="167"/>
      <c r="EB94" s="167"/>
      <c r="EC94" s="167"/>
      <c r="ED94" s="167"/>
      <c r="EE94" s="167"/>
      <c r="EF94" s="167"/>
      <c r="EG94" s="167"/>
      <c r="EH94" s="167"/>
      <c r="EI94" s="167"/>
      <c r="EJ94" s="167"/>
      <c r="EK94" s="167"/>
      <c r="EL94" s="167"/>
      <c r="EM94" s="167"/>
      <c r="EN94" s="167"/>
      <c r="EO94" s="167"/>
      <c r="EP94" s="167"/>
      <c r="EQ94" s="167"/>
      <c r="ER94" s="167"/>
      <c r="ES94" s="167"/>
      <c r="ET94" s="167"/>
      <c r="EU94" s="167"/>
      <c r="EV94" s="167"/>
      <c r="EW94" s="167"/>
      <c r="EX94" s="167"/>
      <c r="EY94" s="167"/>
      <c r="EZ94" s="167"/>
      <c r="FA94" s="167"/>
      <c r="FB94" s="167"/>
      <c r="FC94" s="167"/>
      <c r="FD94" s="167"/>
      <c r="FE94" s="167"/>
      <c r="FF94" s="167"/>
      <c r="FG94" s="167"/>
      <c r="FH94" s="167"/>
      <c r="FI94" s="167"/>
      <c r="FJ94" s="167"/>
      <c r="FK94" s="167"/>
      <c r="FL94" s="167"/>
      <c r="FM94" s="167"/>
      <c r="FN94" s="167"/>
      <c r="FO94" s="167"/>
      <c r="FP94" s="167"/>
      <c r="FQ94" s="167"/>
      <c r="FR94" s="167"/>
      <c r="FS94" s="167"/>
      <c r="FT94" s="167"/>
      <c r="FU94" s="167"/>
      <c r="FV94" s="167"/>
      <c r="FW94" s="167"/>
      <c r="FX94" s="167"/>
      <c r="FY94" s="167"/>
      <c r="FZ94" s="167"/>
      <c r="GA94" s="167"/>
      <c r="GB94" s="167"/>
      <c r="GC94" s="167"/>
      <c r="GD94" s="167"/>
      <c r="GE94" s="167"/>
      <c r="GF94" s="167"/>
      <c r="GG94" s="167"/>
      <c r="GH94" s="167"/>
      <c r="GI94" s="167"/>
      <c r="GJ94" s="167"/>
      <c r="GK94" s="167"/>
      <c r="GL94" s="167"/>
      <c r="GM94" s="167"/>
      <c r="GN94" s="167"/>
      <c r="GO94" s="167"/>
      <c r="GP94" s="167"/>
      <c r="GQ94" s="167"/>
      <c r="GR94" s="167"/>
      <c r="GS94" s="167"/>
      <c r="GT94" s="167"/>
      <c r="GU94" s="167"/>
      <c r="GV94" s="167"/>
      <c r="GW94" s="167"/>
      <c r="GX94" s="167"/>
      <c r="GY94" s="167"/>
      <c r="GZ94" s="167"/>
      <c r="HA94" s="167"/>
      <c r="HB94" s="167"/>
      <c r="HC94" s="167"/>
      <c r="HD94" s="167"/>
      <c r="HE94" s="167"/>
      <c r="HF94" s="167"/>
      <c r="HG94" s="167"/>
      <c r="HH94" s="167"/>
      <c r="HI94" s="167"/>
      <c r="HJ94" s="167"/>
      <c r="HK94" s="167"/>
      <c r="HL94" s="167"/>
      <c r="HM94" s="167"/>
      <c r="HN94" s="167"/>
      <c r="HO94" s="167"/>
      <c r="HP94" s="167"/>
      <c r="HQ94" s="167"/>
      <c r="HR94" s="167"/>
      <c r="HS94" s="167"/>
      <c r="HT94" s="167"/>
      <c r="HU94" s="167"/>
      <c r="HV94" s="167"/>
      <c r="HW94" s="167"/>
      <c r="HX94" s="167"/>
      <c r="HY94" s="167"/>
      <c r="HZ94" s="167"/>
      <c r="IA94" s="167"/>
      <c r="IB94" s="167"/>
      <c r="IC94" s="167"/>
      <c r="ID94" s="167"/>
      <c r="IE94" s="167"/>
      <c r="IF94" s="167"/>
      <c r="IG94" s="167"/>
      <c r="IH94" s="167"/>
      <c r="II94" s="167"/>
      <c r="IJ94" s="167"/>
      <c r="IK94" s="167"/>
      <c r="IL94" s="167"/>
      <c r="IM94" s="167"/>
      <c r="IN94" s="167"/>
      <c r="IO94" s="167"/>
      <c r="IP94" s="167"/>
      <c r="IQ94" s="167"/>
      <c r="IR94" s="167"/>
      <c r="IS94" s="167"/>
      <c r="IT94" s="167"/>
      <c r="IU94" s="167"/>
      <c r="IV94" s="167"/>
      <c r="IW94" s="167"/>
    </row>
    <row r="95" customFormat="false" ht="12.75" hidden="true" customHeight="true" outlineLevel="0" collapsed="false">
      <c r="A95" s="108"/>
      <c r="B95" s="109"/>
      <c r="C95" s="204"/>
      <c r="D95" s="111"/>
      <c r="E95" s="164" t="n">
        <f aca="false">IF(ISERROR(VLOOKUP(C94,일용직명단!$A$3:$K$1246,9,FALSE())),0,VLOOKUP(C94,일용직명단!$A$3:$K$1246,9,FALSE()))</f>
        <v>0</v>
      </c>
      <c r="F95" s="180"/>
      <c r="G95" s="134"/>
      <c r="H95" s="134"/>
      <c r="I95" s="114"/>
      <c r="J95" s="115"/>
      <c r="K95" s="114"/>
      <c r="L95" s="113"/>
      <c r="M95" s="113"/>
      <c r="N95" s="114"/>
      <c r="O95" s="115"/>
      <c r="P95" s="114"/>
      <c r="Q95" s="114"/>
      <c r="R95" s="113"/>
      <c r="S95" s="113"/>
      <c r="T95" s="113"/>
      <c r="U95" s="115"/>
      <c r="V95" s="144"/>
      <c r="W95" s="138" t="n">
        <f aca="false">W94*V94</f>
        <v>0</v>
      </c>
      <c r="X95" s="123" t="n">
        <f aca="false">IF(AH94&lt;1000,0,AH94)</f>
        <v>0</v>
      </c>
      <c r="Y95" s="123" t="n">
        <f aca="false">ROUNDDOWN(X95*10%,-1)</f>
        <v>0</v>
      </c>
      <c r="Z95" s="123" t="n">
        <f aca="false">IF(AE94&gt;=8,ROUNDDOWN(Y94*$Q$4,-1),0)</f>
        <v>0</v>
      </c>
      <c r="AA95" s="145"/>
      <c r="AB95" s="146"/>
      <c r="AC95" s="148" t="n">
        <f aca="false">IF(ISERROR(VLOOKUP(C94,일용직명단!$A$3:$I$1226,7,FALSE())),0,VLOOKUP(C94,일용직명단!$A$3:$I$1226,7,FALSE()))</f>
        <v>0</v>
      </c>
      <c r="AD95" s="148"/>
      <c r="AE95" s="128"/>
      <c r="AF95" s="129"/>
      <c r="AG95" s="129"/>
      <c r="AH95" s="130"/>
      <c r="AI95" s="130" t="n">
        <f aca="false">IF($W94*F95&gt;150000,($W94*F95-150000)*6%*45%,0)</f>
        <v>0</v>
      </c>
      <c r="AJ95" s="130" t="n">
        <f aca="false">IF($W94*G95&gt;150000,($W94*G95-150000)*6%*45%,0)</f>
        <v>0</v>
      </c>
      <c r="AK95" s="130" t="n">
        <f aca="false">IF($W94*H95&gt;150000,($W94*H95-150000)*6%*45%,0)</f>
        <v>0</v>
      </c>
      <c r="AL95" s="130" t="n">
        <f aca="false">IF($W94*I95&gt;150000,($W94*I95-150000)*6%*45%,0)</f>
        <v>0</v>
      </c>
      <c r="AM95" s="130" t="n">
        <f aca="false">IF($W94*J95&gt;150000,($W94*J95-150000)*6%*45%,0)</f>
        <v>0</v>
      </c>
      <c r="AN95" s="130" t="n">
        <f aca="false">IF($W94*K95&gt;150000,($W94*K95-150000)*6%*45%,0)</f>
        <v>0</v>
      </c>
      <c r="AO95" s="130" t="n">
        <f aca="false">IF($W94*L95&gt;150000,($W94*L95-150000)*6%*45%,0)</f>
        <v>0</v>
      </c>
      <c r="AP95" s="130" t="n">
        <f aca="false">IF($W94*M95&gt;150000,($W94*M95-150000)*6%*45%,0)</f>
        <v>0</v>
      </c>
      <c r="AQ95" s="130" t="n">
        <f aca="false">IF($W94*N95&gt;150000,($W94*N95-150000)*6%*45%,0)</f>
        <v>0</v>
      </c>
      <c r="AR95" s="130" t="n">
        <f aca="false">IF($W94*O95&gt;150000,($W94*O95-150000)*6%*45%,0)</f>
        <v>0</v>
      </c>
      <c r="AS95" s="130" t="n">
        <f aca="false">IF($W94*P95&gt;150000,($W94*P95-150000)*6%*45%,0)</f>
        <v>0</v>
      </c>
      <c r="AT95" s="130" t="n">
        <f aca="false">IF($W94*Q95&gt;150000,($W94*Q95-150000)*6%*45%,0)</f>
        <v>0</v>
      </c>
      <c r="AU95" s="130" t="n">
        <f aca="false">IF($W94*R95&gt;150000,($W94*R95-150000)*6%*45%,0)</f>
        <v>0</v>
      </c>
      <c r="AV95" s="130" t="n">
        <f aca="false">IF($W94*S95&gt;150000,($W94*S95-150000)*6%*45%,0)</f>
        <v>0</v>
      </c>
      <c r="AW95" s="130" t="n">
        <f aca="false">IF($W94*T95&gt;150000,($W94*T95-150000)*6%*45%,0)</f>
        <v>0</v>
      </c>
      <c r="AX95" s="130" t="n">
        <f aca="false">IF($W94*U95&gt;150000,($W94*U95-150000)*6%*45%,0)</f>
        <v>0</v>
      </c>
      <c r="AY95" s="131"/>
      <c r="AZ95" s="11"/>
      <c r="BA95" s="167"/>
      <c r="BB95" s="167"/>
      <c r="BC95" s="167"/>
      <c r="BD95" s="167"/>
      <c r="BE95" s="167"/>
      <c r="BF95" s="167"/>
      <c r="BG95" s="167"/>
      <c r="BH95" s="167"/>
      <c r="BI95" s="167"/>
      <c r="BJ95" s="167"/>
      <c r="BK95" s="167"/>
      <c r="BL95" s="167"/>
      <c r="BM95" s="167"/>
      <c r="BN95" s="167"/>
      <c r="BO95" s="167"/>
      <c r="BP95" s="167"/>
      <c r="BQ95" s="167"/>
      <c r="BR95" s="167"/>
      <c r="BS95" s="167"/>
      <c r="BT95" s="167"/>
      <c r="BU95" s="167"/>
      <c r="BV95" s="167"/>
      <c r="BW95" s="167"/>
      <c r="BX95" s="167"/>
      <c r="BY95" s="167"/>
      <c r="BZ95" s="167"/>
      <c r="CA95" s="167"/>
      <c r="CB95" s="167"/>
      <c r="CC95" s="167"/>
      <c r="CD95" s="167"/>
      <c r="CE95" s="167"/>
      <c r="CF95" s="167"/>
      <c r="CG95" s="167"/>
      <c r="CH95" s="167"/>
      <c r="CI95" s="167"/>
      <c r="CJ95" s="167"/>
      <c r="CK95" s="167"/>
      <c r="CL95" s="167"/>
      <c r="CM95" s="167"/>
      <c r="CN95" s="167"/>
      <c r="CO95" s="167"/>
      <c r="CP95" s="167"/>
      <c r="CQ95" s="167"/>
      <c r="CR95" s="167"/>
      <c r="CS95" s="167"/>
      <c r="CT95" s="167"/>
      <c r="CU95" s="167"/>
      <c r="CV95" s="167"/>
      <c r="CW95" s="167"/>
      <c r="CX95" s="167"/>
      <c r="CY95" s="167"/>
      <c r="CZ95" s="167"/>
      <c r="DA95" s="167"/>
      <c r="DB95" s="167"/>
      <c r="DC95" s="167"/>
      <c r="DD95" s="167"/>
      <c r="DE95" s="167"/>
      <c r="DF95" s="167"/>
      <c r="DG95" s="167"/>
      <c r="DH95" s="167"/>
      <c r="DI95" s="167"/>
      <c r="DJ95" s="167"/>
      <c r="DK95" s="167"/>
      <c r="DL95" s="167"/>
      <c r="DM95" s="167"/>
      <c r="DN95" s="167"/>
      <c r="DO95" s="167"/>
      <c r="DP95" s="167"/>
      <c r="DQ95" s="167"/>
      <c r="DR95" s="167"/>
      <c r="DS95" s="167"/>
      <c r="DT95" s="167"/>
      <c r="DU95" s="167"/>
      <c r="DV95" s="167"/>
      <c r="DW95" s="167"/>
      <c r="DX95" s="167"/>
      <c r="DY95" s="167"/>
      <c r="DZ95" s="167"/>
      <c r="EA95" s="167"/>
      <c r="EB95" s="167"/>
      <c r="EC95" s="167"/>
      <c r="ED95" s="167"/>
      <c r="EE95" s="167"/>
      <c r="EF95" s="167"/>
      <c r="EG95" s="167"/>
      <c r="EH95" s="167"/>
      <c r="EI95" s="167"/>
      <c r="EJ95" s="167"/>
      <c r="EK95" s="167"/>
      <c r="EL95" s="167"/>
      <c r="EM95" s="167"/>
      <c r="EN95" s="167"/>
      <c r="EO95" s="167"/>
      <c r="EP95" s="167"/>
      <c r="EQ95" s="167"/>
      <c r="ER95" s="167"/>
      <c r="ES95" s="167"/>
      <c r="ET95" s="167"/>
      <c r="EU95" s="167"/>
      <c r="EV95" s="167"/>
      <c r="EW95" s="167"/>
      <c r="EX95" s="167"/>
      <c r="EY95" s="167"/>
      <c r="EZ95" s="167"/>
      <c r="FA95" s="167"/>
      <c r="FB95" s="167"/>
      <c r="FC95" s="167"/>
      <c r="FD95" s="167"/>
      <c r="FE95" s="167"/>
      <c r="FF95" s="167"/>
      <c r="FG95" s="167"/>
      <c r="FH95" s="167"/>
      <c r="FI95" s="167"/>
      <c r="FJ95" s="167"/>
      <c r="FK95" s="167"/>
      <c r="FL95" s="167"/>
      <c r="FM95" s="167"/>
      <c r="FN95" s="167"/>
      <c r="FO95" s="167"/>
      <c r="FP95" s="167"/>
      <c r="FQ95" s="167"/>
      <c r="FR95" s="167"/>
      <c r="FS95" s="167"/>
      <c r="FT95" s="167"/>
      <c r="FU95" s="167"/>
      <c r="FV95" s="167"/>
      <c r="FW95" s="167"/>
      <c r="FX95" s="167"/>
      <c r="FY95" s="167"/>
      <c r="FZ95" s="167"/>
      <c r="GA95" s="167"/>
      <c r="GB95" s="167"/>
      <c r="GC95" s="167"/>
      <c r="GD95" s="167"/>
      <c r="GE95" s="167"/>
      <c r="GF95" s="167"/>
      <c r="GG95" s="167"/>
      <c r="GH95" s="167"/>
      <c r="GI95" s="167"/>
      <c r="GJ95" s="167"/>
      <c r="GK95" s="167"/>
      <c r="GL95" s="167"/>
      <c r="GM95" s="167"/>
      <c r="GN95" s="167"/>
      <c r="GO95" s="167"/>
      <c r="GP95" s="167"/>
      <c r="GQ95" s="167"/>
      <c r="GR95" s="167"/>
      <c r="GS95" s="167"/>
      <c r="GT95" s="167"/>
      <c r="GU95" s="167"/>
      <c r="GV95" s="167"/>
      <c r="GW95" s="167"/>
      <c r="GX95" s="167"/>
      <c r="GY95" s="167"/>
      <c r="GZ95" s="167"/>
      <c r="HA95" s="167"/>
      <c r="HB95" s="167"/>
      <c r="HC95" s="167"/>
      <c r="HD95" s="167"/>
      <c r="HE95" s="167"/>
      <c r="HF95" s="167"/>
      <c r="HG95" s="167"/>
      <c r="HH95" s="167"/>
      <c r="HI95" s="167"/>
      <c r="HJ95" s="167"/>
      <c r="HK95" s="167"/>
      <c r="HL95" s="167"/>
      <c r="HM95" s="167"/>
      <c r="HN95" s="167"/>
      <c r="HO95" s="167"/>
      <c r="HP95" s="167"/>
      <c r="HQ95" s="167"/>
      <c r="HR95" s="167"/>
      <c r="HS95" s="167"/>
      <c r="HT95" s="167"/>
      <c r="HU95" s="167"/>
      <c r="HV95" s="167"/>
      <c r="HW95" s="167"/>
      <c r="HX95" s="167"/>
      <c r="HY95" s="167"/>
      <c r="HZ95" s="167"/>
      <c r="IA95" s="167"/>
      <c r="IB95" s="167"/>
      <c r="IC95" s="167"/>
      <c r="ID95" s="167"/>
      <c r="IE95" s="167"/>
      <c r="IF95" s="167"/>
      <c r="IG95" s="167"/>
      <c r="IH95" s="167"/>
      <c r="II95" s="167"/>
      <c r="IJ95" s="167"/>
      <c r="IK95" s="167"/>
      <c r="IL95" s="167"/>
      <c r="IM95" s="167"/>
      <c r="IN95" s="167"/>
      <c r="IO95" s="167"/>
      <c r="IP95" s="167"/>
      <c r="IQ95" s="167"/>
      <c r="IR95" s="167"/>
      <c r="IS95" s="167"/>
      <c r="IT95" s="167"/>
      <c r="IU95" s="167"/>
      <c r="IV95" s="167"/>
      <c r="IW95" s="167"/>
    </row>
    <row r="96" customFormat="false" ht="13.5" hidden="true" customHeight="true" outlineLevel="0" collapsed="false">
      <c r="A96" s="108" t="n">
        <f aca="false">A94+1</f>
        <v>44</v>
      </c>
      <c r="B96" s="109" t="n">
        <f aca="false">IF(ISERROR(VLOOKUP(C96,일용직명단!$A$3:$I$104,2,FALSE())),0,VLOOKUP(C96,일용직명단!$A$3:$I$104,2,FALSE()))</f>
        <v>0</v>
      </c>
      <c r="C96" s="110"/>
      <c r="D96" s="111" t="n">
        <f aca="false">IF(ISERROR(VLOOKUP(C96,일용직명단!$A$3:$K$1246,3,FALSE())),0,VLOOKUP(C96,일용직명단!$A$3:$K$1246,3,FALSE()))</f>
        <v>0</v>
      </c>
      <c r="E96" s="164" t="n">
        <f aca="false">IF(ISERROR(VLOOKUP(C96,일용직명단!$A$3:$K$1246,4,FALSE())),0,VLOOKUP(C96,일용직명단!$A$3:$K$1246,4,FALSE()))</f>
        <v>0</v>
      </c>
      <c r="F96" s="113"/>
      <c r="G96" s="114"/>
      <c r="H96" s="115"/>
      <c r="I96" s="115"/>
      <c r="J96" s="113"/>
      <c r="K96" s="115"/>
      <c r="L96" s="113"/>
      <c r="M96" s="113"/>
      <c r="N96" s="114"/>
      <c r="O96" s="114"/>
      <c r="P96" s="113"/>
      <c r="Q96" s="114"/>
      <c r="R96" s="115"/>
      <c r="S96" s="114"/>
      <c r="T96" s="115"/>
      <c r="U96" s="119"/>
      <c r="V96" s="144" t="n">
        <f aca="false">SUM(F96:U97)</f>
        <v>0</v>
      </c>
      <c r="W96" s="121" t="n">
        <f aca="false">IF(ISERROR(VLOOKUP(C96,일용직명단!$A$3:$K$1246,8,FALSE())),0,VLOOKUP(C96,일용직명단!$A$3:$K$1246,8,FALSE()))</f>
        <v>0</v>
      </c>
      <c r="X96" s="123" t="n">
        <f aca="false">IFERROR(IF(AG96&gt;=65,0,ROUNDDOWN(W97*$Z$4,-1)),0)</f>
        <v>0</v>
      </c>
      <c r="Y96" s="123" t="n">
        <f aca="false">IF(AE96&gt;=8,ROUNDDOWN(W97*$M$4,-1),0)</f>
        <v>0</v>
      </c>
      <c r="Z96" s="123" t="n">
        <f aca="false">IFERROR(IF(AND(COUNT(F96:U97)&gt;=8,$AG96&lt;60,W97&lt;=5530000),ROUNDDOWN(ROUNDDOWN(W97,-3)*4.5%,-1),IF(AND(COUNT(F96:U97)&gt;=8,AG96&lt;60,W97&gt;5530000),248850,0)),0)</f>
        <v>0</v>
      </c>
      <c r="AA96" s="145" t="n">
        <f aca="false">+X96+Y96+X97+Y97+Z96+Z97</f>
        <v>0</v>
      </c>
      <c r="AB96" s="146" t="n">
        <f aca="false">W97-AA96</f>
        <v>0</v>
      </c>
      <c r="AC96" s="147" t="n">
        <f aca="false">IF(ISERROR(VLOOKUP(C96,일용직명단!$A$3:$I$1226,5,FALSE())),0,VLOOKUP(C96,일용직명단!$A$3:$I$1226,5,FALSE()))</f>
        <v>0</v>
      </c>
      <c r="AD96" s="148" t="n">
        <f aca="false">IF(ISERROR(VLOOKUP(C96,일용직명단!$A$3:$I$1226,6,FALSE())),0,VLOOKUP(C96,일용직명단!$A$3:$I$1226,6,FALSE()))</f>
        <v>0</v>
      </c>
      <c r="AE96" s="128" t="n">
        <f aca="false">COUNT(F96:U97)</f>
        <v>0</v>
      </c>
      <c r="AF96" s="129" t="str">
        <f aca="false">IF(OR(MID(D96,8,1)="1",MID(D96,8,1)="2"),19&amp;LEFT(D96,2),20&amp;LEFT(D96,2))&amp;"-"&amp;MID(D96,3,2)&amp;"-"&amp;MID(D96,5,2)</f>
        <v>200--</v>
      </c>
      <c r="AG96" s="129" t="e">
        <f aca="true">INT((TODAY()-AF96)/365.25)</f>
        <v>#VALUE!</v>
      </c>
      <c r="AH96" s="130" t="n">
        <f aca="false">ROUNDDOWN(SUM(AI96:AX97),-1)</f>
        <v>0</v>
      </c>
      <c r="AI96" s="130" t="n">
        <f aca="false">IF($W96*F96&gt;150000,($W96*F96-150000)*6%*45%,0)</f>
        <v>0</v>
      </c>
      <c r="AJ96" s="130" t="n">
        <f aca="false">IF($W96*G96&gt;150000,($W96*G96-150000)*6%*45%,0)</f>
        <v>0</v>
      </c>
      <c r="AK96" s="130" t="n">
        <f aca="false">IF($W96*H96&gt;150000,($W96*H96-150000)*6%*45%,0)</f>
        <v>0</v>
      </c>
      <c r="AL96" s="130" t="n">
        <f aca="false">IF($W96*I96&gt;150000,($W96*I96-150000)*6%*45%,0)</f>
        <v>0</v>
      </c>
      <c r="AM96" s="130" t="n">
        <f aca="false">IF($W96*J96&gt;150000,($W96*J96-150000)*6%*45%,0)</f>
        <v>0</v>
      </c>
      <c r="AN96" s="130" t="n">
        <f aca="false">IF($W96*K96&gt;150000,($W96*K96-150000)*6%*45%,0)</f>
        <v>0</v>
      </c>
      <c r="AO96" s="130" t="n">
        <f aca="false">IF($W96*L96&gt;150000,($W96*L96-150000)*6%*45%,0)</f>
        <v>0</v>
      </c>
      <c r="AP96" s="130" t="n">
        <f aca="false">IF($W96*M96&gt;150000,($W96*M96-150000)*6%*45%,0)</f>
        <v>0</v>
      </c>
      <c r="AQ96" s="130" t="n">
        <f aca="false">IF($W96*N96&gt;150000,($W96*N96-150000)*6%*45%,0)</f>
        <v>0</v>
      </c>
      <c r="AR96" s="130" t="n">
        <f aca="false">IF($W96*O96&gt;150000,($W96*O96-150000)*6%*45%,0)</f>
        <v>0</v>
      </c>
      <c r="AS96" s="130" t="n">
        <f aca="false">IF($W96*P96&gt;150000,($W96*P96-150000)*6%*45%,0)</f>
        <v>0</v>
      </c>
      <c r="AT96" s="130" t="n">
        <f aca="false">IF($W96*Q96&gt;150000,($W96*Q96-150000)*6%*45%,0)</f>
        <v>0</v>
      </c>
      <c r="AU96" s="130" t="n">
        <f aca="false">IF($W96*R96&gt;150000,($W96*R96-150000)*6%*45%,0)</f>
        <v>0</v>
      </c>
      <c r="AV96" s="130" t="n">
        <f aca="false">IF($W96*S96&gt;150000,($W96*S96-150000)*6%*45%,0)</f>
        <v>0</v>
      </c>
      <c r="AW96" s="130" t="n">
        <f aca="false">IF($W96*T96&gt;150000,($W96*T96-150000)*6%*45%,0)</f>
        <v>0</v>
      </c>
      <c r="AX96" s="130"/>
      <c r="AY96" s="131" t="n">
        <f aca="false">IF(ISERROR(VLOOKUP(C96,[26]일용직명단!$A$3:$M$1151,11,FALSE())),0,VLOOKUP(C96,[26]일용직명단!$A$3:$M$1151,11,FALSE()))</f>
        <v>0</v>
      </c>
      <c r="AZ96" s="11"/>
      <c r="BA96" s="167"/>
      <c r="BB96" s="167"/>
      <c r="BC96" s="167"/>
      <c r="BD96" s="167"/>
      <c r="BE96" s="167"/>
      <c r="BF96" s="167"/>
      <c r="BG96" s="167"/>
      <c r="BH96" s="167"/>
      <c r="BI96" s="167"/>
      <c r="BJ96" s="167"/>
      <c r="BK96" s="167"/>
      <c r="BL96" s="167"/>
      <c r="BM96" s="167"/>
      <c r="BN96" s="167"/>
      <c r="BO96" s="167"/>
      <c r="BP96" s="167"/>
      <c r="BQ96" s="167"/>
      <c r="BR96" s="167"/>
      <c r="BS96" s="167"/>
      <c r="BT96" s="167"/>
      <c r="BU96" s="167"/>
      <c r="BV96" s="167"/>
      <c r="BW96" s="167"/>
      <c r="BX96" s="167"/>
      <c r="BY96" s="167"/>
      <c r="BZ96" s="167"/>
      <c r="CA96" s="167"/>
      <c r="CB96" s="167"/>
      <c r="CC96" s="167"/>
      <c r="CD96" s="167"/>
      <c r="CE96" s="167"/>
      <c r="CF96" s="167"/>
      <c r="CG96" s="167"/>
      <c r="CH96" s="167"/>
      <c r="CI96" s="167"/>
      <c r="CJ96" s="167"/>
      <c r="CK96" s="167"/>
      <c r="CL96" s="167"/>
      <c r="CM96" s="167"/>
      <c r="CN96" s="167"/>
      <c r="CO96" s="167"/>
      <c r="CP96" s="167"/>
      <c r="CQ96" s="167"/>
      <c r="CR96" s="167"/>
      <c r="CS96" s="167"/>
      <c r="CT96" s="167"/>
      <c r="CU96" s="167"/>
      <c r="CV96" s="167"/>
      <c r="CW96" s="167"/>
      <c r="CX96" s="167"/>
      <c r="CY96" s="167"/>
      <c r="CZ96" s="167"/>
      <c r="DA96" s="167"/>
      <c r="DB96" s="167"/>
      <c r="DC96" s="167"/>
      <c r="DD96" s="167"/>
      <c r="DE96" s="167"/>
      <c r="DF96" s="167"/>
      <c r="DG96" s="167"/>
      <c r="DH96" s="167"/>
      <c r="DI96" s="167"/>
      <c r="DJ96" s="167"/>
      <c r="DK96" s="167"/>
      <c r="DL96" s="167"/>
      <c r="DM96" s="167"/>
      <c r="DN96" s="167"/>
      <c r="DO96" s="167"/>
      <c r="DP96" s="167"/>
      <c r="DQ96" s="167"/>
      <c r="DR96" s="167"/>
      <c r="DS96" s="167"/>
      <c r="DT96" s="167"/>
      <c r="DU96" s="167"/>
      <c r="DV96" s="167"/>
      <c r="DW96" s="167"/>
      <c r="DX96" s="167"/>
      <c r="DY96" s="167"/>
      <c r="DZ96" s="167"/>
      <c r="EA96" s="167"/>
      <c r="EB96" s="167"/>
      <c r="EC96" s="167"/>
      <c r="ED96" s="167"/>
      <c r="EE96" s="167"/>
      <c r="EF96" s="167"/>
      <c r="EG96" s="167"/>
      <c r="EH96" s="167"/>
      <c r="EI96" s="167"/>
      <c r="EJ96" s="167"/>
      <c r="EK96" s="167"/>
      <c r="EL96" s="167"/>
      <c r="EM96" s="167"/>
      <c r="EN96" s="167"/>
      <c r="EO96" s="167"/>
      <c r="EP96" s="167"/>
      <c r="EQ96" s="167"/>
      <c r="ER96" s="167"/>
      <c r="ES96" s="167"/>
      <c r="ET96" s="167"/>
      <c r="EU96" s="167"/>
      <c r="EV96" s="167"/>
      <c r="EW96" s="167"/>
      <c r="EX96" s="167"/>
      <c r="EY96" s="167"/>
      <c r="EZ96" s="167"/>
      <c r="FA96" s="167"/>
      <c r="FB96" s="167"/>
      <c r="FC96" s="167"/>
      <c r="FD96" s="167"/>
      <c r="FE96" s="167"/>
      <c r="FF96" s="167"/>
      <c r="FG96" s="167"/>
      <c r="FH96" s="167"/>
      <c r="FI96" s="167"/>
      <c r="FJ96" s="167"/>
      <c r="FK96" s="167"/>
      <c r="FL96" s="167"/>
      <c r="FM96" s="167"/>
      <c r="FN96" s="167"/>
      <c r="FO96" s="167"/>
      <c r="FP96" s="167"/>
      <c r="FQ96" s="167"/>
      <c r="FR96" s="167"/>
      <c r="FS96" s="167"/>
      <c r="FT96" s="167"/>
      <c r="FU96" s="167"/>
      <c r="FV96" s="167"/>
      <c r="FW96" s="167"/>
      <c r="FX96" s="167"/>
      <c r="FY96" s="167"/>
      <c r="FZ96" s="167"/>
      <c r="GA96" s="167"/>
      <c r="GB96" s="167"/>
      <c r="GC96" s="167"/>
      <c r="GD96" s="167"/>
      <c r="GE96" s="167"/>
      <c r="GF96" s="167"/>
      <c r="GG96" s="167"/>
      <c r="GH96" s="167"/>
      <c r="GI96" s="167"/>
      <c r="GJ96" s="167"/>
      <c r="GK96" s="167"/>
      <c r="GL96" s="167"/>
      <c r="GM96" s="167"/>
      <c r="GN96" s="167"/>
      <c r="GO96" s="167"/>
      <c r="GP96" s="167"/>
      <c r="GQ96" s="167"/>
      <c r="GR96" s="167"/>
      <c r="GS96" s="167"/>
      <c r="GT96" s="167"/>
      <c r="GU96" s="167"/>
      <c r="GV96" s="167"/>
      <c r="GW96" s="167"/>
      <c r="GX96" s="167"/>
      <c r="GY96" s="167"/>
      <c r="GZ96" s="167"/>
      <c r="HA96" s="167"/>
      <c r="HB96" s="167"/>
      <c r="HC96" s="167"/>
      <c r="HD96" s="167"/>
      <c r="HE96" s="167"/>
      <c r="HF96" s="167"/>
      <c r="HG96" s="167"/>
      <c r="HH96" s="167"/>
      <c r="HI96" s="167"/>
      <c r="HJ96" s="167"/>
      <c r="HK96" s="167"/>
      <c r="HL96" s="167"/>
      <c r="HM96" s="167"/>
      <c r="HN96" s="167"/>
      <c r="HO96" s="167"/>
      <c r="HP96" s="167"/>
      <c r="HQ96" s="167"/>
      <c r="HR96" s="167"/>
      <c r="HS96" s="167"/>
      <c r="HT96" s="167"/>
      <c r="HU96" s="167"/>
      <c r="HV96" s="167"/>
      <c r="HW96" s="167"/>
      <c r="HX96" s="167"/>
      <c r="HY96" s="167"/>
      <c r="HZ96" s="167"/>
      <c r="IA96" s="167"/>
      <c r="IB96" s="167"/>
      <c r="IC96" s="167"/>
      <c r="ID96" s="167"/>
      <c r="IE96" s="167"/>
      <c r="IF96" s="167"/>
      <c r="IG96" s="167"/>
      <c r="IH96" s="167"/>
      <c r="II96" s="167"/>
      <c r="IJ96" s="167"/>
      <c r="IK96" s="167"/>
      <c r="IL96" s="167"/>
      <c r="IM96" s="167"/>
      <c r="IN96" s="167"/>
      <c r="IO96" s="167"/>
      <c r="IP96" s="167"/>
      <c r="IQ96" s="167"/>
      <c r="IR96" s="167"/>
      <c r="IS96" s="167"/>
      <c r="IT96" s="167"/>
      <c r="IU96" s="167"/>
      <c r="IV96" s="167"/>
      <c r="IW96" s="167"/>
    </row>
    <row r="97" customFormat="false" ht="12.75" hidden="true" customHeight="true" outlineLevel="0" collapsed="false">
      <c r="A97" s="108"/>
      <c r="B97" s="109"/>
      <c r="C97" s="110"/>
      <c r="D97" s="111"/>
      <c r="E97" s="164" t="n">
        <f aca="false">IF(ISERROR(VLOOKUP(C96,일용직명단!$A$3:$K$1246,9,FALSE())),0,VLOOKUP(C96,일용직명단!$A$3:$K$1246,9,FALSE()))</f>
        <v>0</v>
      </c>
      <c r="F97" s="180"/>
      <c r="G97" s="134"/>
      <c r="H97" s="134"/>
      <c r="I97" s="114"/>
      <c r="J97" s="115"/>
      <c r="K97" s="114"/>
      <c r="L97" s="113"/>
      <c r="M97" s="113"/>
      <c r="N97" s="114"/>
      <c r="O97" s="115"/>
      <c r="P97" s="114"/>
      <c r="Q97" s="114"/>
      <c r="R97" s="113"/>
      <c r="S97" s="113"/>
      <c r="T97" s="113"/>
      <c r="U97" s="115"/>
      <c r="V97" s="144"/>
      <c r="W97" s="138" t="n">
        <f aca="false">W96*V96</f>
        <v>0</v>
      </c>
      <c r="X97" s="123" t="n">
        <f aca="false">IF(AH96&lt;1000,0,AH96)</f>
        <v>0</v>
      </c>
      <c r="Y97" s="123" t="n">
        <f aca="false">ROUNDDOWN(X97*10%,-1)</f>
        <v>0</v>
      </c>
      <c r="Z97" s="123" t="n">
        <f aca="false">IF(AE96&gt;=8,ROUNDDOWN(Y96*$Q$4,-1),0)</f>
        <v>0</v>
      </c>
      <c r="AA97" s="145"/>
      <c r="AB97" s="146"/>
      <c r="AC97" s="148" t="n">
        <f aca="false">IF(ISERROR(VLOOKUP(C96,일용직명단!$A$3:$I$1226,7,FALSE())),0,VLOOKUP(C96,일용직명단!$A$3:$I$1226,7,FALSE()))</f>
        <v>0</v>
      </c>
      <c r="AD97" s="148"/>
      <c r="AE97" s="128"/>
      <c r="AF97" s="129"/>
      <c r="AG97" s="129"/>
      <c r="AH97" s="130"/>
      <c r="AI97" s="130" t="n">
        <f aca="false">IF($W96*F97&gt;150000,($W96*F97-150000)*6%*45%,0)</f>
        <v>0</v>
      </c>
      <c r="AJ97" s="130" t="n">
        <f aca="false">IF($W96*G97&gt;150000,($W96*G97-150000)*6%*45%,0)</f>
        <v>0</v>
      </c>
      <c r="AK97" s="130" t="n">
        <f aca="false">IF($W96*H97&gt;150000,($W96*H97-150000)*6%*45%,0)</f>
        <v>0</v>
      </c>
      <c r="AL97" s="130" t="n">
        <f aca="false">IF($W96*I97&gt;150000,($W96*I97-150000)*6%*45%,0)</f>
        <v>0</v>
      </c>
      <c r="AM97" s="130" t="n">
        <f aca="false">IF($W96*J97&gt;150000,($W96*J97-150000)*6%*45%,0)</f>
        <v>0</v>
      </c>
      <c r="AN97" s="130" t="n">
        <f aca="false">IF($W96*K97&gt;150000,($W96*K97-150000)*6%*45%,0)</f>
        <v>0</v>
      </c>
      <c r="AO97" s="130" t="n">
        <f aca="false">IF($W96*L97&gt;150000,($W96*L97-150000)*6%*45%,0)</f>
        <v>0</v>
      </c>
      <c r="AP97" s="130" t="n">
        <f aca="false">IF($W96*M97&gt;150000,($W96*M97-150000)*6%*45%,0)</f>
        <v>0</v>
      </c>
      <c r="AQ97" s="130" t="n">
        <f aca="false">IF($W96*N97&gt;150000,($W96*N97-150000)*6%*45%,0)</f>
        <v>0</v>
      </c>
      <c r="AR97" s="130" t="n">
        <f aca="false">IF($W96*O97&gt;150000,($W96*O97-150000)*6%*45%,0)</f>
        <v>0</v>
      </c>
      <c r="AS97" s="130" t="n">
        <f aca="false">IF($W96*P97&gt;150000,($W96*P97-150000)*6%*45%,0)</f>
        <v>0</v>
      </c>
      <c r="AT97" s="130" t="n">
        <f aca="false">IF($W96*Q97&gt;150000,($W96*Q97-150000)*6%*45%,0)</f>
        <v>0</v>
      </c>
      <c r="AU97" s="130" t="n">
        <f aca="false">IF($W96*R97&gt;150000,($W96*R97-150000)*6%*45%,0)</f>
        <v>0</v>
      </c>
      <c r="AV97" s="130" t="n">
        <f aca="false">IF($W96*S97&gt;150000,($W96*S97-150000)*6%*45%,0)</f>
        <v>0</v>
      </c>
      <c r="AW97" s="130" t="n">
        <f aca="false">IF($W96*T97&gt;150000,($W96*T97-150000)*6%*45%,0)</f>
        <v>0</v>
      </c>
      <c r="AX97" s="130" t="n">
        <f aca="false">IF($W96*U97&gt;150000,($W96*U97-150000)*6%*45%,0)</f>
        <v>0</v>
      </c>
      <c r="AY97" s="131"/>
      <c r="AZ97" s="11"/>
      <c r="BA97" s="167"/>
      <c r="BB97" s="167"/>
      <c r="BC97" s="167"/>
      <c r="BD97" s="167"/>
      <c r="BE97" s="167"/>
      <c r="BF97" s="167"/>
      <c r="BG97" s="167"/>
      <c r="BH97" s="167"/>
      <c r="BI97" s="167"/>
      <c r="BJ97" s="167"/>
      <c r="BK97" s="167"/>
      <c r="BL97" s="167"/>
      <c r="BM97" s="167"/>
      <c r="BN97" s="167"/>
      <c r="BO97" s="167"/>
      <c r="BP97" s="167"/>
      <c r="BQ97" s="167"/>
      <c r="BR97" s="167"/>
      <c r="BS97" s="167"/>
      <c r="BT97" s="167"/>
      <c r="BU97" s="167"/>
      <c r="BV97" s="167"/>
      <c r="BW97" s="167"/>
      <c r="BX97" s="167"/>
      <c r="BY97" s="167"/>
      <c r="BZ97" s="167"/>
      <c r="CA97" s="167"/>
      <c r="CB97" s="167"/>
      <c r="CC97" s="167"/>
      <c r="CD97" s="167"/>
      <c r="CE97" s="167"/>
      <c r="CF97" s="167"/>
      <c r="CG97" s="167"/>
      <c r="CH97" s="167"/>
      <c r="CI97" s="167"/>
      <c r="CJ97" s="167"/>
      <c r="CK97" s="167"/>
      <c r="CL97" s="167"/>
      <c r="CM97" s="167"/>
      <c r="CN97" s="167"/>
      <c r="CO97" s="167"/>
      <c r="CP97" s="167"/>
      <c r="CQ97" s="167"/>
      <c r="CR97" s="167"/>
      <c r="CS97" s="167"/>
      <c r="CT97" s="167"/>
      <c r="CU97" s="167"/>
      <c r="CV97" s="167"/>
      <c r="CW97" s="167"/>
      <c r="CX97" s="167"/>
      <c r="CY97" s="167"/>
      <c r="CZ97" s="167"/>
      <c r="DA97" s="167"/>
      <c r="DB97" s="167"/>
      <c r="DC97" s="167"/>
      <c r="DD97" s="167"/>
      <c r="DE97" s="167"/>
      <c r="DF97" s="167"/>
      <c r="DG97" s="167"/>
      <c r="DH97" s="167"/>
      <c r="DI97" s="167"/>
      <c r="DJ97" s="167"/>
      <c r="DK97" s="167"/>
      <c r="DL97" s="167"/>
      <c r="DM97" s="167"/>
      <c r="DN97" s="167"/>
      <c r="DO97" s="167"/>
      <c r="DP97" s="167"/>
      <c r="DQ97" s="167"/>
      <c r="DR97" s="167"/>
      <c r="DS97" s="167"/>
      <c r="DT97" s="167"/>
      <c r="DU97" s="167"/>
      <c r="DV97" s="167"/>
      <c r="DW97" s="167"/>
      <c r="DX97" s="167"/>
      <c r="DY97" s="167"/>
      <c r="DZ97" s="167"/>
      <c r="EA97" s="167"/>
      <c r="EB97" s="167"/>
      <c r="EC97" s="167"/>
      <c r="ED97" s="167"/>
      <c r="EE97" s="167"/>
      <c r="EF97" s="167"/>
      <c r="EG97" s="167"/>
      <c r="EH97" s="167"/>
      <c r="EI97" s="167"/>
      <c r="EJ97" s="167"/>
      <c r="EK97" s="167"/>
      <c r="EL97" s="167"/>
      <c r="EM97" s="167"/>
      <c r="EN97" s="167"/>
      <c r="EO97" s="167"/>
      <c r="EP97" s="167"/>
      <c r="EQ97" s="167"/>
      <c r="ER97" s="167"/>
      <c r="ES97" s="167"/>
      <c r="ET97" s="167"/>
      <c r="EU97" s="167"/>
      <c r="EV97" s="167"/>
      <c r="EW97" s="167"/>
      <c r="EX97" s="167"/>
      <c r="EY97" s="167"/>
      <c r="EZ97" s="167"/>
      <c r="FA97" s="167"/>
      <c r="FB97" s="167"/>
      <c r="FC97" s="167"/>
      <c r="FD97" s="167"/>
      <c r="FE97" s="167"/>
      <c r="FF97" s="167"/>
      <c r="FG97" s="167"/>
      <c r="FH97" s="167"/>
      <c r="FI97" s="167"/>
      <c r="FJ97" s="167"/>
      <c r="FK97" s="167"/>
      <c r="FL97" s="167"/>
      <c r="FM97" s="167"/>
      <c r="FN97" s="167"/>
      <c r="FO97" s="167"/>
      <c r="FP97" s="167"/>
      <c r="FQ97" s="167"/>
      <c r="FR97" s="167"/>
      <c r="FS97" s="167"/>
      <c r="FT97" s="167"/>
      <c r="FU97" s="167"/>
      <c r="FV97" s="167"/>
      <c r="FW97" s="167"/>
      <c r="FX97" s="167"/>
      <c r="FY97" s="167"/>
      <c r="FZ97" s="167"/>
      <c r="GA97" s="167"/>
      <c r="GB97" s="167"/>
      <c r="GC97" s="167"/>
      <c r="GD97" s="167"/>
      <c r="GE97" s="167"/>
      <c r="GF97" s="167"/>
      <c r="GG97" s="167"/>
      <c r="GH97" s="167"/>
      <c r="GI97" s="167"/>
      <c r="GJ97" s="167"/>
      <c r="GK97" s="167"/>
      <c r="GL97" s="167"/>
      <c r="GM97" s="167"/>
      <c r="GN97" s="167"/>
      <c r="GO97" s="167"/>
      <c r="GP97" s="167"/>
      <c r="GQ97" s="167"/>
      <c r="GR97" s="167"/>
      <c r="GS97" s="167"/>
      <c r="GT97" s="167"/>
      <c r="GU97" s="167"/>
      <c r="GV97" s="167"/>
      <c r="GW97" s="167"/>
      <c r="GX97" s="167"/>
      <c r="GY97" s="167"/>
      <c r="GZ97" s="167"/>
      <c r="HA97" s="167"/>
      <c r="HB97" s="167"/>
      <c r="HC97" s="167"/>
      <c r="HD97" s="167"/>
      <c r="HE97" s="167"/>
      <c r="HF97" s="167"/>
      <c r="HG97" s="167"/>
      <c r="HH97" s="167"/>
      <c r="HI97" s="167"/>
      <c r="HJ97" s="167"/>
      <c r="HK97" s="167"/>
      <c r="HL97" s="167"/>
      <c r="HM97" s="167"/>
      <c r="HN97" s="167"/>
      <c r="HO97" s="167"/>
      <c r="HP97" s="167"/>
      <c r="HQ97" s="167"/>
      <c r="HR97" s="167"/>
      <c r="HS97" s="167"/>
      <c r="HT97" s="167"/>
      <c r="HU97" s="167"/>
      <c r="HV97" s="167"/>
      <c r="HW97" s="167"/>
      <c r="HX97" s="167"/>
      <c r="HY97" s="167"/>
      <c r="HZ97" s="167"/>
      <c r="IA97" s="167"/>
      <c r="IB97" s="167"/>
      <c r="IC97" s="167"/>
      <c r="ID97" s="167"/>
      <c r="IE97" s="167"/>
      <c r="IF97" s="167"/>
      <c r="IG97" s="167"/>
      <c r="IH97" s="167"/>
      <c r="II97" s="167"/>
      <c r="IJ97" s="167"/>
      <c r="IK97" s="167"/>
      <c r="IL97" s="167"/>
      <c r="IM97" s="167"/>
      <c r="IN97" s="167"/>
      <c r="IO97" s="167"/>
      <c r="IP97" s="167"/>
      <c r="IQ97" s="167"/>
      <c r="IR97" s="167"/>
      <c r="IS97" s="167"/>
      <c r="IT97" s="167"/>
      <c r="IU97" s="167"/>
      <c r="IV97" s="167"/>
      <c r="IW97" s="167"/>
    </row>
    <row r="98" customFormat="false" ht="13.5" hidden="true" customHeight="true" outlineLevel="0" collapsed="false">
      <c r="A98" s="108" t="n">
        <f aca="false">A96+1</f>
        <v>45</v>
      </c>
      <c r="B98" s="109" t="n">
        <f aca="false">IF(ISERROR(VLOOKUP(C98,일용직명단!$A$3:$I$104,2,FALSE())),0,VLOOKUP(C98,일용직명단!$A$3:$I$104,2,FALSE()))</f>
        <v>0</v>
      </c>
      <c r="C98" s="204"/>
      <c r="D98" s="111" t="n">
        <f aca="false">IF(ISERROR(VLOOKUP(C98,일용직명단!$A$3:$K$1246,3,FALSE())),0,VLOOKUP(C98,일용직명단!$A$3:$K$1246,3,FALSE()))</f>
        <v>0</v>
      </c>
      <c r="E98" s="112" t="n">
        <f aca="false">IF(ISERROR(VLOOKUP(C98,일용직명단!$A$3:$K$1246,4,FALSE())),0,VLOOKUP(C98,일용직명단!$A$3:$K$1246,4,FALSE()))</f>
        <v>0</v>
      </c>
      <c r="F98" s="113"/>
      <c r="G98" s="114"/>
      <c r="H98" s="115"/>
      <c r="I98" s="115"/>
      <c r="J98" s="113"/>
      <c r="K98" s="115"/>
      <c r="L98" s="113"/>
      <c r="M98" s="113"/>
      <c r="N98" s="114"/>
      <c r="O98" s="114"/>
      <c r="P98" s="113"/>
      <c r="Q98" s="114"/>
      <c r="R98" s="115"/>
      <c r="S98" s="114"/>
      <c r="T98" s="115"/>
      <c r="U98" s="119"/>
      <c r="V98" s="120" t="n">
        <f aca="false">SUM(F98:U99)</f>
        <v>0</v>
      </c>
      <c r="W98" s="121" t="n">
        <f aca="false">IF(ISERROR(VLOOKUP(C98,일용직명단!$A$3:$K$1246,8,FALSE())),0,VLOOKUP(C98,일용직명단!$A$3:$K$1246,8,FALSE()))</f>
        <v>0</v>
      </c>
      <c r="X98" s="122" t="n">
        <f aca="false">IFERROR(IF(AG98&gt;=65,0,ROUNDDOWN(W99*$Z$4,-1)),0)</f>
        <v>0</v>
      </c>
      <c r="Y98" s="122" t="n">
        <f aca="false">IF(AE98&gt;=8,ROUNDDOWN(W99*$M$4,-1),0)</f>
        <v>0</v>
      </c>
      <c r="Z98" s="123" t="n">
        <f aca="false">IFERROR(IF(AND(COUNT(F98:U99)&gt;=8,$AG98&lt;60,W99&lt;=5530000),ROUNDDOWN(ROUNDDOWN(W99,-3)*4.5%,-1),IF(AND(COUNT(F98:U99)&gt;=8,AG98&lt;60,W99&gt;5530000),248850,0)),0)</f>
        <v>0</v>
      </c>
      <c r="AA98" s="124" t="n">
        <f aca="false">+X98+Y98+X99+Y99+Z98+Z99</f>
        <v>0</v>
      </c>
      <c r="AB98" s="125" t="n">
        <f aca="false">W99-AA98</f>
        <v>0</v>
      </c>
      <c r="AC98" s="126" t="n">
        <f aca="false">IF(ISERROR(VLOOKUP(C98,일용직명단!$A$3:$I$1226,5,FALSE())),0,VLOOKUP(C98,일용직명단!$A$3:$I$1226,5,FALSE()))</f>
        <v>0</v>
      </c>
      <c r="AD98" s="127" t="n">
        <f aca="false">IF(ISERROR(VLOOKUP(C98,일용직명단!$A$3:$I$1226,6,FALSE())),0,VLOOKUP(C98,일용직명단!$A$3:$I$1226,6,FALSE()))</f>
        <v>0</v>
      </c>
      <c r="AE98" s="128" t="n">
        <f aca="false">COUNT(F98:U99)</f>
        <v>0</v>
      </c>
      <c r="AF98" s="129" t="str">
        <f aca="false">IF(OR(MID(D98,8,1)="1",MID(D98,8,1)="2"),19&amp;LEFT(D98,2),20&amp;LEFT(D98,2))&amp;"-"&amp;MID(D98,3,2)&amp;"-"&amp;MID(D98,5,2)</f>
        <v>200--</v>
      </c>
      <c r="AG98" s="129" t="e">
        <f aca="true">INT((TODAY()-AF98)/365.25)</f>
        <v>#VALUE!</v>
      </c>
      <c r="AH98" s="130" t="n">
        <f aca="false">ROUNDDOWN(SUM(AI98:AX99),-1)</f>
        <v>0</v>
      </c>
      <c r="AI98" s="130" t="n">
        <f aca="false">IF($W98*F98&gt;150000,($W98*F98-150000)*6%*45%,0)</f>
        <v>0</v>
      </c>
      <c r="AJ98" s="130" t="n">
        <f aca="false">IF($W98*G98&gt;150000,($W98*G98-150000)*6%*45%,0)</f>
        <v>0</v>
      </c>
      <c r="AK98" s="130" t="n">
        <f aca="false">IF($W98*H98&gt;150000,($W98*H98-150000)*6%*45%,0)</f>
        <v>0</v>
      </c>
      <c r="AL98" s="130" t="n">
        <f aca="false">IF($W98*I98&gt;150000,($W98*I98-150000)*6%*45%,0)</f>
        <v>0</v>
      </c>
      <c r="AM98" s="130" t="n">
        <f aca="false">IF($W98*J98&gt;150000,($W98*J98-150000)*6%*45%,0)</f>
        <v>0</v>
      </c>
      <c r="AN98" s="130" t="n">
        <f aca="false">IF($W98*K98&gt;150000,($W98*K98-150000)*6%*45%,0)</f>
        <v>0</v>
      </c>
      <c r="AO98" s="130" t="n">
        <f aca="false">IF($W98*L98&gt;150000,($W98*L98-150000)*6%*45%,0)</f>
        <v>0</v>
      </c>
      <c r="AP98" s="130" t="n">
        <f aca="false">IF($W98*M98&gt;150000,($W98*M98-150000)*6%*45%,0)</f>
        <v>0</v>
      </c>
      <c r="AQ98" s="130" t="n">
        <f aca="false">IF($W98*N98&gt;150000,($W98*N98-150000)*6%*45%,0)</f>
        <v>0</v>
      </c>
      <c r="AR98" s="130" t="n">
        <f aca="false">IF($W98*O98&gt;150000,($W98*O98-150000)*6%*45%,0)</f>
        <v>0</v>
      </c>
      <c r="AS98" s="130" t="n">
        <f aca="false">IF($W98*P98&gt;150000,($W98*P98-150000)*6%*45%,0)</f>
        <v>0</v>
      </c>
      <c r="AT98" s="130" t="n">
        <f aca="false">IF($W98*Q98&gt;150000,($W98*Q98-150000)*6%*45%,0)</f>
        <v>0</v>
      </c>
      <c r="AU98" s="130" t="n">
        <f aca="false">IF($W98*R98&gt;150000,($W98*R98-150000)*6%*45%,0)</f>
        <v>0</v>
      </c>
      <c r="AV98" s="130" t="n">
        <f aca="false">IF($W98*S98&gt;150000,($W98*S98-150000)*6%*45%,0)</f>
        <v>0</v>
      </c>
      <c r="AW98" s="130" t="n">
        <f aca="false">IF($W98*T98&gt;150000,($W98*T98-150000)*6%*45%,0)</f>
        <v>0</v>
      </c>
      <c r="AX98" s="130"/>
      <c r="AY98" s="131" t="n">
        <f aca="false">IF(ISERROR(VLOOKUP(C98,[26]일용직명단!$A$3:$M$1151,11,FALSE())),0,VLOOKUP(C98,[26]일용직명단!$A$3:$M$1151,11,FALSE()))</f>
        <v>0</v>
      </c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  <c r="GM98" s="11"/>
      <c r="GN98" s="11"/>
      <c r="GO98" s="11"/>
      <c r="GP98" s="11"/>
      <c r="GQ98" s="11"/>
      <c r="GR98" s="11"/>
      <c r="GS98" s="11"/>
      <c r="GT98" s="11"/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/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/>
      <c r="IS98" s="11"/>
      <c r="IT98" s="11"/>
      <c r="IU98" s="11"/>
      <c r="IV98" s="11"/>
      <c r="IW98" s="11"/>
    </row>
    <row r="99" customFormat="false" ht="13.5" hidden="true" customHeight="true" outlineLevel="0" collapsed="false">
      <c r="A99" s="108"/>
      <c r="B99" s="109"/>
      <c r="C99" s="204"/>
      <c r="D99" s="111"/>
      <c r="E99" s="112" t="n">
        <f aca="false">IF(ISERROR(VLOOKUP(C98,일용직명단!$A$3:$K$1246,9,FALSE())),0,VLOOKUP(C98,일용직명단!$A$3:$K$1246,9,FALSE()))</f>
        <v>0</v>
      </c>
      <c r="F99" s="180"/>
      <c r="G99" s="134"/>
      <c r="H99" s="134"/>
      <c r="I99" s="114"/>
      <c r="J99" s="115"/>
      <c r="K99" s="114"/>
      <c r="L99" s="113"/>
      <c r="M99" s="113"/>
      <c r="N99" s="114"/>
      <c r="O99" s="115"/>
      <c r="P99" s="114"/>
      <c r="Q99" s="114"/>
      <c r="R99" s="113"/>
      <c r="S99" s="113"/>
      <c r="T99" s="113"/>
      <c r="U99" s="115"/>
      <c r="V99" s="120"/>
      <c r="W99" s="138" t="n">
        <f aca="false">W98*V98</f>
        <v>0</v>
      </c>
      <c r="X99" s="122" t="n">
        <f aca="false">IF(AH98&lt;1000,0,AH98)</f>
        <v>0</v>
      </c>
      <c r="Y99" s="122" t="n">
        <f aca="false">ROUNDDOWN(X99*10%,-1)</f>
        <v>0</v>
      </c>
      <c r="Z99" s="123" t="n">
        <f aca="false">IF(AE98&gt;=8,ROUNDDOWN(Y98*$Q$4,-1),0)</f>
        <v>0</v>
      </c>
      <c r="AA99" s="124"/>
      <c r="AB99" s="125"/>
      <c r="AC99" s="127" t="n">
        <f aca="false">IF(ISERROR(VLOOKUP(C98,일용직명단!$A$3:$I$1226,7,FALSE())),0,VLOOKUP(C98,일용직명단!$A$3:$I$1226,7,FALSE()))</f>
        <v>0</v>
      </c>
      <c r="AD99" s="127"/>
      <c r="AE99" s="128"/>
      <c r="AF99" s="129"/>
      <c r="AG99" s="129"/>
      <c r="AH99" s="130"/>
      <c r="AI99" s="130" t="n">
        <f aca="false">IF($W98*F99&gt;150000,($W98*F99-150000)*6%*45%,0)</f>
        <v>0</v>
      </c>
      <c r="AJ99" s="130" t="n">
        <f aca="false">IF($W98*G99&gt;150000,($W98*G99-150000)*6%*45%,0)</f>
        <v>0</v>
      </c>
      <c r="AK99" s="130" t="n">
        <f aca="false">IF($W98*H99&gt;150000,($W98*H99-150000)*6%*45%,0)</f>
        <v>0</v>
      </c>
      <c r="AL99" s="130" t="n">
        <f aca="false">IF($W98*I99&gt;150000,($W98*I99-150000)*6%*45%,0)</f>
        <v>0</v>
      </c>
      <c r="AM99" s="130" t="n">
        <f aca="false">IF($W98*J99&gt;150000,($W98*J99-150000)*6%*45%,0)</f>
        <v>0</v>
      </c>
      <c r="AN99" s="130" t="n">
        <f aca="false">IF($W98*K99&gt;150000,($W98*K99-150000)*6%*45%,0)</f>
        <v>0</v>
      </c>
      <c r="AO99" s="130" t="n">
        <f aca="false">IF($W98*L99&gt;150000,($W98*L99-150000)*6%*45%,0)</f>
        <v>0</v>
      </c>
      <c r="AP99" s="130" t="n">
        <f aca="false">IF($W98*M99&gt;150000,($W98*M99-150000)*6%*45%,0)</f>
        <v>0</v>
      </c>
      <c r="AQ99" s="130" t="n">
        <f aca="false">IF($W98*N99&gt;150000,($W98*N99-150000)*6%*45%,0)</f>
        <v>0</v>
      </c>
      <c r="AR99" s="130" t="n">
        <f aca="false">IF($W98*O99&gt;150000,($W98*O99-150000)*6%*45%,0)</f>
        <v>0</v>
      </c>
      <c r="AS99" s="130" t="n">
        <f aca="false">IF($W98*P99&gt;150000,($W98*P99-150000)*6%*45%,0)</f>
        <v>0</v>
      </c>
      <c r="AT99" s="130" t="n">
        <f aca="false">IF($W98*Q99&gt;150000,($W98*Q99-150000)*6%*45%,0)</f>
        <v>0</v>
      </c>
      <c r="AU99" s="130" t="n">
        <f aca="false">IF($W98*R99&gt;150000,($W98*R99-150000)*6%*45%,0)</f>
        <v>0</v>
      </c>
      <c r="AV99" s="130" t="n">
        <f aca="false">IF($W98*S99&gt;150000,($W98*S99-150000)*6%*45%,0)</f>
        <v>0</v>
      </c>
      <c r="AW99" s="130" t="n">
        <f aca="false">IF($W98*T99&gt;150000,($W98*T99-150000)*6%*45%,0)</f>
        <v>0</v>
      </c>
      <c r="AX99" s="130" t="n">
        <f aca="false">IF($W98*U99&gt;150000,($W98*U99-150000)*6%*45%,0)</f>
        <v>0</v>
      </c>
      <c r="AY99" s="13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</row>
    <row r="100" customFormat="false" ht="13.5" hidden="true" customHeight="true" outlineLevel="0" collapsed="false">
      <c r="A100" s="108" t="n">
        <f aca="false">A98+1</f>
        <v>46</v>
      </c>
      <c r="B100" s="109" t="n">
        <f aca="false">IF(ISERROR(VLOOKUP(C100,일용직명단!$A$3:$I$104,2,FALSE())),0,VLOOKUP(C100,일용직명단!$A$3:$I$104,2,FALSE()))</f>
        <v>0</v>
      </c>
      <c r="C100" s="143"/>
      <c r="D100" s="111" t="n">
        <f aca="false">IF(ISERROR(VLOOKUP(C100,일용직명단!$A$3:$K$1246,3,FALSE())),0,VLOOKUP(C100,일용직명단!$A$3:$K$1246,3,FALSE()))</f>
        <v>0</v>
      </c>
      <c r="E100" s="140" t="n">
        <f aca="false">IF(ISERROR(VLOOKUP(C100,일용직명단!$A$3:$K$1246,4,FALSE())),0,VLOOKUP(C100,일용직명단!$A$3:$K$1246,4,FALSE()))</f>
        <v>0</v>
      </c>
      <c r="F100" s="113"/>
      <c r="G100" s="114"/>
      <c r="H100" s="115"/>
      <c r="I100" s="115"/>
      <c r="J100" s="113"/>
      <c r="K100" s="115"/>
      <c r="L100" s="113"/>
      <c r="M100" s="113"/>
      <c r="N100" s="114"/>
      <c r="O100" s="114"/>
      <c r="P100" s="113"/>
      <c r="Q100" s="114"/>
      <c r="R100" s="115"/>
      <c r="S100" s="114"/>
      <c r="T100" s="115"/>
      <c r="U100" s="119"/>
      <c r="V100" s="144" t="n">
        <f aca="false">SUM(F100:U101)</f>
        <v>0</v>
      </c>
      <c r="W100" s="121" t="n">
        <f aca="false">IF(ISERROR(VLOOKUP(C100,일용직명단!$A$3:$K$1246,8,FALSE())),0,VLOOKUP(C100,일용직명단!$A$3:$K$1246,8,FALSE()))</f>
        <v>0</v>
      </c>
      <c r="X100" s="123" t="n">
        <f aca="false">IFERROR(IF(AG100&gt;=65,0,ROUNDDOWN(W101*$Z$4,-1)),0)</f>
        <v>0</v>
      </c>
      <c r="Y100" s="123" t="n">
        <f aca="false">IF(AE100&gt;=8,ROUNDDOWN(W101*$M$4,-1),0)</f>
        <v>0</v>
      </c>
      <c r="Z100" s="123" t="n">
        <f aca="false">IFERROR(IF(AND(COUNT(F100:U101)&gt;=8,$AG100&lt;60,W101&lt;=5530000),ROUNDDOWN(ROUNDDOWN(W101,-3)*4.5%,-1),IF(AND(COUNT(F100:U101)&gt;=8,AG100&lt;60,W101&gt;5530000),248850,0)),0)</f>
        <v>0</v>
      </c>
      <c r="AA100" s="145" t="n">
        <f aca="false">+X100+Y100+X101+Y101+Z100+Z101</f>
        <v>0</v>
      </c>
      <c r="AB100" s="146" t="n">
        <f aca="false">W101-AA100</f>
        <v>0</v>
      </c>
      <c r="AC100" s="147" t="n">
        <f aca="false">IF(ISERROR(VLOOKUP(C100,일용직명단!$A$3:$I$1226,5,FALSE())),0,VLOOKUP(C100,일용직명단!$A$3:$I$1226,5,FALSE()))</f>
        <v>0</v>
      </c>
      <c r="AD100" s="148" t="n">
        <f aca="false">IF(ISERROR(VLOOKUP(C100,일용직명단!$A$3:$I$1226,6,FALSE())),0,VLOOKUP(C100,일용직명단!$A$3:$I$1226,6,FALSE()))</f>
        <v>0</v>
      </c>
      <c r="AE100" s="149" t="n">
        <f aca="false">COUNT(F100:U101)</f>
        <v>0</v>
      </c>
      <c r="AF100" s="129" t="str">
        <f aca="false">IF(OR(MID(D100,8,1)="1",MID(D100,8,1)="2"),19&amp;LEFT(D100,2),20&amp;LEFT(D100,2))&amp;"-"&amp;MID(D100,3,2)&amp;"-"&amp;MID(D100,5,2)</f>
        <v>200--</v>
      </c>
      <c r="AG100" s="129" t="e">
        <f aca="true">INT((TODAY()-AF100)/365.25)</f>
        <v>#VALUE!</v>
      </c>
      <c r="AH100" s="130" t="n">
        <f aca="false">ROUNDDOWN(SUM(AI100:AX101),-1)</f>
        <v>0</v>
      </c>
      <c r="AI100" s="130" t="n">
        <f aca="false">IF($W100*F100&gt;150000,($W100*F100-150000)*6%*45%,0)</f>
        <v>0</v>
      </c>
      <c r="AJ100" s="130" t="n">
        <f aca="false">IF($W100*G100&gt;150000,($W100*G100-150000)*6%*45%,0)</f>
        <v>0</v>
      </c>
      <c r="AK100" s="130" t="n">
        <f aca="false">IF($W100*H100&gt;150000,($W100*H100-150000)*6%*45%,0)</f>
        <v>0</v>
      </c>
      <c r="AL100" s="130" t="n">
        <f aca="false">IF($W100*I100&gt;150000,($W100*I100-150000)*6%*45%,0)</f>
        <v>0</v>
      </c>
      <c r="AM100" s="130" t="n">
        <f aca="false">IF($W100*J100&gt;150000,($W100*J100-150000)*6%*45%,0)</f>
        <v>0</v>
      </c>
      <c r="AN100" s="130" t="n">
        <f aca="false">IF($W100*K100&gt;150000,($W100*K100-150000)*6%*45%,0)</f>
        <v>0</v>
      </c>
      <c r="AO100" s="130" t="n">
        <f aca="false">IF($W100*L100&gt;150000,($W100*L100-150000)*6%*45%,0)</f>
        <v>0</v>
      </c>
      <c r="AP100" s="130" t="n">
        <f aca="false">IF($W100*M100&gt;150000,($W100*M100-150000)*6%*45%,0)</f>
        <v>0</v>
      </c>
      <c r="AQ100" s="130" t="n">
        <f aca="false">IF($W100*N100&gt;150000,($W100*N100-150000)*6%*45%,0)</f>
        <v>0</v>
      </c>
      <c r="AR100" s="130" t="n">
        <f aca="false">IF($W100*O100&gt;150000,($W100*O100-150000)*6%*45%,0)</f>
        <v>0</v>
      </c>
      <c r="AS100" s="130" t="n">
        <f aca="false">IF($W100*P100&gt;150000,($W100*P100-150000)*6%*45%,0)</f>
        <v>0</v>
      </c>
      <c r="AT100" s="130" t="n">
        <f aca="false">IF($W100*Q100&gt;150000,($W100*Q100-150000)*6%*45%,0)</f>
        <v>0</v>
      </c>
      <c r="AU100" s="130" t="n">
        <f aca="false">IF($W100*R100&gt;150000,($W100*R100-150000)*6%*45%,0)</f>
        <v>0</v>
      </c>
      <c r="AV100" s="130" t="n">
        <f aca="false">IF($W100*S100&gt;150000,($W100*S100-150000)*6%*45%,0)</f>
        <v>0</v>
      </c>
      <c r="AW100" s="130" t="n">
        <f aca="false">IF($W100*T100&gt;150000,($W100*T100-150000)*6%*45%,0)</f>
        <v>0</v>
      </c>
      <c r="AX100" s="130"/>
      <c r="AY100" s="131" t="n">
        <f aca="false">IF(ISERROR(VLOOKUP(C100,[26]일용직명단!$A$3:$M$1151,11,FALSE())),0,VLOOKUP(C100,[26]일용직명단!$A$3:$M$1151,11,FALSE()))</f>
        <v>0</v>
      </c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/>
    </row>
    <row r="101" customFormat="false" ht="13.5" hidden="true" customHeight="true" outlineLevel="0" collapsed="false">
      <c r="A101" s="108"/>
      <c r="B101" s="109"/>
      <c r="C101" s="143"/>
      <c r="D101" s="111"/>
      <c r="E101" s="140" t="n">
        <f aca="false">IF(ISERROR(VLOOKUP(C100,일용직명단!$A$3:$K$1246,9,FALSE())),0,VLOOKUP(C100,일용직명단!$A$3:$K$1246,9,FALSE()))</f>
        <v>0</v>
      </c>
      <c r="F101" s="180"/>
      <c r="G101" s="134"/>
      <c r="H101" s="134"/>
      <c r="I101" s="114"/>
      <c r="J101" s="115"/>
      <c r="K101" s="114"/>
      <c r="L101" s="113"/>
      <c r="M101" s="113"/>
      <c r="N101" s="114"/>
      <c r="O101" s="115"/>
      <c r="P101" s="114"/>
      <c r="Q101" s="114"/>
      <c r="R101" s="113"/>
      <c r="S101" s="113"/>
      <c r="T101" s="113"/>
      <c r="U101" s="115"/>
      <c r="V101" s="144"/>
      <c r="W101" s="138" t="n">
        <f aca="false">W100*V100</f>
        <v>0</v>
      </c>
      <c r="X101" s="123" t="n">
        <f aca="false">IF(AH100&lt;1000,0,AH100)</f>
        <v>0</v>
      </c>
      <c r="Y101" s="123" t="n">
        <f aca="false">ROUNDDOWN(X101*10%,-1)</f>
        <v>0</v>
      </c>
      <c r="Z101" s="123" t="n">
        <f aca="false">IF(AE100&gt;=8,ROUNDDOWN(Y100*$Q$4,-1),0)</f>
        <v>0</v>
      </c>
      <c r="AA101" s="145"/>
      <c r="AB101" s="146"/>
      <c r="AC101" s="148" t="n">
        <f aca="false">IF(ISERROR(VLOOKUP(C100,일용직명단!$A$3:$I$1226,7,FALSE())),0,VLOOKUP(C100,일용직명단!$A$3:$I$1226,7,FALSE()))</f>
        <v>0</v>
      </c>
      <c r="AD101" s="148"/>
      <c r="AE101" s="149"/>
      <c r="AF101" s="129"/>
      <c r="AG101" s="129"/>
      <c r="AH101" s="130"/>
      <c r="AI101" s="130" t="n">
        <f aca="false">IF($W100*F101&gt;150000,($W100*F101-150000)*6%*45%,0)</f>
        <v>0</v>
      </c>
      <c r="AJ101" s="130" t="n">
        <f aca="false">IF($W100*G101&gt;150000,($W100*G101-150000)*6%*45%,0)</f>
        <v>0</v>
      </c>
      <c r="AK101" s="130" t="n">
        <f aca="false">IF($W100*H101&gt;150000,($W100*H101-150000)*6%*45%,0)</f>
        <v>0</v>
      </c>
      <c r="AL101" s="130" t="n">
        <f aca="false">IF($W100*I101&gt;150000,($W100*I101-150000)*6%*45%,0)</f>
        <v>0</v>
      </c>
      <c r="AM101" s="130" t="n">
        <f aca="false">IF($W100*J101&gt;150000,($W100*J101-150000)*6%*45%,0)</f>
        <v>0</v>
      </c>
      <c r="AN101" s="130" t="n">
        <f aca="false">IF($W100*K101&gt;150000,($W100*K101-150000)*6%*45%,0)</f>
        <v>0</v>
      </c>
      <c r="AO101" s="130" t="n">
        <f aca="false">IF($W100*L101&gt;150000,($W100*L101-150000)*6%*45%,0)</f>
        <v>0</v>
      </c>
      <c r="AP101" s="130" t="n">
        <f aca="false">IF($W100*M101&gt;150000,($W100*M101-150000)*6%*45%,0)</f>
        <v>0</v>
      </c>
      <c r="AQ101" s="130" t="n">
        <f aca="false">IF($W100*N101&gt;150000,($W100*N101-150000)*6%*45%,0)</f>
        <v>0</v>
      </c>
      <c r="AR101" s="130" t="n">
        <f aca="false">IF($W100*O101&gt;150000,($W100*O101-150000)*6%*45%,0)</f>
        <v>0</v>
      </c>
      <c r="AS101" s="130" t="n">
        <f aca="false">IF($W100*P101&gt;150000,($W100*P101-150000)*6%*45%,0)</f>
        <v>0</v>
      </c>
      <c r="AT101" s="130" t="n">
        <f aca="false">IF($W100*Q101&gt;150000,($W100*Q101-150000)*6%*45%,0)</f>
        <v>0</v>
      </c>
      <c r="AU101" s="130" t="n">
        <f aca="false">IF($W100*R101&gt;150000,($W100*R101-150000)*6%*45%,0)</f>
        <v>0</v>
      </c>
      <c r="AV101" s="130" t="n">
        <f aca="false">IF($W100*S101&gt;150000,($W100*S101-150000)*6%*45%,0)</f>
        <v>0</v>
      </c>
      <c r="AW101" s="130" t="n">
        <f aca="false">IF($W100*T101&gt;150000,($W100*T101-150000)*6%*45%,0)</f>
        <v>0</v>
      </c>
      <c r="AX101" s="130" t="n">
        <f aca="false">IF($W100*U101&gt;150000,($W100*U101-150000)*6%*45%,0)</f>
        <v>0</v>
      </c>
      <c r="AY101" s="13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/>
      <c r="GA101" s="11"/>
      <c r="GB101" s="11"/>
      <c r="GC101" s="11"/>
      <c r="GD101" s="11"/>
      <c r="GE101" s="11"/>
      <c r="GF101" s="11"/>
      <c r="GG101" s="11"/>
      <c r="GH101" s="11"/>
      <c r="GI101" s="11"/>
      <c r="GJ101" s="11"/>
      <c r="GK101" s="11"/>
      <c r="GL101" s="11"/>
      <c r="GM101" s="11"/>
      <c r="GN101" s="11"/>
      <c r="GO101" s="11"/>
      <c r="GP101" s="11"/>
      <c r="GQ101" s="11"/>
      <c r="GR101" s="11"/>
      <c r="GS101" s="11"/>
      <c r="GT101" s="11"/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P101" s="11"/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  <c r="IM101" s="11"/>
      <c r="IN101" s="11"/>
      <c r="IO101" s="11"/>
      <c r="IP101" s="11"/>
      <c r="IQ101" s="11"/>
      <c r="IR101" s="11"/>
      <c r="IS101" s="11"/>
      <c r="IT101" s="11"/>
      <c r="IU101" s="11"/>
      <c r="IV101" s="11"/>
      <c r="IW101" s="11"/>
    </row>
    <row r="102" customFormat="false" ht="13.5" hidden="true" customHeight="true" outlineLevel="0" collapsed="false">
      <c r="A102" s="108" t="n">
        <f aca="false">A100+1</f>
        <v>47</v>
      </c>
      <c r="B102" s="109"/>
      <c r="C102" s="206"/>
      <c r="D102" s="111" t="n">
        <f aca="false">IF(ISERROR(VLOOKUP(C102,일용직명단!$A$3:$K$1246,3,FALSE())),0,VLOOKUP(C102,일용직명단!$A$3:$K$1246,3,FALSE()))</f>
        <v>0</v>
      </c>
      <c r="E102" s="112" t="n">
        <f aca="false">IF(ISERROR(VLOOKUP(C102,일용직명단!$A$3:$K$1246,4,FALSE())),0,VLOOKUP(C102,일용직명단!$A$3:$K$1246,4,FALSE()))</f>
        <v>0</v>
      </c>
      <c r="F102" s="113"/>
      <c r="G102" s="114"/>
      <c r="H102" s="115"/>
      <c r="I102" s="115"/>
      <c r="J102" s="113"/>
      <c r="K102" s="115"/>
      <c r="L102" s="113"/>
      <c r="M102" s="113"/>
      <c r="N102" s="114"/>
      <c r="O102" s="114"/>
      <c r="P102" s="113"/>
      <c r="Q102" s="114"/>
      <c r="R102" s="115"/>
      <c r="S102" s="114"/>
      <c r="T102" s="115"/>
      <c r="U102" s="119"/>
      <c r="V102" s="120" t="n">
        <f aca="false">SUM(F102:U103)</f>
        <v>0</v>
      </c>
      <c r="W102" s="121" t="n">
        <f aca="false">IF(ISERROR(VLOOKUP(C102,일용직명단!$A$3:$K$1246,8,FALSE())),0,VLOOKUP(C102,일용직명단!$A$3:$K$1246,8,FALSE()))</f>
        <v>0</v>
      </c>
      <c r="X102" s="122" t="n">
        <f aca="false">IFERROR(IF(AG102&gt;=65,0,ROUNDDOWN(W103*$Z$4,-1)),0)</f>
        <v>0</v>
      </c>
      <c r="Y102" s="122" t="n">
        <f aca="false">IF(AE102&gt;=8,ROUNDDOWN(W103*$M$4,-1),0)</f>
        <v>0</v>
      </c>
      <c r="Z102" s="123" t="n">
        <f aca="false">IFERROR(IF(AND(COUNT(F102:U103)&gt;=8,$AG102&lt;60,W103&lt;=5530000),ROUNDDOWN(ROUNDDOWN(W103,-3)*4.5%,-1),IF(AND(COUNT(F102:U103)&gt;=8,AG102&lt;60,W103&gt;5530000),248850,0)),0)</f>
        <v>0</v>
      </c>
      <c r="AA102" s="124" t="n">
        <f aca="false">+X102+Y102+X103+Y103+Z102+Z103</f>
        <v>0</v>
      </c>
      <c r="AB102" s="125" t="n">
        <f aca="false">W103-AA102</f>
        <v>0</v>
      </c>
      <c r="AC102" s="126" t="n">
        <f aca="false">IF(ISERROR(VLOOKUP(C102,일용직명단!$A$3:$I$1226,5,FALSE())),0,VLOOKUP(C102,일용직명단!$A$3:$I$1226,5,FALSE()))</f>
        <v>0</v>
      </c>
      <c r="AD102" s="127" t="n">
        <f aca="false">IF(ISERROR(VLOOKUP(C102,일용직명단!$A$3:$I$1226,6,FALSE())),0,VLOOKUP(C102,일용직명단!$A$3:$I$1226,6,FALSE()))</f>
        <v>0</v>
      </c>
      <c r="AE102" s="128" t="n">
        <f aca="false">COUNT(F102:U103)</f>
        <v>0</v>
      </c>
      <c r="AF102" s="129" t="str">
        <f aca="false">IF(OR(MID(D102,8,1)="1",MID(D102,8,1)="2"),19&amp;LEFT(D102,2),20&amp;LEFT(D102,2))&amp;"-"&amp;MID(D102,3,2)&amp;"-"&amp;MID(D102,5,2)</f>
        <v>200--</v>
      </c>
      <c r="AG102" s="129" t="e">
        <f aca="true">INT((TODAY()-AF102)/365.25)</f>
        <v>#VALUE!</v>
      </c>
      <c r="AH102" s="130" t="n">
        <f aca="false">ROUNDDOWN(SUM(AI102:AX103),-1)</f>
        <v>0</v>
      </c>
      <c r="AI102" s="130" t="n">
        <f aca="false">IF($W102*F102&gt;150000,($W102*F102-150000)*6%*45%,0)</f>
        <v>0</v>
      </c>
      <c r="AJ102" s="130" t="n">
        <f aca="false">IF($W102*G102&gt;150000,($W102*G102-150000)*6%*45%,0)</f>
        <v>0</v>
      </c>
      <c r="AK102" s="130" t="n">
        <f aca="false">IF($W102*H102&gt;150000,($W102*H102-150000)*6%*45%,0)</f>
        <v>0</v>
      </c>
      <c r="AL102" s="130" t="n">
        <f aca="false">IF($W102*I102&gt;150000,($W102*I102-150000)*6%*45%,0)</f>
        <v>0</v>
      </c>
      <c r="AM102" s="130" t="n">
        <f aca="false">IF($W102*J102&gt;150000,($W102*J102-150000)*6%*45%,0)</f>
        <v>0</v>
      </c>
      <c r="AN102" s="130" t="n">
        <f aca="false">IF($W102*K102&gt;150000,($W102*K102-150000)*6%*45%,0)</f>
        <v>0</v>
      </c>
      <c r="AO102" s="130" t="n">
        <f aca="false">IF($W102*L102&gt;150000,($W102*L102-150000)*6%*45%,0)</f>
        <v>0</v>
      </c>
      <c r="AP102" s="130" t="n">
        <f aca="false">IF($W102*M102&gt;150000,($W102*M102-150000)*6%*45%,0)</f>
        <v>0</v>
      </c>
      <c r="AQ102" s="130" t="n">
        <f aca="false">IF($W102*N102&gt;150000,($W102*N102-150000)*6%*45%,0)</f>
        <v>0</v>
      </c>
      <c r="AR102" s="130" t="n">
        <f aca="false">IF($W102*O102&gt;150000,($W102*O102-150000)*6%*45%,0)</f>
        <v>0</v>
      </c>
      <c r="AS102" s="130" t="n">
        <f aca="false">IF($W102*P102&gt;150000,($W102*P102-150000)*6%*45%,0)</f>
        <v>0</v>
      </c>
      <c r="AT102" s="130" t="n">
        <f aca="false">IF($W102*Q102&gt;150000,($W102*Q102-150000)*6%*45%,0)</f>
        <v>0</v>
      </c>
      <c r="AU102" s="130" t="n">
        <f aca="false">IF($W102*R102&gt;150000,($W102*R102-150000)*6%*45%,0)</f>
        <v>0</v>
      </c>
      <c r="AV102" s="130" t="n">
        <f aca="false">IF($W102*S102&gt;150000,($W102*S102-150000)*6%*45%,0)</f>
        <v>0</v>
      </c>
      <c r="AW102" s="130" t="n">
        <f aca="false">IF($W102*T102&gt;150000,($W102*T102-150000)*6%*45%,0)</f>
        <v>0</v>
      </c>
      <c r="AX102" s="130"/>
      <c r="AY102" s="131" t="n">
        <f aca="false">IF(ISERROR(VLOOKUP(AJ5,[26]일용직명단!$A$3:$M$1151,11,FALSE())),0,VLOOKUP(AJ5,[26]일용직명단!$A$3:$M$1151,11,FALSE()))</f>
        <v>0</v>
      </c>
      <c r="AZ102" s="11"/>
      <c r="BA102" s="11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</row>
    <row r="103" customFormat="false" ht="13.5" hidden="true" customHeight="true" outlineLevel="0" collapsed="false">
      <c r="A103" s="108"/>
      <c r="B103" s="109"/>
      <c r="C103" s="206"/>
      <c r="D103" s="111"/>
      <c r="E103" s="112" t="n">
        <f aca="false">IF(ISERROR(VLOOKUP(C102,일용직명단!$A$3:$K$1246,9,FALSE())),0,VLOOKUP(C102,일용직명단!$A$3:$K$1246,9,FALSE()))</f>
        <v>0</v>
      </c>
      <c r="F103" s="180"/>
      <c r="G103" s="134"/>
      <c r="H103" s="134"/>
      <c r="I103" s="114"/>
      <c r="J103" s="115"/>
      <c r="K103" s="114"/>
      <c r="L103" s="113"/>
      <c r="M103" s="113"/>
      <c r="N103" s="114"/>
      <c r="O103" s="115"/>
      <c r="P103" s="114"/>
      <c r="Q103" s="114"/>
      <c r="R103" s="113"/>
      <c r="S103" s="113"/>
      <c r="T103" s="113"/>
      <c r="U103" s="115"/>
      <c r="V103" s="120"/>
      <c r="W103" s="138" t="n">
        <f aca="false">W102*V102</f>
        <v>0</v>
      </c>
      <c r="X103" s="122" t="n">
        <f aca="false">IF(AH102&lt;1000,0,AH102)</f>
        <v>0</v>
      </c>
      <c r="Y103" s="122" t="n">
        <f aca="false">ROUNDDOWN(X103*10%,-1)</f>
        <v>0</v>
      </c>
      <c r="Z103" s="123" t="n">
        <f aca="false">IF(AE102&gt;=8,ROUNDDOWN(Y102*$Q$4,-1),0)</f>
        <v>0</v>
      </c>
      <c r="AA103" s="124"/>
      <c r="AB103" s="125"/>
      <c r="AC103" s="127" t="n">
        <f aca="false">IF(ISERROR(VLOOKUP(C102,일용직명단!$A$3:$I$1226,7,FALSE())),0,VLOOKUP(C102,일용직명단!$A$3:$I$1226,7,FALSE()))</f>
        <v>0</v>
      </c>
      <c r="AD103" s="127"/>
      <c r="AE103" s="128"/>
      <c r="AF103" s="129"/>
      <c r="AG103" s="129"/>
      <c r="AH103" s="130"/>
      <c r="AI103" s="130" t="n">
        <f aca="false">IF($W102*F103&gt;150000,($W102*F103-150000)*6%*45%,0)</f>
        <v>0</v>
      </c>
      <c r="AJ103" s="130" t="n">
        <f aca="false">IF($W102*G103&gt;150000,($W102*G103-150000)*6%*45%,0)</f>
        <v>0</v>
      </c>
      <c r="AK103" s="130" t="n">
        <f aca="false">IF($W102*H103&gt;150000,($W102*H103-150000)*6%*45%,0)</f>
        <v>0</v>
      </c>
      <c r="AL103" s="130" t="n">
        <f aca="false">IF($W102*I103&gt;150000,($W102*I103-150000)*6%*45%,0)</f>
        <v>0</v>
      </c>
      <c r="AM103" s="130" t="n">
        <f aca="false">IF($W102*J103&gt;150000,($W102*J103-150000)*6%*45%,0)</f>
        <v>0</v>
      </c>
      <c r="AN103" s="130" t="n">
        <f aca="false">IF($W102*K103&gt;150000,($W102*K103-150000)*6%*45%,0)</f>
        <v>0</v>
      </c>
      <c r="AO103" s="130" t="n">
        <f aca="false">IF($W102*L103&gt;150000,($W102*L103-150000)*6%*45%,0)</f>
        <v>0</v>
      </c>
      <c r="AP103" s="130" t="n">
        <f aca="false">IF($W102*M103&gt;150000,($W102*M103-150000)*6%*45%,0)</f>
        <v>0</v>
      </c>
      <c r="AQ103" s="130" t="n">
        <f aca="false">IF($W102*N103&gt;150000,($W102*N103-150000)*6%*45%,0)</f>
        <v>0</v>
      </c>
      <c r="AR103" s="130" t="n">
        <f aca="false">IF($W102*O103&gt;150000,($W102*O103-150000)*6%*45%,0)</f>
        <v>0</v>
      </c>
      <c r="AS103" s="130" t="n">
        <f aca="false">IF($W102*P103&gt;150000,($W102*P103-150000)*6%*45%,0)</f>
        <v>0</v>
      </c>
      <c r="AT103" s="130" t="n">
        <f aca="false">IF($W102*Q103&gt;150000,($W102*Q103-150000)*6%*45%,0)</f>
        <v>0</v>
      </c>
      <c r="AU103" s="130" t="n">
        <f aca="false">IF($W102*R103&gt;150000,($W102*R103-150000)*6%*45%,0)</f>
        <v>0</v>
      </c>
      <c r="AV103" s="130" t="n">
        <f aca="false">IF($W102*S103&gt;150000,($W102*S103-150000)*6%*45%,0)</f>
        <v>0</v>
      </c>
      <c r="AW103" s="130" t="n">
        <f aca="false">IF($W102*T103&gt;150000,($W102*T103-150000)*6%*45%,0)</f>
        <v>0</v>
      </c>
      <c r="AX103" s="130" t="n">
        <f aca="false">IF($W102*U103&gt;150000,($W102*U103-150000)*6%*45%,0)</f>
        <v>0</v>
      </c>
      <c r="AY103" s="131"/>
      <c r="AZ103" s="11"/>
      <c r="BA103" s="11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</row>
    <row r="104" customFormat="false" ht="13.5" hidden="true" customHeight="true" outlineLevel="0" collapsed="false">
      <c r="A104" s="108" t="n">
        <f aca="false">A102+1</f>
        <v>48</v>
      </c>
      <c r="B104" s="159"/>
      <c r="C104" s="203"/>
      <c r="D104" s="111" t="n">
        <f aca="false">IF(ISERROR(VLOOKUP(C104,[28]일용직명단!$A$3:$K$1183,3,FALSE())),0,VLOOKUP(C104,[28]일용직명단!$A$3:$K$1183,3,FALSE()))</f>
        <v>0</v>
      </c>
      <c r="E104" s="160" t="n">
        <f aca="false">IF(ISERROR(VLOOKUP(C104,일용직명단!$A$3:$K$1246,4,FALSE())),0,VLOOKUP(C104,일용직명단!$A$3:$K$1246,4,FALSE()))</f>
        <v>0</v>
      </c>
      <c r="F104" s="113"/>
      <c r="G104" s="114"/>
      <c r="H104" s="115"/>
      <c r="I104" s="115"/>
      <c r="J104" s="113"/>
      <c r="K104" s="115"/>
      <c r="L104" s="113"/>
      <c r="M104" s="113"/>
      <c r="N104" s="114"/>
      <c r="O104" s="114"/>
      <c r="P104" s="113"/>
      <c r="Q104" s="114"/>
      <c r="R104" s="115"/>
      <c r="S104" s="114"/>
      <c r="T104" s="115"/>
      <c r="U104" s="119"/>
      <c r="V104" s="144" t="n">
        <f aca="false">SUM(F104:U105)</f>
        <v>0</v>
      </c>
      <c r="W104" s="121" t="n">
        <f aca="false">IF(ISERROR(VLOOKUP(C104,일용직명단!$A$3:$K$1246,8,FALSE())),0,VLOOKUP(C104,일용직명단!$A$3:$K$1246,8,FALSE()))</f>
        <v>0</v>
      </c>
      <c r="X104" s="156" t="n">
        <f aca="false">IFERROR(IF(AG104&gt;=65,0,ROUNDDOWN(W105*$Z$4,-1)),0)</f>
        <v>0</v>
      </c>
      <c r="Y104" s="156" t="n">
        <f aca="false">IF(AE104&gt;=8,ROUNDDOWN(W105*$M$4,-1),0)</f>
        <v>0</v>
      </c>
      <c r="Z104" s="156" t="n">
        <f aca="false">IFERROR(IF(AND(COUNT(F104:U105)&gt;=8,$AG104&lt;60,W105&lt;=5530000),ROUNDDOWN(ROUNDDOWN(W105,-3)*4.5%,-1),IF(AND(COUNT(F104:U105)&gt;=8,AG104&lt;60,W105&gt;5530000),248850,0)),0)</f>
        <v>0</v>
      </c>
      <c r="AA104" s="145" t="n">
        <f aca="false">+X104+Y104+X105+Y105+Z104+Z105</f>
        <v>0</v>
      </c>
      <c r="AB104" s="146" t="n">
        <f aca="false">W105-AA104</f>
        <v>0</v>
      </c>
      <c r="AC104" s="157" t="n">
        <f aca="false">IF(ISERROR(VLOOKUP(C104,일용직명단!$A$3:$I$1226,5,FALSE())),0,VLOOKUP(C104,일용직명단!$A$3:$I$1226,5,FALSE()))</f>
        <v>0</v>
      </c>
      <c r="AD104" s="158" t="n">
        <f aca="false">IF(ISERROR(VLOOKUP(C104,일용직명단!$A$3:$I$1226,6,FALSE())),0,VLOOKUP(C104,일용직명단!$A$3:$I$1226,6,FALSE()))</f>
        <v>0</v>
      </c>
      <c r="AE104" s="141" t="n">
        <f aca="false">COUNT(F104:U105)</f>
        <v>0</v>
      </c>
      <c r="AF104" s="129" t="str">
        <f aca="false">IF(OR(MID(D104,8,1)="1",MID(D104,8,1)="2"),19&amp;LEFT(D104,2),20&amp;LEFT(D104,2))&amp;"-"&amp;MID(D104,3,2)&amp;"-"&amp;MID(D104,5,2)</f>
        <v>200--</v>
      </c>
      <c r="AG104" s="129" t="e">
        <f aca="true">INT((TODAY()-AF104)/365.25)</f>
        <v>#VALUE!</v>
      </c>
      <c r="AH104" s="161" t="n">
        <f aca="false">ROUNDDOWN(SUM(AI104:AX105),-1)</f>
        <v>0</v>
      </c>
      <c r="AI104" s="130" t="n">
        <f aca="false">IF($W104*F104&gt;150000,($W104*F104-150000)*6%*45%,0)</f>
        <v>0</v>
      </c>
      <c r="AJ104" s="130" t="n">
        <f aca="false">IF($W104*G104&gt;150000,($W104*G104-150000)*6%*45%,0)</f>
        <v>0</v>
      </c>
      <c r="AK104" s="130" t="n">
        <f aca="false">IF($W104*H104&gt;150000,($W104*H104-150000)*6%*45%,0)</f>
        <v>0</v>
      </c>
      <c r="AL104" s="130" t="n">
        <f aca="false">IF($W104*I104&gt;150000,($W104*I104-150000)*6%*45%,0)</f>
        <v>0</v>
      </c>
      <c r="AM104" s="130" t="n">
        <f aca="false">IF($W104*J104&gt;150000,($W104*J104-150000)*6%*45%,0)</f>
        <v>0</v>
      </c>
      <c r="AN104" s="130" t="n">
        <f aca="false">IF($W104*K104&gt;150000,($W104*K104-150000)*6%*45%,0)</f>
        <v>0</v>
      </c>
      <c r="AO104" s="130" t="n">
        <f aca="false">IF($W104*L104&gt;150000,($W104*L104-150000)*6%*45%,0)</f>
        <v>0</v>
      </c>
      <c r="AP104" s="130" t="n">
        <f aca="false">IF($W104*M104&gt;150000,($W104*M104-150000)*6%*45%,0)</f>
        <v>0</v>
      </c>
      <c r="AQ104" s="130" t="n">
        <f aca="false">IF($W104*N104&gt;150000,($W104*N104-150000)*6%*45%,0)</f>
        <v>0</v>
      </c>
      <c r="AR104" s="130" t="n">
        <f aca="false">IF($W104*O104&gt;150000,($W104*O104-150000)*6%*45%,0)</f>
        <v>0</v>
      </c>
      <c r="AS104" s="130" t="n">
        <f aca="false">IF($W104*P104&gt;150000,($W104*P104-150000)*6%*45%,0)</f>
        <v>0</v>
      </c>
      <c r="AT104" s="130" t="n">
        <f aca="false">IF($W104*Q104&gt;150000,($W104*Q104-150000)*6%*45%,0)</f>
        <v>0</v>
      </c>
      <c r="AU104" s="130" t="n">
        <f aca="false">IF($W104*R104&gt;150000,($W104*R104-150000)*6%*45%,0)</f>
        <v>0</v>
      </c>
      <c r="AV104" s="130" t="n">
        <f aca="false">IF($W104*S104&gt;150000,($W104*S104-150000)*6%*45%,0)</f>
        <v>0</v>
      </c>
      <c r="AW104" s="130" t="n">
        <f aca="false">IF($W104*T104&gt;150000,($W104*T104-150000)*6%*45%,0)</f>
        <v>0</v>
      </c>
      <c r="AX104" s="130"/>
      <c r="AY104" s="162" t="n">
        <f aca="false">IF(ISERROR(VLOOKUP(C104,[27]일용직명단!$A$3:$M$1151,11,FALSE())),0,VLOOKUP(C104,[27]일용직명단!$A$3:$M$1151,11,FALSE()))</f>
        <v>0</v>
      </c>
      <c r="AZ104" s="163"/>
      <c r="BA104" s="163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V104" s="11"/>
      <c r="IW104" s="11"/>
    </row>
    <row r="105" customFormat="false" ht="13.5" hidden="true" customHeight="true" outlineLevel="0" collapsed="false">
      <c r="A105" s="108"/>
      <c r="B105" s="159"/>
      <c r="C105" s="203"/>
      <c r="D105" s="111"/>
      <c r="E105" s="160" t="n">
        <f aca="false">IF(ISERROR(VLOOKUP(C104,일용직명단!$A$3:$K$1246,9,FALSE())),0,VLOOKUP(C104,일용직명단!$A$3:$K$1246,9,FALSE()))</f>
        <v>0</v>
      </c>
      <c r="F105" s="180"/>
      <c r="G105" s="134"/>
      <c r="H105" s="134"/>
      <c r="I105" s="114"/>
      <c r="J105" s="115"/>
      <c r="K105" s="114"/>
      <c r="L105" s="113"/>
      <c r="M105" s="113"/>
      <c r="N105" s="114"/>
      <c r="O105" s="115"/>
      <c r="P105" s="114"/>
      <c r="Q105" s="114"/>
      <c r="R105" s="113"/>
      <c r="S105" s="113"/>
      <c r="T105" s="113"/>
      <c r="U105" s="115"/>
      <c r="V105" s="144"/>
      <c r="W105" s="138" t="n">
        <f aca="false">W104*V104</f>
        <v>0</v>
      </c>
      <c r="X105" s="156" t="n">
        <f aca="false">IF(AH104&lt;1000,0,AH104)</f>
        <v>0</v>
      </c>
      <c r="Y105" s="156" t="n">
        <f aca="false">ROUNDDOWN(X105*10%,-1)</f>
        <v>0</v>
      </c>
      <c r="Z105" s="156" t="n">
        <f aca="false">IF(AE104&gt;=8,ROUNDDOWN(Y104*$Q$4,-1),0)</f>
        <v>0</v>
      </c>
      <c r="AA105" s="145"/>
      <c r="AB105" s="146"/>
      <c r="AC105" s="158" t="n">
        <f aca="false">IF(ISERROR(VLOOKUP(C104,일용직명단!$A$3:$I$1226,7,FALSE())),0,VLOOKUP(C104,일용직명단!$A$3:$I$1226,7,FALSE()))</f>
        <v>0</v>
      </c>
      <c r="AD105" s="158"/>
      <c r="AE105" s="141"/>
      <c r="AF105" s="129"/>
      <c r="AG105" s="129"/>
      <c r="AH105" s="161"/>
      <c r="AI105" s="130" t="n">
        <f aca="false">IF($W104*F105&gt;150000,($W104*F105-150000)*6%*45%,0)</f>
        <v>0</v>
      </c>
      <c r="AJ105" s="130" t="n">
        <f aca="false">IF($W104*G105&gt;150000,($W104*G105-150000)*6%*45%,0)</f>
        <v>0</v>
      </c>
      <c r="AK105" s="130" t="n">
        <f aca="false">IF($W104*H105&gt;150000,($W104*H105-150000)*6%*45%,0)</f>
        <v>0</v>
      </c>
      <c r="AL105" s="130" t="n">
        <f aca="false">IF($W104*I105&gt;150000,($W104*I105-150000)*6%*45%,0)</f>
        <v>0</v>
      </c>
      <c r="AM105" s="130" t="n">
        <f aca="false">IF($W104*J105&gt;150000,($W104*J105-150000)*6%*45%,0)</f>
        <v>0</v>
      </c>
      <c r="AN105" s="130" t="n">
        <f aca="false">IF($W104*K105&gt;150000,($W104*K105-150000)*6%*45%,0)</f>
        <v>0</v>
      </c>
      <c r="AO105" s="130" t="n">
        <f aca="false">IF($W104*L105&gt;150000,($W104*L105-150000)*6%*45%,0)</f>
        <v>0</v>
      </c>
      <c r="AP105" s="130" t="n">
        <f aca="false">IF($W104*M105&gt;150000,($W104*M105-150000)*6%*45%,0)</f>
        <v>0</v>
      </c>
      <c r="AQ105" s="130" t="n">
        <f aca="false">IF($W104*N105&gt;150000,($W104*N105-150000)*6%*45%,0)</f>
        <v>0</v>
      </c>
      <c r="AR105" s="130" t="n">
        <f aca="false">IF($W104*O105&gt;150000,($W104*O105-150000)*6%*45%,0)</f>
        <v>0</v>
      </c>
      <c r="AS105" s="130" t="n">
        <f aca="false">IF($W104*P105&gt;150000,($W104*P105-150000)*6%*45%,0)</f>
        <v>0</v>
      </c>
      <c r="AT105" s="130" t="n">
        <f aca="false">IF($W104*Q105&gt;150000,($W104*Q105-150000)*6%*45%,0)</f>
        <v>0</v>
      </c>
      <c r="AU105" s="130" t="n">
        <f aca="false">IF($W104*R105&gt;150000,($W104*R105-150000)*6%*45%,0)</f>
        <v>0</v>
      </c>
      <c r="AV105" s="130" t="n">
        <f aca="false">IF($W104*S105&gt;150000,($W104*S105-150000)*6%*45%,0)</f>
        <v>0</v>
      </c>
      <c r="AW105" s="130" t="n">
        <f aca="false">IF($W104*T105&gt;150000,($W104*T105-150000)*6%*45%,0)</f>
        <v>0</v>
      </c>
      <c r="AX105" s="130" t="n">
        <f aca="false">IF($W104*U105&gt;150000,($W104*U105-150000)*6%*45%,0)</f>
        <v>0</v>
      </c>
      <c r="AY105" s="162"/>
      <c r="AZ105" s="163"/>
      <c r="BA105" s="163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V105" s="11"/>
      <c r="IW105" s="11"/>
    </row>
    <row r="106" customFormat="false" ht="13.5" hidden="true" customHeight="true" outlineLevel="0" collapsed="false">
      <c r="A106" s="108" t="n">
        <f aca="false">A104+1</f>
        <v>49</v>
      </c>
      <c r="B106" s="159" t="n">
        <f aca="false">IF(ISERROR(VLOOKUP(C106,[29]일용직명단!$A$3:$I$97,2,FALSE())),0,VLOOKUP(C106,[29]일용직명단!$A$3:$I$97,2,FALSE()))</f>
        <v>0</v>
      </c>
      <c r="C106" s="207"/>
      <c r="D106" s="111" t="n">
        <f aca="false">IF(ISERROR(VLOOKUP(C106,[28]일용직명단!$A$3:$K$1183,3,FALSE())),0,VLOOKUP(C106,[28]일용직명단!$A$3:$K$1183,3,FALSE()))</f>
        <v>0</v>
      </c>
      <c r="E106" s="160" t="n">
        <f aca="false">IF(ISERROR(VLOOKUP(C106,일용직명단!$A$3:$K$1246,4,FALSE())),0,VLOOKUP(C106,일용직명단!$A$3:$K$1246,4,FALSE()))</f>
        <v>0</v>
      </c>
      <c r="F106" s="113"/>
      <c r="G106" s="114"/>
      <c r="H106" s="115"/>
      <c r="I106" s="115"/>
      <c r="J106" s="113"/>
      <c r="K106" s="115"/>
      <c r="L106" s="113"/>
      <c r="M106" s="113"/>
      <c r="N106" s="114"/>
      <c r="O106" s="114"/>
      <c r="P106" s="113"/>
      <c r="Q106" s="114"/>
      <c r="R106" s="115"/>
      <c r="S106" s="114"/>
      <c r="T106" s="115"/>
      <c r="U106" s="119"/>
      <c r="V106" s="144" t="n">
        <f aca="false">SUM(F106:U107)</f>
        <v>0</v>
      </c>
      <c r="W106" s="121" t="n">
        <f aca="false">IF(ISERROR(VLOOKUP(C106,일용직명단!$A$3:$K$1246,8,FALSE())),0,VLOOKUP(C106,일용직명단!$A$3:$K$1246,8,FALSE()))</f>
        <v>0</v>
      </c>
      <c r="X106" s="156" t="n">
        <f aca="false">IFERROR(IF(AG106&gt;=65,0,ROUNDDOWN(W107*$Z$4,-1)),0)</f>
        <v>0</v>
      </c>
      <c r="Y106" s="156" t="n">
        <f aca="false">IF(AE106&gt;=8,ROUNDDOWN(W107*$M$4,-1),0)</f>
        <v>0</v>
      </c>
      <c r="Z106" s="156" t="n">
        <f aca="false">IFERROR(IF(AND(COUNT(F106:U107)&gt;=8,$AG106&lt;60,W107&lt;=5530000),ROUNDDOWN(ROUNDDOWN(W107,-3)*4.5%,-1),IF(AND(COUNT(F106:U107)&gt;=8,AG106&lt;60,W107&gt;5530000),248850,0)),0)</f>
        <v>0</v>
      </c>
      <c r="AA106" s="145" t="n">
        <f aca="false">+X106+Y106+X107+Y107+Z106+Z107</f>
        <v>0</v>
      </c>
      <c r="AB106" s="146" t="n">
        <f aca="false">W107-AA106</f>
        <v>0</v>
      </c>
      <c r="AC106" s="157" t="n">
        <f aca="false">IF(ISERROR(VLOOKUP(C106,일용직명단!$A$3:$I$1226,5,FALSE())),0,VLOOKUP(C106,일용직명단!$A$3:$I$1226,5,FALSE()))</f>
        <v>0</v>
      </c>
      <c r="AD106" s="158" t="n">
        <f aca="false">IF(ISERROR(VLOOKUP(C106,일용직명단!$A$3:$I$1226,6,FALSE())),0,VLOOKUP(C106,일용직명단!$A$3:$I$1226,6,FALSE()))</f>
        <v>0</v>
      </c>
      <c r="AE106" s="141" t="n">
        <f aca="false">COUNT(F106:U107)</f>
        <v>0</v>
      </c>
      <c r="AF106" s="129" t="str">
        <f aca="false">IF(OR(MID(D106,8,1)="1",MID(D106,8,1)="2"),19&amp;LEFT(D106,2),20&amp;LEFT(D106,2))&amp;"-"&amp;MID(D106,3,2)&amp;"-"&amp;MID(D106,5,2)</f>
        <v>200--</v>
      </c>
      <c r="AG106" s="129" t="e">
        <f aca="true">INT((TODAY()-AF106)/365.25)</f>
        <v>#VALUE!</v>
      </c>
      <c r="AH106" s="161" t="n">
        <f aca="false">ROUNDDOWN(SUM(AI106:AX107),-1)</f>
        <v>0</v>
      </c>
      <c r="AI106" s="130" t="n">
        <f aca="false">IF($W106*F106&gt;150000,($W106*F106-150000)*6%*45%,0)</f>
        <v>0</v>
      </c>
      <c r="AJ106" s="130" t="n">
        <f aca="false">IF($W106*G106&gt;150000,($W106*G106-150000)*6%*45%,0)</f>
        <v>0</v>
      </c>
      <c r="AK106" s="130" t="n">
        <f aca="false">IF($W106*H106&gt;150000,($W106*H106-150000)*6%*45%,0)</f>
        <v>0</v>
      </c>
      <c r="AL106" s="130" t="n">
        <f aca="false">IF($W106*I106&gt;150000,($W106*I106-150000)*6%*45%,0)</f>
        <v>0</v>
      </c>
      <c r="AM106" s="130" t="n">
        <f aca="false">IF($W106*J106&gt;150000,($W106*J106-150000)*6%*45%,0)</f>
        <v>0</v>
      </c>
      <c r="AN106" s="130" t="n">
        <f aca="false">IF($W106*K106&gt;150000,($W106*K106-150000)*6%*45%,0)</f>
        <v>0</v>
      </c>
      <c r="AO106" s="130" t="n">
        <f aca="false">IF($W106*L106&gt;150000,($W106*L106-150000)*6%*45%,0)</f>
        <v>0</v>
      </c>
      <c r="AP106" s="130" t="n">
        <f aca="false">IF($W106*M106&gt;150000,($W106*M106-150000)*6%*45%,0)</f>
        <v>0</v>
      </c>
      <c r="AQ106" s="130" t="n">
        <f aca="false">IF($W106*N106&gt;150000,($W106*N106-150000)*6%*45%,0)</f>
        <v>0</v>
      </c>
      <c r="AR106" s="130" t="n">
        <f aca="false">IF($W106*O106&gt;150000,($W106*O106-150000)*6%*45%,0)</f>
        <v>0</v>
      </c>
      <c r="AS106" s="130" t="n">
        <f aca="false">IF($W106*P106&gt;150000,($W106*P106-150000)*6%*45%,0)</f>
        <v>0</v>
      </c>
      <c r="AT106" s="130" t="n">
        <f aca="false">IF($W106*Q106&gt;150000,($W106*Q106-150000)*6%*45%,0)</f>
        <v>0</v>
      </c>
      <c r="AU106" s="130" t="n">
        <f aca="false">IF($W106*R106&gt;150000,($W106*R106-150000)*6%*45%,0)</f>
        <v>0</v>
      </c>
      <c r="AV106" s="130" t="n">
        <f aca="false">IF($W106*S106&gt;150000,($W106*S106-150000)*6%*45%,0)</f>
        <v>0</v>
      </c>
      <c r="AW106" s="130" t="n">
        <f aca="false">IF($W106*T106&gt;150000,($W106*T106-150000)*6%*45%,0)</f>
        <v>0</v>
      </c>
      <c r="AX106" s="130"/>
      <c r="AY106" s="162" t="n">
        <f aca="false">IF(ISERROR(VLOOKUP(C106,[27]일용직명단!$A$3:$M$1151,11,FALSE())),0,VLOOKUP(C106,[27]일용직명단!$A$3:$M$1151,11,FALSE()))</f>
        <v>0</v>
      </c>
      <c r="AZ106" s="163"/>
      <c r="BA106" s="163"/>
      <c r="BB106" s="163"/>
      <c r="BC106" s="163"/>
      <c r="BD106" s="163"/>
      <c r="BE106" s="163"/>
      <c r="BF106" s="163"/>
      <c r="BG106" s="163"/>
      <c r="BH106" s="163"/>
      <c r="BI106" s="163"/>
      <c r="BJ106" s="163"/>
      <c r="BK106" s="163"/>
      <c r="BL106" s="163"/>
      <c r="BM106" s="163"/>
      <c r="BN106" s="163"/>
      <c r="BO106" s="163"/>
      <c r="BP106" s="163"/>
      <c r="BQ106" s="163"/>
      <c r="BR106" s="163"/>
      <c r="BS106" s="163"/>
      <c r="BT106" s="163"/>
      <c r="BU106" s="163"/>
      <c r="BV106" s="163"/>
      <c r="BW106" s="163"/>
      <c r="BX106" s="163"/>
      <c r="BY106" s="163"/>
      <c r="BZ106" s="163"/>
      <c r="CA106" s="163"/>
      <c r="CB106" s="163"/>
      <c r="CC106" s="163"/>
      <c r="CD106" s="163"/>
      <c r="CE106" s="163"/>
      <c r="CF106" s="163"/>
      <c r="CG106" s="163"/>
      <c r="CH106" s="163"/>
      <c r="CI106" s="163"/>
      <c r="CJ106" s="163"/>
      <c r="CK106" s="163"/>
      <c r="CL106" s="163"/>
      <c r="CM106" s="163"/>
      <c r="CN106" s="163"/>
      <c r="CO106" s="163"/>
      <c r="CP106" s="163"/>
      <c r="CQ106" s="163"/>
      <c r="CR106" s="163"/>
      <c r="CS106" s="163"/>
      <c r="CT106" s="163"/>
      <c r="CU106" s="163"/>
      <c r="CV106" s="163"/>
      <c r="CW106" s="163"/>
      <c r="CX106" s="163"/>
      <c r="CY106" s="163"/>
      <c r="CZ106" s="163"/>
      <c r="DA106" s="163"/>
      <c r="DB106" s="163"/>
      <c r="DC106" s="163"/>
      <c r="DD106" s="163"/>
      <c r="DE106" s="163"/>
      <c r="DF106" s="163"/>
      <c r="DG106" s="163"/>
      <c r="DH106" s="163"/>
      <c r="DI106" s="163"/>
      <c r="DJ106" s="163"/>
      <c r="DK106" s="163"/>
      <c r="DL106" s="163"/>
      <c r="DM106" s="163"/>
      <c r="DN106" s="163"/>
      <c r="DO106" s="163"/>
      <c r="DP106" s="163"/>
      <c r="DQ106" s="163"/>
      <c r="DR106" s="163"/>
      <c r="DS106" s="163"/>
      <c r="DT106" s="163"/>
      <c r="DU106" s="163"/>
      <c r="DV106" s="163"/>
      <c r="DW106" s="163"/>
      <c r="DX106" s="163"/>
      <c r="DY106" s="163"/>
      <c r="DZ106" s="163"/>
      <c r="EA106" s="163"/>
      <c r="EB106" s="163"/>
      <c r="EC106" s="163"/>
      <c r="ED106" s="163"/>
      <c r="EE106" s="163"/>
      <c r="EF106" s="163"/>
      <c r="EG106" s="163"/>
      <c r="EH106" s="163"/>
      <c r="EI106" s="163"/>
      <c r="EJ106" s="163"/>
      <c r="EK106" s="163"/>
      <c r="EL106" s="163"/>
      <c r="EM106" s="163"/>
      <c r="EN106" s="163"/>
      <c r="EO106" s="163"/>
      <c r="EP106" s="163"/>
      <c r="EQ106" s="163"/>
      <c r="ER106" s="163"/>
      <c r="ES106" s="163"/>
      <c r="ET106" s="163"/>
      <c r="EU106" s="163"/>
      <c r="EV106" s="163"/>
      <c r="EW106" s="163"/>
      <c r="EX106" s="163"/>
      <c r="EY106" s="163"/>
      <c r="EZ106" s="163"/>
      <c r="FA106" s="163"/>
      <c r="FB106" s="163"/>
      <c r="FC106" s="163"/>
      <c r="FD106" s="163"/>
      <c r="FE106" s="163"/>
      <c r="FF106" s="163"/>
      <c r="FG106" s="163"/>
      <c r="FH106" s="163"/>
      <c r="FI106" s="163"/>
      <c r="FJ106" s="163"/>
      <c r="FK106" s="163"/>
      <c r="FL106" s="163"/>
      <c r="FM106" s="163"/>
      <c r="FN106" s="163"/>
      <c r="FO106" s="163"/>
      <c r="FP106" s="163"/>
      <c r="FQ106" s="163"/>
      <c r="FR106" s="163"/>
      <c r="FS106" s="163"/>
      <c r="FT106" s="163"/>
      <c r="FU106" s="163"/>
      <c r="FV106" s="163"/>
      <c r="FW106" s="163"/>
      <c r="FX106" s="163"/>
      <c r="FY106" s="163"/>
      <c r="FZ106" s="163"/>
      <c r="GA106" s="163"/>
      <c r="GB106" s="163"/>
      <c r="GC106" s="163"/>
      <c r="GD106" s="163"/>
      <c r="GE106" s="163"/>
      <c r="GF106" s="163"/>
      <c r="GG106" s="163"/>
      <c r="GH106" s="163"/>
      <c r="GI106" s="163"/>
      <c r="GJ106" s="163"/>
      <c r="GK106" s="163"/>
      <c r="GL106" s="163"/>
      <c r="GM106" s="163"/>
      <c r="GN106" s="163"/>
      <c r="GO106" s="163"/>
      <c r="GP106" s="163"/>
      <c r="GQ106" s="163"/>
      <c r="GR106" s="163"/>
      <c r="GS106" s="163"/>
      <c r="GT106" s="163"/>
      <c r="GU106" s="163"/>
      <c r="GV106" s="163"/>
      <c r="GW106" s="163"/>
      <c r="GX106" s="163"/>
      <c r="GY106" s="163"/>
      <c r="GZ106" s="163"/>
      <c r="HA106" s="163"/>
      <c r="HB106" s="163"/>
      <c r="HC106" s="163"/>
      <c r="HD106" s="163"/>
      <c r="HE106" s="163"/>
      <c r="HF106" s="163"/>
      <c r="HG106" s="163"/>
      <c r="HH106" s="163"/>
      <c r="HI106" s="163"/>
      <c r="HJ106" s="163"/>
      <c r="HK106" s="163"/>
      <c r="HL106" s="163"/>
      <c r="HM106" s="163"/>
      <c r="HN106" s="163"/>
      <c r="HO106" s="163"/>
      <c r="HP106" s="163"/>
      <c r="HQ106" s="163"/>
      <c r="HR106" s="163"/>
      <c r="HS106" s="163"/>
      <c r="HT106" s="163"/>
      <c r="HU106" s="163"/>
      <c r="HV106" s="163"/>
      <c r="HW106" s="163"/>
      <c r="HX106" s="163"/>
      <c r="HY106" s="163"/>
      <c r="HZ106" s="163"/>
      <c r="IA106" s="163"/>
      <c r="IB106" s="163"/>
      <c r="IC106" s="163"/>
      <c r="ID106" s="163"/>
      <c r="IE106" s="163"/>
      <c r="IF106" s="163"/>
      <c r="IG106" s="163"/>
      <c r="IH106" s="163"/>
      <c r="II106" s="163"/>
      <c r="IJ106" s="163"/>
      <c r="IK106" s="163"/>
      <c r="IL106" s="163"/>
      <c r="IM106" s="163"/>
      <c r="IN106" s="163"/>
      <c r="IO106" s="163"/>
      <c r="IP106" s="163"/>
      <c r="IQ106" s="163"/>
      <c r="IR106" s="163"/>
      <c r="IS106" s="163"/>
      <c r="IT106" s="163"/>
      <c r="IU106" s="163"/>
      <c r="IV106" s="11"/>
      <c r="IW106" s="11"/>
    </row>
    <row r="107" customFormat="false" ht="13.5" hidden="true" customHeight="true" outlineLevel="0" collapsed="false">
      <c r="A107" s="108"/>
      <c r="B107" s="159"/>
      <c r="C107" s="207"/>
      <c r="D107" s="111"/>
      <c r="E107" s="160" t="n">
        <f aca="false">IF(ISERROR(VLOOKUP(C106,일용직명단!$A$3:$K$1246,9,FALSE())),0,VLOOKUP(C106,일용직명단!$A$3:$K$1246,9,FALSE()))</f>
        <v>0</v>
      </c>
      <c r="F107" s="180"/>
      <c r="G107" s="134"/>
      <c r="H107" s="134"/>
      <c r="I107" s="114"/>
      <c r="J107" s="115"/>
      <c r="K107" s="114"/>
      <c r="L107" s="113"/>
      <c r="M107" s="113"/>
      <c r="N107" s="114"/>
      <c r="O107" s="115"/>
      <c r="P107" s="114"/>
      <c r="Q107" s="114"/>
      <c r="R107" s="113"/>
      <c r="S107" s="113"/>
      <c r="T107" s="113"/>
      <c r="U107" s="115"/>
      <c r="V107" s="144"/>
      <c r="W107" s="138" t="n">
        <f aca="false">W106*V106</f>
        <v>0</v>
      </c>
      <c r="X107" s="156" t="n">
        <f aca="false">IF(AH106&lt;1000,0,AH106)</f>
        <v>0</v>
      </c>
      <c r="Y107" s="156" t="n">
        <f aca="false">ROUNDDOWN(X107*10%,-1)</f>
        <v>0</v>
      </c>
      <c r="Z107" s="156" t="n">
        <f aca="false">IF(AE106&gt;=8,ROUNDDOWN(Y106*$Q$4,-1),0)</f>
        <v>0</v>
      </c>
      <c r="AA107" s="145"/>
      <c r="AB107" s="146"/>
      <c r="AC107" s="158" t="n">
        <f aca="false">IF(ISERROR(VLOOKUP(C106,일용직명단!$A$3:$I$1226,7,FALSE())),0,VLOOKUP(C106,일용직명단!$A$3:$I$1226,7,FALSE()))</f>
        <v>0</v>
      </c>
      <c r="AD107" s="158"/>
      <c r="AE107" s="141"/>
      <c r="AF107" s="129"/>
      <c r="AG107" s="129"/>
      <c r="AH107" s="161"/>
      <c r="AI107" s="130" t="n">
        <f aca="false">IF($W107*F107&gt;150000,($W107*F107-150000)*6%*45%,0)</f>
        <v>0</v>
      </c>
      <c r="AJ107" s="130" t="n">
        <f aca="false">IF($W107*G107&gt;150000,($W107*G107-150000)*6%*45%,0)</f>
        <v>0</v>
      </c>
      <c r="AK107" s="130" t="n">
        <f aca="false">IF($W107*H107&gt;150000,($W107*H107-150000)*6%*45%,0)</f>
        <v>0</v>
      </c>
      <c r="AL107" s="130" t="n">
        <f aca="false">IF($W107*I107&gt;150000,($W107*I107-150000)*6%*45%,0)</f>
        <v>0</v>
      </c>
      <c r="AM107" s="130" t="n">
        <f aca="false">IF($W107*J107&gt;150000,($W107*J107-150000)*6%*45%,0)</f>
        <v>0</v>
      </c>
      <c r="AN107" s="130" t="n">
        <f aca="false">IF($W107*K107&gt;150000,($W107*K107-150000)*6%*45%,0)</f>
        <v>0</v>
      </c>
      <c r="AO107" s="130" t="n">
        <f aca="false">IF($W107*L107&gt;150000,($W107*L107-150000)*6%*45%,0)</f>
        <v>0</v>
      </c>
      <c r="AP107" s="130" t="n">
        <f aca="false">IF($W107*M107&gt;150000,($W107*M107-150000)*6%*45%,0)</f>
        <v>0</v>
      </c>
      <c r="AQ107" s="130" t="n">
        <f aca="false">IF($W107*N107&gt;150000,($W107*N107-150000)*6%*45%,0)</f>
        <v>0</v>
      </c>
      <c r="AR107" s="130" t="n">
        <f aca="false">IF($W107*O107&gt;150000,($W107*O107-150000)*6%*45%,0)</f>
        <v>0</v>
      </c>
      <c r="AS107" s="130" t="n">
        <f aca="false">IF($W107*P107&gt;150000,($W107*P107-150000)*6%*45%,0)</f>
        <v>0</v>
      </c>
      <c r="AT107" s="130" t="n">
        <f aca="false">IF($W107*Q107&gt;150000,($W107*Q107-150000)*6%*45%,0)</f>
        <v>0</v>
      </c>
      <c r="AU107" s="130" t="n">
        <f aca="false">IF($W107*R107&gt;150000,($W107*R107-150000)*6%*45%,0)</f>
        <v>0</v>
      </c>
      <c r="AV107" s="130" t="n">
        <f aca="false">IF($W107*S107&gt;150000,($W107*S107-150000)*6%*45%,0)</f>
        <v>0</v>
      </c>
      <c r="AW107" s="130" t="n">
        <f aca="false">IF($W107*T107&gt;150000,($W107*T107-150000)*6%*45%,0)</f>
        <v>0</v>
      </c>
      <c r="AX107" s="130"/>
      <c r="AY107" s="162"/>
      <c r="AZ107" s="163"/>
      <c r="BA107" s="163"/>
      <c r="BB107" s="163"/>
      <c r="BC107" s="163"/>
      <c r="BD107" s="163"/>
      <c r="BE107" s="163"/>
      <c r="BF107" s="163"/>
      <c r="BG107" s="163"/>
      <c r="BH107" s="163"/>
      <c r="BI107" s="163"/>
      <c r="BJ107" s="163"/>
      <c r="BK107" s="163"/>
      <c r="BL107" s="163"/>
      <c r="BM107" s="163"/>
      <c r="BN107" s="163"/>
      <c r="BO107" s="163"/>
      <c r="BP107" s="163"/>
      <c r="BQ107" s="163"/>
      <c r="BR107" s="163"/>
      <c r="BS107" s="163"/>
      <c r="BT107" s="163"/>
      <c r="BU107" s="163"/>
      <c r="BV107" s="163"/>
      <c r="BW107" s="163"/>
      <c r="BX107" s="163"/>
      <c r="BY107" s="163"/>
      <c r="BZ107" s="163"/>
      <c r="CA107" s="163"/>
      <c r="CB107" s="163"/>
      <c r="CC107" s="163"/>
      <c r="CD107" s="163"/>
      <c r="CE107" s="163"/>
      <c r="CF107" s="163"/>
      <c r="CG107" s="163"/>
      <c r="CH107" s="163"/>
      <c r="CI107" s="163"/>
      <c r="CJ107" s="163"/>
      <c r="CK107" s="163"/>
      <c r="CL107" s="163"/>
      <c r="CM107" s="163"/>
      <c r="CN107" s="163"/>
      <c r="CO107" s="163"/>
      <c r="CP107" s="163"/>
      <c r="CQ107" s="163"/>
      <c r="CR107" s="163"/>
      <c r="CS107" s="163"/>
      <c r="CT107" s="163"/>
      <c r="CU107" s="163"/>
      <c r="CV107" s="163"/>
      <c r="CW107" s="163"/>
      <c r="CX107" s="163"/>
      <c r="CY107" s="163"/>
      <c r="CZ107" s="163"/>
      <c r="DA107" s="163"/>
      <c r="DB107" s="163"/>
      <c r="DC107" s="163"/>
      <c r="DD107" s="163"/>
      <c r="DE107" s="163"/>
      <c r="DF107" s="163"/>
      <c r="DG107" s="163"/>
      <c r="DH107" s="163"/>
      <c r="DI107" s="163"/>
      <c r="DJ107" s="163"/>
      <c r="DK107" s="163"/>
      <c r="DL107" s="163"/>
      <c r="DM107" s="163"/>
      <c r="DN107" s="163"/>
      <c r="DO107" s="163"/>
      <c r="DP107" s="163"/>
      <c r="DQ107" s="163"/>
      <c r="DR107" s="163"/>
      <c r="DS107" s="163"/>
      <c r="DT107" s="163"/>
      <c r="DU107" s="163"/>
      <c r="DV107" s="163"/>
      <c r="DW107" s="163"/>
      <c r="DX107" s="163"/>
      <c r="DY107" s="163"/>
      <c r="DZ107" s="163"/>
      <c r="EA107" s="163"/>
      <c r="EB107" s="163"/>
      <c r="EC107" s="163"/>
      <c r="ED107" s="163"/>
      <c r="EE107" s="163"/>
      <c r="EF107" s="163"/>
      <c r="EG107" s="163"/>
      <c r="EH107" s="163"/>
      <c r="EI107" s="163"/>
      <c r="EJ107" s="163"/>
      <c r="EK107" s="163"/>
      <c r="EL107" s="163"/>
      <c r="EM107" s="163"/>
      <c r="EN107" s="163"/>
      <c r="EO107" s="163"/>
      <c r="EP107" s="163"/>
      <c r="EQ107" s="163"/>
      <c r="ER107" s="163"/>
      <c r="ES107" s="163"/>
      <c r="ET107" s="163"/>
      <c r="EU107" s="163"/>
      <c r="EV107" s="163"/>
      <c r="EW107" s="163"/>
      <c r="EX107" s="163"/>
      <c r="EY107" s="163"/>
      <c r="EZ107" s="163"/>
      <c r="FA107" s="163"/>
      <c r="FB107" s="163"/>
      <c r="FC107" s="163"/>
      <c r="FD107" s="163"/>
      <c r="FE107" s="163"/>
      <c r="FF107" s="163"/>
      <c r="FG107" s="163"/>
      <c r="FH107" s="163"/>
      <c r="FI107" s="163"/>
      <c r="FJ107" s="163"/>
      <c r="FK107" s="163"/>
      <c r="FL107" s="163"/>
      <c r="FM107" s="163"/>
      <c r="FN107" s="163"/>
      <c r="FO107" s="163"/>
      <c r="FP107" s="163"/>
      <c r="FQ107" s="163"/>
      <c r="FR107" s="163"/>
      <c r="FS107" s="163"/>
      <c r="FT107" s="163"/>
      <c r="FU107" s="163"/>
      <c r="FV107" s="163"/>
      <c r="FW107" s="163"/>
      <c r="FX107" s="163"/>
      <c r="FY107" s="163"/>
      <c r="FZ107" s="163"/>
      <c r="GA107" s="163"/>
      <c r="GB107" s="163"/>
      <c r="GC107" s="163"/>
      <c r="GD107" s="163"/>
      <c r="GE107" s="163"/>
      <c r="GF107" s="163"/>
      <c r="GG107" s="163"/>
      <c r="GH107" s="163"/>
      <c r="GI107" s="163"/>
      <c r="GJ107" s="163"/>
      <c r="GK107" s="163"/>
      <c r="GL107" s="163"/>
      <c r="GM107" s="163"/>
      <c r="GN107" s="163"/>
      <c r="GO107" s="163"/>
      <c r="GP107" s="163"/>
      <c r="GQ107" s="163"/>
      <c r="GR107" s="163"/>
      <c r="GS107" s="163"/>
      <c r="GT107" s="163"/>
      <c r="GU107" s="163"/>
      <c r="GV107" s="163"/>
      <c r="GW107" s="163"/>
      <c r="GX107" s="163"/>
      <c r="GY107" s="163"/>
      <c r="GZ107" s="163"/>
      <c r="HA107" s="163"/>
      <c r="HB107" s="163"/>
      <c r="HC107" s="163"/>
      <c r="HD107" s="163"/>
      <c r="HE107" s="163"/>
      <c r="HF107" s="163"/>
      <c r="HG107" s="163"/>
      <c r="HH107" s="163"/>
      <c r="HI107" s="163"/>
      <c r="HJ107" s="163"/>
      <c r="HK107" s="163"/>
      <c r="HL107" s="163"/>
      <c r="HM107" s="163"/>
      <c r="HN107" s="163"/>
      <c r="HO107" s="163"/>
      <c r="HP107" s="163"/>
      <c r="HQ107" s="163"/>
      <c r="HR107" s="163"/>
      <c r="HS107" s="163"/>
      <c r="HT107" s="163"/>
      <c r="HU107" s="163"/>
      <c r="HV107" s="163"/>
      <c r="HW107" s="163"/>
      <c r="HX107" s="163"/>
      <c r="HY107" s="163"/>
      <c r="HZ107" s="163"/>
      <c r="IA107" s="163"/>
      <c r="IB107" s="163"/>
      <c r="IC107" s="163"/>
      <c r="ID107" s="163"/>
      <c r="IE107" s="163"/>
      <c r="IF107" s="163"/>
      <c r="IG107" s="163"/>
      <c r="IH107" s="163"/>
      <c r="II107" s="163"/>
      <c r="IJ107" s="163"/>
      <c r="IK107" s="163"/>
      <c r="IL107" s="163"/>
      <c r="IM107" s="163"/>
      <c r="IN107" s="163"/>
      <c r="IO107" s="163"/>
      <c r="IP107" s="163"/>
      <c r="IQ107" s="163"/>
      <c r="IR107" s="163"/>
      <c r="IS107" s="163"/>
      <c r="IT107" s="163"/>
      <c r="IU107" s="163"/>
      <c r="IV107" s="11"/>
      <c r="IW107" s="11"/>
    </row>
    <row r="108" customFormat="false" ht="13.5" hidden="true" customHeight="true" outlineLevel="0" collapsed="false">
      <c r="A108" s="108" t="n">
        <f aca="false">A106+1</f>
        <v>50</v>
      </c>
      <c r="B108" s="159" t="n">
        <f aca="false">IF(ISERROR(VLOOKUP(C108,[29]일용직명단!$A$3:$I$97,2,FALSE())),0,VLOOKUP(C108,[29]일용직명단!$A$3:$I$97,2,FALSE()))</f>
        <v>0</v>
      </c>
      <c r="C108" s="203"/>
      <c r="D108" s="111" t="n">
        <f aca="false">IF(ISERROR(VLOOKUP(C108,[28]일용직명단!$A$3:$K$1183,3,FALSE())),0,VLOOKUP(C108,[28]일용직명단!$A$3:$K$1183,3,FALSE()))</f>
        <v>0</v>
      </c>
      <c r="E108" s="160" t="n">
        <f aca="false">IF(ISERROR(VLOOKUP(C108,일용직명단!$A$3:$K$1246,4,FALSE())),0,VLOOKUP(C108,일용직명단!$A$3:$K$1246,4,FALSE()))</f>
        <v>0</v>
      </c>
      <c r="F108" s="208"/>
      <c r="G108" s="209"/>
      <c r="H108" s="209"/>
      <c r="I108" s="209"/>
      <c r="J108" s="209"/>
      <c r="K108" s="209"/>
      <c r="L108" s="209"/>
      <c r="M108" s="209"/>
      <c r="N108" s="209"/>
      <c r="O108" s="209"/>
      <c r="P108" s="209"/>
      <c r="Q108" s="209"/>
      <c r="R108" s="209"/>
      <c r="S108" s="209"/>
      <c r="T108" s="209"/>
      <c r="U108" s="210"/>
      <c r="V108" s="144" t="n">
        <f aca="false">SUM(F108:U109)</f>
        <v>0</v>
      </c>
      <c r="W108" s="211" t="n">
        <f aca="false">IF(ISERROR(VLOOKUP(C108,일용직명단!$A$3:$K$1246,8,FALSE())),0,VLOOKUP(C108,일용직명단!$A$3:$K$1246,8,FALSE()))</f>
        <v>0</v>
      </c>
      <c r="X108" s="156" t="n">
        <f aca="false">IFERROR(IF(AG108&gt;=65,0,ROUNDDOWN(W109*$Z$4,-1)),0)</f>
        <v>0</v>
      </c>
      <c r="Y108" s="156" t="n">
        <f aca="false">IF(AE108&gt;=8,ROUNDDOWN(W109*$M$4,-1),0)</f>
        <v>0</v>
      </c>
      <c r="Z108" s="156" t="n">
        <f aca="false">IFERROR(IF(AND(COUNT(F108:U109)&gt;=8,$AG108&lt;60,W109&lt;=5530000),ROUNDDOWN(ROUNDDOWN(W109,-3)*4.5%,-1),IF(AND(COUNT(F108:U109)&gt;=8,AG108&lt;60,W109&gt;5530000),248850,0)),0)</f>
        <v>0</v>
      </c>
      <c r="AA108" s="145" t="n">
        <f aca="false">+X108+Y108+X109+Y109+Z108+Z109</f>
        <v>0</v>
      </c>
      <c r="AB108" s="146" t="n">
        <f aca="false">W109-AA108</f>
        <v>0</v>
      </c>
      <c r="AC108" s="157" t="n">
        <f aca="false">IF(ISERROR(VLOOKUP(C108,일용직명단!$A$3:$I$1226,5,FALSE())),0,VLOOKUP(C108,일용직명단!$A$3:$I$1226,5,FALSE()))</f>
        <v>0</v>
      </c>
      <c r="AD108" s="158" t="n">
        <f aca="false">IF(ISERROR(VLOOKUP(C108,일용직명단!$A$3:$I$1226,6,FALSE())),0,VLOOKUP(C108,일용직명단!$A$3:$I$1226,6,FALSE()))</f>
        <v>0</v>
      </c>
      <c r="AE108" s="141" t="n">
        <f aca="false">COUNT(F108:U109)</f>
        <v>0</v>
      </c>
      <c r="AF108" s="129" t="str">
        <f aca="false">IF(OR(MID(D108,8,1)="1",MID(D108,8,1)="2"),19&amp;LEFT(D108,2),20&amp;LEFT(D108,2))&amp;"-"&amp;MID(D108,3,2)&amp;"-"&amp;MID(D108,5,2)</f>
        <v>200--</v>
      </c>
      <c r="AG108" s="129" t="e">
        <f aca="true">INT((TODAY()-AF108)/365.25)</f>
        <v>#VALUE!</v>
      </c>
      <c r="AH108" s="161" t="n">
        <f aca="false">ROUNDDOWN(SUM(AI108:AX109),-1)</f>
        <v>0</v>
      </c>
      <c r="AI108" s="161" t="n">
        <f aca="false">IF($W108*F108&gt;150000,($W108*F108-150000)*6%*45%,0)</f>
        <v>0</v>
      </c>
      <c r="AJ108" s="161" t="n">
        <f aca="false">IF($W108*G108&gt;150000,($W108*G108-150000)*6%*45%,0)</f>
        <v>0</v>
      </c>
      <c r="AK108" s="161" t="n">
        <f aca="false">IF($W108*H108&gt;150000,($W108*H108-150000)*6%*45%,0)</f>
        <v>0</v>
      </c>
      <c r="AL108" s="161" t="n">
        <f aca="false">IF($W108*I108&gt;150000,($W108*I108-150000)*6%*45%,0)</f>
        <v>0</v>
      </c>
      <c r="AM108" s="161" t="n">
        <f aca="false">IF($W108*J108&gt;150000,($W108*J108-150000)*6%*45%,0)</f>
        <v>0</v>
      </c>
      <c r="AN108" s="161" t="n">
        <f aca="false">IF($W108*K108&gt;150000,($W108*K108-150000)*6%*45%,0)</f>
        <v>0</v>
      </c>
      <c r="AO108" s="161" t="n">
        <f aca="false">IF($W108*L108&gt;150000,($W108*L108-150000)*6%*45%,0)</f>
        <v>0</v>
      </c>
      <c r="AP108" s="161" t="n">
        <f aca="false">IF($W108*M108&gt;150000,($W108*M108-150000)*6%*45%,0)</f>
        <v>0</v>
      </c>
      <c r="AQ108" s="161" t="n">
        <f aca="false">IF($W108*N108&gt;150000,($W108*N108-150000)*6%*45%,0)</f>
        <v>0</v>
      </c>
      <c r="AR108" s="161" t="n">
        <f aca="false">IF($W108*O108&gt;150000,($W108*O108-150000)*6%*45%,0)</f>
        <v>0</v>
      </c>
      <c r="AS108" s="161" t="n">
        <f aca="false">IF($W108*P108&gt;150000,($W108*P108-150000)*6%*45%,0)</f>
        <v>0</v>
      </c>
      <c r="AT108" s="161" t="n">
        <f aca="false">IF($W108*Q108&gt;150000,($W108*Q108-150000)*6%*45%,0)</f>
        <v>0</v>
      </c>
      <c r="AU108" s="161" t="n">
        <f aca="false">IF($W108*R108&gt;150000,($W108*R108-150000)*6%*45%,0)</f>
        <v>0</v>
      </c>
      <c r="AV108" s="161" t="n">
        <f aca="false">IF($W108*S108&gt;150000,($W108*S108-150000)*6%*45%,0)</f>
        <v>0</v>
      </c>
      <c r="AW108" s="161" t="n">
        <f aca="false">IF($W108*T108&gt;150000,($W108*T108-150000)*6%*45%,0)</f>
        <v>0</v>
      </c>
      <c r="AX108" s="161"/>
      <c r="AY108" s="162" t="n">
        <f aca="false">IF(ISERROR(VLOOKUP(C108,[27]일용직명단!$A$3:$M$1151,11,FALSE())),0,VLOOKUP(C108,[27]일용직명단!$A$3:$M$1151,11,FALSE()))</f>
        <v>0</v>
      </c>
      <c r="AZ108" s="163"/>
      <c r="BA108" s="163"/>
      <c r="BB108" s="163"/>
      <c r="BC108" s="163"/>
      <c r="BD108" s="163"/>
      <c r="BE108" s="163"/>
      <c r="BF108" s="163"/>
      <c r="BG108" s="163"/>
      <c r="BH108" s="163"/>
      <c r="BI108" s="163"/>
      <c r="BJ108" s="163"/>
      <c r="BK108" s="163"/>
      <c r="BL108" s="163"/>
      <c r="BM108" s="163"/>
      <c r="BN108" s="163"/>
      <c r="BO108" s="163"/>
      <c r="BP108" s="163"/>
      <c r="BQ108" s="163"/>
      <c r="BR108" s="163"/>
      <c r="BS108" s="163"/>
      <c r="BT108" s="163"/>
      <c r="BU108" s="163"/>
      <c r="BV108" s="163"/>
      <c r="BW108" s="163"/>
      <c r="BX108" s="163"/>
      <c r="BY108" s="163"/>
      <c r="BZ108" s="163"/>
      <c r="CA108" s="163"/>
      <c r="CB108" s="163"/>
      <c r="CC108" s="163"/>
      <c r="CD108" s="163"/>
      <c r="CE108" s="163"/>
      <c r="CF108" s="163"/>
      <c r="CG108" s="163"/>
      <c r="CH108" s="163"/>
      <c r="CI108" s="163"/>
      <c r="CJ108" s="163"/>
      <c r="CK108" s="163"/>
      <c r="CL108" s="163"/>
      <c r="CM108" s="163"/>
      <c r="CN108" s="163"/>
      <c r="CO108" s="163"/>
      <c r="CP108" s="163"/>
      <c r="CQ108" s="163"/>
      <c r="CR108" s="163"/>
      <c r="CS108" s="163"/>
      <c r="CT108" s="163"/>
      <c r="CU108" s="163"/>
      <c r="CV108" s="163"/>
      <c r="CW108" s="163"/>
      <c r="CX108" s="163"/>
      <c r="CY108" s="163"/>
      <c r="CZ108" s="163"/>
      <c r="DA108" s="163"/>
      <c r="DB108" s="163"/>
      <c r="DC108" s="163"/>
      <c r="DD108" s="163"/>
      <c r="DE108" s="163"/>
      <c r="DF108" s="163"/>
      <c r="DG108" s="163"/>
      <c r="DH108" s="163"/>
      <c r="DI108" s="163"/>
      <c r="DJ108" s="163"/>
      <c r="DK108" s="163"/>
      <c r="DL108" s="163"/>
      <c r="DM108" s="163"/>
      <c r="DN108" s="163"/>
      <c r="DO108" s="163"/>
      <c r="DP108" s="163"/>
      <c r="DQ108" s="163"/>
      <c r="DR108" s="163"/>
      <c r="DS108" s="163"/>
      <c r="DT108" s="163"/>
      <c r="DU108" s="163"/>
      <c r="DV108" s="163"/>
      <c r="DW108" s="163"/>
      <c r="DX108" s="163"/>
      <c r="DY108" s="163"/>
      <c r="DZ108" s="163"/>
      <c r="EA108" s="163"/>
      <c r="EB108" s="163"/>
      <c r="EC108" s="163"/>
      <c r="ED108" s="163"/>
      <c r="EE108" s="163"/>
      <c r="EF108" s="163"/>
      <c r="EG108" s="163"/>
      <c r="EH108" s="163"/>
      <c r="EI108" s="163"/>
      <c r="EJ108" s="163"/>
      <c r="EK108" s="163"/>
      <c r="EL108" s="163"/>
      <c r="EM108" s="163"/>
      <c r="EN108" s="163"/>
      <c r="EO108" s="163"/>
      <c r="EP108" s="163"/>
      <c r="EQ108" s="163"/>
      <c r="ER108" s="163"/>
      <c r="ES108" s="163"/>
      <c r="ET108" s="163"/>
      <c r="EU108" s="163"/>
      <c r="EV108" s="163"/>
      <c r="EW108" s="163"/>
      <c r="EX108" s="163"/>
      <c r="EY108" s="163"/>
      <c r="EZ108" s="163"/>
      <c r="FA108" s="163"/>
      <c r="FB108" s="163"/>
      <c r="FC108" s="163"/>
      <c r="FD108" s="163"/>
      <c r="FE108" s="163"/>
      <c r="FF108" s="163"/>
      <c r="FG108" s="163"/>
      <c r="FH108" s="163"/>
      <c r="FI108" s="163"/>
      <c r="FJ108" s="163"/>
      <c r="FK108" s="163"/>
      <c r="FL108" s="163"/>
      <c r="FM108" s="163"/>
      <c r="FN108" s="163"/>
      <c r="FO108" s="163"/>
      <c r="FP108" s="163"/>
      <c r="FQ108" s="163"/>
      <c r="FR108" s="163"/>
      <c r="FS108" s="163"/>
      <c r="FT108" s="163"/>
      <c r="FU108" s="163"/>
      <c r="FV108" s="163"/>
      <c r="FW108" s="163"/>
      <c r="FX108" s="163"/>
      <c r="FY108" s="163"/>
      <c r="FZ108" s="163"/>
      <c r="GA108" s="163"/>
      <c r="GB108" s="163"/>
      <c r="GC108" s="163"/>
      <c r="GD108" s="163"/>
      <c r="GE108" s="163"/>
      <c r="GF108" s="163"/>
      <c r="GG108" s="163"/>
      <c r="GH108" s="163"/>
      <c r="GI108" s="163"/>
      <c r="GJ108" s="163"/>
      <c r="GK108" s="163"/>
      <c r="GL108" s="163"/>
      <c r="GM108" s="163"/>
      <c r="GN108" s="163"/>
      <c r="GO108" s="163"/>
      <c r="GP108" s="163"/>
      <c r="GQ108" s="163"/>
      <c r="GR108" s="163"/>
      <c r="GS108" s="163"/>
      <c r="GT108" s="163"/>
      <c r="GU108" s="163"/>
      <c r="GV108" s="163"/>
      <c r="GW108" s="163"/>
      <c r="GX108" s="163"/>
      <c r="GY108" s="163"/>
      <c r="GZ108" s="163"/>
      <c r="HA108" s="163"/>
      <c r="HB108" s="163"/>
      <c r="HC108" s="163"/>
      <c r="HD108" s="163"/>
      <c r="HE108" s="163"/>
      <c r="HF108" s="163"/>
      <c r="HG108" s="163"/>
      <c r="HH108" s="163"/>
      <c r="HI108" s="163"/>
      <c r="HJ108" s="163"/>
      <c r="HK108" s="163"/>
      <c r="HL108" s="163"/>
      <c r="HM108" s="163"/>
      <c r="HN108" s="163"/>
      <c r="HO108" s="163"/>
      <c r="HP108" s="163"/>
      <c r="HQ108" s="163"/>
      <c r="HR108" s="163"/>
      <c r="HS108" s="163"/>
      <c r="HT108" s="163"/>
      <c r="HU108" s="163"/>
      <c r="HV108" s="163"/>
      <c r="HW108" s="163"/>
      <c r="HX108" s="163"/>
      <c r="HY108" s="163"/>
      <c r="HZ108" s="163"/>
      <c r="IA108" s="163"/>
      <c r="IB108" s="163"/>
      <c r="IC108" s="163"/>
      <c r="ID108" s="163"/>
      <c r="IE108" s="163"/>
      <c r="IF108" s="163"/>
      <c r="IG108" s="163"/>
      <c r="IH108" s="163"/>
      <c r="II108" s="163"/>
      <c r="IJ108" s="163"/>
      <c r="IK108" s="163"/>
      <c r="IL108" s="163"/>
      <c r="IM108" s="163"/>
      <c r="IN108" s="163"/>
      <c r="IO108" s="163"/>
      <c r="IP108" s="163"/>
      <c r="IQ108" s="163"/>
      <c r="IR108" s="163"/>
      <c r="IS108" s="163"/>
      <c r="IT108" s="163"/>
      <c r="IU108" s="163"/>
      <c r="IV108" s="11"/>
      <c r="IW108" s="11"/>
    </row>
    <row r="109" customFormat="false" ht="13.5" hidden="true" customHeight="true" outlineLevel="0" collapsed="false">
      <c r="A109" s="108"/>
      <c r="B109" s="159"/>
      <c r="C109" s="203"/>
      <c r="D109" s="111"/>
      <c r="E109" s="160" t="n">
        <f aca="false">IF(ISERROR(VLOOKUP(C108,일용직명단!$A$3:$K$1246,9,FALSE())),0,VLOOKUP(C108,일용직명단!$A$3:$K$1246,9,FALSE()))</f>
        <v>0</v>
      </c>
      <c r="F109" s="209"/>
      <c r="G109" s="209"/>
      <c r="H109" s="209"/>
      <c r="I109" s="209"/>
      <c r="J109" s="209"/>
      <c r="K109" s="209"/>
      <c r="L109" s="209"/>
      <c r="M109" s="209"/>
      <c r="N109" s="209"/>
      <c r="O109" s="209"/>
      <c r="P109" s="209"/>
      <c r="Q109" s="209"/>
      <c r="R109" s="209"/>
      <c r="S109" s="209"/>
      <c r="T109" s="209"/>
      <c r="U109" s="212"/>
      <c r="V109" s="144"/>
      <c r="W109" s="138" t="n">
        <f aca="false">W108*V108</f>
        <v>0</v>
      </c>
      <c r="X109" s="156" t="n">
        <f aca="false">IF(AH108&lt;1000,0,AH108)</f>
        <v>0</v>
      </c>
      <c r="Y109" s="156" t="n">
        <f aca="false">ROUNDDOWN(X109*10%,-1)</f>
        <v>0</v>
      </c>
      <c r="Z109" s="156" t="n">
        <f aca="false">IF(AE108&gt;=8,ROUNDDOWN(Y108*$Q$4,-1),0)</f>
        <v>0</v>
      </c>
      <c r="AA109" s="145"/>
      <c r="AB109" s="146"/>
      <c r="AC109" s="158" t="n">
        <f aca="false">IF(ISERROR(VLOOKUP(C108,일용직명단!$A$3:$I$1226,7,FALSE())),0,VLOOKUP(C108,일용직명단!$A$3:$I$1226,7,FALSE()))</f>
        <v>0</v>
      </c>
      <c r="AD109" s="158"/>
      <c r="AE109" s="141"/>
      <c r="AF109" s="129"/>
      <c r="AG109" s="129"/>
      <c r="AH109" s="161"/>
      <c r="AI109" s="161" t="n">
        <f aca="false">IF($W108*F109&gt;150000,($W108*F109-150000)*6%*45%,0)</f>
        <v>0</v>
      </c>
      <c r="AJ109" s="161" t="n">
        <f aca="false">IF($W108*G109&gt;150000,($W108*G109-150000)*6%*45%,0)</f>
        <v>0</v>
      </c>
      <c r="AK109" s="161" t="n">
        <f aca="false">IF($W108*H109&gt;150000,($W108*H109-150000)*6%*45%,0)</f>
        <v>0</v>
      </c>
      <c r="AL109" s="161" t="n">
        <f aca="false">IF($W108*I109&gt;150000,($W108*I109-150000)*6%*45%,0)</f>
        <v>0</v>
      </c>
      <c r="AM109" s="161" t="n">
        <f aca="false">IF($W108*J109&gt;150000,($W108*J109-150000)*6%*45%,0)</f>
        <v>0</v>
      </c>
      <c r="AN109" s="161" t="n">
        <f aca="false">IF($W108*K109&gt;150000,($W108*K109-150000)*6%*45%,0)</f>
        <v>0</v>
      </c>
      <c r="AO109" s="161" t="n">
        <f aca="false">IF($W108*L109&gt;150000,($W108*L109-150000)*6%*45%,0)</f>
        <v>0</v>
      </c>
      <c r="AP109" s="161" t="n">
        <f aca="false">IF($W108*M109&gt;150000,($W108*M109-150000)*6%*45%,0)</f>
        <v>0</v>
      </c>
      <c r="AQ109" s="161" t="n">
        <f aca="false">IF($W108*N109&gt;150000,($W108*N109-150000)*6%*45%,0)</f>
        <v>0</v>
      </c>
      <c r="AR109" s="161" t="n">
        <f aca="false">IF($W108*O109&gt;150000,($W108*O109-150000)*6%*45%,0)</f>
        <v>0</v>
      </c>
      <c r="AS109" s="161" t="n">
        <f aca="false">IF($W108*P109&gt;150000,($W108*P109-150000)*6%*45%,0)</f>
        <v>0</v>
      </c>
      <c r="AT109" s="161" t="n">
        <f aca="false">IF($W108*Q109&gt;150000,($W108*Q109-150000)*6%*45%,0)</f>
        <v>0</v>
      </c>
      <c r="AU109" s="161" t="n">
        <f aca="false">IF($W108*R109&gt;150000,($W108*R109-150000)*6%*45%,0)</f>
        <v>0</v>
      </c>
      <c r="AV109" s="161" t="n">
        <f aca="false">IF($W108*S109&gt;150000,($W108*S109-150000)*6%*45%,0)</f>
        <v>0</v>
      </c>
      <c r="AW109" s="161" t="n">
        <f aca="false">IF($W108*T109&gt;150000,($W108*T109-150000)*6%*45%,0)</f>
        <v>0</v>
      </c>
      <c r="AX109" s="161" t="n">
        <f aca="false">IF($W108*U109&gt;150000,($W108*U109-150000)*6%*45%,0)</f>
        <v>0</v>
      </c>
      <c r="AY109" s="162"/>
      <c r="AZ109" s="163"/>
      <c r="BA109" s="163"/>
      <c r="BB109" s="163"/>
      <c r="BC109" s="163"/>
      <c r="BD109" s="163"/>
      <c r="BE109" s="163"/>
      <c r="BF109" s="163"/>
      <c r="BG109" s="163"/>
      <c r="BH109" s="163"/>
      <c r="BI109" s="163"/>
      <c r="BJ109" s="163"/>
      <c r="BK109" s="163"/>
      <c r="BL109" s="163"/>
      <c r="BM109" s="163"/>
      <c r="BN109" s="163"/>
      <c r="BO109" s="163"/>
      <c r="BP109" s="163"/>
      <c r="BQ109" s="163"/>
      <c r="BR109" s="163"/>
      <c r="BS109" s="163"/>
      <c r="BT109" s="163"/>
      <c r="BU109" s="163"/>
      <c r="BV109" s="163"/>
      <c r="BW109" s="163"/>
      <c r="BX109" s="163"/>
      <c r="BY109" s="163"/>
      <c r="BZ109" s="163"/>
      <c r="CA109" s="163"/>
      <c r="CB109" s="163"/>
      <c r="CC109" s="163"/>
      <c r="CD109" s="163"/>
      <c r="CE109" s="163"/>
      <c r="CF109" s="163"/>
      <c r="CG109" s="163"/>
      <c r="CH109" s="163"/>
      <c r="CI109" s="163"/>
      <c r="CJ109" s="163"/>
      <c r="CK109" s="163"/>
      <c r="CL109" s="163"/>
      <c r="CM109" s="163"/>
      <c r="CN109" s="163"/>
      <c r="CO109" s="163"/>
      <c r="CP109" s="163"/>
      <c r="CQ109" s="163"/>
      <c r="CR109" s="163"/>
      <c r="CS109" s="163"/>
      <c r="CT109" s="163"/>
      <c r="CU109" s="163"/>
      <c r="CV109" s="163"/>
      <c r="CW109" s="163"/>
      <c r="CX109" s="163"/>
      <c r="CY109" s="163"/>
      <c r="CZ109" s="163"/>
      <c r="DA109" s="163"/>
      <c r="DB109" s="163"/>
      <c r="DC109" s="163"/>
      <c r="DD109" s="163"/>
      <c r="DE109" s="163"/>
      <c r="DF109" s="163"/>
      <c r="DG109" s="163"/>
      <c r="DH109" s="163"/>
      <c r="DI109" s="163"/>
      <c r="DJ109" s="163"/>
      <c r="DK109" s="163"/>
      <c r="DL109" s="163"/>
      <c r="DM109" s="163"/>
      <c r="DN109" s="163"/>
      <c r="DO109" s="163"/>
      <c r="DP109" s="163"/>
      <c r="DQ109" s="163"/>
      <c r="DR109" s="163"/>
      <c r="DS109" s="163"/>
      <c r="DT109" s="163"/>
      <c r="DU109" s="163"/>
      <c r="DV109" s="163"/>
      <c r="DW109" s="163"/>
      <c r="DX109" s="163"/>
      <c r="DY109" s="163"/>
      <c r="DZ109" s="163"/>
      <c r="EA109" s="163"/>
      <c r="EB109" s="163"/>
      <c r="EC109" s="163"/>
      <c r="ED109" s="163"/>
      <c r="EE109" s="163"/>
      <c r="EF109" s="163"/>
      <c r="EG109" s="163"/>
      <c r="EH109" s="163"/>
      <c r="EI109" s="163"/>
      <c r="EJ109" s="163"/>
      <c r="EK109" s="163"/>
      <c r="EL109" s="163"/>
      <c r="EM109" s="163"/>
      <c r="EN109" s="163"/>
      <c r="EO109" s="163"/>
      <c r="EP109" s="163"/>
      <c r="EQ109" s="163"/>
      <c r="ER109" s="163"/>
      <c r="ES109" s="163"/>
      <c r="ET109" s="163"/>
      <c r="EU109" s="163"/>
      <c r="EV109" s="163"/>
      <c r="EW109" s="163"/>
      <c r="EX109" s="163"/>
      <c r="EY109" s="163"/>
      <c r="EZ109" s="163"/>
      <c r="FA109" s="163"/>
      <c r="FB109" s="163"/>
      <c r="FC109" s="163"/>
      <c r="FD109" s="163"/>
      <c r="FE109" s="163"/>
      <c r="FF109" s="163"/>
      <c r="FG109" s="163"/>
      <c r="FH109" s="163"/>
      <c r="FI109" s="163"/>
      <c r="FJ109" s="163"/>
      <c r="FK109" s="163"/>
      <c r="FL109" s="163"/>
      <c r="FM109" s="163"/>
      <c r="FN109" s="163"/>
      <c r="FO109" s="163"/>
      <c r="FP109" s="163"/>
      <c r="FQ109" s="163"/>
      <c r="FR109" s="163"/>
      <c r="FS109" s="163"/>
      <c r="FT109" s="163"/>
      <c r="FU109" s="163"/>
      <c r="FV109" s="163"/>
      <c r="FW109" s="163"/>
      <c r="FX109" s="163"/>
      <c r="FY109" s="163"/>
      <c r="FZ109" s="163"/>
      <c r="GA109" s="163"/>
      <c r="GB109" s="163"/>
      <c r="GC109" s="163"/>
      <c r="GD109" s="163"/>
      <c r="GE109" s="163"/>
      <c r="GF109" s="163"/>
      <c r="GG109" s="163"/>
      <c r="GH109" s="163"/>
      <c r="GI109" s="163"/>
      <c r="GJ109" s="163"/>
      <c r="GK109" s="163"/>
      <c r="GL109" s="163"/>
      <c r="GM109" s="163"/>
      <c r="GN109" s="163"/>
      <c r="GO109" s="163"/>
      <c r="GP109" s="163"/>
      <c r="GQ109" s="163"/>
      <c r="GR109" s="163"/>
      <c r="GS109" s="163"/>
      <c r="GT109" s="163"/>
      <c r="GU109" s="163"/>
      <c r="GV109" s="163"/>
      <c r="GW109" s="163"/>
      <c r="GX109" s="163"/>
      <c r="GY109" s="163"/>
      <c r="GZ109" s="163"/>
      <c r="HA109" s="163"/>
      <c r="HB109" s="163"/>
      <c r="HC109" s="163"/>
      <c r="HD109" s="163"/>
      <c r="HE109" s="163"/>
      <c r="HF109" s="163"/>
      <c r="HG109" s="163"/>
      <c r="HH109" s="163"/>
      <c r="HI109" s="163"/>
      <c r="HJ109" s="163"/>
      <c r="HK109" s="163"/>
      <c r="HL109" s="163"/>
      <c r="HM109" s="163"/>
      <c r="HN109" s="163"/>
      <c r="HO109" s="163"/>
      <c r="HP109" s="163"/>
      <c r="HQ109" s="163"/>
      <c r="HR109" s="163"/>
      <c r="HS109" s="163"/>
      <c r="HT109" s="163"/>
      <c r="HU109" s="163"/>
      <c r="HV109" s="163"/>
      <c r="HW109" s="163"/>
      <c r="HX109" s="163"/>
      <c r="HY109" s="163"/>
      <c r="HZ109" s="163"/>
      <c r="IA109" s="163"/>
      <c r="IB109" s="163"/>
      <c r="IC109" s="163"/>
      <c r="ID109" s="163"/>
      <c r="IE109" s="163"/>
      <c r="IF109" s="163"/>
      <c r="IG109" s="163"/>
      <c r="IH109" s="163"/>
      <c r="II109" s="163"/>
      <c r="IJ109" s="163"/>
      <c r="IK109" s="163"/>
      <c r="IL109" s="163"/>
      <c r="IM109" s="163"/>
      <c r="IN109" s="163"/>
      <c r="IO109" s="163"/>
      <c r="IP109" s="163"/>
      <c r="IQ109" s="163"/>
      <c r="IR109" s="163"/>
      <c r="IS109" s="163"/>
      <c r="IT109" s="163"/>
      <c r="IU109" s="163"/>
      <c r="IV109" s="11"/>
      <c r="IW109" s="11"/>
    </row>
    <row r="110" customFormat="false" ht="13.5" hidden="true" customHeight="true" outlineLevel="0" collapsed="false">
      <c r="A110" s="108" t="n">
        <f aca="false">A108+1</f>
        <v>51</v>
      </c>
      <c r="B110" s="159"/>
      <c r="C110" s="203"/>
      <c r="D110" s="111" t="n">
        <f aca="false">IF(ISERROR(VLOOKUP(C110,[28]일용직명단!$A$3:$K$1183,3,FALSE())),0,VLOOKUP(C110,[28]일용직명단!$A$3:$K$1183,3,FALSE()))</f>
        <v>0</v>
      </c>
      <c r="E110" s="160" t="n">
        <f aca="false">IF(ISERROR(VLOOKUP(C110,일용직명단!$A$3:$K$1246,4,FALSE())),0,VLOOKUP(C110,일용직명단!$A$3:$K$1246,4,FALSE()))</f>
        <v>0</v>
      </c>
      <c r="F110" s="208"/>
      <c r="G110" s="209"/>
      <c r="H110" s="209"/>
      <c r="I110" s="209"/>
      <c r="J110" s="209"/>
      <c r="K110" s="209"/>
      <c r="L110" s="209"/>
      <c r="M110" s="209"/>
      <c r="N110" s="209"/>
      <c r="O110" s="209"/>
      <c r="P110" s="209"/>
      <c r="Q110" s="209"/>
      <c r="R110" s="209"/>
      <c r="S110" s="209"/>
      <c r="T110" s="209"/>
      <c r="U110" s="210"/>
      <c r="V110" s="144" t="n">
        <f aca="false">SUM(F110:U111)</f>
        <v>0</v>
      </c>
      <c r="W110" s="211" t="n">
        <f aca="false">IF(ISERROR(VLOOKUP(C110,일용직명단!$A$3:$K$1246,8,FALSE())),0,VLOOKUP(C110,일용직명단!$A$3:$K$1246,8,FALSE()))</f>
        <v>0</v>
      </c>
      <c r="X110" s="156" t="n">
        <f aca="false">IFERROR(IF(AG110&gt;=65,0,ROUNDDOWN(W111*$Z$4,-1)),0)</f>
        <v>0</v>
      </c>
      <c r="Y110" s="156" t="n">
        <f aca="false">IF(AE110&gt;=8,ROUNDDOWN(W111*$M$4,-1),0)</f>
        <v>0</v>
      </c>
      <c r="Z110" s="156" t="n">
        <f aca="false">IFERROR(IF(AND(COUNT(F110:U111)&gt;=8,$AG110&lt;60,W111&lt;=5530000),ROUNDDOWN(ROUNDDOWN(W111,-3)*4.5%,-1),IF(AND(COUNT(F110:U111)&gt;=8,AG110&lt;60,W111&gt;5530000),248850,0)),0)</f>
        <v>0</v>
      </c>
      <c r="AA110" s="145" t="n">
        <f aca="false">+X110+Y110+X111+Y111+Z110+Z111</f>
        <v>0</v>
      </c>
      <c r="AB110" s="146" t="n">
        <f aca="false">W111-AA110</f>
        <v>0</v>
      </c>
      <c r="AC110" s="157" t="n">
        <f aca="false">IF(ISERROR(VLOOKUP(C110,일용직명단!$A$3:$I$1226,5,FALSE())),0,VLOOKUP(C110,일용직명단!$A$3:$I$1226,5,FALSE()))</f>
        <v>0</v>
      </c>
      <c r="AD110" s="158" t="n">
        <f aca="false">IF(ISERROR(VLOOKUP(C110,일용직명단!$A$3:$I$1226,6,FALSE())),0,VLOOKUP(C110,일용직명단!$A$3:$I$1226,6,FALSE()))</f>
        <v>0</v>
      </c>
      <c r="AE110" s="128" t="n">
        <f aca="false">COUNT(F110:U111)</f>
        <v>0</v>
      </c>
      <c r="AF110" s="129" t="str">
        <f aca="false">IF(OR(MID(D110,8,1)="1",MID(D110,8,1)="2"),19&amp;LEFT(D110,2),20&amp;LEFT(D110,2))&amp;"-"&amp;MID(D110,3,2)&amp;"-"&amp;MID(D110,5,2)</f>
        <v>200--</v>
      </c>
      <c r="AG110" s="129" t="e">
        <f aca="true">INT((TODAY()-AF110)/365.25)</f>
        <v>#VALUE!</v>
      </c>
      <c r="AH110" s="161" t="n">
        <f aca="false">ROUNDDOWN(SUM(AI110:AX111),-1)</f>
        <v>0</v>
      </c>
      <c r="AI110" s="161" t="n">
        <f aca="false">IF($W110*F110&gt;150000,($W110*F110-150000)*6%*45%,0)</f>
        <v>0</v>
      </c>
      <c r="AJ110" s="161" t="n">
        <f aca="false">IF($W110*G110&gt;150000,($W110*G110-150000)*6%*45%,0)</f>
        <v>0</v>
      </c>
      <c r="AK110" s="161" t="n">
        <f aca="false">IF($W110*H110&gt;150000,($W110*H110-150000)*6%*45%,0)</f>
        <v>0</v>
      </c>
      <c r="AL110" s="161" t="n">
        <f aca="false">IF($W110*I110&gt;150000,($W110*I110-150000)*6%*45%,0)</f>
        <v>0</v>
      </c>
      <c r="AM110" s="161" t="n">
        <f aca="false">IF($W110*J110&gt;150000,($W110*J110-150000)*6%*45%,0)</f>
        <v>0</v>
      </c>
      <c r="AN110" s="161" t="n">
        <f aca="false">IF($W110*K110&gt;150000,($W110*K110-150000)*6%*45%,0)</f>
        <v>0</v>
      </c>
      <c r="AO110" s="161" t="n">
        <f aca="false">IF($W110*L110&gt;150000,($W110*L110-150000)*6%*45%,0)</f>
        <v>0</v>
      </c>
      <c r="AP110" s="161" t="n">
        <f aca="false">IF($W110*M110&gt;150000,($W110*M110-150000)*6%*45%,0)</f>
        <v>0</v>
      </c>
      <c r="AQ110" s="161" t="n">
        <f aca="false">IF($W110*N110&gt;150000,($W110*N110-150000)*6%*45%,0)</f>
        <v>0</v>
      </c>
      <c r="AR110" s="161" t="n">
        <f aca="false">IF($W110*O110&gt;150000,($W110*O110-150000)*6%*45%,0)</f>
        <v>0</v>
      </c>
      <c r="AS110" s="161" t="n">
        <f aca="false">IF($W110*P110&gt;150000,($W110*P110-150000)*6%*45%,0)</f>
        <v>0</v>
      </c>
      <c r="AT110" s="161" t="n">
        <f aca="false">IF($W110*Q110&gt;150000,($W110*Q110-150000)*6%*45%,0)</f>
        <v>0</v>
      </c>
      <c r="AU110" s="161" t="n">
        <f aca="false">IF($W110*R110&gt;150000,($W110*R110-150000)*6%*45%,0)</f>
        <v>0</v>
      </c>
      <c r="AV110" s="161" t="n">
        <f aca="false">IF($W110*S110&gt;150000,($W110*S110-150000)*6%*45%,0)</f>
        <v>0</v>
      </c>
      <c r="AW110" s="161" t="n">
        <f aca="false">IF($W110*T110&gt;150000,($W110*T110-150000)*6%*45%,0)</f>
        <v>0</v>
      </c>
      <c r="AX110" s="161"/>
      <c r="AY110" s="162" t="n">
        <f aca="false">IF(ISERROR(VLOOKUP(C110,[27]일용직명단!$A$3:$M$1151,11,FALSE())),0,VLOOKUP(C110,[27]일용직명단!$A$3:$M$1151,11,FALSE()))</f>
        <v>0</v>
      </c>
      <c r="AZ110" s="163"/>
      <c r="BA110" s="163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V110" s="11"/>
      <c r="IW110" s="11"/>
    </row>
    <row r="111" customFormat="false" ht="13.5" hidden="true" customHeight="true" outlineLevel="0" collapsed="false">
      <c r="A111" s="108"/>
      <c r="B111" s="159"/>
      <c r="C111" s="203"/>
      <c r="D111" s="111"/>
      <c r="E111" s="160" t="n">
        <f aca="false">IF(ISERROR(VLOOKUP(C110,일용직명단!$A$3:$K$1246,9,FALSE())),0,VLOOKUP(C110,일용직명단!$A$3:$K$1246,9,FALSE()))</f>
        <v>0</v>
      </c>
      <c r="F111" s="209"/>
      <c r="G111" s="209"/>
      <c r="H111" s="209"/>
      <c r="I111" s="209"/>
      <c r="J111" s="209"/>
      <c r="K111" s="209"/>
      <c r="L111" s="209"/>
      <c r="M111" s="209"/>
      <c r="N111" s="209"/>
      <c r="O111" s="209"/>
      <c r="P111" s="209"/>
      <c r="Q111" s="209"/>
      <c r="R111" s="209"/>
      <c r="S111" s="209"/>
      <c r="T111" s="209"/>
      <c r="U111" s="212"/>
      <c r="V111" s="144"/>
      <c r="W111" s="138" t="n">
        <f aca="false">W110*V110</f>
        <v>0</v>
      </c>
      <c r="X111" s="156" t="n">
        <f aca="false">IF(AH110&lt;1000,0,AH110)</f>
        <v>0</v>
      </c>
      <c r="Y111" s="156" t="n">
        <f aca="false">ROUNDDOWN(X111*10%,-1)</f>
        <v>0</v>
      </c>
      <c r="Z111" s="156" t="n">
        <f aca="false">IF(AE110&gt;=8,ROUNDDOWN(Y110*$Q$4,-1),0)</f>
        <v>0</v>
      </c>
      <c r="AA111" s="145"/>
      <c r="AB111" s="146"/>
      <c r="AC111" s="158" t="n">
        <f aca="false">IF(ISERROR(VLOOKUP(C110,일용직명단!$A$3:$I$1226,7,FALSE())),0,VLOOKUP(C110,일용직명단!$A$3:$I$1226,7,FALSE()))</f>
        <v>0</v>
      </c>
      <c r="AD111" s="158"/>
      <c r="AE111" s="128"/>
      <c r="AF111" s="129"/>
      <c r="AG111" s="129"/>
      <c r="AH111" s="161"/>
      <c r="AI111" s="161" t="n">
        <f aca="false">IF($W110*F111&gt;150000,($W110*F111-150000)*6%*45%,0)</f>
        <v>0</v>
      </c>
      <c r="AJ111" s="161" t="n">
        <f aca="false">IF($W110*G111&gt;150000,($W110*G111-150000)*6%*45%,0)</f>
        <v>0</v>
      </c>
      <c r="AK111" s="161" t="n">
        <f aca="false">IF($W110*H111&gt;150000,($W110*H111-150000)*6%*45%,0)</f>
        <v>0</v>
      </c>
      <c r="AL111" s="161" t="n">
        <f aca="false">IF($W110*I111&gt;150000,($W110*I111-150000)*6%*45%,0)</f>
        <v>0</v>
      </c>
      <c r="AM111" s="161" t="n">
        <f aca="false">IF($W110*J111&gt;150000,($W110*J111-150000)*6%*45%,0)</f>
        <v>0</v>
      </c>
      <c r="AN111" s="161" t="n">
        <f aca="false">IF($W110*K111&gt;150000,($W110*K111-150000)*6%*45%,0)</f>
        <v>0</v>
      </c>
      <c r="AO111" s="161" t="n">
        <f aca="false">IF($W110*L111&gt;150000,($W110*L111-150000)*6%*45%,0)</f>
        <v>0</v>
      </c>
      <c r="AP111" s="161" t="n">
        <f aca="false">IF($W110*M111&gt;150000,($W110*M111-150000)*6%*45%,0)</f>
        <v>0</v>
      </c>
      <c r="AQ111" s="161" t="n">
        <f aca="false">IF($W110*N111&gt;150000,($W110*N111-150000)*6%*45%,0)</f>
        <v>0</v>
      </c>
      <c r="AR111" s="161" t="n">
        <f aca="false">IF($W110*O111&gt;150000,($W110*O111-150000)*6%*45%,0)</f>
        <v>0</v>
      </c>
      <c r="AS111" s="161" t="n">
        <f aca="false">IF($W110*P111&gt;150000,($W110*P111-150000)*6%*45%,0)</f>
        <v>0</v>
      </c>
      <c r="AT111" s="161" t="n">
        <f aca="false">IF($W110*Q111&gt;150000,($W110*Q111-150000)*6%*45%,0)</f>
        <v>0</v>
      </c>
      <c r="AU111" s="161" t="n">
        <f aca="false">IF($W110*R111&gt;150000,($W110*R111-150000)*6%*45%,0)</f>
        <v>0</v>
      </c>
      <c r="AV111" s="161" t="n">
        <f aca="false">IF($W110*S111&gt;150000,($W110*S111-150000)*6%*45%,0)</f>
        <v>0</v>
      </c>
      <c r="AW111" s="161" t="n">
        <f aca="false">IF($W110*T111&gt;150000,($W110*T111-150000)*6%*45%,0)</f>
        <v>0</v>
      </c>
      <c r="AX111" s="161" t="n">
        <f aca="false">IF($W110*U111&gt;150000,($W110*U111-150000)*6%*45%,0)</f>
        <v>0</v>
      </c>
      <c r="AY111" s="162"/>
      <c r="AZ111" s="163"/>
      <c r="BA111" s="163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V111" s="11"/>
      <c r="IW111" s="11"/>
    </row>
    <row r="112" customFormat="false" ht="13.5" hidden="true" customHeight="true" outlineLevel="0" collapsed="false">
      <c r="A112" s="108" t="n">
        <f aca="false">A110+1</f>
        <v>52</v>
      </c>
      <c r="B112" s="159" t="n">
        <f aca="false">IF(ISERROR(VLOOKUP(C112,[29]일용직명단!$A$3:$I$97,2,FALSE())),0,VLOOKUP(C112,[29]일용직명단!$A$3:$I$97,2,FALSE()))</f>
        <v>0</v>
      </c>
      <c r="C112" s="203"/>
      <c r="D112" s="111" t="n">
        <f aca="false">IF(ISERROR(VLOOKUP(C112,[28]일용직명단!$A$3:$K$1183,3,FALSE())),0,VLOOKUP(C112,[28]일용직명단!$A$3:$K$1183,3,FALSE()))</f>
        <v>0</v>
      </c>
      <c r="E112" s="160" t="n">
        <f aca="false">IF(ISERROR(VLOOKUP(C112,일용직명단!$A$3:$K$1246,4,FALSE())),0,VLOOKUP(C112,일용직명단!$A$3:$K$1246,4,FALSE()))</f>
        <v>0</v>
      </c>
      <c r="F112" s="208"/>
      <c r="G112" s="209"/>
      <c r="H112" s="209"/>
      <c r="I112" s="209"/>
      <c r="J112" s="209"/>
      <c r="K112" s="209"/>
      <c r="L112" s="209"/>
      <c r="M112" s="209"/>
      <c r="N112" s="209"/>
      <c r="O112" s="209"/>
      <c r="P112" s="209"/>
      <c r="Q112" s="209"/>
      <c r="R112" s="209"/>
      <c r="S112" s="209"/>
      <c r="T112" s="209"/>
      <c r="U112" s="210"/>
      <c r="V112" s="144" t="n">
        <f aca="false">SUM(F112:U113)</f>
        <v>0</v>
      </c>
      <c r="W112" s="211" t="n">
        <f aca="false">IF(ISERROR(VLOOKUP(C112,일용직명단!$A$3:$K$1246,8,FALSE())),0,VLOOKUP(C112,일용직명단!$A$3:$K$1246,8,FALSE()))</f>
        <v>0</v>
      </c>
      <c r="X112" s="156" t="n">
        <f aca="false">IFERROR(IF(AG112&gt;=65,0,ROUNDDOWN(W113*$Z$4,-1)),0)</f>
        <v>0</v>
      </c>
      <c r="Y112" s="156" t="n">
        <f aca="false">IF(AE112&gt;=8,ROUNDDOWN(W113*$M$4,-1),0)</f>
        <v>0</v>
      </c>
      <c r="Z112" s="156" t="n">
        <f aca="false">IFERROR(IF(AND(COUNT(F112:U113)&gt;=8,$AG112&lt;60,W113&lt;=5530000),ROUNDDOWN(ROUNDDOWN(W113,-3)*4.5%,-1),IF(AND(COUNT(F112:U113)&gt;=8,AG112&lt;60,W113&gt;5530000),248850,0)),0)</f>
        <v>0</v>
      </c>
      <c r="AA112" s="145" t="n">
        <f aca="false">+X112+Y112+X113+Y113+Z112+Z113</f>
        <v>0</v>
      </c>
      <c r="AB112" s="146" t="n">
        <f aca="false">W113-AA112</f>
        <v>0</v>
      </c>
      <c r="AC112" s="157" t="n">
        <f aca="false">IF(ISERROR(VLOOKUP(C112,일용직명단!$A$3:$I$1226,5,FALSE())),0,VLOOKUP(C112,일용직명단!$A$3:$I$1226,5,FALSE()))</f>
        <v>0</v>
      </c>
      <c r="AD112" s="158" t="n">
        <f aca="false">IF(ISERROR(VLOOKUP(C112,일용직명단!$A$3:$I$1226,6,FALSE())),0,VLOOKUP(C112,일용직명단!$A$3:$I$1226,6,FALSE()))</f>
        <v>0</v>
      </c>
      <c r="AE112" s="141" t="n">
        <f aca="false">COUNT(F112:U113)</f>
        <v>0</v>
      </c>
      <c r="AF112" s="129" t="str">
        <f aca="false">IF(OR(MID(D112,8,1)="1",MID(D112,8,1)="2"),19&amp;LEFT(D112,2),20&amp;LEFT(D112,2))&amp;"-"&amp;MID(D112,3,2)&amp;"-"&amp;MID(D112,5,2)</f>
        <v>200--</v>
      </c>
      <c r="AG112" s="129" t="e">
        <f aca="true">INT((TODAY()-AF112)/365.25)</f>
        <v>#VALUE!</v>
      </c>
      <c r="AH112" s="161" t="n">
        <f aca="false">ROUNDDOWN(SUM(AI112:AX113),-1)</f>
        <v>0</v>
      </c>
      <c r="AI112" s="161" t="n">
        <f aca="false">IF($W112*F112&gt;150000,($W112*F112-150000)*6%*45%,0)</f>
        <v>0</v>
      </c>
      <c r="AJ112" s="161" t="n">
        <f aca="false">IF($W112*G112&gt;150000,($W112*G112-150000)*6%*45%,0)</f>
        <v>0</v>
      </c>
      <c r="AK112" s="161" t="n">
        <f aca="false">IF($W112*H112&gt;150000,($W112*H112-150000)*6%*45%,0)</f>
        <v>0</v>
      </c>
      <c r="AL112" s="161" t="n">
        <f aca="false">IF($W112*I112&gt;150000,($W112*I112-150000)*6%*45%,0)</f>
        <v>0</v>
      </c>
      <c r="AM112" s="161" t="n">
        <f aca="false">IF($W112*J112&gt;150000,($W112*J112-150000)*6%*45%,0)</f>
        <v>0</v>
      </c>
      <c r="AN112" s="161" t="n">
        <f aca="false">IF($W112*K112&gt;150000,($W112*K112-150000)*6%*45%,0)</f>
        <v>0</v>
      </c>
      <c r="AO112" s="161" t="n">
        <f aca="false">IF($W112*L112&gt;150000,($W112*L112-150000)*6%*45%,0)</f>
        <v>0</v>
      </c>
      <c r="AP112" s="161" t="n">
        <f aca="false">IF($W112*M112&gt;150000,($W112*M112-150000)*6%*45%,0)</f>
        <v>0</v>
      </c>
      <c r="AQ112" s="161" t="n">
        <f aca="false">IF($W112*N112&gt;150000,($W112*N112-150000)*6%*45%,0)</f>
        <v>0</v>
      </c>
      <c r="AR112" s="161" t="n">
        <f aca="false">IF($W112*O112&gt;150000,($W112*O112-150000)*6%*45%,0)</f>
        <v>0</v>
      </c>
      <c r="AS112" s="161" t="n">
        <f aca="false">IF($W112*P112&gt;150000,($W112*P112-150000)*6%*45%,0)</f>
        <v>0</v>
      </c>
      <c r="AT112" s="161" t="n">
        <f aca="false">IF($W112*Q112&gt;150000,($W112*Q112-150000)*6%*45%,0)</f>
        <v>0</v>
      </c>
      <c r="AU112" s="161" t="n">
        <f aca="false">IF($W112*R112&gt;150000,($W112*R112-150000)*6%*45%,0)</f>
        <v>0</v>
      </c>
      <c r="AV112" s="161" t="n">
        <f aca="false">IF($W112*S112&gt;150000,($W112*S112-150000)*6%*45%,0)</f>
        <v>0</v>
      </c>
      <c r="AW112" s="161" t="n">
        <f aca="false">IF($W112*T112&gt;150000,($W112*T112-150000)*6%*45%,0)</f>
        <v>0</v>
      </c>
      <c r="AX112" s="161"/>
      <c r="AY112" s="162" t="n">
        <f aca="false">IF(ISERROR(VLOOKUP(C112,[27]일용직명단!$A$3:$M$1151,11,FALSE())),0,VLOOKUP(C112,[27]일용직명단!$A$3:$M$1151,11,FALSE()))</f>
        <v>0</v>
      </c>
      <c r="AZ112" s="163"/>
      <c r="BA112" s="163"/>
      <c r="BB112" s="163"/>
      <c r="BC112" s="163"/>
      <c r="BD112" s="163"/>
      <c r="BE112" s="163"/>
      <c r="BF112" s="163"/>
      <c r="BG112" s="163"/>
      <c r="BH112" s="163"/>
      <c r="BI112" s="163"/>
      <c r="BJ112" s="163"/>
      <c r="BK112" s="163"/>
      <c r="BL112" s="163"/>
      <c r="BM112" s="163"/>
      <c r="BN112" s="163"/>
      <c r="BO112" s="163"/>
      <c r="BP112" s="163"/>
      <c r="BQ112" s="163"/>
      <c r="BR112" s="163"/>
      <c r="BS112" s="163"/>
      <c r="BT112" s="163"/>
      <c r="BU112" s="163"/>
      <c r="BV112" s="163"/>
      <c r="BW112" s="163"/>
      <c r="BX112" s="163"/>
      <c r="BY112" s="163"/>
      <c r="BZ112" s="163"/>
      <c r="CA112" s="163"/>
      <c r="CB112" s="163"/>
      <c r="CC112" s="163"/>
      <c r="CD112" s="163"/>
      <c r="CE112" s="163"/>
      <c r="CF112" s="163"/>
      <c r="CG112" s="163"/>
      <c r="CH112" s="163"/>
      <c r="CI112" s="163"/>
      <c r="CJ112" s="163"/>
      <c r="CK112" s="163"/>
      <c r="CL112" s="163"/>
      <c r="CM112" s="163"/>
      <c r="CN112" s="163"/>
      <c r="CO112" s="163"/>
      <c r="CP112" s="163"/>
      <c r="CQ112" s="163"/>
      <c r="CR112" s="163"/>
      <c r="CS112" s="163"/>
      <c r="CT112" s="163"/>
      <c r="CU112" s="163"/>
      <c r="CV112" s="163"/>
      <c r="CW112" s="163"/>
      <c r="CX112" s="163"/>
      <c r="CY112" s="163"/>
      <c r="CZ112" s="163"/>
      <c r="DA112" s="163"/>
      <c r="DB112" s="163"/>
      <c r="DC112" s="163"/>
      <c r="DD112" s="163"/>
      <c r="DE112" s="163"/>
      <c r="DF112" s="163"/>
      <c r="DG112" s="163"/>
      <c r="DH112" s="163"/>
      <c r="DI112" s="163"/>
      <c r="DJ112" s="163"/>
      <c r="DK112" s="163"/>
      <c r="DL112" s="163"/>
      <c r="DM112" s="163"/>
      <c r="DN112" s="163"/>
      <c r="DO112" s="163"/>
      <c r="DP112" s="163"/>
      <c r="DQ112" s="163"/>
      <c r="DR112" s="163"/>
      <c r="DS112" s="163"/>
      <c r="DT112" s="163"/>
      <c r="DU112" s="163"/>
      <c r="DV112" s="163"/>
      <c r="DW112" s="163"/>
      <c r="DX112" s="163"/>
      <c r="DY112" s="163"/>
      <c r="DZ112" s="163"/>
      <c r="EA112" s="163"/>
      <c r="EB112" s="163"/>
      <c r="EC112" s="163"/>
      <c r="ED112" s="163"/>
      <c r="EE112" s="163"/>
      <c r="EF112" s="163"/>
      <c r="EG112" s="163"/>
      <c r="EH112" s="163"/>
      <c r="EI112" s="163"/>
      <c r="EJ112" s="163"/>
      <c r="EK112" s="163"/>
      <c r="EL112" s="163"/>
      <c r="EM112" s="163"/>
      <c r="EN112" s="163"/>
      <c r="EO112" s="163"/>
      <c r="EP112" s="163"/>
      <c r="EQ112" s="163"/>
      <c r="ER112" s="163"/>
      <c r="ES112" s="163"/>
      <c r="ET112" s="163"/>
      <c r="EU112" s="163"/>
      <c r="EV112" s="163"/>
      <c r="EW112" s="163"/>
      <c r="EX112" s="163"/>
      <c r="EY112" s="163"/>
      <c r="EZ112" s="163"/>
      <c r="FA112" s="163"/>
      <c r="FB112" s="163"/>
      <c r="FC112" s="163"/>
      <c r="FD112" s="163"/>
      <c r="FE112" s="163"/>
      <c r="FF112" s="163"/>
      <c r="FG112" s="163"/>
      <c r="FH112" s="163"/>
      <c r="FI112" s="163"/>
      <c r="FJ112" s="163"/>
      <c r="FK112" s="163"/>
      <c r="FL112" s="163"/>
      <c r="FM112" s="163"/>
      <c r="FN112" s="163"/>
      <c r="FO112" s="163"/>
      <c r="FP112" s="163"/>
      <c r="FQ112" s="163"/>
      <c r="FR112" s="163"/>
      <c r="FS112" s="163"/>
      <c r="FT112" s="163"/>
      <c r="FU112" s="163"/>
      <c r="FV112" s="163"/>
      <c r="FW112" s="163"/>
      <c r="FX112" s="163"/>
      <c r="FY112" s="163"/>
      <c r="FZ112" s="163"/>
      <c r="GA112" s="163"/>
      <c r="GB112" s="163"/>
      <c r="GC112" s="163"/>
      <c r="GD112" s="163"/>
      <c r="GE112" s="163"/>
      <c r="GF112" s="163"/>
      <c r="GG112" s="163"/>
      <c r="GH112" s="163"/>
      <c r="GI112" s="163"/>
      <c r="GJ112" s="163"/>
      <c r="GK112" s="163"/>
      <c r="GL112" s="163"/>
      <c r="GM112" s="163"/>
      <c r="GN112" s="163"/>
      <c r="GO112" s="163"/>
      <c r="GP112" s="163"/>
      <c r="GQ112" s="163"/>
      <c r="GR112" s="163"/>
      <c r="GS112" s="163"/>
      <c r="GT112" s="163"/>
      <c r="GU112" s="163"/>
      <c r="GV112" s="163"/>
      <c r="GW112" s="163"/>
      <c r="GX112" s="163"/>
      <c r="GY112" s="163"/>
      <c r="GZ112" s="163"/>
      <c r="HA112" s="163"/>
      <c r="HB112" s="163"/>
      <c r="HC112" s="163"/>
      <c r="HD112" s="163"/>
      <c r="HE112" s="163"/>
      <c r="HF112" s="163"/>
      <c r="HG112" s="163"/>
      <c r="HH112" s="163"/>
      <c r="HI112" s="163"/>
      <c r="HJ112" s="163"/>
      <c r="HK112" s="163"/>
      <c r="HL112" s="163"/>
      <c r="HM112" s="163"/>
      <c r="HN112" s="163"/>
      <c r="HO112" s="163"/>
      <c r="HP112" s="163"/>
      <c r="HQ112" s="163"/>
      <c r="HR112" s="163"/>
      <c r="HS112" s="163"/>
      <c r="HT112" s="163"/>
      <c r="HU112" s="163"/>
      <c r="HV112" s="163"/>
      <c r="HW112" s="163"/>
      <c r="HX112" s="163"/>
      <c r="HY112" s="163"/>
      <c r="HZ112" s="163"/>
      <c r="IA112" s="163"/>
      <c r="IB112" s="163"/>
      <c r="IC112" s="163"/>
      <c r="ID112" s="163"/>
      <c r="IE112" s="163"/>
      <c r="IF112" s="163"/>
      <c r="IG112" s="163"/>
      <c r="IH112" s="163"/>
      <c r="II112" s="163"/>
      <c r="IJ112" s="163"/>
      <c r="IK112" s="163"/>
      <c r="IL112" s="163"/>
      <c r="IM112" s="163"/>
      <c r="IN112" s="163"/>
      <c r="IO112" s="163"/>
      <c r="IP112" s="163"/>
      <c r="IQ112" s="163"/>
      <c r="IR112" s="163"/>
      <c r="IS112" s="163"/>
      <c r="IT112" s="163"/>
      <c r="IU112" s="163"/>
      <c r="IV112" s="11"/>
      <c r="IW112" s="11"/>
    </row>
    <row r="113" customFormat="false" ht="13.5" hidden="true" customHeight="true" outlineLevel="0" collapsed="false">
      <c r="A113" s="108"/>
      <c r="B113" s="159"/>
      <c r="C113" s="203"/>
      <c r="D113" s="111"/>
      <c r="E113" s="160" t="n">
        <f aca="false">IF(ISERROR(VLOOKUP(C112,일용직명단!$A$3:$K$1246,9,FALSE())),0,VLOOKUP(C112,일용직명단!$A$3:$K$1246,9,FALSE()))</f>
        <v>0</v>
      </c>
      <c r="F113" s="209"/>
      <c r="G113" s="209"/>
      <c r="H113" s="209"/>
      <c r="I113" s="209"/>
      <c r="J113" s="209"/>
      <c r="K113" s="209"/>
      <c r="L113" s="209"/>
      <c r="M113" s="209"/>
      <c r="N113" s="209"/>
      <c r="O113" s="209"/>
      <c r="P113" s="209"/>
      <c r="Q113" s="209"/>
      <c r="R113" s="209"/>
      <c r="S113" s="209"/>
      <c r="T113" s="209"/>
      <c r="U113" s="212"/>
      <c r="V113" s="144"/>
      <c r="W113" s="138" t="n">
        <f aca="false">W112*V112</f>
        <v>0</v>
      </c>
      <c r="X113" s="156" t="n">
        <f aca="false">IF(AH112&lt;1000,0,AH112)</f>
        <v>0</v>
      </c>
      <c r="Y113" s="156" t="n">
        <f aca="false">ROUNDDOWN(X113*10%,-1)</f>
        <v>0</v>
      </c>
      <c r="Z113" s="156" t="n">
        <f aca="false">IF(AE112&gt;=8,ROUNDDOWN(Y112*$Q$4,-1),0)</f>
        <v>0</v>
      </c>
      <c r="AA113" s="145"/>
      <c r="AB113" s="146"/>
      <c r="AC113" s="158" t="n">
        <f aca="false">IF(ISERROR(VLOOKUP(C112,일용직명단!$A$3:$I$1226,7,FALSE())),0,VLOOKUP(C112,일용직명단!$A$3:$I$1226,7,FALSE()))</f>
        <v>0</v>
      </c>
      <c r="AD113" s="158"/>
      <c r="AE113" s="141"/>
      <c r="AF113" s="129"/>
      <c r="AG113" s="129"/>
      <c r="AH113" s="161"/>
      <c r="AI113" s="161" t="n">
        <f aca="false">IF($W112*F113&gt;150000,($W112*F113-150000)*6%*45%,0)</f>
        <v>0</v>
      </c>
      <c r="AJ113" s="161" t="n">
        <f aca="false">IF($W112*G113&gt;150000,($W112*G113-150000)*6%*45%,0)</f>
        <v>0</v>
      </c>
      <c r="AK113" s="161" t="n">
        <f aca="false">IF($W112*H113&gt;150000,($W112*H113-150000)*6%*45%,0)</f>
        <v>0</v>
      </c>
      <c r="AL113" s="161" t="n">
        <f aca="false">IF($W112*I113&gt;150000,($W112*I113-150000)*6%*45%,0)</f>
        <v>0</v>
      </c>
      <c r="AM113" s="161" t="n">
        <f aca="false">IF($W112*J113&gt;150000,($W112*J113-150000)*6%*45%,0)</f>
        <v>0</v>
      </c>
      <c r="AN113" s="161" t="n">
        <f aca="false">IF($W112*K113&gt;150000,($W112*K113-150000)*6%*45%,0)</f>
        <v>0</v>
      </c>
      <c r="AO113" s="161" t="n">
        <f aca="false">IF($W112*L113&gt;150000,($W112*L113-150000)*6%*45%,0)</f>
        <v>0</v>
      </c>
      <c r="AP113" s="161" t="n">
        <f aca="false">IF($W112*M113&gt;150000,($W112*M113-150000)*6%*45%,0)</f>
        <v>0</v>
      </c>
      <c r="AQ113" s="161" t="n">
        <f aca="false">IF($W112*N113&gt;150000,($W112*N113-150000)*6%*45%,0)</f>
        <v>0</v>
      </c>
      <c r="AR113" s="161" t="n">
        <f aca="false">IF($W112*O113&gt;150000,($W112*O113-150000)*6%*45%,0)</f>
        <v>0</v>
      </c>
      <c r="AS113" s="161" t="n">
        <f aca="false">IF($W112*P113&gt;150000,($W112*P113-150000)*6%*45%,0)</f>
        <v>0</v>
      </c>
      <c r="AT113" s="161" t="n">
        <f aca="false">IF($W112*Q113&gt;150000,($W112*Q113-150000)*6%*45%,0)</f>
        <v>0</v>
      </c>
      <c r="AU113" s="161" t="n">
        <f aca="false">IF($W112*R113&gt;150000,($W112*R113-150000)*6%*45%,0)</f>
        <v>0</v>
      </c>
      <c r="AV113" s="161" t="n">
        <f aca="false">IF($W112*S113&gt;150000,($W112*S113-150000)*6%*45%,0)</f>
        <v>0</v>
      </c>
      <c r="AW113" s="161" t="n">
        <f aca="false">IF($W112*T113&gt;150000,($W112*T113-150000)*6%*45%,0)</f>
        <v>0</v>
      </c>
      <c r="AX113" s="161" t="n">
        <f aca="false">IF($W112*U113&gt;150000,($W112*U113-150000)*6%*45%,0)</f>
        <v>0</v>
      </c>
      <c r="AY113" s="162"/>
      <c r="AZ113" s="163"/>
      <c r="BA113" s="163"/>
      <c r="BB113" s="163"/>
      <c r="BC113" s="163"/>
      <c r="BD113" s="163"/>
      <c r="BE113" s="163"/>
      <c r="BF113" s="163"/>
      <c r="BG113" s="163"/>
      <c r="BH113" s="163"/>
      <c r="BI113" s="163"/>
      <c r="BJ113" s="163"/>
      <c r="BK113" s="163"/>
      <c r="BL113" s="163"/>
      <c r="BM113" s="163"/>
      <c r="BN113" s="163"/>
      <c r="BO113" s="163"/>
      <c r="BP113" s="163"/>
      <c r="BQ113" s="163"/>
      <c r="BR113" s="163"/>
      <c r="BS113" s="163"/>
      <c r="BT113" s="163"/>
      <c r="BU113" s="163"/>
      <c r="BV113" s="163"/>
      <c r="BW113" s="163"/>
      <c r="BX113" s="163"/>
      <c r="BY113" s="163"/>
      <c r="BZ113" s="163"/>
      <c r="CA113" s="163"/>
      <c r="CB113" s="163"/>
      <c r="CC113" s="163"/>
      <c r="CD113" s="163"/>
      <c r="CE113" s="163"/>
      <c r="CF113" s="163"/>
      <c r="CG113" s="163"/>
      <c r="CH113" s="163"/>
      <c r="CI113" s="163"/>
      <c r="CJ113" s="163"/>
      <c r="CK113" s="163"/>
      <c r="CL113" s="163"/>
      <c r="CM113" s="163"/>
      <c r="CN113" s="163"/>
      <c r="CO113" s="163"/>
      <c r="CP113" s="163"/>
      <c r="CQ113" s="163"/>
      <c r="CR113" s="163"/>
      <c r="CS113" s="163"/>
      <c r="CT113" s="163"/>
      <c r="CU113" s="163"/>
      <c r="CV113" s="163"/>
      <c r="CW113" s="163"/>
      <c r="CX113" s="163"/>
      <c r="CY113" s="163"/>
      <c r="CZ113" s="163"/>
      <c r="DA113" s="163"/>
      <c r="DB113" s="163"/>
      <c r="DC113" s="163"/>
      <c r="DD113" s="163"/>
      <c r="DE113" s="163"/>
      <c r="DF113" s="163"/>
      <c r="DG113" s="163"/>
      <c r="DH113" s="163"/>
      <c r="DI113" s="163"/>
      <c r="DJ113" s="163"/>
      <c r="DK113" s="163"/>
      <c r="DL113" s="163"/>
      <c r="DM113" s="163"/>
      <c r="DN113" s="163"/>
      <c r="DO113" s="163"/>
      <c r="DP113" s="163"/>
      <c r="DQ113" s="163"/>
      <c r="DR113" s="163"/>
      <c r="DS113" s="163"/>
      <c r="DT113" s="163"/>
      <c r="DU113" s="163"/>
      <c r="DV113" s="163"/>
      <c r="DW113" s="163"/>
      <c r="DX113" s="163"/>
      <c r="DY113" s="163"/>
      <c r="DZ113" s="163"/>
      <c r="EA113" s="163"/>
      <c r="EB113" s="163"/>
      <c r="EC113" s="163"/>
      <c r="ED113" s="163"/>
      <c r="EE113" s="163"/>
      <c r="EF113" s="163"/>
      <c r="EG113" s="163"/>
      <c r="EH113" s="163"/>
      <c r="EI113" s="163"/>
      <c r="EJ113" s="163"/>
      <c r="EK113" s="163"/>
      <c r="EL113" s="163"/>
      <c r="EM113" s="163"/>
      <c r="EN113" s="163"/>
      <c r="EO113" s="163"/>
      <c r="EP113" s="163"/>
      <c r="EQ113" s="163"/>
      <c r="ER113" s="163"/>
      <c r="ES113" s="163"/>
      <c r="ET113" s="163"/>
      <c r="EU113" s="163"/>
      <c r="EV113" s="163"/>
      <c r="EW113" s="163"/>
      <c r="EX113" s="163"/>
      <c r="EY113" s="163"/>
      <c r="EZ113" s="163"/>
      <c r="FA113" s="163"/>
      <c r="FB113" s="163"/>
      <c r="FC113" s="163"/>
      <c r="FD113" s="163"/>
      <c r="FE113" s="163"/>
      <c r="FF113" s="163"/>
      <c r="FG113" s="163"/>
      <c r="FH113" s="163"/>
      <c r="FI113" s="163"/>
      <c r="FJ113" s="163"/>
      <c r="FK113" s="163"/>
      <c r="FL113" s="163"/>
      <c r="FM113" s="163"/>
      <c r="FN113" s="163"/>
      <c r="FO113" s="163"/>
      <c r="FP113" s="163"/>
      <c r="FQ113" s="163"/>
      <c r="FR113" s="163"/>
      <c r="FS113" s="163"/>
      <c r="FT113" s="163"/>
      <c r="FU113" s="163"/>
      <c r="FV113" s="163"/>
      <c r="FW113" s="163"/>
      <c r="FX113" s="163"/>
      <c r="FY113" s="163"/>
      <c r="FZ113" s="163"/>
      <c r="GA113" s="163"/>
      <c r="GB113" s="163"/>
      <c r="GC113" s="163"/>
      <c r="GD113" s="163"/>
      <c r="GE113" s="163"/>
      <c r="GF113" s="163"/>
      <c r="GG113" s="163"/>
      <c r="GH113" s="163"/>
      <c r="GI113" s="163"/>
      <c r="GJ113" s="163"/>
      <c r="GK113" s="163"/>
      <c r="GL113" s="163"/>
      <c r="GM113" s="163"/>
      <c r="GN113" s="163"/>
      <c r="GO113" s="163"/>
      <c r="GP113" s="163"/>
      <c r="GQ113" s="163"/>
      <c r="GR113" s="163"/>
      <c r="GS113" s="163"/>
      <c r="GT113" s="163"/>
      <c r="GU113" s="163"/>
      <c r="GV113" s="163"/>
      <c r="GW113" s="163"/>
      <c r="GX113" s="163"/>
      <c r="GY113" s="163"/>
      <c r="GZ113" s="163"/>
      <c r="HA113" s="163"/>
      <c r="HB113" s="163"/>
      <c r="HC113" s="163"/>
      <c r="HD113" s="163"/>
      <c r="HE113" s="163"/>
      <c r="HF113" s="163"/>
      <c r="HG113" s="163"/>
      <c r="HH113" s="163"/>
      <c r="HI113" s="163"/>
      <c r="HJ113" s="163"/>
      <c r="HK113" s="163"/>
      <c r="HL113" s="163"/>
      <c r="HM113" s="163"/>
      <c r="HN113" s="163"/>
      <c r="HO113" s="163"/>
      <c r="HP113" s="163"/>
      <c r="HQ113" s="163"/>
      <c r="HR113" s="163"/>
      <c r="HS113" s="163"/>
      <c r="HT113" s="163"/>
      <c r="HU113" s="163"/>
      <c r="HV113" s="163"/>
      <c r="HW113" s="163"/>
      <c r="HX113" s="163"/>
      <c r="HY113" s="163"/>
      <c r="HZ113" s="163"/>
      <c r="IA113" s="163"/>
      <c r="IB113" s="163"/>
      <c r="IC113" s="163"/>
      <c r="ID113" s="163"/>
      <c r="IE113" s="163"/>
      <c r="IF113" s="163"/>
      <c r="IG113" s="163"/>
      <c r="IH113" s="163"/>
      <c r="II113" s="163"/>
      <c r="IJ113" s="163"/>
      <c r="IK113" s="163"/>
      <c r="IL113" s="163"/>
      <c r="IM113" s="163"/>
      <c r="IN113" s="163"/>
      <c r="IO113" s="163"/>
      <c r="IP113" s="163"/>
      <c r="IQ113" s="163"/>
      <c r="IR113" s="163"/>
      <c r="IS113" s="163"/>
      <c r="IT113" s="163"/>
      <c r="IU113" s="163"/>
      <c r="IV113" s="11"/>
      <c r="IW113" s="11"/>
    </row>
    <row r="114" customFormat="false" ht="13.5" hidden="true" customHeight="true" outlineLevel="0" collapsed="false">
      <c r="A114" s="108" t="n">
        <f aca="false">A112+1</f>
        <v>53</v>
      </c>
      <c r="B114" s="159" t="n">
        <f aca="false">IF(ISERROR(VLOOKUP(C114,[29]일용직명단!$A$3:$I$97,2,FALSE())),0,VLOOKUP(C114,[29]일용직명단!$A$3:$I$97,2,FALSE()))</f>
        <v>0</v>
      </c>
      <c r="C114" s="203"/>
      <c r="D114" s="111" t="n">
        <f aca="false">IF(ISERROR(VLOOKUP(C114,[28]일용직명단!$A$3:$K$1183,3,FALSE())),0,VLOOKUP(C114,[28]일용직명단!$A$3:$K$1183,3,FALSE()))</f>
        <v>0</v>
      </c>
      <c r="E114" s="160" t="n">
        <f aca="false">IF(ISERROR(VLOOKUP(C114,일용직명단!$A$3:$K$1246,4,FALSE())),0,VLOOKUP(C114,일용직명단!$A$3:$K$1246,4,FALSE()))</f>
        <v>0</v>
      </c>
      <c r="F114" s="208"/>
      <c r="G114" s="209"/>
      <c r="H114" s="209"/>
      <c r="I114" s="209"/>
      <c r="J114" s="209"/>
      <c r="K114" s="209"/>
      <c r="L114" s="209"/>
      <c r="M114" s="209"/>
      <c r="N114" s="209"/>
      <c r="O114" s="209"/>
      <c r="P114" s="209"/>
      <c r="Q114" s="209"/>
      <c r="R114" s="213"/>
      <c r="S114" s="209"/>
      <c r="T114" s="209"/>
      <c r="U114" s="210"/>
      <c r="V114" s="144" t="n">
        <f aca="false">SUM(F114:U115)</f>
        <v>0</v>
      </c>
      <c r="W114" s="211" t="n">
        <f aca="false">IF(ISERROR(VLOOKUP(C114,일용직명단!$A$3:$K$1246,8,FALSE())),0,VLOOKUP(C114,일용직명단!$A$3:$K$1246,8,FALSE()))</f>
        <v>0</v>
      </c>
      <c r="X114" s="156" t="n">
        <f aca="false">IFERROR(IF(AG114&gt;=65,0,ROUNDDOWN(W115*$Z$4,-1)),0)</f>
        <v>0</v>
      </c>
      <c r="Y114" s="156" t="n">
        <f aca="false">IF(AE114&gt;=8,ROUNDDOWN(W115*$M$4,-1),0)</f>
        <v>0</v>
      </c>
      <c r="Z114" s="156" t="n">
        <f aca="false">IFERROR(IF(AND(COUNT(F114:U115)&gt;=8,$AG114&lt;60,W115&lt;=5530000),ROUNDDOWN(ROUNDDOWN(W115,-3)*4.5%,-1),IF(AND(COUNT(F114:U115)&gt;=8,AG114&lt;60,W115&gt;5530000),248850,0)),0)</f>
        <v>0</v>
      </c>
      <c r="AA114" s="145" t="n">
        <f aca="false">+X114+Y114+X115+Y115+Z114+Z115</f>
        <v>0</v>
      </c>
      <c r="AB114" s="146" t="n">
        <f aca="false">W115-AA114</f>
        <v>0</v>
      </c>
      <c r="AC114" s="157" t="n">
        <f aca="false">IF(ISERROR(VLOOKUP(C114,일용직명단!$A$3:$I$1226,5,FALSE())),0,VLOOKUP(C114,일용직명단!$A$3:$I$1226,5,FALSE()))</f>
        <v>0</v>
      </c>
      <c r="AD114" s="158" t="n">
        <f aca="false">IF(ISERROR(VLOOKUP(C114,일용직명단!$A$3:$I$1226,6,FALSE())),0,VLOOKUP(C114,일용직명단!$A$3:$I$1226,6,FALSE()))</f>
        <v>0</v>
      </c>
      <c r="AE114" s="141" t="n">
        <f aca="false">COUNT(F114:U115)</f>
        <v>0</v>
      </c>
      <c r="AF114" s="129" t="str">
        <f aca="false">IF(OR(MID(D114,8,1)="1",MID(D114,8,1)="2"),19&amp;LEFT(D114,2),20&amp;LEFT(D114,2))&amp;"-"&amp;MID(D114,3,2)&amp;"-"&amp;MID(D114,5,2)</f>
        <v>200--</v>
      </c>
      <c r="AG114" s="129" t="e">
        <f aca="true">INT((TODAY()-AF114)/365.25)</f>
        <v>#VALUE!</v>
      </c>
      <c r="AH114" s="161" t="n">
        <f aca="false">ROUNDDOWN(SUM(AI114:AX115),-1)</f>
        <v>0</v>
      </c>
      <c r="AI114" s="161" t="n">
        <f aca="false">IF($W114*F114&gt;150000,($W114*F114-150000)*6%*45%,0)</f>
        <v>0</v>
      </c>
      <c r="AJ114" s="161" t="n">
        <f aca="false">IF($W114*G114&gt;150000,($W114*G114-150000)*6%*45%,0)</f>
        <v>0</v>
      </c>
      <c r="AK114" s="161" t="n">
        <f aca="false">IF($W114*H114&gt;150000,($W114*H114-150000)*6%*45%,0)</f>
        <v>0</v>
      </c>
      <c r="AL114" s="161" t="n">
        <f aca="false">IF($W114*I114&gt;150000,($W114*I114-150000)*6%*45%,0)</f>
        <v>0</v>
      </c>
      <c r="AM114" s="161" t="n">
        <f aca="false">IF($W114*J114&gt;150000,($W114*J114-150000)*6%*45%,0)</f>
        <v>0</v>
      </c>
      <c r="AN114" s="161" t="n">
        <f aca="false">IF($W114*K114&gt;150000,($W114*K114-150000)*6%*45%,0)</f>
        <v>0</v>
      </c>
      <c r="AO114" s="161" t="n">
        <f aca="false">IF($W114*L114&gt;150000,($W114*L114-150000)*6%*45%,0)</f>
        <v>0</v>
      </c>
      <c r="AP114" s="161" t="n">
        <f aca="false">IF($W114*M114&gt;150000,($W114*M114-150000)*6%*45%,0)</f>
        <v>0</v>
      </c>
      <c r="AQ114" s="161" t="n">
        <f aca="false">IF($W114*N114&gt;150000,($W114*N114-150000)*6%*45%,0)</f>
        <v>0</v>
      </c>
      <c r="AR114" s="161" t="n">
        <f aca="false">IF($W114*O114&gt;150000,($W114*O114-150000)*6%*45%,0)</f>
        <v>0</v>
      </c>
      <c r="AS114" s="161" t="n">
        <f aca="false">IF($W114*P114&gt;150000,($W114*P114-150000)*6%*45%,0)</f>
        <v>0</v>
      </c>
      <c r="AT114" s="161" t="n">
        <f aca="false">IF($W114*Q114&gt;150000,($W114*Q114-150000)*6%*45%,0)</f>
        <v>0</v>
      </c>
      <c r="AU114" s="161" t="n">
        <f aca="false">IF($W114*R114&gt;150000,($W114*R114-150000)*6%*45%,0)</f>
        <v>0</v>
      </c>
      <c r="AV114" s="161" t="n">
        <f aca="false">IF($W114*S114&gt;150000,($W114*S114-150000)*6%*45%,0)</f>
        <v>0</v>
      </c>
      <c r="AW114" s="161" t="n">
        <f aca="false">IF($W114*T114&gt;150000,($W114*T114-150000)*6%*45%,0)</f>
        <v>0</v>
      </c>
      <c r="AX114" s="161"/>
      <c r="AY114" s="162" t="n">
        <f aca="false">IF(ISERROR(VLOOKUP(C114,[27]일용직명단!$A$3:$M$1151,11,FALSE())),0,VLOOKUP(C114,[27]일용직명단!$A$3:$M$1151,11,FALSE()))</f>
        <v>0</v>
      </c>
      <c r="AZ114" s="163"/>
      <c r="BA114" s="163"/>
      <c r="BB114" s="12"/>
      <c r="BC114" s="12"/>
      <c r="BD114" s="12"/>
      <c r="BE114" s="12"/>
      <c r="BF114" s="12"/>
      <c r="BG114" s="12"/>
      <c r="BH114" s="163"/>
      <c r="BI114" s="163"/>
      <c r="BJ114" s="163"/>
      <c r="BK114" s="163"/>
      <c r="BL114" s="163"/>
      <c r="BM114" s="163"/>
      <c r="BN114" s="163"/>
      <c r="BO114" s="163"/>
      <c r="BP114" s="163"/>
      <c r="BQ114" s="163"/>
      <c r="BR114" s="163"/>
      <c r="BS114" s="163"/>
      <c r="BT114" s="163"/>
      <c r="BU114" s="163"/>
      <c r="BV114" s="163"/>
      <c r="BW114" s="163"/>
      <c r="BX114" s="163"/>
      <c r="BY114" s="163"/>
      <c r="BZ114" s="163"/>
      <c r="CA114" s="163"/>
      <c r="CB114" s="163"/>
      <c r="CC114" s="163"/>
      <c r="CD114" s="163"/>
      <c r="CE114" s="163"/>
      <c r="CF114" s="163"/>
      <c r="CG114" s="163"/>
      <c r="CH114" s="163"/>
      <c r="CI114" s="163"/>
      <c r="CJ114" s="163"/>
      <c r="CK114" s="163"/>
      <c r="CL114" s="163"/>
      <c r="CM114" s="163"/>
      <c r="CN114" s="163"/>
      <c r="CO114" s="163"/>
      <c r="CP114" s="163"/>
      <c r="CQ114" s="163"/>
      <c r="CR114" s="163"/>
      <c r="CS114" s="163"/>
      <c r="CT114" s="163"/>
      <c r="CU114" s="163"/>
      <c r="CV114" s="163"/>
      <c r="CW114" s="163"/>
      <c r="CX114" s="163"/>
      <c r="CY114" s="163"/>
      <c r="CZ114" s="163"/>
      <c r="DA114" s="163"/>
      <c r="DB114" s="163"/>
      <c r="DC114" s="163"/>
      <c r="DD114" s="163"/>
      <c r="DE114" s="163"/>
      <c r="DF114" s="163"/>
      <c r="DG114" s="163"/>
      <c r="DH114" s="163"/>
      <c r="DI114" s="163"/>
      <c r="DJ114" s="163"/>
      <c r="DK114" s="163"/>
      <c r="DL114" s="163"/>
      <c r="DM114" s="163"/>
      <c r="DN114" s="163"/>
      <c r="DO114" s="163"/>
      <c r="DP114" s="163"/>
      <c r="DQ114" s="163"/>
      <c r="DR114" s="163"/>
      <c r="DS114" s="163"/>
      <c r="DT114" s="163"/>
      <c r="DU114" s="163"/>
      <c r="DV114" s="163"/>
      <c r="DW114" s="163"/>
      <c r="DX114" s="163"/>
      <c r="DY114" s="163"/>
      <c r="DZ114" s="163"/>
      <c r="EA114" s="163"/>
      <c r="EB114" s="163"/>
      <c r="EC114" s="163"/>
      <c r="ED114" s="163"/>
      <c r="EE114" s="163"/>
      <c r="EF114" s="163"/>
      <c r="EG114" s="163"/>
      <c r="EH114" s="163"/>
      <c r="EI114" s="163"/>
      <c r="EJ114" s="163"/>
      <c r="EK114" s="163"/>
      <c r="EL114" s="163"/>
      <c r="EM114" s="163"/>
      <c r="EN114" s="163"/>
      <c r="EO114" s="163"/>
      <c r="EP114" s="163"/>
      <c r="EQ114" s="163"/>
      <c r="ER114" s="163"/>
      <c r="ES114" s="163"/>
      <c r="ET114" s="163"/>
      <c r="EU114" s="163"/>
      <c r="EV114" s="163"/>
      <c r="EW114" s="163"/>
      <c r="EX114" s="163"/>
      <c r="EY114" s="163"/>
      <c r="EZ114" s="163"/>
      <c r="FA114" s="163"/>
      <c r="FB114" s="163"/>
      <c r="FC114" s="163"/>
      <c r="FD114" s="163"/>
      <c r="FE114" s="163"/>
      <c r="FF114" s="163"/>
      <c r="FG114" s="163"/>
      <c r="FH114" s="163"/>
      <c r="FI114" s="163"/>
      <c r="FJ114" s="163"/>
      <c r="FK114" s="163"/>
      <c r="FL114" s="163"/>
      <c r="FM114" s="163"/>
      <c r="FN114" s="163"/>
      <c r="FO114" s="163"/>
      <c r="FP114" s="163"/>
      <c r="FQ114" s="163"/>
      <c r="FR114" s="163"/>
      <c r="FS114" s="163"/>
      <c r="FT114" s="163"/>
      <c r="FU114" s="163"/>
      <c r="FV114" s="163"/>
      <c r="FW114" s="163"/>
      <c r="FX114" s="163"/>
      <c r="FY114" s="163"/>
      <c r="FZ114" s="163"/>
      <c r="GA114" s="163"/>
      <c r="GB114" s="163"/>
      <c r="GC114" s="163"/>
      <c r="GD114" s="163"/>
      <c r="GE114" s="163"/>
      <c r="GF114" s="163"/>
      <c r="GG114" s="163"/>
      <c r="GH114" s="163"/>
      <c r="GI114" s="163"/>
      <c r="GJ114" s="163"/>
      <c r="GK114" s="163"/>
      <c r="GL114" s="163"/>
      <c r="GM114" s="163"/>
      <c r="GN114" s="163"/>
      <c r="GO114" s="163"/>
      <c r="GP114" s="163"/>
      <c r="GQ114" s="163"/>
      <c r="GR114" s="163"/>
      <c r="GS114" s="163"/>
      <c r="GT114" s="163"/>
      <c r="GU114" s="163"/>
      <c r="GV114" s="163"/>
      <c r="GW114" s="163"/>
      <c r="GX114" s="163"/>
      <c r="GY114" s="163"/>
      <c r="GZ114" s="163"/>
      <c r="HA114" s="163"/>
      <c r="HB114" s="163"/>
      <c r="HC114" s="163"/>
      <c r="HD114" s="163"/>
      <c r="HE114" s="163"/>
      <c r="HF114" s="163"/>
      <c r="HG114" s="163"/>
      <c r="HH114" s="163"/>
      <c r="HI114" s="163"/>
      <c r="HJ114" s="163"/>
      <c r="HK114" s="163"/>
      <c r="HL114" s="163"/>
      <c r="HM114" s="163"/>
      <c r="HN114" s="163"/>
      <c r="HO114" s="163"/>
      <c r="HP114" s="163"/>
      <c r="HQ114" s="163"/>
      <c r="HR114" s="163"/>
      <c r="HS114" s="163"/>
      <c r="HT114" s="163"/>
      <c r="HU114" s="163"/>
      <c r="HV114" s="163"/>
      <c r="HW114" s="163"/>
      <c r="HX114" s="163"/>
      <c r="HY114" s="163"/>
      <c r="HZ114" s="163"/>
      <c r="IA114" s="163"/>
      <c r="IB114" s="163"/>
      <c r="IC114" s="163"/>
      <c r="ID114" s="163"/>
      <c r="IE114" s="163"/>
      <c r="IF114" s="163"/>
      <c r="IG114" s="163"/>
      <c r="IH114" s="163"/>
      <c r="II114" s="163"/>
      <c r="IJ114" s="163"/>
      <c r="IK114" s="163"/>
      <c r="IL114" s="163"/>
      <c r="IM114" s="163"/>
      <c r="IN114" s="163"/>
      <c r="IO114" s="163"/>
      <c r="IP114" s="163"/>
      <c r="IQ114" s="163"/>
      <c r="IR114" s="163"/>
      <c r="IS114" s="163"/>
      <c r="IT114" s="163"/>
      <c r="IU114" s="163"/>
      <c r="IV114" s="11"/>
      <c r="IW114" s="11"/>
    </row>
    <row r="115" customFormat="false" ht="13.5" hidden="true" customHeight="true" outlineLevel="0" collapsed="false">
      <c r="A115" s="108"/>
      <c r="B115" s="159"/>
      <c r="C115" s="203"/>
      <c r="D115" s="111"/>
      <c r="E115" s="160" t="n">
        <f aca="false">IF(ISERROR(VLOOKUP(C114,일용직명단!$A$3:$K$1246,9,FALSE())),0,VLOOKUP(C114,일용직명단!$A$3:$K$1246,9,FALSE()))</f>
        <v>0</v>
      </c>
      <c r="F115" s="209"/>
      <c r="G115" s="209"/>
      <c r="H115" s="209"/>
      <c r="I115" s="209"/>
      <c r="J115" s="209"/>
      <c r="K115" s="209"/>
      <c r="L115" s="209"/>
      <c r="M115" s="209"/>
      <c r="N115" s="209"/>
      <c r="O115" s="209"/>
      <c r="P115" s="209"/>
      <c r="Q115" s="209"/>
      <c r="R115" s="209"/>
      <c r="S115" s="209"/>
      <c r="T115" s="209"/>
      <c r="U115" s="212"/>
      <c r="V115" s="144"/>
      <c r="W115" s="138" t="n">
        <f aca="false">W114*V114</f>
        <v>0</v>
      </c>
      <c r="X115" s="156" t="n">
        <f aca="false">IF(AH114&lt;1000,0,AH114)</f>
        <v>0</v>
      </c>
      <c r="Y115" s="156" t="n">
        <f aca="false">ROUNDDOWN(X115*10%,-1)</f>
        <v>0</v>
      </c>
      <c r="Z115" s="156" t="n">
        <f aca="false">IF(AE114&gt;=8,ROUNDDOWN(Y114*$Q$4,-1),0)</f>
        <v>0</v>
      </c>
      <c r="AA115" s="145"/>
      <c r="AB115" s="146"/>
      <c r="AC115" s="158" t="n">
        <f aca="false">IF(ISERROR(VLOOKUP(C114,일용직명단!$A$3:$I$1226,7,FALSE())),0,VLOOKUP(C114,일용직명단!$A$3:$I$1226,7,FALSE()))</f>
        <v>0</v>
      </c>
      <c r="AD115" s="158"/>
      <c r="AE115" s="141"/>
      <c r="AF115" s="129"/>
      <c r="AG115" s="129"/>
      <c r="AH115" s="161"/>
      <c r="AI115" s="161" t="n">
        <f aca="false">IF($W114*F115&gt;150000,($W114*F115-150000)*6%*45%,0)</f>
        <v>0</v>
      </c>
      <c r="AJ115" s="161" t="n">
        <f aca="false">IF($W114*G115&gt;150000,($W114*G115-150000)*6%*45%,0)</f>
        <v>0</v>
      </c>
      <c r="AK115" s="161" t="n">
        <f aca="false">IF($W114*H115&gt;150000,($W114*H115-150000)*6%*45%,0)</f>
        <v>0</v>
      </c>
      <c r="AL115" s="161" t="n">
        <f aca="false">IF($W114*I115&gt;150000,($W114*I115-150000)*6%*45%,0)</f>
        <v>0</v>
      </c>
      <c r="AM115" s="161" t="n">
        <f aca="false">IF($W114*J115&gt;150000,($W114*J115-150000)*6%*45%,0)</f>
        <v>0</v>
      </c>
      <c r="AN115" s="161" t="n">
        <f aca="false">IF($W114*K115&gt;150000,($W114*K115-150000)*6%*45%,0)</f>
        <v>0</v>
      </c>
      <c r="AO115" s="161" t="n">
        <f aca="false">IF($W114*L115&gt;150000,($W114*L115-150000)*6%*45%,0)</f>
        <v>0</v>
      </c>
      <c r="AP115" s="161" t="n">
        <f aca="false">IF($W114*M115&gt;150000,($W114*M115-150000)*6%*45%,0)</f>
        <v>0</v>
      </c>
      <c r="AQ115" s="161" t="n">
        <f aca="false">IF($W114*N115&gt;150000,($W114*N115-150000)*6%*45%,0)</f>
        <v>0</v>
      </c>
      <c r="AR115" s="161" t="n">
        <f aca="false">IF($W114*O115&gt;150000,($W114*O115-150000)*6%*45%,0)</f>
        <v>0</v>
      </c>
      <c r="AS115" s="161" t="n">
        <f aca="false">IF($W114*P115&gt;150000,($W114*P115-150000)*6%*45%,0)</f>
        <v>0</v>
      </c>
      <c r="AT115" s="161" t="n">
        <f aca="false">IF($W114*Q115&gt;150000,($W114*Q115-150000)*6%*45%,0)</f>
        <v>0</v>
      </c>
      <c r="AU115" s="161" t="n">
        <f aca="false">IF($W114*R115&gt;150000,($W114*R115-150000)*6%*45%,0)</f>
        <v>0</v>
      </c>
      <c r="AV115" s="161" t="n">
        <f aca="false">IF($W114*S115&gt;150000,($W114*S115-150000)*6%*45%,0)</f>
        <v>0</v>
      </c>
      <c r="AW115" s="161" t="n">
        <f aca="false">IF($W114*T115&gt;150000,($W114*T115-150000)*6%*45%,0)</f>
        <v>0</v>
      </c>
      <c r="AX115" s="161" t="n">
        <f aca="false">IF($W114*U115&gt;150000,($W114*U115-150000)*6%*45%,0)</f>
        <v>0</v>
      </c>
      <c r="AY115" s="162"/>
      <c r="AZ115" s="163"/>
      <c r="BA115" s="163"/>
      <c r="BB115" s="12"/>
      <c r="BC115" s="12"/>
      <c r="BD115" s="12"/>
      <c r="BE115" s="12"/>
      <c r="BF115" s="12"/>
      <c r="BG115" s="12"/>
      <c r="BH115" s="163"/>
      <c r="BI115" s="163"/>
      <c r="BJ115" s="163"/>
      <c r="BK115" s="163"/>
      <c r="BL115" s="163"/>
      <c r="BM115" s="163"/>
      <c r="BN115" s="163"/>
      <c r="BO115" s="163"/>
      <c r="BP115" s="163"/>
      <c r="BQ115" s="163"/>
      <c r="BR115" s="163"/>
      <c r="BS115" s="163"/>
      <c r="BT115" s="163"/>
      <c r="BU115" s="163"/>
      <c r="BV115" s="163"/>
      <c r="BW115" s="163"/>
      <c r="BX115" s="163"/>
      <c r="BY115" s="163"/>
      <c r="BZ115" s="163"/>
      <c r="CA115" s="163"/>
      <c r="CB115" s="163"/>
      <c r="CC115" s="163"/>
      <c r="CD115" s="163"/>
      <c r="CE115" s="163"/>
      <c r="CF115" s="163"/>
      <c r="CG115" s="163"/>
      <c r="CH115" s="163"/>
      <c r="CI115" s="163"/>
      <c r="CJ115" s="163"/>
      <c r="CK115" s="163"/>
      <c r="CL115" s="163"/>
      <c r="CM115" s="163"/>
      <c r="CN115" s="163"/>
      <c r="CO115" s="163"/>
      <c r="CP115" s="163"/>
      <c r="CQ115" s="163"/>
      <c r="CR115" s="163"/>
      <c r="CS115" s="163"/>
      <c r="CT115" s="163"/>
      <c r="CU115" s="163"/>
      <c r="CV115" s="163"/>
      <c r="CW115" s="163"/>
      <c r="CX115" s="163"/>
      <c r="CY115" s="163"/>
      <c r="CZ115" s="163"/>
      <c r="DA115" s="163"/>
      <c r="DB115" s="163"/>
      <c r="DC115" s="163"/>
      <c r="DD115" s="163"/>
      <c r="DE115" s="163"/>
      <c r="DF115" s="163"/>
      <c r="DG115" s="163"/>
      <c r="DH115" s="163"/>
      <c r="DI115" s="163"/>
      <c r="DJ115" s="163"/>
      <c r="DK115" s="163"/>
      <c r="DL115" s="163"/>
      <c r="DM115" s="163"/>
      <c r="DN115" s="163"/>
      <c r="DO115" s="163"/>
      <c r="DP115" s="163"/>
      <c r="DQ115" s="163"/>
      <c r="DR115" s="163"/>
      <c r="DS115" s="163"/>
      <c r="DT115" s="163"/>
      <c r="DU115" s="163"/>
      <c r="DV115" s="163"/>
      <c r="DW115" s="163"/>
      <c r="DX115" s="163"/>
      <c r="DY115" s="163"/>
      <c r="DZ115" s="163"/>
      <c r="EA115" s="163"/>
      <c r="EB115" s="163"/>
      <c r="EC115" s="163"/>
      <c r="ED115" s="163"/>
      <c r="EE115" s="163"/>
      <c r="EF115" s="163"/>
      <c r="EG115" s="163"/>
      <c r="EH115" s="163"/>
      <c r="EI115" s="163"/>
      <c r="EJ115" s="163"/>
      <c r="EK115" s="163"/>
      <c r="EL115" s="163"/>
      <c r="EM115" s="163"/>
      <c r="EN115" s="163"/>
      <c r="EO115" s="163"/>
      <c r="EP115" s="163"/>
      <c r="EQ115" s="163"/>
      <c r="ER115" s="163"/>
      <c r="ES115" s="163"/>
      <c r="ET115" s="163"/>
      <c r="EU115" s="163"/>
      <c r="EV115" s="163"/>
      <c r="EW115" s="163"/>
      <c r="EX115" s="163"/>
      <c r="EY115" s="163"/>
      <c r="EZ115" s="163"/>
      <c r="FA115" s="163"/>
      <c r="FB115" s="163"/>
      <c r="FC115" s="163"/>
      <c r="FD115" s="163"/>
      <c r="FE115" s="163"/>
      <c r="FF115" s="163"/>
      <c r="FG115" s="163"/>
      <c r="FH115" s="163"/>
      <c r="FI115" s="163"/>
      <c r="FJ115" s="163"/>
      <c r="FK115" s="163"/>
      <c r="FL115" s="163"/>
      <c r="FM115" s="163"/>
      <c r="FN115" s="163"/>
      <c r="FO115" s="163"/>
      <c r="FP115" s="163"/>
      <c r="FQ115" s="163"/>
      <c r="FR115" s="163"/>
      <c r="FS115" s="163"/>
      <c r="FT115" s="163"/>
      <c r="FU115" s="163"/>
      <c r="FV115" s="163"/>
      <c r="FW115" s="163"/>
      <c r="FX115" s="163"/>
      <c r="FY115" s="163"/>
      <c r="FZ115" s="163"/>
      <c r="GA115" s="163"/>
      <c r="GB115" s="163"/>
      <c r="GC115" s="163"/>
      <c r="GD115" s="163"/>
      <c r="GE115" s="163"/>
      <c r="GF115" s="163"/>
      <c r="GG115" s="163"/>
      <c r="GH115" s="163"/>
      <c r="GI115" s="163"/>
      <c r="GJ115" s="163"/>
      <c r="GK115" s="163"/>
      <c r="GL115" s="163"/>
      <c r="GM115" s="163"/>
      <c r="GN115" s="163"/>
      <c r="GO115" s="163"/>
      <c r="GP115" s="163"/>
      <c r="GQ115" s="163"/>
      <c r="GR115" s="163"/>
      <c r="GS115" s="163"/>
      <c r="GT115" s="163"/>
      <c r="GU115" s="163"/>
      <c r="GV115" s="163"/>
      <c r="GW115" s="163"/>
      <c r="GX115" s="163"/>
      <c r="GY115" s="163"/>
      <c r="GZ115" s="163"/>
      <c r="HA115" s="163"/>
      <c r="HB115" s="163"/>
      <c r="HC115" s="163"/>
      <c r="HD115" s="163"/>
      <c r="HE115" s="163"/>
      <c r="HF115" s="163"/>
      <c r="HG115" s="163"/>
      <c r="HH115" s="163"/>
      <c r="HI115" s="163"/>
      <c r="HJ115" s="163"/>
      <c r="HK115" s="163"/>
      <c r="HL115" s="163"/>
      <c r="HM115" s="163"/>
      <c r="HN115" s="163"/>
      <c r="HO115" s="163"/>
      <c r="HP115" s="163"/>
      <c r="HQ115" s="163"/>
      <c r="HR115" s="163"/>
      <c r="HS115" s="163"/>
      <c r="HT115" s="163"/>
      <c r="HU115" s="163"/>
      <c r="HV115" s="163"/>
      <c r="HW115" s="163"/>
      <c r="HX115" s="163"/>
      <c r="HY115" s="163"/>
      <c r="HZ115" s="163"/>
      <c r="IA115" s="163"/>
      <c r="IB115" s="163"/>
      <c r="IC115" s="163"/>
      <c r="ID115" s="163"/>
      <c r="IE115" s="163"/>
      <c r="IF115" s="163"/>
      <c r="IG115" s="163"/>
      <c r="IH115" s="163"/>
      <c r="II115" s="163"/>
      <c r="IJ115" s="163"/>
      <c r="IK115" s="163"/>
      <c r="IL115" s="163"/>
      <c r="IM115" s="163"/>
      <c r="IN115" s="163"/>
      <c r="IO115" s="163"/>
      <c r="IP115" s="163"/>
      <c r="IQ115" s="163"/>
      <c r="IR115" s="163"/>
      <c r="IS115" s="163"/>
      <c r="IT115" s="163"/>
      <c r="IU115" s="163"/>
      <c r="IV115" s="11"/>
      <c r="IW115" s="11"/>
    </row>
    <row r="116" customFormat="false" ht="13.5" hidden="true" customHeight="true" outlineLevel="0" collapsed="false">
      <c r="A116" s="108" t="n">
        <f aca="false">A114+1</f>
        <v>54</v>
      </c>
      <c r="B116" s="109" t="n">
        <f aca="false">IF(ISERROR(VLOOKUP(C116,일용직명단!$A$3:$I$104,2,FALSE())),0,VLOOKUP(C116,일용직명단!$A$3:$I$104,2,FALSE()))</f>
        <v>0</v>
      </c>
      <c r="C116" s="203"/>
      <c r="D116" s="111" t="n">
        <f aca="false">IF(ISERROR(VLOOKUP(C116,[30]일용직명단!$A$3:$K$1182,3,FALSE())),0,VLOOKUP(C116,[30]일용직명단!$A$3:$K$1182,3,FALSE()))</f>
        <v>0</v>
      </c>
      <c r="E116" s="160" t="n">
        <f aca="false">IF(ISERROR(VLOOKUP(C116,[30]일용직명단!$A$3:$K$1185,4,FALSE())),0,VLOOKUP(C116,[30]일용직명단!$A$3:$K$1185,4,FALSE()))</f>
        <v>0</v>
      </c>
      <c r="F116" s="212"/>
      <c r="G116" s="212"/>
      <c r="H116" s="212"/>
      <c r="I116" s="214"/>
      <c r="J116" s="212"/>
      <c r="K116" s="214"/>
      <c r="L116" s="212"/>
      <c r="M116" s="212"/>
      <c r="N116" s="215"/>
      <c r="O116" s="215"/>
      <c r="P116" s="212"/>
      <c r="Q116" s="215"/>
      <c r="R116" s="214"/>
      <c r="S116" s="215"/>
      <c r="T116" s="214"/>
      <c r="U116" s="216"/>
      <c r="V116" s="144" t="n">
        <f aca="false">SUM(F116:U117)</f>
        <v>0</v>
      </c>
      <c r="W116" s="211" t="n">
        <f aca="false">IF(ISERROR(VLOOKUP(C116,[30]일용직명단!$A$3:$K$1185,8,FALSE())),0,VLOOKUP(C116,[30]일용직명단!$A$3:$K$1185,8,FALSE()))</f>
        <v>0</v>
      </c>
      <c r="X116" s="156" t="n">
        <f aca="false">IFERROR(IF(AG116&gt;=65,0,ROUNDDOWN(W117*$Z$4,-1)),0)</f>
        <v>0</v>
      </c>
      <c r="Y116" s="156" t="n">
        <f aca="false">IF(AE116&gt;=8,ROUNDDOWN(W117*$M$4,-1),0)</f>
        <v>0</v>
      </c>
      <c r="Z116" s="156" t="n">
        <f aca="false">IFERROR(IF(AND(COUNT(F116:U117)&gt;=8,$AG116&lt;60,W117&lt;=5530000),ROUNDDOWN(ROUNDDOWN(W117,-3)*4.5%,-1),IF(AND(COUNT(F116:U117)&gt;=8,AG116&lt;60,W117&gt;5530000),248850,0)),0)</f>
        <v>0</v>
      </c>
      <c r="AA116" s="145" t="n">
        <f aca="false">+X116+Y116+X117+Y117+Z116+Z117</f>
        <v>0</v>
      </c>
      <c r="AB116" s="146" t="n">
        <f aca="false">W117-AA116</f>
        <v>0</v>
      </c>
      <c r="AC116" s="157" t="n">
        <f aca="false">IF(ISERROR(VLOOKUP(C116,[30]일용직명단!$A$3:$I$1165,5,FALSE())),0,VLOOKUP(C116,[30]일용직명단!$A$3:$I$1165,5,FALSE()))</f>
        <v>0</v>
      </c>
      <c r="AD116" s="158" t="n">
        <f aca="false">IF(ISERROR(VLOOKUP(C116,[30]일용직명단!$A$3:$I$1165,6,FALSE())),0,VLOOKUP(C116,[30]일용직명단!$A$3:$I$1165,6,FALSE()))</f>
        <v>0</v>
      </c>
      <c r="AE116" s="141" t="n">
        <f aca="false">COUNT(F116:U117)</f>
        <v>0</v>
      </c>
      <c r="AF116" s="129" t="str">
        <f aca="false">IF(OR(MID(D116,8,1)="1",MID(D116,8,1)="2"),19&amp;LEFT(D116,2),20&amp;LEFT(D116,2))&amp;"-"&amp;MID(D116,3,2)&amp;"-"&amp;MID(D116,5,2)</f>
        <v>200--</v>
      </c>
      <c r="AG116" s="129" t="e">
        <f aca="true">INT((TODAY()-AF116)/365.25)</f>
        <v>#VALUE!</v>
      </c>
      <c r="AH116" s="130" t="n">
        <f aca="false">ROUNDDOWN(SUM(AI116:AX117),-1)</f>
        <v>0</v>
      </c>
      <c r="AI116" s="130" t="n">
        <f aca="false">IF($W116*F116&gt;150000,($W116*F116-150000)*6%*45%,0)</f>
        <v>0</v>
      </c>
      <c r="AJ116" s="130" t="n">
        <f aca="false">IF($W116*G116&gt;150000,($W116*G116-150000)*6%*45%,0)</f>
        <v>0</v>
      </c>
      <c r="AK116" s="130" t="n">
        <f aca="false">IF($W116*H116&gt;150000,($W116*H116-150000)*6%*45%,0)</f>
        <v>0</v>
      </c>
      <c r="AL116" s="130" t="n">
        <f aca="false">IF($W116*I116&gt;150000,($W116*I116-150000)*6%*45%,0)</f>
        <v>0</v>
      </c>
      <c r="AM116" s="130" t="n">
        <f aca="false">IF($W116*J116&gt;150000,($W116*J116-150000)*6%*45%,0)</f>
        <v>0</v>
      </c>
      <c r="AN116" s="130" t="n">
        <f aca="false">IF($W116*K116&gt;150000,($W116*K116-150000)*6%*45%,0)</f>
        <v>0</v>
      </c>
      <c r="AO116" s="130" t="n">
        <f aca="false">IF($W116*L116&gt;150000,($W116*L116-150000)*6%*45%,0)</f>
        <v>0</v>
      </c>
      <c r="AP116" s="130" t="n">
        <f aca="false">IF($W116*M116&gt;150000,($W116*M116-150000)*6%*45%,0)</f>
        <v>0</v>
      </c>
      <c r="AQ116" s="130" t="n">
        <f aca="false">IF($W116*N116&gt;150000,($W116*N116-150000)*6%*45%,0)</f>
        <v>0</v>
      </c>
      <c r="AR116" s="130" t="n">
        <f aca="false">IF($W116*O116&gt;150000,($W116*O116-150000)*6%*45%,0)</f>
        <v>0</v>
      </c>
      <c r="AS116" s="130" t="n">
        <f aca="false">IF($W116*P116&gt;150000,($W116*P116-150000)*6%*45%,0)</f>
        <v>0</v>
      </c>
      <c r="AT116" s="130" t="n">
        <f aca="false">IF($W116*Q116&gt;150000,($W116*Q116-150000)*6%*45%,0)</f>
        <v>0</v>
      </c>
      <c r="AU116" s="130" t="n">
        <f aca="false">IF($W116*R116&gt;150000,($W116*R116-150000)*6%*45%,0)</f>
        <v>0</v>
      </c>
      <c r="AV116" s="130" t="n">
        <f aca="false">IF($W116*S116&gt;150000,($W116*S116-150000)*6%*45%,0)</f>
        <v>0</v>
      </c>
      <c r="AW116" s="130" t="n">
        <f aca="false">IF($W116*T116&gt;150000,($W116*T116-150000)*6%*45%,0)</f>
        <v>0</v>
      </c>
      <c r="AX116" s="130"/>
      <c r="AY116" s="131" t="n">
        <f aca="false">IF(ISERROR(VLOOKUP(C116,[26]일용직명단!$A$3:$M$1151,11,FALSE())),0,VLOOKUP(C116,[26]일용직명단!$A$3:$M$1151,11,FALSE()))</f>
        <v>0</v>
      </c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/>
      <c r="GF116" s="11"/>
      <c r="GG116" s="11"/>
      <c r="GH116" s="11"/>
      <c r="GI116" s="11"/>
      <c r="GJ116" s="11"/>
      <c r="GK116" s="11"/>
      <c r="GL116" s="11"/>
      <c r="GM116" s="11"/>
      <c r="GN116" s="11"/>
      <c r="GO116" s="11"/>
      <c r="GP116" s="11"/>
      <c r="GQ116" s="11"/>
      <c r="GR116" s="11"/>
      <c r="GS116" s="11"/>
      <c r="GT116" s="11"/>
      <c r="GU116" s="11"/>
      <c r="GV116" s="11"/>
      <c r="GW116" s="11"/>
      <c r="GX116" s="11"/>
      <c r="GY116" s="11"/>
      <c r="GZ116" s="11"/>
      <c r="HA116" s="11"/>
      <c r="HB116" s="11"/>
      <c r="HC116" s="11"/>
      <c r="HD116" s="11"/>
      <c r="HE116" s="11"/>
      <c r="HF116" s="11"/>
      <c r="HG116" s="11"/>
      <c r="HH116" s="11"/>
      <c r="HI116" s="11"/>
      <c r="HJ116" s="11"/>
      <c r="HK116" s="11"/>
      <c r="HL116" s="11"/>
      <c r="HM116" s="11"/>
      <c r="HN116" s="11"/>
      <c r="HO116" s="11"/>
      <c r="HP116" s="11"/>
      <c r="HQ116" s="11"/>
      <c r="HR116" s="11"/>
      <c r="HS116" s="11"/>
      <c r="HT116" s="11"/>
      <c r="HU116" s="11"/>
      <c r="HV116" s="11"/>
      <c r="HW116" s="11"/>
      <c r="HX116" s="11"/>
      <c r="HY116" s="11"/>
      <c r="HZ116" s="11"/>
      <c r="IA116" s="11"/>
      <c r="IB116" s="11"/>
      <c r="IC116" s="11"/>
      <c r="ID116" s="11"/>
      <c r="IE116" s="11"/>
      <c r="IF116" s="11"/>
      <c r="IG116" s="11"/>
      <c r="IH116" s="11"/>
      <c r="II116" s="11"/>
      <c r="IJ116" s="11"/>
      <c r="IK116" s="11"/>
      <c r="IL116" s="11"/>
      <c r="IM116" s="11"/>
      <c r="IN116" s="11"/>
      <c r="IO116" s="11"/>
      <c r="IP116" s="11"/>
      <c r="IQ116" s="11"/>
      <c r="IR116" s="11"/>
      <c r="IS116" s="11"/>
      <c r="IT116" s="11"/>
      <c r="IU116" s="11"/>
      <c r="IV116" s="11"/>
      <c r="IW116" s="11"/>
    </row>
    <row r="117" customFormat="false" ht="13.5" hidden="true" customHeight="true" outlineLevel="0" collapsed="false">
      <c r="A117" s="108"/>
      <c r="B117" s="109"/>
      <c r="C117" s="203"/>
      <c r="D117" s="111"/>
      <c r="E117" s="160" t="n">
        <f aca="false">IF(ISERROR(VLOOKUP(C116,[30]일용직명단!$A$3:$K$1185,9,FALSE())),0,VLOOKUP(C116,[30]일용직명단!$A$3:$K$1185,9,FALSE()))</f>
        <v>0</v>
      </c>
      <c r="F117" s="212"/>
      <c r="G117" s="215"/>
      <c r="H117" s="214"/>
      <c r="I117" s="215"/>
      <c r="J117" s="214"/>
      <c r="K117" s="215"/>
      <c r="L117" s="215"/>
      <c r="M117" s="214"/>
      <c r="N117" s="215"/>
      <c r="O117" s="214"/>
      <c r="P117" s="215"/>
      <c r="Q117" s="215"/>
      <c r="R117" s="212"/>
      <c r="S117" s="212"/>
      <c r="T117" s="212"/>
      <c r="U117" s="212"/>
      <c r="V117" s="144"/>
      <c r="W117" s="138" t="n">
        <f aca="false">W116*V116</f>
        <v>0</v>
      </c>
      <c r="X117" s="156" t="n">
        <f aca="false">IF(AH116&lt;1000,0,AH116)</f>
        <v>0</v>
      </c>
      <c r="Y117" s="156" t="n">
        <f aca="false">ROUNDDOWN(X117*10%,-1)</f>
        <v>0</v>
      </c>
      <c r="Z117" s="156" t="n">
        <f aca="false">IF(AE116&gt;=8,ROUNDDOWN(Y116*$Q$4,-1),0)</f>
        <v>0</v>
      </c>
      <c r="AA117" s="145"/>
      <c r="AB117" s="146"/>
      <c r="AC117" s="158" t="n">
        <f aca="false">IF(ISERROR(VLOOKUP(C116,[30]일용직명단!$A$3:$I$1165,7,FALSE())),0,VLOOKUP(C116,[30]일용직명단!$A$3:$I$1165,7,FALSE()))</f>
        <v>0</v>
      </c>
      <c r="AD117" s="158"/>
      <c r="AE117" s="141"/>
      <c r="AF117" s="129"/>
      <c r="AG117" s="129"/>
      <c r="AH117" s="130"/>
      <c r="AI117" s="130" t="n">
        <f aca="false">IF($W116*F117&gt;150000,($W116*F117-150000)*6%*45%,0)</f>
        <v>0</v>
      </c>
      <c r="AJ117" s="130" t="n">
        <f aca="false">IF($W116*G117&gt;150000,($W116*G117-150000)*6%*45%,0)</f>
        <v>0</v>
      </c>
      <c r="AK117" s="130" t="n">
        <f aca="false">IF($W116*H117&gt;150000,($W116*H117-150000)*6%*45%,0)</f>
        <v>0</v>
      </c>
      <c r="AL117" s="130" t="n">
        <f aca="false">IF($W116*I117&gt;150000,($W116*I117-150000)*6%*45%,0)</f>
        <v>0</v>
      </c>
      <c r="AM117" s="130" t="n">
        <f aca="false">IF($W116*J117&gt;150000,($W116*J117-150000)*6%*45%,0)</f>
        <v>0</v>
      </c>
      <c r="AN117" s="130" t="n">
        <f aca="false">IF($W116*K117&gt;150000,($W116*K117-150000)*6%*45%,0)</f>
        <v>0</v>
      </c>
      <c r="AO117" s="130" t="n">
        <f aca="false">IF($W116*L117&gt;150000,($W116*L117-150000)*6%*45%,0)</f>
        <v>0</v>
      </c>
      <c r="AP117" s="130" t="n">
        <f aca="false">IF($W116*M117&gt;150000,($W116*M117-150000)*6%*45%,0)</f>
        <v>0</v>
      </c>
      <c r="AQ117" s="130" t="n">
        <f aca="false">IF($W116*N117&gt;150000,($W116*N117-150000)*6%*45%,0)</f>
        <v>0</v>
      </c>
      <c r="AR117" s="130" t="n">
        <f aca="false">IF($W116*O117&gt;150000,($W116*O117-150000)*6%*45%,0)</f>
        <v>0</v>
      </c>
      <c r="AS117" s="130" t="n">
        <f aca="false">IF($W116*P117&gt;150000,($W116*P117-150000)*6%*45%,0)</f>
        <v>0</v>
      </c>
      <c r="AT117" s="130" t="n">
        <f aca="false">IF($W116*Q117&gt;150000,($W116*Q117-150000)*6%*45%,0)</f>
        <v>0</v>
      </c>
      <c r="AU117" s="130" t="n">
        <f aca="false">IF($W116*R117&gt;150000,($W116*R117-150000)*6%*45%,0)</f>
        <v>0</v>
      </c>
      <c r="AV117" s="130" t="n">
        <f aca="false">IF($W116*S117&gt;150000,($W116*S117-150000)*6%*45%,0)</f>
        <v>0</v>
      </c>
      <c r="AW117" s="130" t="n">
        <f aca="false">IF($W116*T117&gt;150000,($W116*T117-150000)*6%*45%,0)</f>
        <v>0</v>
      </c>
      <c r="AX117" s="130" t="n">
        <f aca="false">IF($W116*U117&gt;150000,($W116*U117-150000)*6%*45%,0)</f>
        <v>0</v>
      </c>
      <c r="AY117" s="13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  <c r="FX117" s="11"/>
      <c r="FY117" s="11"/>
      <c r="FZ117" s="11"/>
      <c r="GA117" s="11"/>
      <c r="GB117" s="11"/>
      <c r="GC117" s="11"/>
      <c r="GD117" s="11"/>
      <c r="GE117" s="11"/>
      <c r="GF117" s="11"/>
      <c r="GG117" s="11"/>
      <c r="GH117" s="11"/>
      <c r="GI117" s="11"/>
      <c r="GJ117" s="11"/>
      <c r="GK117" s="11"/>
      <c r="GL117" s="11"/>
      <c r="GM117" s="11"/>
      <c r="GN117" s="11"/>
      <c r="GO117" s="11"/>
      <c r="GP117" s="11"/>
      <c r="GQ117" s="11"/>
      <c r="GR117" s="11"/>
      <c r="GS117" s="11"/>
      <c r="GT117" s="11"/>
      <c r="GU117" s="11"/>
      <c r="GV117" s="11"/>
      <c r="GW117" s="11"/>
      <c r="GX117" s="11"/>
      <c r="GY117" s="11"/>
      <c r="GZ117" s="11"/>
      <c r="HA117" s="11"/>
      <c r="HB117" s="11"/>
      <c r="HC117" s="11"/>
      <c r="HD117" s="11"/>
      <c r="HE117" s="11"/>
      <c r="HF117" s="11"/>
      <c r="HG117" s="11"/>
      <c r="HH117" s="11"/>
      <c r="HI117" s="11"/>
      <c r="HJ117" s="11"/>
      <c r="HK117" s="11"/>
      <c r="HL117" s="11"/>
      <c r="HM117" s="11"/>
      <c r="HN117" s="11"/>
      <c r="HO117" s="11"/>
      <c r="HP117" s="11"/>
      <c r="HQ117" s="11"/>
      <c r="HR117" s="11"/>
      <c r="HS117" s="11"/>
      <c r="HT117" s="11"/>
      <c r="HU117" s="11"/>
      <c r="HV117" s="11"/>
      <c r="HW117" s="11"/>
      <c r="HX117" s="11"/>
      <c r="HY117" s="11"/>
      <c r="HZ117" s="11"/>
      <c r="IA117" s="11"/>
      <c r="IB117" s="11"/>
      <c r="IC117" s="11"/>
      <c r="ID117" s="11"/>
      <c r="IE117" s="11"/>
      <c r="IF117" s="11"/>
      <c r="IG117" s="11"/>
      <c r="IH117" s="11"/>
      <c r="II117" s="11"/>
      <c r="IJ117" s="11"/>
      <c r="IK117" s="11"/>
      <c r="IL117" s="11"/>
      <c r="IM117" s="11"/>
      <c r="IN117" s="11"/>
      <c r="IO117" s="11"/>
      <c r="IP117" s="11"/>
      <c r="IQ117" s="11"/>
      <c r="IR117" s="11"/>
      <c r="IS117" s="11"/>
      <c r="IT117" s="11"/>
      <c r="IU117" s="11"/>
      <c r="IV117" s="11"/>
      <c r="IW117" s="11"/>
    </row>
    <row r="118" customFormat="false" ht="13.5" hidden="true" customHeight="true" outlineLevel="0" collapsed="false">
      <c r="A118" s="108" t="n">
        <f aca="false">A116+1</f>
        <v>55</v>
      </c>
      <c r="B118" s="109" t="n">
        <f aca="false">IF(ISERROR(VLOOKUP(C118,일용직명단!$A$3:$I$104,2,FALSE())),0,VLOOKUP(C118,일용직명단!$A$3:$I$104,2,FALSE()))</f>
        <v>0</v>
      </c>
      <c r="C118" s="203"/>
      <c r="D118" s="111" t="n">
        <f aca="false">IF(ISERROR(VLOOKUP(C118,[30]일용직명단!$A$3:$K$1182,3,FALSE())),0,VLOOKUP(C118,[30]일용직명단!$A$3:$K$1182,3,FALSE()))</f>
        <v>0</v>
      </c>
      <c r="E118" s="160" t="n">
        <f aca="false">IF(ISERROR(VLOOKUP(C118,[30]일용직명단!$A$3:$K$1185,4,FALSE())),0,VLOOKUP(C118,[30]일용직명단!$A$3:$K$1185,4,FALSE()))</f>
        <v>0</v>
      </c>
      <c r="F118" s="212"/>
      <c r="G118" s="212"/>
      <c r="H118" s="212"/>
      <c r="I118" s="214"/>
      <c r="J118" s="212"/>
      <c r="K118" s="214"/>
      <c r="L118" s="212"/>
      <c r="M118" s="214"/>
      <c r="N118" s="215"/>
      <c r="O118" s="214"/>
      <c r="P118" s="215"/>
      <c r="Q118" s="215"/>
      <c r="R118" s="212"/>
      <c r="S118" s="212"/>
      <c r="T118" s="212"/>
      <c r="U118" s="216"/>
      <c r="V118" s="144" t="n">
        <f aca="false">SUM(F118:U119)</f>
        <v>0</v>
      </c>
      <c r="W118" s="211" t="n">
        <f aca="false">IF(ISERROR(VLOOKUP(C118,[30]일용직명단!$A$3:$K$1185,8,FALSE())),0,VLOOKUP(C118,[30]일용직명단!$A$3:$K$1185,8,FALSE()))</f>
        <v>0</v>
      </c>
      <c r="X118" s="156" t="n">
        <f aca="false">IFERROR(IF(AG118&gt;=65,0,ROUNDDOWN(W119*$Z$4,-1)),0)</f>
        <v>0</v>
      </c>
      <c r="Y118" s="156" t="n">
        <f aca="false">IF(AE118&gt;=8,ROUNDDOWN(W119*$M$4,-1),0)</f>
        <v>0</v>
      </c>
      <c r="Z118" s="156" t="n">
        <f aca="false">IFERROR(IF(AND(COUNT(F118:U119)&gt;=8,$AG118&lt;60,W119&lt;=5530000),ROUNDDOWN(ROUNDDOWN(W119,-3)*4.5%,-1),IF(AND(COUNT(F118:U119)&gt;=8,AG118&lt;60,W119&gt;5530000),248850,0)),0)</f>
        <v>0</v>
      </c>
      <c r="AA118" s="145" t="n">
        <f aca="false">+X118+Y118+X119+Y119+Z118+Z119</f>
        <v>0</v>
      </c>
      <c r="AB118" s="146" t="n">
        <f aca="false">W119-AA118</f>
        <v>0</v>
      </c>
      <c r="AC118" s="157" t="n">
        <f aca="false">IF(ISERROR(VLOOKUP(C118,[30]일용직명단!$A$3:$I$1165,5,FALSE())),0,VLOOKUP(C118,[30]일용직명단!$A$3:$I$1165,5,FALSE()))</f>
        <v>0</v>
      </c>
      <c r="AD118" s="158" t="n">
        <f aca="false">IF(ISERROR(VLOOKUP(C118,[30]일용직명단!$A$3:$I$1165,6,FALSE())),0,VLOOKUP(C118,[30]일용직명단!$A$3:$I$1165,6,FALSE()))</f>
        <v>0</v>
      </c>
      <c r="AE118" s="141" t="n">
        <f aca="false">COUNT(F118:U119)</f>
        <v>0</v>
      </c>
      <c r="AF118" s="129" t="str">
        <f aca="false">IF(OR(MID(D118,8,1)="1",MID(D118,8,1)="2"),19&amp;LEFT(D118,2),20&amp;LEFT(D118,2))&amp;"-"&amp;MID(D118,3,2)&amp;"-"&amp;MID(D118,5,2)</f>
        <v>200--</v>
      </c>
      <c r="AG118" s="129" t="e">
        <f aca="true">INT((TODAY()-AF118)/365.25)</f>
        <v>#VALUE!</v>
      </c>
      <c r="AH118" s="130" t="n">
        <f aca="false">ROUNDDOWN(SUM(AI118:AX119),-1)</f>
        <v>0</v>
      </c>
      <c r="AI118" s="130" t="n">
        <f aca="false">IF($W118*F118&gt;150000,($W118*F118-150000)*6%*45%,0)</f>
        <v>0</v>
      </c>
      <c r="AJ118" s="130" t="n">
        <f aca="false">IF($W118*G118&gt;150000,($W118*G118-150000)*6%*45%,0)</f>
        <v>0</v>
      </c>
      <c r="AK118" s="130" t="n">
        <f aca="false">IF($W118*H118&gt;150000,($W118*H118-150000)*6%*45%,0)</f>
        <v>0</v>
      </c>
      <c r="AL118" s="130" t="n">
        <f aca="false">IF($W118*I118&gt;150000,($W118*I118-150000)*6%*45%,0)</f>
        <v>0</v>
      </c>
      <c r="AM118" s="130" t="n">
        <f aca="false">IF($W118*J118&gt;150000,($W118*J118-150000)*6%*45%,0)</f>
        <v>0</v>
      </c>
      <c r="AN118" s="130" t="n">
        <f aca="false">IF($W118*K118&gt;150000,($W118*K118-150000)*6%*45%,0)</f>
        <v>0</v>
      </c>
      <c r="AO118" s="130" t="n">
        <f aca="false">IF($W118*L118&gt;150000,($W118*L118-150000)*6%*45%,0)</f>
        <v>0</v>
      </c>
      <c r="AP118" s="130" t="n">
        <f aca="false">IF($W118*M118&gt;150000,($W118*M118-150000)*6%*45%,0)</f>
        <v>0</v>
      </c>
      <c r="AQ118" s="130" t="n">
        <f aca="false">IF($W118*N118&gt;150000,($W118*N118-150000)*6%*45%,0)</f>
        <v>0</v>
      </c>
      <c r="AR118" s="130" t="n">
        <f aca="false">IF($W118*O118&gt;150000,($W118*O118-150000)*6%*45%,0)</f>
        <v>0</v>
      </c>
      <c r="AS118" s="130" t="n">
        <f aca="false">IF($W118*P118&gt;150000,($W118*P118-150000)*6%*45%,0)</f>
        <v>0</v>
      </c>
      <c r="AT118" s="130" t="n">
        <f aca="false">IF($W118*Q118&gt;150000,($W118*Q118-150000)*6%*45%,0)</f>
        <v>0</v>
      </c>
      <c r="AU118" s="130" t="n">
        <f aca="false">IF($W118*R118&gt;150000,($W118*R118-150000)*6%*45%,0)</f>
        <v>0</v>
      </c>
      <c r="AV118" s="130" t="n">
        <f aca="false">IF($W118*S118&gt;150000,($W118*S118-150000)*6%*45%,0)</f>
        <v>0</v>
      </c>
      <c r="AW118" s="130" t="n">
        <f aca="false">IF($W118*T118&gt;150000,($W118*T118-150000)*6%*45%,0)</f>
        <v>0</v>
      </c>
      <c r="AX118" s="130"/>
      <c r="AY118" s="131" t="n">
        <f aca="false">IF(ISERROR(VLOOKUP(C118,[26]일용직명단!$A$3:$M$1151,11,FALSE())),0,VLOOKUP(C118,[26]일용직명단!$A$3:$M$1151,11,FALSE()))</f>
        <v>0</v>
      </c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  <c r="FW118" s="11"/>
      <c r="FX118" s="11"/>
      <c r="FY118" s="11"/>
      <c r="FZ118" s="11"/>
      <c r="GA118" s="11"/>
      <c r="GB118" s="11"/>
      <c r="GC118" s="11"/>
      <c r="GD118" s="11"/>
      <c r="GE118" s="11"/>
      <c r="GF118" s="11"/>
      <c r="GG118" s="11"/>
      <c r="GH118" s="11"/>
      <c r="GI118" s="11"/>
      <c r="GJ118" s="11"/>
      <c r="GK118" s="11"/>
      <c r="GL118" s="11"/>
      <c r="GM118" s="11"/>
      <c r="GN118" s="11"/>
      <c r="GO118" s="11"/>
      <c r="GP118" s="11"/>
      <c r="GQ118" s="11"/>
      <c r="GR118" s="11"/>
      <c r="GS118" s="11"/>
      <c r="GT118" s="11"/>
      <c r="GU118" s="11"/>
      <c r="GV118" s="11"/>
      <c r="GW118" s="11"/>
      <c r="GX118" s="11"/>
      <c r="GY118" s="11"/>
      <c r="GZ118" s="11"/>
      <c r="HA118" s="11"/>
      <c r="HB118" s="11"/>
      <c r="HC118" s="11"/>
      <c r="HD118" s="11"/>
      <c r="HE118" s="11"/>
      <c r="HF118" s="11"/>
      <c r="HG118" s="11"/>
      <c r="HH118" s="11"/>
      <c r="HI118" s="11"/>
      <c r="HJ118" s="11"/>
      <c r="HK118" s="11"/>
      <c r="HL118" s="11"/>
      <c r="HM118" s="11"/>
      <c r="HN118" s="11"/>
      <c r="HO118" s="11"/>
      <c r="HP118" s="11"/>
      <c r="HQ118" s="11"/>
      <c r="HR118" s="11"/>
      <c r="HS118" s="11"/>
      <c r="HT118" s="11"/>
      <c r="HU118" s="11"/>
      <c r="HV118" s="11"/>
      <c r="HW118" s="11"/>
      <c r="HX118" s="11"/>
      <c r="HY118" s="11"/>
      <c r="HZ118" s="11"/>
      <c r="IA118" s="11"/>
      <c r="IB118" s="11"/>
      <c r="IC118" s="11"/>
      <c r="ID118" s="11"/>
      <c r="IE118" s="11"/>
      <c r="IF118" s="11"/>
      <c r="IG118" s="11"/>
      <c r="IH118" s="11"/>
      <c r="II118" s="11"/>
      <c r="IJ118" s="11"/>
      <c r="IK118" s="11"/>
      <c r="IL118" s="11"/>
      <c r="IM118" s="11"/>
      <c r="IN118" s="11"/>
      <c r="IO118" s="11"/>
      <c r="IP118" s="11"/>
      <c r="IQ118" s="11"/>
      <c r="IR118" s="11"/>
      <c r="IS118" s="11"/>
      <c r="IT118" s="11"/>
      <c r="IU118" s="11"/>
      <c r="IV118" s="11"/>
      <c r="IW118" s="11"/>
    </row>
    <row r="119" customFormat="false" ht="13.5" hidden="true" customHeight="true" outlineLevel="0" collapsed="false">
      <c r="A119" s="108"/>
      <c r="B119" s="109"/>
      <c r="C119" s="203"/>
      <c r="D119" s="111"/>
      <c r="E119" s="160" t="n">
        <f aca="false">IF(ISERROR(VLOOKUP(C118,[30]일용직명단!$A$3:$K$1185,9,FALSE())),0,VLOOKUP(C118,[30]일용직명단!$A$3:$K$1185,9,FALSE()))</f>
        <v>0</v>
      </c>
      <c r="F119" s="212"/>
      <c r="G119" s="215"/>
      <c r="H119" s="214"/>
      <c r="I119" s="215"/>
      <c r="J119" s="214"/>
      <c r="K119" s="215"/>
      <c r="L119" s="215"/>
      <c r="M119" s="212"/>
      <c r="N119" s="215"/>
      <c r="O119" s="215"/>
      <c r="P119" s="212"/>
      <c r="Q119" s="215"/>
      <c r="R119" s="214"/>
      <c r="S119" s="215"/>
      <c r="T119" s="214"/>
      <c r="U119" s="212"/>
      <c r="V119" s="144"/>
      <c r="W119" s="138" t="n">
        <f aca="false">W118*V118</f>
        <v>0</v>
      </c>
      <c r="X119" s="156" t="n">
        <f aca="false">IF(AH118&lt;1000,0,AH118)</f>
        <v>0</v>
      </c>
      <c r="Y119" s="156" t="n">
        <f aca="false">ROUNDDOWN(X119*10%,-1)</f>
        <v>0</v>
      </c>
      <c r="Z119" s="156" t="n">
        <f aca="false">IF(AE118&gt;=8,ROUNDDOWN(Y118*$Q$4,-1),0)</f>
        <v>0</v>
      </c>
      <c r="AA119" s="145"/>
      <c r="AB119" s="146"/>
      <c r="AC119" s="158" t="n">
        <f aca="false">IF(ISERROR(VLOOKUP(C118,[30]일용직명단!$A$3:$I$1165,7,FALSE())),0,VLOOKUP(C118,[30]일용직명단!$A$3:$I$1165,7,FALSE()))</f>
        <v>0</v>
      </c>
      <c r="AD119" s="158"/>
      <c r="AE119" s="141"/>
      <c r="AF119" s="129"/>
      <c r="AG119" s="129"/>
      <c r="AH119" s="130"/>
      <c r="AI119" s="130" t="n">
        <f aca="false">IF($W118*F119&gt;150000,($W118*F119-150000)*6%*45%,0)</f>
        <v>0</v>
      </c>
      <c r="AJ119" s="130" t="n">
        <f aca="false">IF($W118*G119&gt;150000,($W118*G119-150000)*6%*45%,0)</f>
        <v>0</v>
      </c>
      <c r="AK119" s="130" t="n">
        <f aca="false">IF($W118*H119&gt;150000,($W118*H119-150000)*6%*45%,0)</f>
        <v>0</v>
      </c>
      <c r="AL119" s="130" t="n">
        <f aca="false">IF($W118*I119&gt;150000,($W118*I119-150000)*6%*45%,0)</f>
        <v>0</v>
      </c>
      <c r="AM119" s="130" t="n">
        <f aca="false">IF($W118*J119&gt;150000,($W118*J119-150000)*6%*45%,0)</f>
        <v>0</v>
      </c>
      <c r="AN119" s="130" t="n">
        <f aca="false">IF($W118*K119&gt;150000,($W118*K119-150000)*6%*45%,0)</f>
        <v>0</v>
      </c>
      <c r="AO119" s="130" t="n">
        <f aca="false">IF($W118*L119&gt;150000,($W118*L119-150000)*6%*45%,0)</f>
        <v>0</v>
      </c>
      <c r="AP119" s="130" t="n">
        <f aca="false">IF($W118*M119&gt;150000,($W118*M119-150000)*6%*45%,0)</f>
        <v>0</v>
      </c>
      <c r="AQ119" s="130" t="n">
        <f aca="false">IF($W118*N119&gt;150000,($W118*N119-150000)*6%*45%,0)</f>
        <v>0</v>
      </c>
      <c r="AR119" s="130" t="n">
        <f aca="false">IF($W118*O119&gt;150000,($W118*O119-150000)*6%*45%,0)</f>
        <v>0</v>
      </c>
      <c r="AS119" s="130" t="n">
        <f aca="false">IF($W118*P119&gt;150000,($W118*P119-150000)*6%*45%,0)</f>
        <v>0</v>
      </c>
      <c r="AT119" s="130" t="n">
        <f aca="false">IF($W118*Q119&gt;150000,($W118*Q119-150000)*6%*45%,0)</f>
        <v>0</v>
      </c>
      <c r="AU119" s="130" t="n">
        <f aca="false">IF($W118*R119&gt;150000,($W118*R119-150000)*6%*45%,0)</f>
        <v>0</v>
      </c>
      <c r="AV119" s="130" t="n">
        <f aca="false">IF($W118*S119&gt;150000,($W118*S119-150000)*6%*45%,0)</f>
        <v>0</v>
      </c>
      <c r="AW119" s="130" t="n">
        <f aca="false">IF($W118*T119&gt;150000,($W118*T119-150000)*6%*45%,0)</f>
        <v>0</v>
      </c>
      <c r="AX119" s="130" t="n">
        <f aca="false">IF($W118*U119&gt;150000,($W118*U119-150000)*6%*45%,0)</f>
        <v>0</v>
      </c>
      <c r="AY119" s="13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/>
      <c r="GA119" s="11"/>
      <c r="GB119" s="11"/>
      <c r="GC119" s="11"/>
      <c r="GD119" s="11"/>
      <c r="GE119" s="11"/>
      <c r="GF119" s="11"/>
      <c r="GG119" s="11"/>
      <c r="GH119" s="11"/>
      <c r="GI119" s="11"/>
      <c r="GJ119" s="11"/>
      <c r="GK119" s="11"/>
      <c r="GL119" s="11"/>
      <c r="GM119" s="11"/>
      <c r="GN119" s="11"/>
      <c r="GO119" s="11"/>
      <c r="GP119" s="11"/>
      <c r="GQ119" s="11"/>
      <c r="GR119" s="11"/>
      <c r="GS119" s="11"/>
      <c r="GT119" s="11"/>
      <c r="GU119" s="11"/>
      <c r="GV119" s="11"/>
      <c r="GW119" s="11"/>
      <c r="GX119" s="11"/>
      <c r="GY119" s="11"/>
      <c r="GZ119" s="11"/>
      <c r="HA119" s="11"/>
      <c r="HB119" s="11"/>
      <c r="HC119" s="11"/>
      <c r="HD119" s="11"/>
      <c r="HE119" s="11"/>
      <c r="HF119" s="11"/>
      <c r="HG119" s="11"/>
      <c r="HH119" s="11"/>
      <c r="HI119" s="11"/>
      <c r="HJ119" s="11"/>
      <c r="HK119" s="11"/>
      <c r="HL119" s="11"/>
      <c r="HM119" s="11"/>
      <c r="HN119" s="11"/>
      <c r="HO119" s="11"/>
      <c r="HP119" s="11"/>
      <c r="HQ119" s="11"/>
      <c r="HR119" s="11"/>
      <c r="HS119" s="11"/>
      <c r="HT119" s="11"/>
      <c r="HU119" s="11"/>
      <c r="HV119" s="11"/>
      <c r="HW119" s="11"/>
      <c r="HX119" s="11"/>
      <c r="HY119" s="11"/>
      <c r="HZ119" s="11"/>
      <c r="IA119" s="11"/>
      <c r="IB119" s="11"/>
      <c r="IC119" s="11"/>
      <c r="ID119" s="11"/>
      <c r="IE119" s="11"/>
      <c r="IF119" s="11"/>
      <c r="IG119" s="11"/>
      <c r="IH119" s="11"/>
      <c r="II119" s="11"/>
      <c r="IJ119" s="11"/>
      <c r="IK119" s="11"/>
      <c r="IL119" s="11"/>
      <c r="IM119" s="11"/>
      <c r="IN119" s="11"/>
      <c r="IO119" s="11"/>
      <c r="IP119" s="11"/>
      <c r="IQ119" s="11"/>
      <c r="IR119" s="11"/>
      <c r="IS119" s="11"/>
      <c r="IT119" s="11"/>
      <c r="IU119" s="11"/>
      <c r="IV119" s="11"/>
      <c r="IW119" s="11"/>
    </row>
    <row r="120" customFormat="false" ht="13.5" hidden="true" customHeight="true" outlineLevel="0" collapsed="false">
      <c r="A120" s="217" t="n">
        <f aca="false">A118+1</f>
        <v>56</v>
      </c>
      <c r="B120" s="109" t="n">
        <f aca="false">IF(ISERROR(VLOOKUP(C120,일용직명단!$A$3:$I$104,2,FALSE())),0,VLOOKUP(C120,일용직명단!$A$3:$I$104,2,FALSE()))</f>
        <v>0</v>
      </c>
      <c r="C120" s="203"/>
      <c r="D120" s="111" t="n">
        <f aca="false">IF(ISERROR(VLOOKUP(C120,[30]일용직명단!$A$3:$K$1182,3,FALSE())),0,VLOOKUP(C120,[30]일용직명단!$A$3:$K$1182,3,FALSE()))</f>
        <v>0</v>
      </c>
      <c r="E120" s="160" t="n">
        <f aca="false">IF(ISERROR(VLOOKUP(C120,[30]일용직명단!$A$3:$K$1185,4,FALSE())),0,VLOOKUP(C120,[30]일용직명단!$A$3:$K$1185,4,FALSE()))</f>
        <v>0</v>
      </c>
      <c r="F120" s="212"/>
      <c r="G120" s="212"/>
      <c r="H120" s="212"/>
      <c r="I120" s="214"/>
      <c r="J120" s="212"/>
      <c r="K120" s="214"/>
      <c r="L120" s="212"/>
      <c r="M120" s="212"/>
      <c r="N120" s="215"/>
      <c r="O120" s="215"/>
      <c r="P120" s="212"/>
      <c r="Q120" s="215"/>
      <c r="R120" s="214"/>
      <c r="S120" s="215"/>
      <c r="T120" s="214"/>
      <c r="U120" s="216"/>
      <c r="V120" s="144" t="n">
        <f aca="false">SUM(F120:U121)</f>
        <v>0</v>
      </c>
      <c r="W120" s="211" t="n">
        <f aca="false">IF(ISERROR(VLOOKUP(C120,[30]일용직명단!$A$3:$K$1185,8,FALSE())),0,VLOOKUP(C120,[30]일용직명단!$A$3:$K$1185,8,FALSE()))</f>
        <v>0</v>
      </c>
      <c r="X120" s="156" t="n">
        <f aca="false">IFERROR(IF(AG120&gt;=65,0,ROUNDDOWN(W121*$Z$4,-1)),0)</f>
        <v>0</v>
      </c>
      <c r="Y120" s="156" t="n">
        <f aca="false">IF(AE120&gt;=8,ROUNDDOWN(W121*$M$4,-1),0)</f>
        <v>0</v>
      </c>
      <c r="Z120" s="156" t="n">
        <f aca="false">IFERROR(IF(AND(COUNT(F120:U121)&gt;=8,$AG120&lt;60,W121&lt;=5530000),ROUNDDOWN(ROUNDDOWN(W121,-3)*4.5%,-1),IF(AND(COUNT(F120:U121)&gt;=8,AG120&lt;60,W121&gt;5530000),248850,0)),0)</f>
        <v>0</v>
      </c>
      <c r="AA120" s="145" t="n">
        <f aca="false">+X120+Y120+X121+Y121+Z120+Z121</f>
        <v>0</v>
      </c>
      <c r="AB120" s="146" t="n">
        <f aca="false">W121-AA120</f>
        <v>0</v>
      </c>
      <c r="AC120" s="157" t="n">
        <f aca="false">IF(ISERROR(VLOOKUP(C120,[30]일용직명단!$A$3:$I$1165,5,FALSE())),0,VLOOKUP(C120,[30]일용직명단!$A$3:$I$1165,5,FALSE()))</f>
        <v>0</v>
      </c>
      <c r="AD120" s="158" t="n">
        <f aca="false">IF(ISERROR(VLOOKUP(C120,[30]일용직명단!$A$3:$I$1165,6,FALSE())),0,VLOOKUP(C120,[30]일용직명단!$A$3:$I$1165,6,FALSE()))</f>
        <v>0</v>
      </c>
      <c r="AE120" s="141" t="n">
        <f aca="false">COUNT(F120:U121)</f>
        <v>0</v>
      </c>
      <c r="AF120" s="129" t="str">
        <f aca="false">IF(OR(MID(D120,8,1)="1",MID(D120,8,1)="2"),19&amp;LEFT(D120,2),20&amp;LEFT(D120,2))&amp;"-"&amp;MID(D120,3,2)&amp;"-"&amp;MID(D120,5,2)</f>
        <v>200--</v>
      </c>
      <c r="AG120" s="129" t="e">
        <f aca="true">INT((TODAY()-AF120)/365.25)</f>
        <v>#VALUE!</v>
      </c>
      <c r="AH120" s="130" t="n">
        <f aca="false">ROUNDDOWN(SUM(AI120:AX121),-1)</f>
        <v>0</v>
      </c>
      <c r="AI120" s="130" t="n">
        <f aca="false">IF($W120*F120&gt;150000,($W120*F120-150000)*6%*45%,0)</f>
        <v>0</v>
      </c>
      <c r="AJ120" s="130" t="n">
        <f aca="false">IF($W120*G120&gt;150000,($W120*G120-150000)*6%*45%,0)</f>
        <v>0</v>
      </c>
      <c r="AK120" s="130" t="n">
        <f aca="false">IF($W120*H120&gt;150000,($W120*H120-150000)*6%*45%,0)</f>
        <v>0</v>
      </c>
      <c r="AL120" s="130" t="n">
        <f aca="false">IF($W120*I120&gt;150000,($W120*I120-150000)*6%*45%,0)</f>
        <v>0</v>
      </c>
      <c r="AM120" s="130" t="n">
        <f aca="false">IF($W120*J120&gt;150000,($W120*J120-150000)*6%*45%,0)</f>
        <v>0</v>
      </c>
      <c r="AN120" s="130" t="n">
        <f aca="false">IF($W120*K120&gt;150000,($W120*K120-150000)*6%*45%,0)</f>
        <v>0</v>
      </c>
      <c r="AO120" s="130" t="n">
        <f aca="false">IF($W120*L120&gt;150000,($W120*L120-150000)*6%*45%,0)</f>
        <v>0</v>
      </c>
      <c r="AP120" s="130" t="n">
        <f aca="false">IF($W120*M120&gt;150000,($W120*M120-150000)*6%*45%,0)</f>
        <v>0</v>
      </c>
      <c r="AQ120" s="130" t="n">
        <f aca="false">IF($W120*N120&gt;150000,($W120*N120-150000)*6%*45%,0)</f>
        <v>0</v>
      </c>
      <c r="AR120" s="130" t="n">
        <f aca="false">IF($W120*O120&gt;150000,($W120*O120-150000)*6%*45%,0)</f>
        <v>0</v>
      </c>
      <c r="AS120" s="130" t="n">
        <f aca="false">IF($W120*P120&gt;150000,($W120*P120-150000)*6%*45%,0)</f>
        <v>0</v>
      </c>
      <c r="AT120" s="130" t="n">
        <f aca="false">IF($W120*Q120&gt;150000,($W120*Q120-150000)*6%*45%,0)</f>
        <v>0</v>
      </c>
      <c r="AU120" s="130" t="n">
        <f aca="false">IF($W120*R120&gt;150000,($W120*R120-150000)*6%*45%,0)</f>
        <v>0</v>
      </c>
      <c r="AV120" s="130" t="n">
        <f aca="false">IF($W120*S120&gt;150000,($W120*S120-150000)*6%*45%,0)</f>
        <v>0</v>
      </c>
      <c r="AW120" s="130" t="n">
        <f aca="false">IF($W120*T120&gt;150000,($W120*T120-150000)*6%*45%,0)</f>
        <v>0</v>
      </c>
      <c r="AX120" s="130"/>
      <c r="AY120" s="131" t="n">
        <f aca="false">IF(ISERROR(VLOOKUP(C120,[26]일용직명단!$A$3:$M$1151,11,FALSE())),0,VLOOKUP(C120,[26]일용직명단!$A$3:$M$1151,11,FALSE()))</f>
        <v>0</v>
      </c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11"/>
      <c r="FR120" s="11"/>
      <c r="FS120" s="11"/>
      <c r="FT120" s="11"/>
      <c r="FU120" s="11"/>
      <c r="FV120" s="11"/>
      <c r="FW120" s="11"/>
      <c r="FX120" s="11"/>
      <c r="FY120" s="11"/>
      <c r="FZ120" s="11"/>
      <c r="GA120" s="11"/>
      <c r="GB120" s="11"/>
      <c r="GC120" s="11"/>
      <c r="GD120" s="11"/>
      <c r="GE120" s="11"/>
      <c r="GF120" s="11"/>
      <c r="GG120" s="11"/>
      <c r="GH120" s="11"/>
      <c r="GI120" s="11"/>
      <c r="GJ120" s="11"/>
      <c r="GK120" s="11"/>
      <c r="GL120" s="11"/>
      <c r="GM120" s="11"/>
      <c r="GN120" s="11"/>
      <c r="GO120" s="11"/>
      <c r="GP120" s="11"/>
      <c r="GQ120" s="11"/>
      <c r="GR120" s="11"/>
      <c r="GS120" s="11"/>
      <c r="GT120" s="11"/>
      <c r="GU120" s="11"/>
      <c r="GV120" s="11"/>
      <c r="GW120" s="11"/>
      <c r="GX120" s="11"/>
      <c r="GY120" s="11"/>
      <c r="GZ120" s="11"/>
      <c r="HA120" s="11"/>
      <c r="HB120" s="11"/>
      <c r="HC120" s="11"/>
      <c r="HD120" s="11"/>
      <c r="HE120" s="11"/>
      <c r="HF120" s="11"/>
      <c r="HG120" s="11"/>
      <c r="HH120" s="11"/>
      <c r="HI120" s="11"/>
      <c r="HJ120" s="11"/>
      <c r="HK120" s="11"/>
      <c r="HL120" s="11"/>
      <c r="HM120" s="11"/>
      <c r="HN120" s="11"/>
      <c r="HO120" s="11"/>
      <c r="HP120" s="11"/>
      <c r="HQ120" s="11"/>
      <c r="HR120" s="11"/>
      <c r="HS120" s="11"/>
      <c r="HT120" s="11"/>
      <c r="HU120" s="11"/>
      <c r="HV120" s="11"/>
      <c r="HW120" s="11"/>
      <c r="HX120" s="11"/>
      <c r="HY120" s="11"/>
      <c r="HZ120" s="11"/>
      <c r="IA120" s="11"/>
      <c r="IB120" s="11"/>
      <c r="IC120" s="11"/>
      <c r="ID120" s="11"/>
      <c r="IE120" s="11"/>
      <c r="IF120" s="11"/>
      <c r="IG120" s="11"/>
      <c r="IH120" s="11"/>
      <c r="II120" s="11"/>
      <c r="IJ120" s="11"/>
      <c r="IK120" s="11"/>
      <c r="IL120" s="11"/>
      <c r="IM120" s="11"/>
      <c r="IN120" s="11"/>
      <c r="IO120" s="11"/>
      <c r="IP120" s="11"/>
      <c r="IQ120" s="11"/>
      <c r="IR120" s="11"/>
      <c r="IS120" s="11"/>
      <c r="IT120" s="11"/>
      <c r="IU120" s="11"/>
      <c r="IV120" s="11"/>
      <c r="IW120" s="11"/>
    </row>
    <row r="121" customFormat="false" ht="13.5" hidden="true" customHeight="true" outlineLevel="0" collapsed="false">
      <c r="A121" s="217"/>
      <c r="B121" s="109"/>
      <c r="C121" s="203"/>
      <c r="D121" s="111"/>
      <c r="E121" s="160" t="n">
        <f aca="false">IF(ISERROR(VLOOKUP(C120,[30]일용직명단!$A$3:$K$1185,9,FALSE())),0,VLOOKUP(C120,[30]일용직명단!$A$3:$K$1185,9,FALSE()))</f>
        <v>0</v>
      </c>
      <c r="F121" s="212"/>
      <c r="G121" s="215"/>
      <c r="H121" s="214"/>
      <c r="I121" s="215"/>
      <c r="J121" s="214"/>
      <c r="K121" s="215"/>
      <c r="L121" s="215"/>
      <c r="M121" s="214"/>
      <c r="N121" s="215"/>
      <c r="O121" s="214"/>
      <c r="P121" s="215"/>
      <c r="Q121" s="215"/>
      <c r="R121" s="212"/>
      <c r="S121" s="212"/>
      <c r="T121" s="212"/>
      <c r="U121" s="212"/>
      <c r="V121" s="144"/>
      <c r="W121" s="138" t="n">
        <f aca="false">W120*V120</f>
        <v>0</v>
      </c>
      <c r="X121" s="156" t="n">
        <f aca="false">IF(AH120&lt;1000,0,AH120)</f>
        <v>0</v>
      </c>
      <c r="Y121" s="156" t="n">
        <f aca="false">ROUNDDOWN(X121*10%,-1)</f>
        <v>0</v>
      </c>
      <c r="Z121" s="156" t="n">
        <f aca="false">IF(AE120&gt;=8,ROUNDDOWN(Y120*$Q$4,-1),0)</f>
        <v>0</v>
      </c>
      <c r="AA121" s="145"/>
      <c r="AB121" s="146"/>
      <c r="AC121" s="158" t="n">
        <f aca="false">IF(ISERROR(VLOOKUP(C120,[30]일용직명단!$A$3:$I$1165,7,FALSE())),0,VLOOKUP(C120,[30]일용직명단!$A$3:$I$1165,7,FALSE()))</f>
        <v>0</v>
      </c>
      <c r="AD121" s="158"/>
      <c r="AE121" s="141"/>
      <c r="AF121" s="129"/>
      <c r="AG121" s="129"/>
      <c r="AH121" s="130"/>
      <c r="AI121" s="130" t="n">
        <f aca="false">IF($W120*F121&gt;150000,($W120*F121-150000)*6%*45%,0)</f>
        <v>0</v>
      </c>
      <c r="AJ121" s="130" t="n">
        <f aca="false">IF($W120*G121&gt;150000,($W120*G121-150000)*6%*45%,0)</f>
        <v>0</v>
      </c>
      <c r="AK121" s="130" t="n">
        <f aca="false">IF($W120*H121&gt;150000,($W120*H121-150000)*6%*45%,0)</f>
        <v>0</v>
      </c>
      <c r="AL121" s="130" t="n">
        <f aca="false">IF($W120*I121&gt;150000,($W120*I121-150000)*6%*45%,0)</f>
        <v>0</v>
      </c>
      <c r="AM121" s="130" t="n">
        <f aca="false">IF($W120*J121&gt;150000,($W120*J121-150000)*6%*45%,0)</f>
        <v>0</v>
      </c>
      <c r="AN121" s="130" t="n">
        <f aca="false">IF($W120*K121&gt;150000,($W120*K121-150000)*6%*45%,0)</f>
        <v>0</v>
      </c>
      <c r="AO121" s="130" t="n">
        <f aca="false">IF($W120*L121&gt;150000,($W120*L121-150000)*6%*45%,0)</f>
        <v>0</v>
      </c>
      <c r="AP121" s="130" t="n">
        <f aca="false">IF($W120*M121&gt;150000,($W120*M121-150000)*6%*45%,0)</f>
        <v>0</v>
      </c>
      <c r="AQ121" s="130" t="n">
        <f aca="false">IF($W120*N121&gt;150000,($W120*N121-150000)*6%*45%,0)</f>
        <v>0</v>
      </c>
      <c r="AR121" s="130" t="n">
        <f aca="false">IF($W120*O121&gt;150000,($W120*O121-150000)*6%*45%,0)</f>
        <v>0</v>
      </c>
      <c r="AS121" s="130" t="n">
        <f aca="false">IF($W120*P121&gt;150000,($W120*P121-150000)*6%*45%,0)</f>
        <v>0</v>
      </c>
      <c r="AT121" s="130" t="n">
        <f aca="false">IF($W120*Q121&gt;150000,($W120*Q121-150000)*6%*45%,0)</f>
        <v>0</v>
      </c>
      <c r="AU121" s="130" t="n">
        <f aca="false">IF($W120*R121&gt;150000,($W120*R121-150000)*6%*45%,0)</f>
        <v>0</v>
      </c>
      <c r="AV121" s="130" t="n">
        <f aca="false">IF($W120*S121&gt;150000,($W120*S121-150000)*6%*45%,0)</f>
        <v>0</v>
      </c>
      <c r="AW121" s="130" t="n">
        <f aca="false">IF($W120*T121&gt;150000,($W120*T121-150000)*6%*45%,0)</f>
        <v>0</v>
      </c>
      <c r="AX121" s="130" t="n">
        <f aca="false">IF($W120*U121&gt;150000,($W120*U121-150000)*6%*45%,0)</f>
        <v>0</v>
      </c>
      <c r="AY121" s="13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1"/>
      <c r="FW121" s="11"/>
      <c r="FX121" s="11"/>
      <c r="FY121" s="11"/>
      <c r="FZ121" s="11"/>
      <c r="GA121" s="11"/>
      <c r="GB121" s="11"/>
      <c r="GC121" s="11"/>
      <c r="GD121" s="11"/>
      <c r="GE121" s="11"/>
      <c r="GF121" s="11"/>
      <c r="GG121" s="11"/>
      <c r="GH121" s="11"/>
      <c r="GI121" s="11"/>
      <c r="GJ121" s="11"/>
      <c r="GK121" s="11"/>
      <c r="GL121" s="11"/>
      <c r="GM121" s="11"/>
      <c r="GN121" s="11"/>
      <c r="GO121" s="11"/>
      <c r="GP121" s="11"/>
      <c r="GQ121" s="11"/>
      <c r="GR121" s="11"/>
      <c r="GS121" s="11"/>
      <c r="GT121" s="11"/>
      <c r="GU121" s="11"/>
      <c r="GV121" s="11"/>
      <c r="GW121" s="11"/>
      <c r="GX121" s="11"/>
      <c r="GY121" s="11"/>
      <c r="GZ121" s="11"/>
      <c r="HA121" s="11"/>
      <c r="HB121" s="11"/>
      <c r="HC121" s="11"/>
      <c r="HD121" s="11"/>
      <c r="HE121" s="11"/>
      <c r="HF121" s="11"/>
      <c r="HG121" s="11"/>
      <c r="HH121" s="11"/>
      <c r="HI121" s="11"/>
      <c r="HJ121" s="11"/>
      <c r="HK121" s="11"/>
      <c r="HL121" s="11"/>
      <c r="HM121" s="11"/>
      <c r="HN121" s="11"/>
      <c r="HO121" s="11"/>
      <c r="HP121" s="11"/>
      <c r="HQ121" s="11"/>
      <c r="HR121" s="11"/>
      <c r="HS121" s="11"/>
      <c r="HT121" s="11"/>
      <c r="HU121" s="11"/>
      <c r="HV121" s="11"/>
      <c r="HW121" s="11"/>
      <c r="HX121" s="11"/>
      <c r="HY121" s="11"/>
      <c r="HZ121" s="11"/>
      <c r="IA121" s="11"/>
      <c r="IB121" s="11"/>
      <c r="IC121" s="11"/>
      <c r="ID121" s="11"/>
      <c r="IE121" s="11"/>
      <c r="IF121" s="11"/>
      <c r="IG121" s="11"/>
      <c r="IH121" s="11"/>
      <c r="II121" s="11"/>
      <c r="IJ121" s="11"/>
      <c r="IK121" s="11"/>
      <c r="IL121" s="11"/>
      <c r="IM121" s="11"/>
      <c r="IN121" s="11"/>
      <c r="IO121" s="11"/>
      <c r="IP121" s="11"/>
      <c r="IQ121" s="11"/>
      <c r="IR121" s="11"/>
      <c r="IS121" s="11"/>
      <c r="IT121" s="11"/>
      <c r="IU121" s="11"/>
      <c r="IV121" s="11"/>
      <c r="IW121" s="11"/>
    </row>
    <row r="122" customFormat="false" ht="13.5" hidden="false" customHeight="true" outlineLevel="0" collapsed="false">
      <c r="A122" s="218" t="s">
        <v>80</v>
      </c>
      <c r="B122" s="218"/>
      <c r="C122" s="218"/>
      <c r="D122" s="218"/>
      <c r="E122" s="218"/>
      <c r="F122" s="219" t="n">
        <f aca="false" t="array" ref="F122:F122">SUMPRODUCT(N(MOD(ROW(F10:F121),2)=(MOD(ROW(F122),2))),F10:F121)</f>
        <v>2</v>
      </c>
      <c r="G122" s="219" t="n">
        <f aca="false" t="array" ref="G122:G122">SUMPRODUCT(N(MOD(ROW(G10:G121),2)=(MOD(ROW(G122),2))),G10:G121)</f>
        <v>2</v>
      </c>
      <c r="H122" s="219" t="n">
        <f aca="false" t="array" ref="H122:H122">SUMPRODUCT(N(MOD(ROW(H10:H121),2)=(MOD(ROW(H122),2))),H10:H121)</f>
        <v>1</v>
      </c>
      <c r="I122" s="219" t="n">
        <f aca="false" t="array" ref="I122:I122">SUMPRODUCT(N(MOD(ROW(I10:I121),2)=(MOD(ROW(I122),2))),I10:I121)</f>
        <v>2</v>
      </c>
      <c r="J122" s="219" t="n">
        <f aca="false" t="array" ref="J122:J122">SUMPRODUCT(N(MOD(ROW(J10:J121),2)=(MOD(ROW(J122),2))),J10:J121)</f>
        <v>0</v>
      </c>
      <c r="K122" s="219" t="n">
        <f aca="false" t="array" ref="K122:K122">SUMPRODUCT(N(MOD(ROW(K10:K121),2)=(MOD(ROW(K122),2))),K10:K121)</f>
        <v>0</v>
      </c>
      <c r="L122" s="219" t="n">
        <f aca="false" t="array" ref="L122:L122">SUMPRODUCT(N(MOD(ROW(L10:L121),2)=(MOD(ROW(L122),2))),L10:L121)</f>
        <v>0</v>
      </c>
      <c r="M122" s="219" t="n">
        <f aca="false" t="array" ref="M122:M122">SUMPRODUCT(N(MOD(ROW(M10:M121),2)=(MOD(ROW(M122),2))),M10:M121)</f>
        <v>3</v>
      </c>
      <c r="N122" s="219" t="n">
        <f aca="false" t="array" ref="N122:N122">SUMPRODUCT(N(MOD(ROW(N10:N121),2)=(MOD(ROW(N122),2))),N10:N121)</f>
        <v>3</v>
      </c>
      <c r="O122" s="219" t="n">
        <f aca="false" t="array" ref="O122:O122">SUMPRODUCT(N(MOD(ROW(O10:O121),2)=(MOD(ROW(O122),2))),O10:O121)</f>
        <v>19</v>
      </c>
      <c r="P122" s="219" t="n">
        <f aca="false" t="array" ref="P122:P122">SUMPRODUCT(N(MOD(ROW(P10:P121),2)=(MOD(ROW(P122),2))),P10:P121)</f>
        <v>16</v>
      </c>
      <c r="Q122" s="219" t="n">
        <f aca="false" t="array" ref="Q122:Q122">SUMPRODUCT(N(MOD(ROW(Q10:Q121),2)=(MOD(ROW(Q122),2))),Q10:Q121)</f>
        <v>0</v>
      </c>
      <c r="R122" s="219" t="n">
        <f aca="false" t="array" ref="R122:R122">SUMPRODUCT(N(MOD(ROW(R10:R121),2)=(MOD(ROW(R122),2))),R10:R121)</f>
        <v>19</v>
      </c>
      <c r="S122" s="219" t="n">
        <f aca="false" t="array" ref="S122:S122">SUMPRODUCT(N(MOD(ROW(S10:S121),2)=(MOD(ROW(S122),2))),S10:S121)</f>
        <v>19</v>
      </c>
      <c r="T122" s="219" t="n">
        <f aca="false" t="array" ref="T122:T122">SUMPRODUCT(N(MOD(ROW(T10:T121),2)=(MOD(ROW(T122),2))),T10:T121)</f>
        <v>18</v>
      </c>
      <c r="U122" s="219"/>
      <c r="V122" s="220" t="n">
        <f aca="false">SUM(V10:V121)</f>
        <v>209.5</v>
      </c>
      <c r="W122" s="220" t="n">
        <f aca="false" t="array" ref="W122:W122">SUMPRODUCT((MOD(ROW(W$10:W$121),2)=1)*W$10:W$121)</f>
        <v>36045000</v>
      </c>
      <c r="X122" s="221" t="n">
        <f aca="false" t="array" ref="X122:X122">SUMPRODUCT((MOD(ROW(X$10:X$121),2)=0)*X$10:X$121)</f>
        <v>224050</v>
      </c>
      <c r="Y122" s="221" t="n">
        <f aca="false" t="array" ref="Y122:Y122">SUMPRODUCT((MOD(ROW(Y$10:Y$121),2)=0)*Y$10:Y$121)</f>
        <v>486170</v>
      </c>
      <c r="Z122" s="221" t="n">
        <f aca="false" t="array" ref="Z122:Z122">SUMPRODUCT((MOD(ROW(Z$10:Z$121),2)=0)*Z$10:Z$121)</f>
        <v>252670</v>
      </c>
      <c r="AA122" s="220" t="n">
        <f aca="false">SUM(AA10:AA121)</f>
        <v>1131210</v>
      </c>
      <c r="AB122" s="220" t="n">
        <f aca="false">SUM(AB10:AB121)</f>
        <v>34913790</v>
      </c>
      <c r="AC122" s="222"/>
      <c r="AD122" s="223"/>
      <c r="AE122" s="224"/>
      <c r="AF122" s="130"/>
      <c r="AG122" s="130"/>
      <c r="AH122" s="130"/>
      <c r="AI122" s="130"/>
      <c r="AJ122" s="130"/>
      <c r="AK122" s="130"/>
      <c r="AL122" s="130"/>
      <c r="AM122" s="130"/>
      <c r="AN122" s="130"/>
      <c r="AO122" s="130"/>
      <c r="AP122" s="130"/>
      <c r="AQ122" s="130"/>
      <c r="AR122" s="130"/>
      <c r="AS122" s="130"/>
      <c r="AT122" s="130"/>
      <c r="AU122" s="130"/>
      <c r="AV122" s="130"/>
      <c r="AW122" s="130"/>
      <c r="AX122" s="130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 s="11"/>
      <c r="GL122" s="11"/>
      <c r="GM122" s="11"/>
      <c r="GN122" s="11"/>
      <c r="GO122" s="11"/>
      <c r="GP122" s="11"/>
      <c r="GQ122" s="11"/>
      <c r="GR122" s="11"/>
      <c r="GS122" s="11"/>
      <c r="GT122" s="11"/>
      <c r="GU122" s="11"/>
      <c r="GV122" s="11"/>
      <c r="GW122" s="11"/>
      <c r="GX122" s="11"/>
      <c r="GY122" s="11"/>
      <c r="GZ122" s="11"/>
      <c r="HA122" s="11"/>
      <c r="HB122" s="11"/>
      <c r="HC122" s="11"/>
      <c r="HD122" s="11"/>
      <c r="HE122" s="11"/>
      <c r="HF122" s="11"/>
      <c r="HG122" s="11"/>
      <c r="HH122" s="11"/>
      <c r="HI122" s="11"/>
      <c r="HJ122" s="11"/>
      <c r="HK122" s="11"/>
      <c r="HL122" s="11"/>
      <c r="HM122" s="11"/>
      <c r="HN122" s="11"/>
      <c r="HO122" s="11"/>
      <c r="HP122" s="11"/>
      <c r="HQ122" s="11"/>
      <c r="HR122" s="11"/>
      <c r="HS122" s="11"/>
      <c r="HT122" s="11"/>
      <c r="HU122" s="11"/>
      <c r="HV122" s="11"/>
      <c r="HW122" s="11"/>
      <c r="HX122" s="11"/>
      <c r="HY122" s="11"/>
      <c r="HZ122" s="11"/>
      <c r="IA122" s="11"/>
      <c r="IB122" s="11"/>
      <c r="IC122" s="11"/>
      <c r="ID122" s="11"/>
      <c r="IE122" s="11"/>
      <c r="IF122" s="11"/>
      <c r="IG122" s="11"/>
      <c r="IH122" s="11"/>
      <c r="II122" s="11"/>
      <c r="IJ122" s="11"/>
      <c r="IK122" s="11"/>
      <c r="IL122" s="11"/>
      <c r="IM122" s="11"/>
      <c r="IN122" s="11"/>
      <c r="IO122" s="11"/>
      <c r="IP122" s="11"/>
    </row>
    <row r="123" customFormat="false" ht="13.5" hidden="false" customHeight="true" outlineLevel="0" collapsed="false">
      <c r="A123" s="218"/>
      <c r="B123" s="218"/>
      <c r="C123" s="218"/>
      <c r="D123" s="218"/>
      <c r="E123" s="218"/>
      <c r="F123" s="225" t="n">
        <f aca="false" t="array" ref="F123:F123">SUMPRODUCT(N(MOD(ROW(F10:F121),2)=(MOD(ROW(F123),2))),F10:F121)</f>
        <v>19</v>
      </c>
      <c r="G123" s="225" t="n">
        <f aca="false" t="array" ref="G123:G123">SUMPRODUCT(N(MOD(ROW(G10:G121),2)=(MOD(ROW(G123),2))),G10:G121)</f>
        <v>21</v>
      </c>
      <c r="H123" s="225" t="n">
        <f aca="false" t="array" ref="H123:H123">SUMPRODUCT(N(MOD(ROW(H10:H121),2)=(MOD(ROW(H123),2))),H10:H121)</f>
        <v>5</v>
      </c>
      <c r="I123" s="225" t="n">
        <f aca="false" t="array" ref="I123:I123">SUMPRODUCT(N(MOD(ROW(I10:I121),2)=(MOD(ROW(I123),2))),I10:I121)</f>
        <v>2</v>
      </c>
      <c r="J123" s="225" t="n">
        <f aca="false" t="array" ref="J123:J123">SUMPRODUCT(N(MOD(ROW(J10:J121),2)=(MOD(ROW(J123),2))),J10:J121)</f>
        <v>8</v>
      </c>
      <c r="K123" s="225" t="n">
        <f aca="false" t="array" ref="K123:K123">SUMPRODUCT(N(MOD(ROW(K10:K121),2)=(MOD(ROW(K123),2))),K10:K121)</f>
        <v>5</v>
      </c>
      <c r="L123" s="225" t="n">
        <f aca="false" t="array" ref="L123:L123">SUMPRODUCT(N(MOD(ROW(L10:L121),2)=(MOD(ROW(L123),2))),L10:L121)</f>
        <v>5</v>
      </c>
      <c r="M123" s="225" t="n">
        <f aca="false" t="array" ref="M123:M123">SUMPRODUCT(N(MOD(ROW(M10:M121),2)=(MOD(ROW(M123),2))),M10:M121)</f>
        <v>5</v>
      </c>
      <c r="N123" s="225" t="n">
        <f aca="false" t="array" ref="N123:N123">SUMPRODUCT(N(MOD(ROW(N10:N121),2)=(MOD(ROW(N123),2))),N10:N121)</f>
        <v>4.5</v>
      </c>
      <c r="O123" s="225" t="n">
        <f aca="false" t="array" ref="O123:O123">SUMPRODUCT(N(MOD(ROW(O10:O121),2)=(MOD(ROW(O123),2))),O10:O121)</f>
        <v>0</v>
      </c>
      <c r="P123" s="225" t="n">
        <f aca="false" t="array" ref="P123:P123">SUMPRODUCT(N(MOD(ROW(P10:P121),2)=(MOD(ROW(P123),2))),P10:P121)</f>
        <v>0</v>
      </c>
      <c r="Q123" s="225" t="n">
        <f aca="false" t="array" ref="Q123:Q123">SUMPRODUCT(N(MOD(ROW(Q10:Q121),2)=(MOD(ROW(Q123),2))),Q10:Q121)</f>
        <v>4</v>
      </c>
      <c r="R123" s="225" t="n">
        <f aca="false" t="array" ref="R123:R123">SUMPRODUCT(N(MOD(ROW(R10:R121),2)=(MOD(ROW(R123),2))),R10:R121)</f>
        <v>7</v>
      </c>
      <c r="S123" s="225" t="n">
        <f aca="false" t="array" ref="S123:S123">SUMPRODUCT(N(MOD(ROW(S10:S121),2)=(MOD(ROW(S123),2))),S10:S121)</f>
        <v>7</v>
      </c>
      <c r="T123" s="225" t="n">
        <f aca="false" t="array" ref="T123:T123">SUMPRODUCT(N(MOD(ROW(T10:T121),2)=(MOD(ROW(T123),2))),T10:T121)</f>
        <v>7</v>
      </c>
      <c r="U123" s="225" t="n">
        <f aca="false" t="array" ref="U123:U123">SUMPRODUCT(N(MOD(ROW(U10:U121),2)=(MOD(ROW(U123),2))),U10:U121)</f>
        <v>6</v>
      </c>
      <c r="V123" s="220"/>
      <c r="W123" s="220"/>
      <c r="X123" s="226" t="n">
        <f aca="false" t="array" ref="X123:X123">SUMPRODUCT((MOD(ROW(X$10:X$121),2)=1)*X$10:X$121)</f>
        <v>124470</v>
      </c>
      <c r="Y123" s="226" t="n">
        <f aca="false" t="array" ref="Y123:Y123">SUMPRODUCT((MOD(ROW(Y$10:Y$121),2)=1)*Y$10:Y$121)</f>
        <v>12410</v>
      </c>
      <c r="Z123" s="226" t="n">
        <f aca="false" t="array" ref="Z123:Z123">SUMPRODUCT((MOD(ROW(Z$10:Z$121),2)=1)*Z$10:Z$121)</f>
        <v>31440</v>
      </c>
      <c r="AA123" s="220"/>
      <c r="AB123" s="220"/>
      <c r="AC123" s="227"/>
      <c r="AD123" s="228"/>
      <c r="AE123" s="229"/>
      <c r="AF123" s="129"/>
      <c r="AG123" s="129"/>
      <c r="AI123" s="130"/>
      <c r="AJ123" s="130"/>
      <c r="AK123" s="130"/>
      <c r="AL123" s="130"/>
      <c r="AM123" s="130"/>
      <c r="AN123" s="130"/>
      <c r="AO123" s="130"/>
      <c r="AP123" s="130"/>
      <c r="AQ123" s="130"/>
      <c r="AR123" s="130"/>
      <c r="AS123" s="130"/>
      <c r="AT123" s="130"/>
      <c r="AU123" s="130"/>
      <c r="AV123" s="130"/>
      <c r="AW123" s="130"/>
      <c r="AX123" s="130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1"/>
      <c r="FW123" s="11"/>
      <c r="FX123" s="11"/>
      <c r="FY123" s="11"/>
      <c r="FZ123" s="11"/>
      <c r="GA123" s="11"/>
      <c r="GB123" s="11"/>
      <c r="GC123" s="11"/>
      <c r="GD123" s="11"/>
      <c r="GE123" s="11"/>
      <c r="GF123" s="11"/>
      <c r="GG123" s="11"/>
      <c r="GH123" s="11"/>
      <c r="GI123" s="11"/>
      <c r="GJ123" s="11"/>
      <c r="GK123" s="11"/>
      <c r="GL123" s="11"/>
      <c r="GM123" s="11"/>
      <c r="GN123" s="11"/>
      <c r="GO123" s="11"/>
      <c r="GP123" s="11"/>
      <c r="GQ123" s="11"/>
      <c r="GR123" s="11"/>
      <c r="GS123" s="11"/>
      <c r="GT123" s="11"/>
      <c r="GU123" s="11"/>
      <c r="GV123" s="11"/>
      <c r="GW123" s="11"/>
      <c r="GX123" s="11"/>
      <c r="GY123" s="11"/>
      <c r="GZ123" s="11"/>
      <c r="HA123" s="11"/>
      <c r="HB123" s="11"/>
      <c r="HC123" s="11"/>
      <c r="HD123" s="11"/>
      <c r="HE123" s="11"/>
      <c r="HF123" s="11"/>
      <c r="HG123" s="11"/>
      <c r="HH123" s="11"/>
      <c r="HI123" s="11"/>
      <c r="HJ123" s="11"/>
      <c r="HK123" s="11"/>
      <c r="HL123" s="11"/>
      <c r="HM123" s="11"/>
      <c r="HN123" s="11"/>
      <c r="HO123" s="11"/>
      <c r="HP123" s="11"/>
      <c r="HQ123" s="11"/>
      <c r="HR123" s="11"/>
      <c r="HS123" s="11"/>
      <c r="HT123" s="11"/>
      <c r="HU123" s="11"/>
      <c r="HV123" s="11"/>
      <c r="HW123" s="11"/>
      <c r="HX123" s="11"/>
      <c r="HY123" s="11"/>
      <c r="HZ123" s="11"/>
      <c r="IA123" s="11"/>
      <c r="IB123" s="11"/>
      <c r="IC123" s="11"/>
      <c r="ID123" s="11"/>
      <c r="IE123" s="11"/>
      <c r="IF123" s="11"/>
      <c r="IG123" s="11"/>
      <c r="IH123" s="11"/>
      <c r="II123" s="11"/>
      <c r="IJ123" s="11"/>
      <c r="IK123" s="11"/>
      <c r="IL123" s="11"/>
      <c r="IM123" s="11"/>
      <c r="IN123" s="11"/>
      <c r="IO123" s="11"/>
      <c r="IP123" s="11"/>
    </row>
    <row r="124" customFormat="false" ht="16.5" hidden="false" customHeight="false" outlineLevel="0" collapsed="false">
      <c r="A124" s="230"/>
      <c r="B124" s="230"/>
      <c r="C124" s="230"/>
      <c r="D124" s="230"/>
      <c r="E124" s="230"/>
      <c r="F124" s="230"/>
      <c r="G124" s="230"/>
      <c r="H124" s="230"/>
      <c r="I124" s="230"/>
      <c r="J124" s="230"/>
      <c r="K124" s="230"/>
      <c r="L124" s="230"/>
      <c r="M124" s="230"/>
      <c r="N124" s="231"/>
      <c r="O124" s="230"/>
      <c r="P124" s="230"/>
      <c r="Q124" s="230"/>
      <c r="R124" s="230"/>
      <c r="S124" s="230"/>
      <c r="T124" s="230"/>
      <c r="U124" s="232"/>
      <c r="V124" s="230"/>
      <c r="W124" s="230"/>
      <c r="X124" s="233"/>
      <c r="Y124" s="233"/>
      <c r="Z124" s="230"/>
      <c r="AA124" s="230"/>
      <c r="AB124" s="230"/>
      <c r="AC124" s="230"/>
      <c r="AD124" s="230"/>
      <c r="AE124" s="230"/>
      <c r="AF124" s="129"/>
      <c r="AG124" s="129"/>
      <c r="AH124" s="230"/>
      <c r="AI124" s="230"/>
      <c r="AJ124" s="230"/>
      <c r="AK124" s="230"/>
      <c r="AL124" s="230"/>
      <c r="AM124" s="230"/>
      <c r="AN124" s="230"/>
      <c r="AO124" s="230"/>
      <c r="AP124" s="230"/>
      <c r="AQ124" s="230"/>
      <c r="AR124" s="230"/>
      <c r="AS124" s="230"/>
      <c r="AT124" s="230"/>
      <c r="AU124" s="230"/>
      <c r="AV124" s="230"/>
      <c r="AW124" s="230"/>
      <c r="AX124" s="230"/>
      <c r="AY124" s="230"/>
      <c r="AZ124" s="230"/>
      <c r="BA124" s="230"/>
      <c r="BB124" s="230"/>
      <c r="BC124" s="230"/>
      <c r="BD124" s="230"/>
      <c r="BE124" s="230"/>
      <c r="BF124" s="230"/>
      <c r="BG124" s="230"/>
      <c r="BH124" s="230"/>
      <c r="BI124" s="230"/>
      <c r="BJ124" s="230"/>
      <c r="BK124" s="230"/>
      <c r="BL124" s="230"/>
      <c r="BM124" s="230"/>
      <c r="BN124" s="230"/>
      <c r="BO124" s="230"/>
      <c r="BP124" s="230"/>
      <c r="BQ124" s="230"/>
      <c r="BR124" s="230"/>
      <c r="BS124" s="230"/>
      <c r="BT124" s="230"/>
      <c r="BU124" s="230"/>
      <c r="BV124" s="230"/>
      <c r="BW124" s="230"/>
      <c r="BX124" s="230"/>
      <c r="BY124" s="230"/>
      <c r="BZ124" s="230"/>
      <c r="CA124" s="230"/>
      <c r="CB124" s="230"/>
      <c r="CC124" s="230"/>
      <c r="CD124" s="230"/>
      <c r="CE124" s="230"/>
      <c r="CF124" s="230"/>
      <c r="CG124" s="230"/>
      <c r="CH124" s="230"/>
      <c r="CI124" s="230"/>
      <c r="CJ124" s="230"/>
      <c r="CK124" s="230"/>
      <c r="CL124" s="230"/>
      <c r="CM124" s="230"/>
      <c r="CN124" s="230"/>
      <c r="CO124" s="230"/>
      <c r="CP124" s="230"/>
      <c r="CQ124" s="230"/>
      <c r="CR124" s="230"/>
      <c r="CS124" s="230"/>
      <c r="CT124" s="230"/>
      <c r="CU124" s="230"/>
      <c r="CV124" s="230"/>
      <c r="CW124" s="230"/>
      <c r="CX124" s="230"/>
      <c r="CY124" s="230"/>
      <c r="CZ124" s="230"/>
      <c r="DA124" s="230"/>
      <c r="DB124" s="230"/>
      <c r="DC124" s="230"/>
      <c r="DD124" s="230"/>
      <c r="DE124" s="230"/>
      <c r="DF124" s="230"/>
      <c r="DG124" s="230"/>
      <c r="DH124" s="230"/>
      <c r="DI124" s="230"/>
      <c r="DJ124" s="230"/>
      <c r="DK124" s="230"/>
      <c r="DL124" s="230"/>
      <c r="DM124" s="230"/>
      <c r="DN124" s="230"/>
      <c r="DO124" s="230"/>
      <c r="DP124" s="230"/>
      <c r="DQ124" s="230"/>
      <c r="DR124" s="230"/>
      <c r="DS124" s="230"/>
      <c r="DT124" s="230"/>
      <c r="DU124" s="230"/>
      <c r="DV124" s="230"/>
      <c r="DW124" s="230"/>
      <c r="DX124" s="230"/>
      <c r="DY124" s="230"/>
      <c r="DZ124" s="230"/>
      <c r="EA124" s="230"/>
      <c r="EB124" s="230"/>
      <c r="EC124" s="230"/>
      <c r="ED124" s="230"/>
      <c r="EE124" s="230"/>
      <c r="EF124" s="230"/>
      <c r="EG124" s="230"/>
      <c r="EH124" s="230"/>
      <c r="EI124" s="230"/>
      <c r="EJ124" s="230"/>
      <c r="EK124" s="230"/>
      <c r="EL124" s="230"/>
      <c r="EM124" s="230"/>
      <c r="EN124" s="230"/>
      <c r="EO124" s="230"/>
      <c r="EP124" s="230"/>
      <c r="EQ124" s="230"/>
      <c r="ER124" s="230"/>
      <c r="ES124" s="230"/>
      <c r="ET124" s="230"/>
      <c r="EU124" s="230"/>
      <c r="EV124" s="230"/>
      <c r="EW124" s="230"/>
      <c r="EX124" s="230"/>
      <c r="EY124" s="230"/>
      <c r="EZ124" s="230"/>
      <c r="FA124" s="230"/>
      <c r="FB124" s="230"/>
      <c r="FC124" s="230"/>
      <c r="FD124" s="230"/>
      <c r="FE124" s="230"/>
      <c r="FF124" s="230"/>
      <c r="FG124" s="230"/>
      <c r="FH124" s="230"/>
      <c r="FI124" s="230"/>
      <c r="FJ124" s="230"/>
      <c r="FK124" s="230"/>
      <c r="FL124" s="230"/>
      <c r="FM124" s="230"/>
      <c r="FN124" s="230"/>
      <c r="FO124" s="230"/>
      <c r="FP124" s="230"/>
      <c r="FQ124" s="230"/>
      <c r="FR124" s="230"/>
      <c r="FS124" s="230"/>
      <c r="FT124" s="230"/>
      <c r="FU124" s="230"/>
      <c r="FV124" s="230"/>
      <c r="FW124" s="230"/>
      <c r="FX124" s="230"/>
      <c r="FY124" s="230"/>
      <c r="FZ124" s="230"/>
      <c r="GA124" s="230"/>
      <c r="GB124" s="230"/>
      <c r="GC124" s="230"/>
      <c r="GD124" s="230"/>
      <c r="GE124" s="230"/>
      <c r="GF124" s="230"/>
      <c r="GG124" s="230"/>
      <c r="GH124" s="230"/>
      <c r="GI124" s="230"/>
      <c r="GJ124" s="230"/>
      <c r="GK124" s="230"/>
      <c r="GL124" s="230"/>
      <c r="GM124" s="230"/>
      <c r="GN124" s="230"/>
      <c r="GO124" s="230"/>
      <c r="GP124" s="230"/>
      <c r="GQ124" s="230"/>
      <c r="GR124" s="230"/>
      <c r="GS124" s="230"/>
      <c r="GT124" s="230"/>
      <c r="GU124" s="230"/>
      <c r="GV124" s="230"/>
      <c r="GW124" s="230"/>
      <c r="GX124" s="230"/>
      <c r="GY124" s="230"/>
      <c r="GZ124" s="230"/>
      <c r="HA124" s="230"/>
      <c r="HB124" s="230"/>
      <c r="HC124" s="230"/>
      <c r="HD124" s="230"/>
      <c r="HE124" s="230"/>
      <c r="HF124" s="230"/>
      <c r="HG124" s="230"/>
      <c r="HH124" s="230"/>
      <c r="HI124" s="230"/>
      <c r="HJ124" s="230"/>
      <c r="HK124" s="230"/>
      <c r="HL124" s="230"/>
      <c r="HM124" s="230"/>
      <c r="HN124" s="230"/>
      <c r="HO124" s="230"/>
      <c r="HP124" s="230"/>
      <c r="HQ124" s="230"/>
      <c r="HR124" s="230"/>
      <c r="HS124" s="230"/>
      <c r="HT124" s="230"/>
      <c r="HU124" s="230"/>
      <c r="HV124" s="230"/>
      <c r="HW124" s="230"/>
      <c r="HX124" s="230"/>
      <c r="HY124" s="230"/>
      <c r="HZ124" s="230"/>
      <c r="IA124" s="230"/>
      <c r="IB124" s="230"/>
      <c r="IC124" s="230"/>
      <c r="ID124" s="230"/>
      <c r="IE124" s="230"/>
      <c r="IF124" s="230"/>
      <c r="IG124" s="230"/>
      <c r="IH124" s="230"/>
      <c r="II124" s="230"/>
      <c r="IJ124" s="230"/>
      <c r="IK124" s="230"/>
      <c r="IL124" s="230"/>
      <c r="IM124" s="230"/>
      <c r="IN124" s="230"/>
      <c r="IO124" s="230"/>
      <c r="IP124" s="230"/>
      <c r="IQ124" s="230"/>
      <c r="IR124" s="230"/>
      <c r="IS124" s="230"/>
      <c r="IT124" s="230"/>
      <c r="IU124" s="230"/>
      <c r="IV124" s="230"/>
      <c r="IW124" s="230"/>
    </row>
    <row r="125" customFormat="false" ht="16.5" hidden="false" customHeight="false" outlineLevel="0" collapsed="false">
      <c r="A125" s="230"/>
      <c r="B125" s="230"/>
      <c r="C125" s="230"/>
      <c r="D125" s="230"/>
      <c r="E125" s="230"/>
      <c r="F125" s="230"/>
      <c r="G125" s="230"/>
      <c r="H125" s="230"/>
      <c r="I125" s="230"/>
      <c r="J125" s="230"/>
      <c r="K125" s="230"/>
      <c r="L125" s="230"/>
      <c r="M125" s="230"/>
      <c r="N125" s="231"/>
      <c r="O125" s="230"/>
      <c r="P125" s="230"/>
      <c r="Q125" s="230"/>
      <c r="R125" s="230"/>
      <c r="S125" s="230"/>
      <c r="T125" s="230"/>
      <c r="U125" s="232"/>
      <c r="V125" s="230"/>
      <c r="W125" s="230"/>
      <c r="X125" s="230"/>
      <c r="Y125" s="230"/>
      <c r="Z125" s="230"/>
      <c r="AA125" s="230"/>
      <c r="AB125" s="230"/>
      <c r="AC125" s="230"/>
      <c r="AD125" s="230"/>
      <c r="AE125" s="230"/>
      <c r="AF125" s="129"/>
      <c r="AG125" s="129"/>
      <c r="AH125" s="230"/>
      <c r="AI125" s="230"/>
      <c r="AJ125" s="230"/>
      <c r="AK125" s="230"/>
      <c r="AL125" s="230"/>
      <c r="AM125" s="230"/>
      <c r="AN125" s="230"/>
      <c r="AO125" s="230"/>
      <c r="AP125" s="230"/>
      <c r="AQ125" s="230"/>
      <c r="AR125" s="230"/>
      <c r="AS125" s="230"/>
      <c r="AT125" s="230"/>
      <c r="AU125" s="230"/>
      <c r="AV125" s="230"/>
      <c r="AW125" s="230"/>
      <c r="AX125" s="230"/>
      <c r="AY125" s="230"/>
      <c r="AZ125" s="230"/>
      <c r="BA125" s="230"/>
      <c r="BB125" s="230"/>
      <c r="BC125" s="230"/>
      <c r="BD125" s="230"/>
      <c r="BE125" s="230"/>
      <c r="BF125" s="230"/>
      <c r="BG125" s="230"/>
      <c r="BH125" s="230"/>
      <c r="BI125" s="230"/>
      <c r="BJ125" s="230"/>
      <c r="BK125" s="230"/>
      <c r="BL125" s="230"/>
      <c r="BM125" s="230"/>
      <c r="BN125" s="230"/>
      <c r="BO125" s="230"/>
      <c r="BP125" s="230"/>
      <c r="BQ125" s="230"/>
      <c r="BR125" s="230"/>
      <c r="BS125" s="230"/>
      <c r="BT125" s="230"/>
      <c r="BU125" s="230"/>
      <c r="BV125" s="230"/>
      <c r="BW125" s="230"/>
      <c r="BX125" s="230"/>
      <c r="BY125" s="230"/>
      <c r="BZ125" s="230"/>
      <c r="CA125" s="230"/>
      <c r="CB125" s="230"/>
      <c r="CC125" s="230"/>
      <c r="CD125" s="230"/>
      <c r="CE125" s="230"/>
      <c r="CF125" s="230"/>
      <c r="CG125" s="230"/>
      <c r="CH125" s="230"/>
      <c r="CI125" s="230"/>
      <c r="CJ125" s="230"/>
      <c r="CK125" s="230"/>
      <c r="CL125" s="230"/>
      <c r="CM125" s="230"/>
      <c r="CN125" s="230"/>
      <c r="CO125" s="230"/>
      <c r="CP125" s="230"/>
      <c r="CQ125" s="230"/>
      <c r="CR125" s="230"/>
      <c r="CS125" s="230"/>
      <c r="CT125" s="230"/>
      <c r="CU125" s="230"/>
      <c r="CV125" s="230"/>
      <c r="CW125" s="230"/>
      <c r="CX125" s="230"/>
      <c r="CY125" s="230"/>
      <c r="CZ125" s="230"/>
      <c r="DA125" s="230"/>
      <c r="DB125" s="230"/>
      <c r="DC125" s="230"/>
      <c r="DD125" s="230"/>
      <c r="DE125" s="230"/>
      <c r="DF125" s="230"/>
      <c r="DG125" s="230"/>
      <c r="DH125" s="230"/>
      <c r="DI125" s="230"/>
      <c r="DJ125" s="230"/>
      <c r="DK125" s="230"/>
      <c r="DL125" s="230"/>
      <c r="DM125" s="230"/>
      <c r="DN125" s="230"/>
      <c r="DO125" s="230"/>
      <c r="DP125" s="230"/>
      <c r="DQ125" s="230"/>
      <c r="DR125" s="230"/>
      <c r="DS125" s="230"/>
      <c r="DT125" s="230"/>
      <c r="DU125" s="230"/>
      <c r="DV125" s="230"/>
      <c r="DW125" s="230"/>
      <c r="DX125" s="230"/>
      <c r="DY125" s="230"/>
      <c r="DZ125" s="230"/>
      <c r="EA125" s="230"/>
      <c r="EB125" s="230"/>
      <c r="EC125" s="230"/>
      <c r="ED125" s="230"/>
      <c r="EE125" s="230"/>
      <c r="EF125" s="230"/>
      <c r="EG125" s="230"/>
      <c r="EH125" s="230"/>
      <c r="EI125" s="230"/>
      <c r="EJ125" s="230"/>
      <c r="EK125" s="230"/>
      <c r="EL125" s="230"/>
      <c r="EM125" s="230"/>
      <c r="EN125" s="230"/>
      <c r="EO125" s="230"/>
      <c r="EP125" s="230"/>
      <c r="EQ125" s="230"/>
      <c r="ER125" s="230"/>
      <c r="ES125" s="230"/>
      <c r="ET125" s="230"/>
      <c r="EU125" s="230"/>
      <c r="EV125" s="230"/>
      <c r="EW125" s="230"/>
      <c r="EX125" s="230"/>
      <c r="EY125" s="230"/>
      <c r="EZ125" s="230"/>
      <c r="FA125" s="230"/>
      <c r="FB125" s="230"/>
      <c r="FC125" s="230"/>
      <c r="FD125" s="230"/>
      <c r="FE125" s="230"/>
      <c r="FF125" s="230"/>
      <c r="FG125" s="230"/>
      <c r="FH125" s="230"/>
      <c r="FI125" s="230"/>
      <c r="FJ125" s="230"/>
      <c r="FK125" s="230"/>
      <c r="FL125" s="230"/>
      <c r="FM125" s="230"/>
      <c r="FN125" s="230"/>
      <c r="FO125" s="230"/>
      <c r="FP125" s="230"/>
      <c r="FQ125" s="230"/>
      <c r="FR125" s="230"/>
      <c r="FS125" s="230"/>
      <c r="FT125" s="230"/>
      <c r="FU125" s="230"/>
      <c r="FV125" s="230"/>
      <c r="FW125" s="230"/>
      <c r="FX125" s="230"/>
      <c r="FY125" s="230"/>
      <c r="FZ125" s="230"/>
      <c r="GA125" s="230"/>
      <c r="GB125" s="230"/>
      <c r="GC125" s="230"/>
      <c r="GD125" s="230"/>
      <c r="GE125" s="230"/>
      <c r="GF125" s="230"/>
      <c r="GG125" s="230"/>
      <c r="GH125" s="230"/>
      <c r="GI125" s="230"/>
      <c r="GJ125" s="230"/>
      <c r="GK125" s="230"/>
      <c r="GL125" s="230"/>
      <c r="GM125" s="230"/>
      <c r="GN125" s="230"/>
      <c r="GO125" s="230"/>
      <c r="GP125" s="230"/>
      <c r="GQ125" s="230"/>
      <c r="GR125" s="230"/>
      <c r="GS125" s="230"/>
      <c r="GT125" s="230"/>
      <c r="GU125" s="230"/>
      <c r="GV125" s="230"/>
      <c r="GW125" s="230"/>
      <c r="GX125" s="230"/>
      <c r="GY125" s="230"/>
      <c r="GZ125" s="230"/>
      <c r="HA125" s="230"/>
      <c r="HB125" s="230"/>
      <c r="HC125" s="230"/>
      <c r="HD125" s="230"/>
      <c r="HE125" s="230"/>
      <c r="HF125" s="230"/>
      <c r="HG125" s="230"/>
      <c r="HH125" s="230"/>
      <c r="HI125" s="230"/>
      <c r="HJ125" s="230"/>
      <c r="HK125" s="230"/>
      <c r="HL125" s="230"/>
      <c r="HM125" s="230"/>
      <c r="HN125" s="230"/>
      <c r="HO125" s="230"/>
      <c r="HP125" s="230"/>
      <c r="HQ125" s="230"/>
      <c r="HR125" s="230"/>
      <c r="HS125" s="230"/>
      <c r="HT125" s="230"/>
      <c r="HU125" s="230"/>
      <c r="HV125" s="230"/>
      <c r="HW125" s="230"/>
      <c r="HX125" s="230"/>
      <c r="HY125" s="230"/>
      <c r="HZ125" s="230"/>
      <c r="IA125" s="230"/>
      <c r="IB125" s="230"/>
      <c r="IC125" s="230"/>
      <c r="ID125" s="230"/>
      <c r="IE125" s="230"/>
      <c r="IF125" s="230"/>
      <c r="IG125" s="230"/>
      <c r="IH125" s="230"/>
      <c r="II125" s="230"/>
      <c r="IJ125" s="230"/>
      <c r="IK125" s="230"/>
      <c r="IL125" s="230"/>
      <c r="IM125" s="230"/>
      <c r="IN125" s="230"/>
      <c r="IO125" s="230"/>
      <c r="IP125" s="230"/>
      <c r="IQ125" s="230"/>
      <c r="IR125" s="230"/>
      <c r="IS125" s="230"/>
      <c r="IT125" s="230"/>
      <c r="IU125" s="230"/>
      <c r="IV125" s="230"/>
      <c r="IW125" s="230"/>
    </row>
    <row r="126" customFormat="false" ht="16.5" hidden="false" customHeight="false" outlineLevel="0" collapsed="false">
      <c r="A126" s="230"/>
      <c r="B126" s="230"/>
      <c r="C126" s="230"/>
      <c r="D126" s="230"/>
      <c r="E126" s="230"/>
      <c r="F126" s="230"/>
      <c r="G126" s="230"/>
      <c r="H126" s="230"/>
      <c r="I126" s="230"/>
      <c r="J126" s="230"/>
      <c r="K126" s="230"/>
      <c r="L126" s="230"/>
      <c r="M126" s="230"/>
      <c r="N126" s="231"/>
      <c r="O126" s="230"/>
      <c r="P126" s="230"/>
      <c r="Q126" s="230"/>
      <c r="R126" s="230"/>
      <c r="S126" s="230"/>
      <c r="T126" s="230"/>
      <c r="U126" s="232"/>
      <c r="V126" s="230"/>
      <c r="W126" s="230"/>
      <c r="X126" s="230"/>
      <c r="Y126" s="230"/>
      <c r="Z126" s="230"/>
      <c r="AA126" s="230"/>
      <c r="AB126" s="230"/>
      <c r="AC126" s="230"/>
      <c r="AD126" s="230"/>
      <c r="AE126" s="230"/>
      <c r="AF126" s="129"/>
      <c r="AG126" s="129"/>
      <c r="AH126" s="230"/>
      <c r="AI126" s="230"/>
      <c r="AJ126" s="230"/>
      <c r="AK126" s="230"/>
      <c r="AL126" s="230"/>
      <c r="AM126" s="230"/>
      <c r="AN126" s="230"/>
      <c r="AO126" s="230"/>
      <c r="AP126" s="230"/>
      <c r="AQ126" s="230"/>
      <c r="AR126" s="230"/>
      <c r="AS126" s="230"/>
      <c r="AT126" s="230"/>
      <c r="AU126" s="230"/>
      <c r="AV126" s="230"/>
      <c r="AW126" s="230"/>
      <c r="AX126" s="230"/>
      <c r="AY126" s="230"/>
      <c r="AZ126" s="230"/>
      <c r="BA126" s="230"/>
      <c r="BB126" s="230"/>
      <c r="BC126" s="230"/>
      <c r="BD126" s="230"/>
      <c r="BE126" s="230"/>
      <c r="BF126" s="230"/>
      <c r="BG126" s="230"/>
      <c r="BH126" s="230"/>
      <c r="BI126" s="230"/>
      <c r="BJ126" s="230"/>
      <c r="BK126" s="230"/>
      <c r="BL126" s="230"/>
      <c r="BM126" s="230"/>
      <c r="BN126" s="230"/>
      <c r="BO126" s="230"/>
      <c r="BP126" s="230"/>
      <c r="BQ126" s="230"/>
      <c r="BR126" s="230"/>
      <c r="BS126" s="230"/>
      <c r="BT126" s="230"/>
      <c r="BU126" s="230"/>
      <c r="BV126" s="230"/>
      <c r="BW126" s="230"/>
      <c r="BX126" s="230"/>
      <c r="BY126" s="230"/>
      <c r="BZ126" s="230"/>
      <c r="CA126" s="230"/>
      <c r="CB126" s="230"/>
      <c r="CC126" s="230"/>
      <c r="CD126" s="230"/>
      <c r="CE126" s="230"/>
      <c r="CF126" s="230"/>
      <c r="CG126" s="230"/>
      <c r="CH126" s="230"/>
      <c r="CI126" s="230"/>
      <c r="CJ126" s="230"/>
      <c r="CK126" s="230"/>
      <c r="CL126" s="230"/>
      <c r="CM126" s="230"/>
      <c r="CN126" s="230"/>
      <c r="CO126" s="230"/>
      <c r="CP126" s="230"/>
      <c r="CQ126" s="230"/>
      <c r="CR126" s="230"/>
      <c r="CS126" s="230"/>
      <c r="CT126" s="230"/>
      <c r="CU126" s="230"/>
      <c r="CV126" s="230"/>
      <c r="CW126" s="230"/>
      <c r="CX126" s="230"/>
      <c r="CY126" s="230"/>
      <c r="CZ126" s="230"/>
      <c r="DA126" s="230"/>
      <c r="DB126" s="230"/>
      <c r="DC126" s="230"/>
      <c r="DD126" s="230"/>
      <c r="DE126" s="230"/>
      <c r="DF126" s="230"/>
      <c r="DG126" s="230"/>
      <c r="DH126" s="230"/>
      <c r="DI126" s="230"/>
      <c r="DJ126" s="230"/>
      <c r="DK126" s="230"/>
      <c r="DL126" s="230"/>
      <c r="DM126" s="230"/>
      <c r="DN126" s="230"/>
      <c r="DO126" s="230"/>
      <c r="DP126" s="230"/>
      <c r="DQ126" s="230"/>
      <c r="DR126" s="230"/>
      <c r="DS126" s="230"/>
      <c r="DT126" s="230"/>
      <c r="DU126" s="230"/>
      <c r="DV126" s="230"/>
      <c r="DW126" s="230"/>
      <c r="DX126" s="230"/>
      <c r="DY126" s="230"/>
      <c r="DZ126" s="230"/>
      <c r="EA126" s="230"/>
      <c r="EB126" s="230"/>
      <c r="EC126" s="230"/>
      <c r="ED126" s="230"/>
      <c r="EE126" s="230"/>
      <c r="EF126" s="230"/>
      <c r="EG126" s="230"/>
      <c r="EH126" s="230"/>
      <c r="EI126" s="230"/>
      <c r="EJ126" s="230"/>
      <c r="EK126" s="230"/>
      <c r="EL126" s="230"/>
      <c r="EM126" s="230"/>
      <c r="EN126" s="230"/>
      <c r="EO126" s="230"/>
      <c r="EP126" s="230"/>
      <c r="EQ126" s="230"/>
      <c r="ER126" s="230"/>
      <c r="ES126" s="230"/>
      <c r="ET126" s="230"/>
      <c r="EU126" s="230"/>
      <c r="EV126" s="230"/>
      <c r="EW126" s="230"/>
      <c r="EX126" s="230"/>
      <c r="EY126" s="230"/>
      <c r="EZ126" s="230"/>
      <c r="FA126" s="230"/>
      <c r="FB126" s="230"/>
      <c r="FC126" s="230"/>
      <c r="FD126" s="230"/>
      <c r="FE126" s="230"/>
      <c r="FF126" s="230"/>
      <c r="FG126" s="230"/>
      <c r="FH126" s="230"/>
      <c r="FI126" s="230"/>
      <c r="FJ126" s="230"/>
      <c r="FK126" s="230"/>
      <c r="FL126" s="230"/>
      <c r="FM126" s="230"/>
      <c r="FN126" s="230"/>
      <c r="FO126" s="230"/>
      <c r="FP126" s="230"/>
      <c r="FQ126" s="230"/>
      <c r="FR126" s="230"/>
      <c r="FS126" s="230"/>
      <c r="FT126" s="230"/>
      <c r="FU126" s="230"/>
      <c r="FV126" s="230"/>
      <c r="FW126" s="230"/>
      <c r="FX126" s="230"/>
      <c r="FY126" s="230"/>
      <c r="FZ126" s="230"/>
      <c r="GA126" s="230"/>
      <c r="GB126" s="230"/>
      <c r="GC126" s="230"/>
      <c r="GD126" s="230"/>
      <c r="GE126" s="230"/>
      <c r="GF126" s="230"/>
      <c r="GG126" s="230"/>
      <c r="GH126" s="230"/>
      <c r="GI126" s="230"/>
      <c r="GJ126" s="230"/>
      <c r="GK126" s="230"/>
      <c r="GL126" s="230"/>
      <c r="GM126" s="230"/>
      <c r="GN126" s="230"/>
      <c r="GO126" s="230"/>
      <c r="GP126" s="230"/>
      <c r="GQ126" s="230"/>
      <c r="GR126" s="230"/>
      <c r="GS126" s="230"/>
      <c r="GT126" s="230"/>
      <c r="GU126" s="230"/>
      <c r="GV126" s="230"/>
      <c r="GW126" s="230"/>
      <c r="GX126" s="230"/>
      <c r="GY126" s="230"/>
      <c r="GZ126" s="230"/>
      <c r="HA126" s="230"/>
      <c r="HB126" s="230"/>
      <c r="HC126" s="230"/>
      <c r="HD126" s="230"/>
      <c r="HE126" s="230"/>
      <c r="HF126" s="230"/>
      <c r="HG126" s="230"/>
      <c r="HH126" s="230"/>
      <c r="HI126" s="230"/>
      <c r="HJ126" s="230"/>
      <c r="HK126" s="230"/>
      <c r="HL126" s="230"/>
      <c r="HM126" s="230"/>
      <c r="HN126" s="230"/>
      <c r="HO126" s="230"/>
      <c r="HP126" s="230"/>
      <c r="HQ126" s="230"/>
      <c r="HR126" s="230"/>
      <c r="HS126" s="230"/>
      <c r="HT126" s="230"/>
      <c r="HU126" s="230"/>
      <c r="HV126" s="230"/>
      <c r="HW126" s="230"/>
      <c r="HX126" s="230"/>
      <c r="HY126" s="230"/>
      <c r="HZ126" s="230"/>
      <c r="IA126" s="230"/>
      <c r="IB126" s="230"/>
      <c r="IC126" s="230"/>
      <c r="ID126" s="230"/>
      <c r="IE126" s="230"/>
      <c r="IF126" s="230"/>
      <c r="IG126" s="230"/>
      <c r="IH126" s="230"/>
      <c r="II126" s="230"/>
      <c r="IJ126" s="230"/>
      <c r="IK126" s="230"/>
      <c r="IL126" s="230"/>
      <c r="IM126" s="230"/>
      <c r="IN126" s="230"/>
      <c r="IO126" s="230"/>
      <c r="IP126" s="230"/>
      <c r="IQ126" s="230"/>
      <c r="IR126" s="230"/>
      <c r="IS126" s="230"/>
      <c r="IT126" s="230"/>
      <c r="IU126" s="230"/>
      <c r="IV126" s="230"/>
      <c r="IW126" s="230"/>
    </row>
    <row r="127" customFormat="false" ht="16.5" hidden="false" customHeight="false" outlineLevel="0" collapsed="false">
      <c r="A127" s="230"/>
      <c r="B127" s="230"/>
      <c r="C127" s="230"/>
      <c r="D127" s="230"/>
      <c r="E127" s="230"/>
      <c r="F127" s="230"/>
      <c r="G127" s="230"/>
      <c r="H127" s="230"/>
      <c r="I127" s="230"/>
      <c r="J127" s="230"/>
      <c r="K127" s="230"/>
      <c r="L127" s="230"/>
      <c r="M127" s="230"/>
      <c r="N127" s="231"/>
      <c r="O127" s="230"/>
      <c r="P127" s="230"/>
      <c r="Q127" s="230"/>
      <c r="R127" s="230"/>
      <c r="S127" s="230"/>
      <c r="T127" s="230"/>
      <c r="U127" s="232"/>
      <c r="V127" s="230"/>
      <c r="W127" s="230"/>
      <c r="X127" s="230"/>
      <c r="Y127" s="230"/>
      <c r="Z127" s="230"/>
      <c r="AA127" s="230"/>
      <c r="AB127" s="230"/>
      <c r="AC127" s="230"/>
      <c r="AD127" s="230"/>
      <c r="AE127" s="230"/>
      <c r="AF127" s="129"/>
      <c r="AG127" s="129"/>
      <c r="AH127" s="230"/>
      <c r="AI127" s="230"/>
      <c r="AJ127" s="230"/>
      <c r="AK127" s="230"/>
      <c r="AL127" s="230"/>
      <c r="AM127" s="230"/>
      <c r="AN127" s="230"/>
      <c r="AO127" s="230"/>
      <c r="AP127" s="230"/>
      <c r="AQ127" s="230"/>
      <c r="AR127" s="230"/>
      <c r="AS127" s="230"/>
      <c r="AT127" s="230"/>
      <c r="AU127" s="230"/>
      <c r="AV127" s="230"/>
      <c r="AW127" s="230"/>
      <c r="AX127" s="230"/>
      <c r="AY127" s="230"/>
      <c r="AZ127" s="230"/>
      <c r="BA127" s="230"/>
      <c r="BB127" s="230"/>
      <c r="BC127" s="230"/>
      <c r="BD127" s="230"/>
      <c r="BE127" s="230"/>
      <c r="BF127" s="230"/>
      <c r="BG127" s="230"/>
      <c r="BH127" s="230"/>
      <c r="BI127" s="230"/>
      <c r="BJ127" s="230"/>
      <c r="BK127" s="230"/>
      <c r="BL127" s="230"/>
      <c r="BM127" s="230"/>
      <c r="BN127" s="230"/>
      <c r="BO127" s="230"/>
      <c r="BP127" s="230"/>
      <c r="BQ127" s="230"/>
      <c r="BR127" s="230"/>
      <c r="BS127" s="230"/>
      <c r="BT127" s="230"/>
      <c r="BU127" s="230"/>
      <c r="BV127" s="230"/>
      <c r="BW127" s="230"/>
      <c r="BX127" s="230"/>
      <c r="BY127" s="230"/>
      <c r="BZ127" s="230"/>
      <c r="CA127" s="230"/>
      <c r="CB127" s="230"/>
      <c r="CC127" s="230"/>
      <c r="CD127" s="230"/>
      <c r="CE127" s="230"/>
      <c r="CF127" s="230"/>
      <c r="CG127" s="230"/>
      <c r="CH127" s="230"/>
      <c r="CI127" s="230"/>
      <c r="CJ127" s="230"/>
      <c r="CK127" s="230"/>
      <c r="CL127" s="230"/>
      <c r="CM127" s="230"/>
      <c r="CN127" s="230"/>
      <c r="CO127" s="230"/>
      <c r="CP127" s="230"/>
      <c r="CQ127" s="230"/>
      <c r="CR127" s="230"/>
      <c r="CS127" s="230"/>
      <c r="CT127" s="230"/>
      <c r="CU127" s="230"/>
      <c r="CV127" s="230"/>
      <c r="CW127" s="230"/>
      <c r="CX127" s="230"/>
      <c r="CY127" s="230"/>
      <c r="CZ127" s="230"/>
      <c r="DA127" s="230"/>
      <c r="DB127" s="230"/>
      <c r="DC127" s="230"/>
      <c r="DD127" s="230"/>
      <c r="DE127" s="230"/>
      <c r="DF127" s="230"/>
      <c r="DG127" s="230"/>
      <c r="DH127" s="230"/>
      <c r="DI127" s="230"/>
      <c r="DJ127" s="230"/>
      <c r="DK127" s="230"/>
      <c r="DL127" s="230"/>
      <c r="DM127" s="230"/>
      <c r="DN127" s="230"/>
      <c r="DO127" s="230"/>
      <c r="DP127" s="230"/>
      <c r="DQ127" s="230"/>
      <c r="DR127" s="230"/>
      <c r="DS127" s="230"/>
      <c r="DT127" s="230"/>
      <c r="DU127" s="230"/>
      <c r="DV127" s="230"/>
      <c r="DW127" s="230"/>
      <c r="DX127" s="230"/>
      <c r="DY127" s="230"/>
      <c r="DZ127" s="230"/>
      <c r="EA127" s="230"/>
      <c r="EB127" s="230"/>
      <c r="EC127" s="230"/>
      <c r="ED127" s="230"/>
      <c r="EE127" s="230"/>
      <c r="EF127" s="230"/>
      <c r="EG127" s="230"/>
      <c r="EH127" s="230"/>
      <c r="EI127" s="230"/>
      <c r="EJ127" s="230"/>
      <c r="EK127" s="230"/>
      <c r="EL127" s="230"/>
      <c r="EM127" s="230"/>
      <c r="EN127" s="230"/>
      <c r="EO127" s="230"/>
      <c r="EP127" s="230"/>
      <c r="EQ127" s="230"/>
      <c r="ER127" s="230"/>
      <c r="ES127" s="230"/>
      <c r="ET127" s="230"/>
      <c r="EU127" s="230"/>
      <c r="EV127" s="230"/>
      <c r="EW127" s="230"/>
      <c r="EX127" s="230"/>
      <c r="EY127" s="230"/>
      <c r="EZ127" s="230"/>
      <c r="FA127" s="230"/>
      <c r="FB127" s="230"/>
      <c r="FC127" s="230"/>
      <c r="FD127" s="230"/>
      <c r="FE127" s="230"/>
      <c r="FF127" s="230"/>
      <c r="FG127" s="230"/>
      <c r="FH127" s="230"/>
      <c r="FI127" s="230"/>
      <c r="FJ127" s="230"/>
      <c r="FK127" s="230"/>
      <c r="FL127" s="230"/>
      <c r="FM127" s="230"/>
      <c r="FN127" s="230"/>
      <c r="FO127" s="230"/>
      <c r="FP127" s="230"/>
      <c r="FQ127" s="230"/>
      <c r="FR127" s="230"/>
      <c r="FS127" s="230"/>
      <c r="FT127" s="230"/>
      <c r="FU127" s="230"/>
      <c r="FV127" s="230"/>
      <c r="FW127" s="230"/>
      <c r="FX127" s="230"/>
      <c r="FY127" s="230"/>
      <c r="FZ127" s="230"/>
      <c r="GA127" s="230"/>
      <c r="GB127" s="230"/>
      <c r="GC127" s="230"/>
      <c r="GD127" s="230"/>
      <c r="GE127" s="230"/>
      <c r="GF127" s="230"/>
      <c r="GG127" s="230"/>
      <c r="GH127" s="230"/>
      <c r="GI127" s="230"/>
      <c r="GJ127" s="230"/>
      <c r="GK127" s="230"/>
      <c r="GL127" s="230"/>
      <c r="GM127" s="230"/>
      <c r="GN127" s="230"/>
      <c r="GO127" s="230"/>
      <c r="GP127" s="230"/>
      <c r="GQ127" s="230"/>
      <c r="GR127" s="230"/>
      <c r="GS127" s="230"/>
      <c r="GT127" s="230"/>
      <c r="GU127" s="230"/>
      <c r="GV127" s="230"/>
      <c r="GW127" s="230"/>
      <c r="GX127" s="230"/>
      <c r="GY127" s="230"/>
      <c r="GZ127" s="230"/>
      <c r="HA127" s="230"/>
      <c r="HB127" s="230"/>
      <c r="HC127" s="230"/>
      <c r="HD127" s="230"/>
      <c r="HE127" s="230"/>
      <c r="HF127" s="230"/>
      <c r="HG127" s="230"/>
      <c r="HH127" s="230"/>
      <c r="HI127" s="230"/>
      <c r="HJ127" s="230"/>
      <c r="HK127" s="230"/>
      <c r="HL127" s="230"/>
      <c r="HM127" s="230"/>
      <c r="HN127" s="230"/>
      <c r="HO127" s="230"/>
      <c r="HP127" s="230"/>
      <c r="HQ127" s="230"/>
      <c r="HR127" s="230"/>
      <c r="HS127" s="230"/>
      <c r="HT127" s="230"/>
      <c r="HU127" s="230"/>
      <c r="HV127" s="230"/>
      <c r="HW127" s="230"/>
      <c r="HX127" s="230"/>
      <c r="HY127" s="230"/>
      <c r="HZ127" s="230"/>
      <c r="IA127" s="230"/>
      <c r="IB127" s="230"/>
      <c r="IC127" s="230"/>
      <c r="ID127" s="230"/>
      <c r="IE127" s="230"/>
      <c r="IF127" s="230"/>
      <c r="IG127" s="230"/>
      <c r="IH127" s="230"/>
      <c r="II127" s="230"/>
      <c r="IJ127" s="230"/>
      <c r="IK127" s="230"/>
      <c r="IL127" s="230"/>
      <c r="IM127" s="230"/>
      <c r="IN127" s="230"/>
      <c r="IO127" s="230"/>
      <c r="IP127" s="230"/>
      <c r="IQ127" s="230"/>
      <c r="IR127" s="230"/>
      <c r="IS127" s="230"/>
      <c r="IT127" s="230"/>
      <c r="IU127" s="230"/>
      <c r="IV127" s="230"/>
      <c r="IW127" s="230"/>
    </row>
    <row r="128" customFormat="false" ht="16.5" hidden="false" customHeight="false" outlineLevel="0" collapsed="false">
      <c r="A128" s="230"/>
      <c r="B128" s="230"/>
      <c r="C128" s="230"/>
      <c r="D128" s="230"/>
      <c r="E128" s="230"/>
      <c r="F128" s="230"/>
      <c r="G128" s="230"/>
      <c r="H128" s="230"/>
      <c r="I128" s="230"/>
      <c r="J128" s="230"/>
      <c r="K128" s="230"/>
      <c r="L128" s="230"/>
      <c r="M128" s="230"/>
      <c r="N128" s="231"/>
      <c r="O128" s="230"/>
      <c r="P128" s="230"/>
      <c r="Q128" s="230"/>
      <c r="R128" s="230"/>
      <c r="S128" s="230"/>
      <c r="T128" s="230"/>
      <c r="U128" s="232"/>
      <c r="V128" s="230"/>
      <c r="W128" s="230"/>
      <c r="X128" s="230"/>
      <c r="Y128" s="230"/>
      <c r="Z128" s="230"/>
      <c r="AA128" s="230"/>
      <c r="AB128" s="230"/>
      <c r="AC128" s="230"/>
      <c r="AD128" s="230"/>
      <c r="AE128" s="230"/>
      <c r="AF128" s="129"/>
      <c r="AG128" s="129"/>
      <c r="AH128" s="230"/>
      <c r="AI128" s="230"/>
      <c r="AJ128" s="230"/>
      <c r="AK128" s="230"/>
      <c r="AL128" s="230"/>
      <c r="AM128" s="230"/>
      <c r="AN128" s="230"/>
      <c r="AO128" s="230"/>
      <c r="AP128" s="230"/>
      <c r="AQ128" s="230"/>
      <c r="AR128" s="230"/>
      <c r="AS128" s="230"/>
      <c r="AT128" s="230"/>
      <c r="AU128" s="230"/>
      <c r="AV128" s="230"/>
      <c r="AW128" s="230"/>
      <c r="AX128" s="230"/>
      <c r="AY128" s="230"/>
      <c r="AZ128" s="230"/>
      <c r="BA128" s="230"/>
      <c r="BB128" s="230"/>
      <c r="BC128" s="230"/>
      <c r="BD128" s="230"/>
      <c r="BE128" s="230"/>
      <c r="BF128" s="230"/>
      <c r="BG128" s="230"/>
      <c r="BH128" s="230"/>
      <c r="BI128" s="230"/>
      <c r="BJ128" s="230"/>
      <c r="BK128" s="230"/>
      <c r="BL128" s="230"/>
      <c r="BM128" s="230"/>
      <c r="BN128" s="230"/>
      <c r="BO128" s="230"/>
      <c r="BP128" s="230"/>
      <c r="BQ128" s="230"/>
      <c r="BR128" s="230"/>
      <c r="BS128" s="230"/>
      <c r="BT128" s="230"/>
      <c r="BU128" s="230"/>
      <c r="BV128" s="230"/>
      <c r="BW128" s="230"/>
      <c r="BX128" s="230"/>
      <c r="BY128" s="230"/>
      <c r="BZ128" s="230"/>
      <c r="CA128" s="230"/>
      <c r="CB128" s="230"/>
      <c r="CC128" s="230"/>
      <c r="CD128" s="230"/>
      <c r="CE128" s="230"/>
      <c r="CF128" s="230"/>
      <c r="CG128" s="230"/>
      <c r="CH128" s="230"/>
      <c r="CI128" s="230"/>
      <c r="CJ128" s="230"/>
      <c r="CK128" s="230"/>
      <c r="CL128" s="230"/>
      <c r="CM128" s="230"/>
      <c r="CN128" s="230"/>
      <c r="CO128" s="230"/>
      <c r="CP128" s="230"/>
      <c r="CQ128" s="230"/>
      <c r="CR128" s="230"/>
      <c r="CS128" s="230"/>
      <c r="CT128" s="230"/>
      <c r="CU128" s="230"/>
      <c r="CV128" s="230"/>
      <c r="CW128" s="230"/>
      <c r="CX128" s="230"/>
      <c r="CY128" s="230"/>
      <c r="CZ128" s="230"/>
      <c r="DA128" s="230"/>
      <c r="DB128" s="230"/>
      <c r="DC128" s="230"/>
      <c r="DD128" s="230"/>
      <c r="DE128" s="230"/>
      <c r="DF128" s="230"/>
      <c r="DG128" s="230"/>
      <c r="DH128" s="230"/>
      <c r="DI128" s="230"/>
      <c r="DJ128" s="230"/>
      <c r="DK128" s="230"/>
      <c r="DL128" s="230"/>
      <c r="DM128" s="230"/>
      <c r="DN128" s="230"/>
      <c r="DO128" s="230"/>
      <c r="DP128" s="230"/>
      <c r="DQ128" s="230"/>
      <c r="DR128" s="230"/>
      <c r="DS128" s="230"/>
      <c r="DT128" s="230"/>
      <c r="DU128" s="230"/>
      <c r="DV128" s="230"/>
      <c r="DW128" s="230"/>
      <c r="DX128" s="230"/>
      <c r="DY128" s="230"/>
      <c r="DZ128" s="230"/>
      <c r="EA128" s="230"/>
      <c r="EB128" s="230"/>
      <c r="EC128" s="230"/>
      <c r="ED128" s="230"/>
      <c r="EE128" s="230"/>
      <c r="EF128" s="230"/>
      <c r="EG128" s="230"/>
      <c r="EH128" s="230"/>
      <c r="EI128" s="230"/>
      <c r="EJ128" s="230"/>
      <c r="EK128" s="230"/>
      <c r="EL128" s="230"/>
      <c r="EM128" s="230"/>
      <c r="EN128" s="230"/>
      <c r="EO128" s="230"/>
      <c r="EP128" s="230"/>
      <c r="EQ128" s="230"/>
      <c r="ER128" s="230"/>
      <c r="ES128" s="230"/>
      <c r="ET128" s="230"/>
      <c r="EU128" s="230"/>
      <c r="EV128" s="230"/>
      <c r="EW128" s="230"/>
      <c r="EX128" s="230"/>
      <c r="EY128" s="230"/>
      <c r="EZ128" s="230"/>
      <c r="FA128" s="230"/>
      <c r="FB128" s="230"/>
      <c r="FC128" s="230"/>
      <c r="FD128" s="230"/>
      <c r="FE128" s="230"/>
      <c r="FF128" s="230"/>
      <c r="FG128" s="230"/>
      <c r="FH128" s="230"/>
      <c r="FI128" s="230"/>
      <c r="FJ128" s="230"/>
      <c r="FK128" s="230"/>
      <c r="FL128" s="230"/>
      <c r="FM128" s="230"/>
      <c r="FN128" s="230"/>
      <c r="FO128" s="230"/>
      <c r="FP128" s="230"/>
      <c r="FQ128" s="230"/>
      <c r="FR128" s="230"/>
      <c r="FS128" s="230"/>
      <c r="FT128" s="230"/>
      <c r="FU128" s="230"/>
      <c r="FV128" s="230"/>
      <c r="FW128" s="230"/>
      <c r="FX128" s="230"/>
      <c r="FY128" s="230"/>
      <c r="FZ128" s="230"/>
      <c r="GA128" s="230"/>
      <c r="GB128" s="230"/>
      <c r="GC128" s="230"/>
      <c r="GD128" s="230"/>
      <c r="GE128" s="230"/>
      <c r="GF128" s="230"/>
      <c r="GG128" s="230"/>
      <c r="GH128" s="230"/>
      <c r="GI128" s="230"/>
      <c r="GJ128" s="230"/>
      <c r="GK128" s="230"/>
      <c r="GL128" s="230"/>
      <c r="GM128" s="230"/>
      <c r="GN128" s="230"/>
      <c r="GO128" s="230"/>
      <c r="GP128" s="230"/>
      <c r="GQ128" s="230"/>
      <c r="GR128" s="230"/>
      <c r="GS128" s="230"/>
      <c r="GT128" s="230"/>
      <c r="GU128" s="230"/>
      <c r="GV128" s="230"/>
      <c r="GW128" s="230"/>
      <c r="GX128" s="230"/>
      <c r="GY128" s="230"/>
      <c r="GZ128" s="230"/>
      <c r="HA128" s="230"/>
      <c r="HB128" s="230"/>
      <c r="HC128" s="230"/>
      <c r="HD128" s="230"/>
      <c r="HE128" s="230"/>
      <c r="HF128" s="230"/>
      <c r="HG128" s="230"/>
      <c r="HH128" s="230"/>
      <c r="HI128" s="230"/>
      <c r="HJ128" s="230"/>
      <c r="HK128" s="230"/>
      <c r="HL128" s="230"/>
      <c r="HM128" s="230"/>
      <c r="HN128" s="230"/>
      <c r="HO128" s="230"/>
      <c r="HP128" s="230"/>
      <c r="HQ128" s="230"/>
      <c r="HR128" s="230"/>
      <c r="HS128" s="230"/>
      <c r="HT128" s="230"/>
      <c r="HU128" s="230"/>
      <c r="HV128" s="230"/>
      <c r="HW128" s="230"/>
      <c r="HX128" s="230"/>
      <c r="HY128" s="230"/>
      <c r="HZ128" s="230"/>
      <c r="IA128" s="230"/>
      <c r="IB128" s="230"/>
      <c r="IC128" s="230"/>
      <c r="ID128" s="230"/>
      <c r="IE128" s="230"/>
      <c r="IF128" s="230"/>
      <c r="IG128" s="230"/>
      <c r="IH128" s="230"/>
      <c r="II128" s="230"/>
      <c r="IJ128" s="230"/>
      <c r="IK128" s="230"/>
      <c r="IL128" s="230"/>
      <c r="IM128" s="230"/>
      <c r="IN128" s="230"/>
      <c r="IO128" s="230"/>
      <c r="IP128" s="230"/>
      <c r="IQ128" s="230"/>
      <c r="IR128" s="230"/>
      <c r="IS128" s="230"/>
      <c r="IT128" s="230"/>
      <c r="IU128" s="230"/>
      <c r="IV128" s="230"/>
      <c r="IW128" s="230"/>
    </row>
    <row r="129" customFormat="false" ht="16.5" hidden="false" customHeight="false" outlineLevel="0" collapsed="false">
      <c r="A129" s="230"/>
      <c r="B129" s="230"/>
      <c r="C129" s="230"/>
      <c r="D129" s="230"/>
      <c r="E129" s="230"/>
      <c r="F129" s="230"/>
      <c r="G129" s="230"/>
      <c r="H129" s="230"/>
      <c r="I129" s="230"/>
      <c r="J129" s="230"/>
      <c r="K129" s="230"/>
      <c r="L129" s="230"/>
      <c r="M129" s="230"/>
      <c r="N129" s="231"/>
      <c r="O129" s="230"/>
      <c r="P129" s="230"/>
      <c r="Q129" s="230"/>
      <c r="R129" s="230"/>
      <c r="S129" s="230"/>
      <c r="T129" s="230"/>
      <c r="U129" s="232"/>
      <c r="V129" s="230"/>
      <c r="W129" s="230"/>
      <c r="X129" s="230"/>
      <c r="Y129" s="230"/>
      <c r="Z129" s="230"/>
      <c r="AA129" s="230"/>
      <c r="AB129" s="230"/>
      <c r="AC129" s="230"/>
      <c r="AD129" s="230"/>
      <c r="AE129" s="230"/>
      <c r="AF129" s="129"/>
      <c r="AG129" s="129"/>
      <c r="AH129" s="230"/>
      <c r="AI129" s="230"/>
      <c r="AJ129" s="230"/>
      <c r="AK129" s="230"/>
      <c r="AL129" s="230"/>
      <c r="AM129" s="230"/>
      <c r="AN129" s="230"/>
      <c r="AO129" s="230"/>
      <c r="AP129" s="230"/>
      <c r="AQ129" s="230"/>
      <c r="AR129" s="230"/>
      <c r="AS129" s="230"/>
      <c r="AT129" s="230"/>
      <c r="AU129" s="230"/>
      <c r="AV129" s="230"/>
      <c r="AW129" s="230"/>
      <c r="AX129" s="230"/>
      <c r="AY129" s="230"/>
      <c r="AZ129" s="230"/>
      <c r="BA129" s="230"/>
      <c r="BB129" s="230"/>
      <c r="BC129" s="230"/>
      <c r="BD129" s="230"/>
      <c r="BE129" s="230"/>
      <c r="BF129" s="230"/>
      <c r="BG129" s="230"/>
      <c r="BH129" s="230"/>
      <c r="BI129" s="230"/>
      <c r="BJ129" s="230"/>
      <c r="BK129" s="230"/>
      <c r="BL129" s="230"/>
      <c r="BM129" s="230"/>
      <c r="BN129" s="230"/>
      <c r="BO129" s="230"/>
      <c r="BP129" s="230"/>
      <c r="BQ129" s="230"/>
      <c r="BR129" s="230"/>
      <c r="BS129" s="230"/>
      <c r="BT129" s="230"/>
      <c r="BU129" s="230"/>
      <c r="BV129" s="230"/>
      <c r="BW129" s="230"/>
      <c r="BX129" s="230"/>
      <c r="BY129" s="230"/>
      <c r="BZ129" s="230"/>
      <c r="CA129" s="230"/>
      <c r="CB129" s="230"/>
      <c r="CC129" s="230"/>
      <c r="CD129" s="230"/>
      <c r="CE129" s="230"/>
      <c r="CF129" s="230"/>
      <c r="CG129" s="230"/>
      <c r="CH129" s="230"/>
      <c r="CI129" s="230"/>
      <c r="CJ129" s="230"/>
      <c r="CK129" s="230"/>
      <c r="CL129" s="230"/>
      <c r="CM129" s="230"/>
      <c r="CN129" s="230"/>
      <c r="CO129" s="230"/>
      <c r="CP129" s="230"/>
      <c r="CQ129" s="230"/>
      <c r="CR129" s="230"/>
      <c r="CS129" s="230"/>
      <c r="CT129" s="230"/>
      <c r="CU129" s="230"/>
      <c r="CV129" s="230"/>
      <c r="CW129" s="230"/>
      <c r="CX129" s="230"/>
      <c r="CY129" s="230"/>
      <c r="CZ129" s="230"/>
      <c r="DA129" s="230"/>
      <c r="DB129" s="230"/>
      <c r="DC129" s="230"/>
      <c r="DD129" s="230"/>
      <c r="DE129" s="230"/>
      <c r="DF129" s="230"/>
      <c r="DG129" s="230"/>
      <c r="DH129" s="230"/>
      <c r="DI129" s="230"/>
      <c r="DJ129" s="230"/>
      <c r="DK129" s="230"/>
      <c r="DL129" s="230"/>
      <c r="DM129" s="230"/>
      <c r="DN129" s="230"/>
      <c r="DO129" s="230"/>
      <c r="DP129" s="230"/>
      <c r="DQ129" s="230"/>
      <c r="DR129" s="230"/>
      <c r="DS129" s="230"/>
      <c r="DT129" s="230"/>
      <c r="DU129" s="230"/>
      <c r="DV129" s="230"/>
      <c r="DW129" s="230"/>
      <c r="DX129" s="230"/>
      <c r="DY129" s="230"/>
      <c r="DZ129" s="230"/>
      <c r="EA129" s="230"/>
      <c r="EB129" s="230"/>
      <c r="EC129" s="230"/>
      <c r="ED129" s="230"/>
      <c r="EE129" s="230"/>
      <c r="EF129" s="230"/>
      <c r="EG129" s="230"/>
      <c r="EH129" s="230"/>
      <c r="EI129" s="230"/>
      <c r="EJ129" s="230"/>
      <c r="EK129" s="230"/>
      <c r="EL129" s="230"/>
      <c r="EM129" s="230"/>
      <c r="EN129" s="230"/>
      <c r="EO129" s="230"/>
      <c r="EP129" s="230"/>
      <c r="EQ129" s="230"/>
      <c r="ER129" s="230"/>
      <c r="ES129" s="230"/>
      <c r="ET129" s="230"/>
      <c r="EU129" s="230"/>
      <c r="EV129" s="230"/>
      <c r="EW129" s="230"/>
      <c r="EX129" s="230"/>
      <c r="EY129" s="230"/>
      <c r="EZ129" s="230"/>
      <c r="FA129" s="230"/>
      <c r="FB129" s="230"/>
      <c r="FC129" s="230"/>
      <c r="FD129" s="230"/>
      <c r="FE129" s="230"/>
      <c r="FF129" s="230"/>
      <c r="FG129" s="230"/>
      <c r="FH129" s="230"/>
      <c r="FI129" s="230"/>
      <c r="FJ129" s="230"/>
      <c r="FK129" s="230"/>
      <c r="FL129" s="230"/>
      <c r="FM129" s="230"/>
      <c r="FN129" s="230"/>
      <c r="FO129" s="230"/>
      <c r="FP129" s="230"/>
      <c r="FQ129" s="230"/>
      <c r="FR129" s="230"/>
      <c r="FS129" s="230"/>
      <c r="FT129" s="230"/>
      <c r="FU129" s="230"/>
      <c r="FV129" s="230"/>
      <c r="FW129" s="230"/>
      <c r="FX129" s="230"/>
      <c r="FY129" s="230"/>
      <c r="FZ129" s="230"/>
      <c r="GA129" s="230"/>
      <c r="GB129" s="230"/>
      <c r="GC129" s="230"/>
      <c r="GD129" s="230"/>
      <c r="GE129" s="230"/>
      <c r="GF129" s="230"/>
      <c r="GG129" s="230"/>
      <c r="GH129" s="230"/>
      <c r="GI129" s="230"/>
      <c r="GJ129" s="230"/>
      <c r="GK129" s="230"/>
      <c r="GL129" s="230"/>
      <c r="GM129" s="230"/>
      <c r="GN129" s="230"/>
      <c r="GO129" s="230"/>
      <c r="GP129" s="230"/>
      <c r="GQ129" s="230"/>
      <c r="GR129" s="230"/>
      <c r="GS129" s="230"/>
      <c r="GT129" s="230"/>
      <c r="GU129" s="230"/>
      <c r="GV129" s="230"/>
      <c r="GW129" s="230"/>
      <c r="GX129" s="230"/>
      <c r="GY129" s="230"/>
      <c r="GZ129" s="230"/>
      <c r="HA129" s="230"/>
      <c r="HB129" s="230"/>
      <c r="HC129" s="230"/>
      <c r="HD129" s="230"/>
      <c r="HE129" s="230"/>
      <c r="HF129" s="230"/>
      <c r="HG129" s="230"/>
      <c r="HH129" s="230"/>
      <c r="HI129" s="230"/>
      <c r="HJ129" s="230"/>
      <c r="HK129" s="230"/>
      <c r="HL129" s="230"/>
      <c r="HM129" s="230"/>
      <c r="HN129" s="230"/>
      <c r="HO129" s="230"/>
      <c r="HP129" s="230"/>
      <c r="HQ129" s="230"/>
      <c r="HR129" s="230"/>
      <c r="HS129" s="230"/>
      <c r="HT129" s="230"/>
      <c r="HU129" s="230"/>
      <c r="HV129" s="230"/>
      <c r="HW129" s="230"/>
      <c r="HX129" s="230"/>
      <c r="HY129" s="230"/>
      <c r="HZ129" s="230"/>
      <c r="IA129" s="230"/>
      <c r="IB129" s="230"/>
      <c r="IC129" s="230"/>
      <c r="ID129" s="230"/>
      <c r="IE129" s="230"/>
      <c r="IF129" s="230"/>
      <c r="IG129" s="230"/>
      <c r="IH129" s="230"/>
      <c r="II129" s="230"/>
      <c r="IJ129" s="230"/>
      <c r="IK129" s="230"/>
      <c r="IL129" s="230"/>
      <c r="IM129" s="230"/>
      <c r="IN129" s="230"/>
      <c r="IO129" s="230"/>
      <c r="IP129" s="230"/>
      <c r="IQ129" s="230"/>
      <c r="IR129" s="230"/>
      <c r="IS129" s="230"/>
      <c r="IT129" s="230"/>
      <c r="IU129" s="230"/>
      <c r="IV129" s="230"/>
      <c r="IW129" s="230"/>
    </row>
    <row r="130" customFormat="false" ht="16.5" hidden="false" customHeight="false" outlineLevel="0" collapsed="false">
      <c r="AF130" s="129"/>
      <c r="AG130" s="129"/>
    </row>
    <row r="131" customFormat="false" ht="16.5" hidden="false" customHeight="false" outlineLevel="0" collapsed="false">
      <c r="AF131" s="129"/>
      <c r="AG131" s="129"/>
    </row>
    <row r="132" customFormat="false" ht="16.5" hidden="false" customHeight="false" outlineLevel="0" collapsed="false">
      <c r="AF132" s="129"/>
      <c r="AG132" s="129"/>
    </row>
    <row r="133" customFormat="false" ht="16.5" hidden="false" customHeight="false" outlineLevel="0" collapsed="false">
      <c r="AF133" s="129"/>
      <c r="AG133" s="129"/>
    </row>
    <row r="134" customFormat="false" ht="16.5" hidden="false" customHeight="false" outlineLevel="0" collapsed="false">
      <c r="AF134" s="130"/>
      <c r="AG134" s="130"/>
    </row>
    <row r="135" customFormat="false" ht="16.5" hidden="false" customHeight="false" outlineLevel="0" collapsed="false">
      <c r="AF135" s="129"/>
      <c r="AG135" s="129"/>
    </row>
    <row r="136" customFormat="false" ht="16.5" hidden="false" customHeight="false" outlineLevel="0" collapsed="false">
      <c r="AF136" s="129"/>
      <c r="AG136" s="129"/>
    </row>
    <row r="137" customFormat="false" ht="16.5" hidden="false" customHeight="false" outlineLevel="0" collapsed="false">
      <c r="AF137" s="129"/>
      <c r="AG137" s="129"/>
    </row>
    <row r="138" customFormat="false" ht="16.5" hidden="false" customHeight="false" outlineLevel="0" collapsed="false">
      <c r="AF138" s="129"/>
      <c r="AG138" s="129"/>
    </row>
    <row r="139" customFormat="false" ht="16.5" hidden="false" customHeight="false" outlineLevel="0" collapsed="false">
      <c r="AF139" s="129"/>
      <c r="AG139" s="129"/>
    </row>
    <row r="140" customFormat="false" ht="16.5" hidden="false" customHeight="false" outlineLevel="0" collapsed="false">
      <c r="AF140" s="129"/>
      <c r="AG140" s="129"/>
    </row>
  </sheetData>
  <mergeCells count="629">
    <mergeCell ref="A1:D1"/>
    <mergeCell ref="F1:J1"/>
    <mergeCell ref="K1:O1"/>
    <mergeCell ref="P1:U1"/>
    <mergeCell ref="V1:Y1"/>
    <mergeCell ref="Z1:AB1"/>
    <mergeCell ref="AC1:AD1"/>
    <mergeCell ref="A2:D2"/>
    <mergeCell ref="F2:J2"/>
    <mergeCell ref="K2:O2"/>
    <mergeCell ref="P2:U2"/>
    <mergeCell ref="V2:Y2"/>
    <mergeCell ref="Z2:AB2"/>
    <mergeCell ref="AC2:AD2"/>
    <mergeCell ref="AK2:AM2"/>
    <mergeCell ref="AY2:BB2"/>
    <mergeCell ref="A3:C4"/>
    <mergeCell ref="D3:G4"/>
    <mergeCell ref="H3:I4"/>
    <mergeCell ref="J3:L3"/>
    <mergeCell ref="M3:O3"/>
    <mergeCell ref="P3:R3"/>
    <mergeCell ref="S3:U3"/>
    <mergeCell ref="V3:W3"/>
    <mergeCell ref="X3:Y3"/>
    <mergeCell ref="Z3:AA3"/>
    <mergeCell ref="AB3:AD4"/>
    <mergeCell ref="AF3:AH6"/>
    <mergeCell ref="AI3:AU3"/>
    <mergeCell ref="AY3:BB3"/>
    <mergeCell ref="J4:L4"/>
    <mergeCell ref="M4:O4"/>
    <mergeCell ref="Q4:R4"/>
    <mergeCell ref="S4:U4"/>
    <mergeCell ref="V4:W4"/>
    <mergeCell ref="X4:Y4"/>
    <mergeCell ref="Z4:AA4"/>
    <mergeCell ref="AI4:AU4"/>
    <mergeCell ref="AY4:BB4"/>
    <mergeCell ref="A5:B6"/>
    <mergeCell ref="C5:E6"/>
    <mergeCell ref="F5:G6"/>
    <mergeCell ref="H5:N5"/>
    <mergeCell ref="O5:P6"/>
    <mergeCell ref="Q5:R6"/>
    <mergeCell ref="S5:V5"/>
    <mergeCell ref="W5:AD5"/>
    <mergeCell ref="AJ5:AJ6"/>
    <mergeCell ref="AK5:AM5"/>
    <mergeCell ref="H6:N6"/>
    <mergeCell ref="S6:V6"/>
    <mergeCell ref="W6:AD6"/>
    <mergeCell ref="AK6:AM6"/>
    <mergeCell ref="A7:A9"/>
    <mergeCell ref="B7:B9"/>
    <mergeCell ref="C7:C9"/>
    <mergeCell ref="D7:D9"/>
    <mergeCell ref="E7:E8"/>
    <mergeCell ref="F7:U7"/>
    <mergeCell ref="V7:V9"/>
    <mergeCell ref="X7:Z7"/>
    <mergeCell ref="AA7:AA9"/>
    <mergeCell ref="AB7:AB9"/>
    <mergeCell ref="AC7:AD7"/>
    <mergeCell ref="AE7:AE9"/>
    <mergeCell ref="AY8:AY9"/>
    <mergeCell ref="AC9:AD9"/>
    <mergeCell ref="A10:A11"/>
    <mergeCell ref="B10:B11"/>
    <mergeCell ref="C10:C11"/>
    <mergeCell ref="D10:D11"/>
    <mergeCell ref="V10:V11"/>
    <mergeCell ref="AA10:AA11"/>
    <mergeCell ref="AB10:AB11"/>
    <mergeCell ref="AE10:AE11"/>
    <mergeCell ref="AY10:AY11"/>
    <mergeCell ref="AC11:AD11"/>
    <mergeCell ref="A12:A13"/>
    <mergeCell ref="B12:B13"/>
    <mergeCell ref="C12:C13"/>
    <mergeCell ref="D12:D13"/>
    <mergeCell ref="V12:V13"/>
    <mergeCell ref="AA12:AA13"/>
    <mergeCell ref="AB12:AB13"/>
    <mergeCell ref="AE12:AE13"/>
    <mergeCell ref="AY12:AY13"/>
    <mergeCell ref="AC13:AD13"/>
    <mergeCell ref="A14:A15"/>
    <mergeCell ref="B14:B15"/>
    <mergeCell ref="C14:C15"/>
    <mergeCell ref="D14:D15"/>
    <mergeCell ref="V14:V15"/>
    <mergeCell ref="AA14:AA15"/>
    <mergeCell ref="AB14:AB15"/>
    <mergeCell ref="AE14:AE15"/>
    <mergeCell ref="AY14:AY15"/>
    <mergeCell ref="AC15:AD15"/>
    <mergeCell ref="A16:A17"/>
    <mergeCell ref="B16:B17"/>
    <mergeCell ref="C16:C17"/>
    <mergeCell ref="D16:D17"/>
    <mergeCell ref="V16:V17"/>
    <mergeCell ref="AA16:AA17"/>
    <mergeCell ref="AB16:AB17"/>
    <mergeCell ref="AC17:AD17"/>
    <mergeCell ref="A18:A19"/>
    <mergeCell ref="B18:B19"/>
    <mergeCell ref="C18:C19"/>
    <mergeCell ref="D18:D19"/>
    <mergeCell ref="V18:V19"/>
    <mergeCell ref="AA18:AA19"/>
    <mergeCell ref="AB18:AB19"/>
    <mergeCell ref="AE18:AE19"/>
    <mergeCell ref="AY18:AY19"/>
    <mergeCell ref="AC19:AD19"/>
    <mergeCell ref="A20:A21"/>
    <mergeCell ref="B20:B21"/>
    <mergeCell ref="C20:C21"/>
    <mergeCell ref="D20:D21"/>
    <mergeCell ref="V20:V21"/>
    <mergeCell ref="AA20:AA21"/>
    <mergeCell ref="AB20:AB21"/>
    <mergeCell ref="AE20:AE21"/>
    <mergeCell ref="AY20:AY21"/>
    <mergeCell ref="AC21:AD21"/>
    <mergeCell ref="A22:A23"/>
    <mergeCell ref="B22:B23"/>
    <mergeCell ref="C22:C23"/>
    <mergeCell ref="D22:D23"/>
    <mergeCell ref="V22:V23"/>
    <mergeCell ref="AA22:AA23"/>
    <mergeCell ref="AB22:AB23"/>
    <mergeCell ref="AE22:AE23"/>
    <mergeCell ref="AY22:AY23"/>
    <mergeCell ref="AC23:AD23"/>
    <mergeCell ref="A24:A25"/>
    <mergeCell ref="B24:B25"/>
    <mergeCell ref="C24:C25"/>
    <mergeCell ref="D24:D25"/>
    <mergeCell ref="V24:V25"/>
    <mergeCell ref="AA24:AA25"/>
    <mergeCell ref="AB24:AB25"/>
    <mergeCell ref="AE24:AE25"/>
    <mergeCell ref="AY24:AY25"/>
    <mergeCell ref="AC25:AD25"/>
    <mergeCell ref="A26:A27"/>
    <mergeCell ref="B26:B27"/>
    <mergeCell ref="C26:C27"/>
    <mergeCell ref="D26:D27"/>
    <mergeCell ref="V26:V27"/>
    <mergeCell ref="AA26:AA27"/>
    <mergeCell ref="AB26:AB27"/>
    <mergeCell ref="AE26:AE27"/>
    <mergeCell ref="AY26:AY27"/>
    <mergeCell ref="AC27:AD27"/>
    <mergeCell ref="A28:A29"/>
    <mergeCell ref="B28:B29"/>
    <mergeCell ref="C28:C29"/>
    <mergeCell ref="D28:D29"/>
    <mergeCell ref="V28:V29"/>
    <mergeCell ref="AA28:AA29"/>
    <mergeCell ref="AB28:AB29"/>
    <mergeCell ref="AE28:AE29"/>
    <mergeCell ref="AY28:AY29"/>
    <mergeCell ref="AC29:AD29"/>
    <mergeCell ref="A30:A31"/>
    <mergeCell ref="B30:B31"/>
    <mergeCell ref="C30:C31"/>
    <mergeCell ref="D30:D31"/>
    <mergeCell ref="V30:V31"/>
    <mergeCell ref="AA30:AA31"/>
    <mergeCell ref="AB30:AB31"/>
    <mergeCell ref="AE30:AE31"/>
    <mergeCell ref="AY30:AY31"/>
    <mergeCell ref="AC31:AD31"/>
    <mergeCell ref="A32:A33"/>
    <mergeCell ref="B32:B33"/>
    <mergeCell ref="C32:C33"/>
    <mergeCell ref="D32:D33"/>
    <mergeCell ref="V32:V33"/>
    <mergeCell ref="AA32:AA33"/>
    <mergeCell ref="AB32:AB33"/>
    <mergeCell ref="AE32:AE33"/>
    <mergeCell ref="AY32:AY33"/>
    <mergeCell ref="AC33:AD33"/>
    <mergeCell ref="A34:A35"/>
    <mergeCell ref="B34:B35"/>
    <mergeCell ref="C34:C35"/>
    <mergeCell ref="D34:D35"/>
    <mergeCell ref="V34:V35"/>
    <mergeCell ref="AA34:AA35"/>
    <mergeCell ref="AB34:AB35"/>
    <mergeCell ref="AC35:AD35"/>
    <mergeCell ref="A36:A37"/>
    <mergeCell ref="B36:B37"/>
    <mergeCell ref="C36:C37"/>
    <mergeCell ref="D36:D37"/>
    <mergeCell ref="V36:V37"/>
    <mergeCell ref="AA36:AA37"/>
    <mergeCell ref="AB36:AB37"/>
    <mergeCell ref="AE36:AE37"/>
    <mergeCell ref="AY36:AY37"/>
    <mergeCell ref="AC37:AD37"/>
    <mergeCell ref="A38:A39"/>
    <mergeCell ref="B38:B39"/>
    <mergeCell ref="C38:C39"/>
    <mergeCell ref="D38:D39"/>
    <mergeCell ref="V38:V39"/>
    <mergeCell ref="AA38:AA39"/>
    <mergeCell ref="AB38:AB39"/>
    <mergeCell ref="AE38:AE39"/>
    <mergeCell ref="AY38:AY39"/>
    <mergeCell ref="AC39:AD39"/>
    <mergeCell ref="A40:A41"/>
    <mergeCell ref="B40:B41"/>
    <mergeCell ref="C40:C41"/>
    <mergeCell ref="D40:D41"/>
    <mergeCell ref="V40:V41"/>
    <mergeCell ref="AA40:AA41"/>
    <mergeCell ref="AB40:AB41"/>
    <mergeCell ref="AE40:AE41"/>
    <mergeCell ref="AY40:AY41"/>
    <mergeCell ref="AC41:AD41"/>
    <mergeCell ref="A42:A43"/>
    <mergeCell ref="B42:B43"/>
    <mergeCell ref="C42:C43"/>
    <mergeCell ref="D42:D43"/>
    <mergeCell ref="V42:V43"/>
    <mergeCell ref="AA42:AA43"/>
    <mergeCell ref="AB42:AB43"/>
    <mergeCell ref="AE42:AE43"/>
    <mergeCell ref="AY42:AY43"/>
    <mergeCell ref="AC43:AD43"/>
    <mergeCell ref="A44:A45"/>
    <mergeCell ref="B44:B45"/>
    <mergeCell ref="C44:C45"/>
    <mergeCell ref="D44:D45"/>
    <mergeCell ref="V44:V45"/>
    <mergeCell ref="AA44:AA45"/>
    <mergeCell ref="AB44:AB45"/>
    <mergeCell ref="AE44:AE45"/>
    <mergeCell ref="AY44:AY45"/>
    <mergeCell ref="AC45:AD45"/>
    <mergeCell ref="A46:A47"/>
    <mergeCell ref="B46:B47"/>
    <mergeCell ref="C46:C47"/>
    <mergeCell ref="D46:D47"/>
    <mergeCell ref="V46:V47"/>
    <mergeCell ref="AA46:AA47"/>
    <mergeCell ref="AB46:AB47"/>
    <mergeCell ref="AE46:AE47"/>
    <mergeCell ref="AY46:AY47"/>
    <mergeCell ref="AC47:AD47"/>
    <mergeCell ref="A48:A49"/>
    <mergeCell ref="B48:B49"/>
    <mergeCell ref="C48:C49"/>
    <mergeCell ref="D48:D49"/>
    <mergeCell ref="V48:V49"/>
    <mergeCell ref="AA48:AA49"/>
    <mergeCell ref="AB48:AB49"/>
    <mergeCell ref="AE48:AE49"/>
    <mergeCell ref="AY48:AY49"/>
    <mergeCell ref="AC49:AD49"/>
    <mergeCell ref="A50:A51"/>
    <mergeCell ref="B50:B51"/>
    <mergeCell ref="C50:C51"/>
    <mergeCell ref="D50:D51"/>
    <mergeCell ref="V50:V51"/>
    <mergeCell ref="AA50:AA51"/>
    <mergeCell ref="AB50:AB51"/>
    <mergeCell ref="AE50:AE51"/>
    <mergeCell ref="AY50:AY51"/>
    <mergeCell ref="AC51:AD51"/>
    <mergeCell ref="A52:A53"/>
    <mergeCell ref="B52:B53"/>
    <mergeCell ref="C52:C53"/>
    <mergeCell ref="D52:D53"/>
    <mergeCell ref="V52:V53"/>
    <mergeCell ref="AA52:AA53"/>
    <mergeCell ref="AB52:AB53"/>
    <mergeCell ref="AE52:AE53"/>
    <mergeCell ref="AY52:AY53"/>
    <mergeCell ref="AC53:AD53"/>
    <mergeCell ref="A54:A55"/>
    <mergeCell ref="B54:B55"/>
    <mergeCell ref="C54:C55"/>
    <mergeCell ref="D54:D55"/>
    <mergeCell ref="V54:V55"/>
    <mergeCell ref="AA54:AA55"/>
    <mergeCell ref="AB54:AB55"/>
    <mergeCell ref="AE54:AE55"/>
    <mergeCell ref="AY54:AY55"/>
    <mergeCell ref="AC55:AD55"/>
    <mergeCell ref="A56:A57"/>
    <mergeCell ref="B56:B57"/>
    <mergeCell ref="C56:C57"/>
    <mergeCell ref="D56:D57"/>
    <mergeCell ref="V56:V57"/>
    <mergeCell ref="AA56:AA57"/>
    <mergeCell ref="AB56:AB57"/>
    <mergeCell ref="AE56:AE57"/>
    <mergeCell ref="AY56:AY57"/>
    <mergeCell ref="AC57:AD57"/>
    <mergeCell ref="A58:A59"/>
    <mergeCell ref="B58:B59"/>
    <mergeCell ref="C58:C59"/>
    <mergeCell ref="D58:D59"/>
    <mergeCell ref="V58:V59"/>
    <mergeCell ref="AA58:AA59"/>
    <mergeCell ref="AB58:AB59"/>
    <mergeCell ref="AE58:AE59"/>
    <mergeCell ref="AY58:AY59"/>
    <mergeCell ref="AC59:AD59"/>
    <mergeCell ref="A60:A61"/>
    <mergeCell ref="B60:B61"/>
    <mergeCell ref="C60:C61"/>
    <mergeCell ref="D60:D61"/>
    <mergeCell ref="V60:V61"/>
    <mergeCell ref="AA60:AA61"/>
    <mergeCell ref="AB60:AB61"/>
    <mergeCell ref="AE60:AE61"/>
    <mergeCell ref="AY60:AY61"/>
    <mergeCell ref="AC61:AD61"/>
    <mergeCell ref="A62:A63"/>
    <mergeCell ref="B62:B63"/>
    <mergeCell ref="C62:C63"/>
    <mergeCell ref="D62:D63"/>
    <mergeCell ref="V62:V63"/>
    <mergeCell ref="AA62:AA63"/>
    <mergeCell ref="AB62:AB63"/>
    <mergeCell ref="AE62:AE63"/>
    <mergeCell ref="AY62:AY63"/>
    <mergeCell ref="AC63:AD63"/>
    <mergeCell ref="A64:A65"/>
    <mergeCell ref="B64:B65"/>
    <mergeCell ref="C64:C65"/>
    <mergeCell ref="D64:D65"/>
    <mergeCell ref="V64:V65"/>
    <mergeCell ref="AA64:AA65"/>
    <mergeCell ref="AB64:AB65"/>
    <mergeCell ref="AE64:AE65"/>
    <mergeCell ref="AY64:AY65"/>
    <mergeCell ref="AC65:AD65"/>
    <mergeCell ref="A66:A67"/>
    <mergeCell ref="B66:B67"/>
    <mergeCell ref="C66:C67"/>
    <mergeCell ref="D66:D67"/>
    <mergeCell ref="V66:V67"/>
    <mergeCell ref="AA66:AA67"/>
    <mergeCell ref="AB66:AB67"/>
    <mergeCell ref="AE66:AE67"/>
    <mergeCell ref="AY66:AY67"/>
    <mergeCell ref="AC67:AD67"/>
    <mergeCell ref="A68:A69"/>
    <mergeCell ref="B68:B69"/>
    <mergeCell ref="C68:C69"/>
    <mergeCell ref="D68:D69"/>
    <mergeCell ref="V68:V69"/>
    <mergeCell ref="AA68:AA69"/>
    <mergeCell ref="AB68:AB69"/>
    <mergeCell ref="AE68:AE69"/>
    <mergeCell ref="AY68:AY69"/>
    <mergeCell ref="AC69:AD69"/>
    <mergeCell ref="A70:A71"/>
    <mergeCell ref="B70:B71"/>
    <mergeCell ref="C70:C71"/>
    <mergeCell ref="D70:D71"/>
    <mergeCell ref="V70:V71"/>
    <mergeCell ref="AA70:AA71"/>
    <mergeCell ref="AB70:AB71"/>
    <mergeCell ref="AE70:AE71"/>
    <mergeCell ref="AY70:AY71"/>
    <mergeCell ref="AC71:AD71"/>
    <mergeCell ref="A72:A73"/>
    <mergeCell ref="B72:B73"/>
    <mergeCell ref="C72:C73"/>
    <mergeCell ref="D72:D73"/>
    <mergeCell ref="V72:V73"/>
    <mergeCell ref="AA72:AA73"/>
    <mergeCell ref="AB72:AB73"/>
    <mergeCell ref="AE72:AE73"/>
    <mergeCell ref="AY72:AY73"/>
    <mergeCell ref="AC73:AD73"/>
    <mergeCell ref="A74:A75"/>
    <mergeCell ref="B74:B75"/>
    <mergeCell ref="C74:C75"/>
    <mergeCell ref="D74:D75"/>
    <mergeCell ref="V74:V75"/>
    <mergeCell ref="AA74:AA75"/>
    <mergeCell ref="AB74:AB75"/>
    <mergeCell ref="AE74:AE75"/>
    <mergeCell ref="AY74:AY75"/>
    <mergeCell ref="AC75:AD75"/>
    <mergeCell ref="A76:A77"/>
    <mergeCell ref="B76:B77"/>
    <mergeCell ref="C76:C77"/>
    <mergeCell ref="D76:D77"/>
    <mergeCell ref="V76:V77"/>
    <mergeCell ref="AA76:AA77"/>
    <mergeCell ref="AB76:AB77"/>
    <mergeCell ref="AE76:AE77"/>
    <mergeCell ref="AY76:AY77"/>
    <mergeCell ref="AC77:AD77"/>
    <mergeCell ref="A78:A79"/>
    <mergeCell ref="B78:B79"/>
    <mergeCell ref="C78:C79"/>
    <mergeCell ref="D78:D79"/>
    <mergeCell ref="V78:V79"/>
    <mergeCell ref="AA78:AA79"/>
    <mergeCell ref="AB78:AB79"/>
    <mergeCell ref="AE78:AE79"/>
    <mergeCell ref="AY78:AY79"/>
    <mergeCell ref="AC79:AD79"/>
    <mergeCell ref="A80:A81"/>
    <mergeCell ref="B80:B81"/>
    <mergeCell ref="C80:C81"/>
    <mergeCell ref="D80:D81"/>
    <mergeCell ref="V80:V81"/>
    <mergeCell ref="AA80:AA81"/>
    <mergeCell ref="AB80:AB81"/>
    <mergeCell ref="AE80:AE81"/>
    <mergeCell ref="AY80:AY81"/>
    <mergeCell ref="AC81:AD81"/>
    <mergeCell ref="A82:A83"/>
    <mergeCell ref="B82:B83"/>
    <mergeCell ref="C82:C83"/>
    <mergeCell ref="D82:D83"/>
    <mergeCell ref="V82:V83"/>
    <mergeCell ref="AA82:AA83"/>
    <mergeCell ref="AB82:AB83"/>
    <mergeCell ref="AE82:AE83"/>
    <mergeCell ref="AY82:AY83"/>
    <mergeCell ref="AC83:AD83"/>
    <mergeCell ref="A84:A85"/>
    <mergeCell ref="B84:B85"/>
    <mergeCell ref="C84:C85"/>
    <mergeCell ref="D84:D85"/>
    <mergeCell ref="V84:V85"/>
    <mergeCell ref="AA84:AA85"/>
    <mergeCell ref="AB84:AB85"/>
    <mergeCell ref="AE84:AE85"/>
    <mergeCell ref="AY84:AY85"/>
    <mergeCell ref="AC85:AD85"/>
    <mergeCell ref="A86:A87"/>
    <mergeCell ref="B86:B87"/>
    <mergeCell ref="C86:C87"/>
    <mergeCell ref="D86:D87"/>
    <mergeCell ref="V86:V87"/>
    <mergeCell ref="AA86:AA87"/>
    <mergeCell ref="AB86:AB87"/>
    <mergeCell ref="AE86:AE87"/>
    <mergeCell ref="AY86:AY87"/>
    <mergeCell ref="AC87:AD87"/>
    <mergeCell ref="A88:A89"/>
    <mergeCell ref="B88:B89"/>
    <mergeCell ref="C88:C89"/>
    <mergeCell ref="D88:D89"/>
    <mergeCell ref="V88:V89"/>
    <mergeCell ref="AA88:AA89"/>
    <mergeCell ref="AB88:AB89"/>
    <mergeCell ref="AE88:AE89"/>
    <mergeCell ref="AY88:AY89"/>
    <mergeCell ref="AC89:AD89"/>
    <mergeCell ref="A90:A91"/>
    <mergeCell ref="B90:B91"/>
    <mergeCell ref="C90:C91"/>
    <mergeCell ref="D90:D91"/>
    <mergeCell ref="V90:V91"/>
    <mergeCell ref="AA90:AA91"/>
    <mergeCell ref="AB90:AB91"/>
    <mergeCell ref="AE90:AE91"/>
    <mergeCell ref="AY90:AY91"/>
    <mergeCell ref="AC91:AD91"/>
    <mergeCell ref="A92:A93"/>
    <mergeCell ref="B92:B93"/>
    <mergeCell ref="C92:C93"/>
    <mergeCell ref="D92:D93"/>
    <mergeCell ref="V92:V93"/>
    <mergeCell ref="AA92:AA93"/>
    <mergeCell ref="AB92:AB93"/>
    <mergeCell ref="AE92:AE93"/>
    <mergeCell ref="AY92:AY93"/>
    <mergeCell ref="AC93:AD93"/>
    <mergeCell ref="A94:A95"/>
    <mergeCell ref="B94:B95"/>
    <mergeCell ref="C94:C95"/>
    <mergeCell ref="D94:D95"/>
    <mergeCell ref="V94:V95"/>
    <mergeCell ref="AA94:AA95"/>
    <mergeCell ref="AB94:AB95"/>
    <mergeCell ref="AE94:AE95"/>
    <mergeCell ref="AY94:AY95"/>
    <mergeCell ref="AC95:AD95"/>
    <mergeCell ref="A96:A97"/>
    <mergeCell ref="B96:B97"/>
    <mergeCell ref="C96:C97"/>
    <mergeCell ref="D96:D97"/>
    <mergeCell ref="V96:V97"/>
    <mergeCell ref="AA96:AA97"/>
    <mergeCell ref="AB96:AB97"/>
    <mergeCell ref="AE96:AE97"/>
    <mergeCell ref="AY96:AY97"/>
    <mergeCell ref="AC97:AD97"/>
    <mergeCell ref="A98:A99"/>
    <mergeCell ref="B98:B99"/>
    <mergeCell ref="C98:C99"/>
    <mergeCell ref="D98:D99"/>
    <mergeCell ref="V98:V99"/>
    <mergeCell ref="AA98:AA99"/>
    <mergeCell ref="AB98:AB99"/>
    <mergeCell ref="AE98:AE99"/>
    <mergeCell ref="AY98:AY99"/>
    <mergeCell ref="AC99:AD99"/>
    <mergeCell ref="A100:A101"/>
    <mergeCell ref="B100:B101"/>
    <mergeCell ref="C100:C101"/>
    <mergeCell ref="D100:D101"/>
    <mergeCell ref="V100:V101"/>
    <mergeCell ref="AA100:AA101"/>
    <mergeCell ref="AB100:AB101"/>
    <mergeCell ref="AE100:AE101"/>
    <mergeCell ref="AY100:AY101"/>
    <mergeCell ref="AC101:AD101"/>
    <mergeCell ref="A102:A103"/>
    <mergeCell ref="B102:B103"/>
    <mergeCell ref="C102:C103"/>
    <mergeCell ref="D102:D103"/>
    <mergeCell ref="V102:V103"/>
    <mergeCell ref="AA102:AA103"/>
    <mergeCell ref="AB102:AB103"/>
    <mergeCell ref="AE102:AE103"/>
    <mergeCell ref="AY102:AY103"/>
    <mergeCell ref="AC103:AD103"/>
    <mergeCell ref="A104:A105"/>
    <mergeCell ref="B104:B105"/>
    <mergeCell ref="C104:C105"/>
    <mergeCell ref="D104:D105"/>
    <mergeCell ref="V104:V105"/>
    <mergeCell ref="AA104:AA105"/>
    <mergeCell ref="AB104:AB105"/>
    <mergeCell ref="AE104:AE105"/>
    <mergeCell ref="AY104:AY105"/>
    <mergeCell ref="AC105:AD105"/>
    <mergeCell ref="A106:A107"/>
    <mergeCell ref="B106:B107"/>
    <mergeCell ref="C106:C107"/>
    <mergeCell ref="D106:D107"/>
    <mergeCell ref="V106:V107"/>
    <mergeCell ref="AA106:AA107"/>
    <mergeCell ref="AB106:AB107"/>
    <mergeCell ref="AE106:AE107"/>
    <mergeCell ref="AY106:AY107"/>
    <mergeCell ref="AC107:AD107"/>
    <mergeCell ref="A108:A109"/>
    <mergeCell ref="B108:B109"/>
    <mergeCell ref="C108:C109"/>
    <mergeCell ref="D108:D109"/>
    <mergeCell ref="V108:V109"/>
    <mergeCell ref="AA108:AA109"/>
    <mergeCell ref="AB108:AB109"/>
    <mergeCell ref="AE108:AE109"/>
    <mergeCell ref="AY108:AY109"/>
    <mergeCell ref="AC109:AD109"/>
    <mergeCell ref="A110:A111"/>
    <mergeCell ref="B110:B111"/>
    <mergeCell ref="C110:C111"/>
    <mergeCell ref="D110:D111"/>
    <mergeCell ref="V110:V111"/>
    <mergeCell ref="AA110:AA111"/>
    <mergeCell ref="AB110:AB111"/>
    <mergeCell ref="AE110:AE111"/>
    <mergeCell ref="AY110:AY111"/>
    <mergeCell ref="AC111:AD111"/>
    <mergeCell ref="A112:A113"/>
    <mergeCell ref="B112:B113"/>
    <mergeCell ref="C112:C113"/>
    <mergeCell ref="D112:D113"/>
    <mergeCell ref="V112:V113"/>
    <mergeCell ref="AA112:AA113"/>
    <mergeCell ref="AB112:AB113"/>
    <mergeCell ref="AE112:AE113"/>
    <mergeCell ref="AY112:AY113"/>
    <mergeCell ref="AC113:AD113"/>
    <mergeCell ref="A114:A115"/>
    <mergeCell ref="B114:B115"/>
    <mergeCell ref="C114:C115"/>
    <mergeCell ref="D114:D115"/>
    <mergeCell ref="V114:V115"/>
    <mergeCell ref="AA114:AA115"/>
    <mergeCell ref="AB114:AB115"/>
    <mergeCell ref="AE114:AE115"/>
    <mergeCell ref="AY114:AY115"/>
    <mergeCell ref="AC115:AD115"/>
    <mergeCell ref="A116:A117"/>
    <mergeCell ref="B116:B117"/>
    <mergeCell ref="C116:C117"/>
    <mergeCell ref="D116:D117"/>
    <mergeCell ref="V116:V117"/>
    <mergeCell ref="AA116:AA117"/>
    <mergeCell ref="AB116:AB117"/>
    <mergeCell ref="AE116:AE117"/>
    <mergeCell ref="AY116:AY117"/>
    <mergeCell ref="AC117:AD117"/>
    <mergeCell ref="A118:A119"/>
    <mergeCell ref="B118:B119"/>
    <mergeCell ref="C118:C119"/>
    <mergeCell ref="D118:D119"/>
    <mergeCell ref="V118:V119"/>
    <mergeCell ref="AA118:AA119"/>
    <mergeCell ref="AB118:AB119"/>
    <mergeCell ref="AE118:AE119"/>
    <mergeCell ref="AY118:AY119"/>
    <mergeCell ref="AC119:AD119"/>
    <mergeCell ref="A120:A121"/>
    <mergeCell ref="B120:B121"/>
    <mergeCell ref="C120:C121"/>
    <mergeCell ref="D120:D121"/>
    <mergeCell ref="V120:V121"/>
    <mergeCell ref="AA120:AA121"/>
    <mergeCell ref="AB120:AB121"/>
    <mergeCell ref="AE120:AE121"/>
    <mergeCell ref="AY120:AY121"/>
    <mergeCell ref="AC121:AD121"/>
    <mergeCell ref="A122:E123"/>
    <mergeCell ref="V122:V123"/>
    <mergeCell ref="W122:W123"/>
    <mergeCell ref="AA122:AA123"/>
    <mergeCell ref="AB122:AB123"/>
    <mergeCell ref="X124:Y124"/>
  </mergeCells>
  <printOptions headings="false" gridLines="false" gridLinesSet="true" horizontalCentered="true" verticalCentered="true"/>
  <pageMargins left="0.0402777777777778" right="0.00972222222222222" top="0.0784722222222222" bottom="0.0395833333333333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80"/>
    <pageSetUpPr fitToPage="true"/>
  </sheetPr>
  <dimension ref="A1:IW170"/>
  <sheetViews>
    <sheetView showFormulas="false" showGridLines="true" showRowColHeaders="true" showZeros="true" rightToLeft="false" tabSelected="false" showOutlineSymbols="true" defaultGridColor="true" view="pageBreakPreview" topLeftCell="A21" colorId="64" zoomScale="80" zoomScaleNormal="70" zoomScalePageLayoutView="80" workbookViewId="0">
      <selection pane="topLeft" activeCell="S62" activeCellId="0" sqref="S62"/>
    </sheetView>
  </sheetViews>
  <sheetFormatPr defaultColWidth="7.7734375" defaultRowHeight="16.5" customHeight="fals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2" width="5.32"/>
    <col collapsed="false" customWidth="true" hidden="false" outlineLevel="0" max="3" min="3" style="2" width="6.43"/>
    <col collapsed="false" customWidth="false" hidden="false" outlineLevel="0" max="4" min="4" style="3" width="7.77"/>
    <col collapsed="false" customWidth="true" hidden="false" outlineLevel="0" max="5" min="5" style="4" width="38.99"/>
    <col collapsed="false" customWidth="true" hidden="false" outlineLevel="0" max="6" min="6" style="5" width="3.1"/>
    <col collapsed="false" customWidth="true" hidden="false" outlineLevel="0" max="7" min="7" style="5" width="3.32"/>
    <col collapsed="false" customWidth="true" hidden="false" outlineLevel="0" max="13" min="8" style="5" width="3.77"/>
    <col collapsed="false" customWidth="true" hidden="false" outlineLevel="0" max="14" min="14" style="6" width="3.77"/>
    <col collapsed="false" customWidth="true" hidden="false" outlineLevel="0" max="20" min="15" style="5" width="3.77"/>
    <col collapsed="false" customWidth="true" hidden="false" outlineLevel="0" max="21" min="21" style="7" width="3.77"/>
    <col collapsed="false" customWidth="true" hidden="false" outlineLevel="0" max="22" min="22" style="8" width="5.1"/>
    <col collapsed="false" customWidth="true" hidden="false" outlineLevel="0" max="23" min="23" style="9" width="8.66"/>
    <col collapsed="false" customWidth="true" hidden="false" outlineLevel="0" max="24" min="24" style="9" width="7.22"/>
    <col collapsed="false" customWidth="true" hidden="false" outlineLevel="0" max="26" min="25" style="9" width="7.43"/>
    <col collapsed="false" customWidth="true" hidden="false" outlineLevel="0" max="27" min="27" style="9" width="8.88"/>
    <col collapsed="false" customWidth="true" hidden="false" outlineLevel="0" max="28" min="28" style="9" width="9.44"/>
    <col collapsed="false" customWidth="true" hidden="false" outlineLevel="0" max="29" min="29" style="9" width="6.99"/>
    <col collapsed="false" customWidth="true" hidden="false" outlineLevel="0" max="30" min="30" style="9" width="9.1"/>
    <col collapsed="false" customWidth="true" hidden="true" outlineLevel="0" max="31" min="31" style="9" width="3.32"/>
    <col collapsed="false" customWidth="true" hidden="false" outlineLevel="0" max="32" min="32" style="10" width="7.55"/>
    <col collapsed="false" customWidth="true" hidden="false" outlineLevel="0" max="33" min="33" style="10" width="7.88"/>
    <col collapsed="false" customWidth="true" hidden="false" outlineLevel="0" max="34" min="34" style="10" width="6.55"/>
    <col collapsed="false" customWidth="true" hidden="false" outlineLevel="0" max="50" min="35" style="10" width="4.1"/>
    <col collapsed="false" customWidth="false" hidden="false" outlineLevel="0" max="51" min="51" style="11" width="7.77"/>
    <col collapsed="false" customWidth="false" hidden="false" outlineLevel="0" max="250" min="52" style="9" width="7.77"/>
    <col collapsed="false" customWidth="false" hidden="false" outlineLevel="0" max="257" min="251" style="12" width="7.77"/>
  </cols>
  <sheetData>
    <row r="1" customFormat="false" ht="12.6" hidden="false" customHeight="true" outlineLevel="0" collapsed="false">
      <c r="A1" s="234" t="s">
        <v>81</v>
      </c>
      <c r="B1" s="234"/>
      <c r="C1" s="234"/>
      <c r="D1" s="234"/>
      <c r="E1" s="235" t="s">
        <v>2</v>
      </c>
      <c r="F1" s="236" t="s">
        <v>1</v>
      </c>
      <c r="G1" s="236"/>
      <c r="H1" s="236"/>
      <c r="I1" s="236"/>
      <c r="J1" s="236"/>
      <c r="K1" s="237" t="s">
        <v>81</v>
      </c>
      <c r="L1" s="237"/>
      <c r="M1" s="237"/>
      <c r="N1" s="237"/>
      <c r="O1" s="237"/>
      <c r="P1" s="238" t="s">
        <v>82</v>
      </c>
      <c r="Q1" s="238"/>
      <c r="R1" s="238"/>
      <c r="S1" s="238"/>
      <c r="T1" s="238"/>
      <c r="U1" s="238"/>
      <c r="V1" s="239" t="s">
        <v>82</v>
      </c>
      <c r="W1" s="239"/>
      <c r="X1" s="239"/>
      <c r="Y1" s="239"/>
      <c r="Z1" s="240" t="s">
        <v>83</v>
      </c>
      <c r="AA1" s="240"/>
      <c r="AB1" s="240"/>
      <c r="AC1" s="241" t="s">
        <v>84</v>
      </c>
      <c r="AD1" s="241"/>
      <c r="AE1" s="242"/>
      <c r="AF1" s="243"/>
      <c r="AG1" s="243"/>
      <c r="AH1" s="244"/>
      <c r="AI1" s="244"/>
      <c r="AJ1" s="244"/>
      <c r="AK1" s="244"/>
      <c r="AL1" s="244"/>
      <c r="AM1" s="244"/>
      <c r="AN1" s="244"/>
      <c r="AO1" s="244"/>
      <c r="AP1" s="244"/>
      <c r="AQ1" s="244"/>
      <c r="AR1" s="244"/>
      <c r="AS1" s="244"/>
      <c r="AT1" s="244"/>
      <c r="AU1" s="244"/>
      <c r="AV1" s="244"/>
      <c r="AW1" s="244"/>
      <c r="AX1" s="244"/>
      <c r="AY1" s="245"/>
      <c r="AZ1" s="244"/>
      <c r="BA1" s="244"/>
      <c r="BB1" s="244"/>
      <c r="BC1" s="244"/>
      <c r="BD1" s="244"/>
      <c r="BE1" s="244"/>
      <c r="BF1" s="244"/>
      <c r="BG1" s="244"/>
      <c r="BH1" s="244"/>
      <c r="BI1" s="244"/>
      <c r="BJ1" s="244"/>
      <c r="BK1" s="244"/>
      <c r="BL1" s="244"/>
      <c r="BM1" s="244"/>
      <c r="BN1" s="244"/>
      <c r="BO1" s="244"/>
      <c r="BP1" s="244"/>
      <c r="BQ1" s="244"/>
      <c r="BR1" s="244"/>
      <c r="BS1" s="244"/>
      <c r="BT1" s="244"/>
      <c r="BU1" s="244"/>
      <c r="BV1" s="244"/>
      <c r="BW1" s="244"/>
      <c r="BX1" s="244"/>
      <c r="BY1" s="244"/>
      <c r="BZ1" s="244"/>
      <c r="CA1" s="244"/>
      <c r="CB1" s="244"/>
      <c r="CC1" s="244"/>
      <c r="CD1" s="244"/>
      <c r="CE1" s="244"/>
      <c r="CF1" s="244"/>
      <c r="CG1" s="244"/>
      <c r="CH1" s="244"/>
      <c r="CI1" s="244"/>
      <c r="CJ1" s="244"/>
      <c r="CK1" s="244"/>
      <c r="CL1" s="244"/>
      <c r="CM1" s="244"/>
      <c r="CN1" s="244"/>
      <c r="CO1" s="244"/>
      <c r="CP1" s="244"/>
      <c r="CQ1" s="244"/>
      <c r="CR1" s="244"/>
      <c r="CS1" s="244"/>
      <c r="CT1" s="244"/>
      <c r="CU1" s="244"/>
      <c r="CV1" s="244"/>
      <c r="CW1" s="244"/>
      <c r="CX1" s="244"/>
      <c r="CY1" s="244"/>
      <c r="CZ1" s="244"/>
      <c r="DA1" s="244"/>
      <c r="DB1" s="244"/>
      <c r="DC1" s="244"/>
      <c r="DD1" s="244"/>
      <c r="DE1" s="244"/>
      <c r="DF1" s="244"/>
      <c r="DG1" s="244"/>
      <c r="DH1" s="244"/>
      <c r="DI1" s="244"/>
      <c r="DJ1" s="244"/>
      <c r="DK1" s="244"/>
      <c r="DL1" s="244"/>
      <c r="DM1" s="244"/>
      <c r="DN1" s="244"/>
      <c r="DO1" s="244"/>
      <c r="DP1" s="244"/>
      <c r="DQ1" s="244"/>
      <c r="DR1" s="244"/>
      <c r="DS1" s="244"/>
      <c r="DT1" s="244"/>
      <c r="DU1" s="244"/>
      <c r="DV1" s="244"/>
      <c r="DW1" s="244"/>
      <c r="DX1" s="244"/>
      <c r="DY1" s="244"/>
      <c r="DZ1" s="244"/>
      <c r="EA1" s="244"/>
      <c r="EB1" s="244"/>
      <c r="EC1" s="244"/>
      <c r="ED1" s="244"/>
      <c r="EE1" s="244"/>
      <c r="EF1" s="244"/>
      <c r="EG1" s="244"/>
      <c r="EH1" s="244"/>
      <c r="EI1" s="244"/>
      <c r="EJ1" s="244"/>
      <c r="EK1" s="244"/>
      <c r="EL1" s="244"/>
      <c r="EM1" s="244"/>
      <c r="EN1" s="244"/>
      <c r="EO1" s="244"/>
      <c r="EP1" s="244"/>
      <c r="EQ1" s="244"/>
      <c r="ER1" s="244"/>
      <c r="ES1" s="244"/>
      <c r="ET1" s="244"/>
      <c r="EU1" s="244"/>
      <c r="EV1" s="244"/>
      <c r="EW1" s="244"/>
      <c r="EX1" s="244"/>
      <c r="EY1" s="244"/>
      <c r="EZ1" s="244"/>
      <c r="FA1" s="244"/>
      <c r="FB1" s="244"/>
      <c r="FC1" s="244"/>
      <c r="FD1" s="244"/>
      <c r="FE1" s="244"/>
      <c r="FF1" s="244"/>
      <c r="FG1" s="244"/>
      <c r="FH1" s="244"/>
      <c r="FI1" s="244"/>
      <c r="FJ1" s="244"/>
      <c r="FK1" s="244"/>
      <c r="FL1" s="244"/>
      <c r="FM1" s="244"/>
      <c r="FN1" s="244"/>
      <c r="FO1" s="244"/>
      <c r="FP1" s="244"/>
      <c r="FQ1" s="244"/>
      <c r="FR1" s="244"/>
      <c r="FS1" s="244"/>
      <c r="FT1" s="244"/>
      <c r="FU1" s="244"/>
      <c r="FV1" s="244"/>
      <c r="FW1" s="244"/>
      <c r="FX1" s="244"/>
      <c r="FY1" s="244"/>
      <c r="FZ1" s="244"/>
      <c r="GA1" s="244"/>
      <c r="GB1" s="244"/>
      <c r="GC1" s="244"/>
      <c r="GD1" s="244"/>
      <c r="GE1" s="244"/>
      <c r="GF1" s="244"/>
      <c r="GG1" s="244"/>
      <c r="GH1" s="244"/>
      <c r="GI1" s="244"/>
      <c r="GJ1" s="244"/>
      <c r="GK1" s="244"/>
      <c r="GL1" s="244"/>
      <c r="GM1" s="244"/>
      <c r="GN1" s="244"/>
      <c r="GO1" s="244"/>
      <c r="GP1" s="244"/>
      <c r="GQ1" s="244"/>
      <c r="GR1" s="244"/>
      <c r="GS1" s="244"/>
      <c r="GT1" s="244"/>
      <c r="GU1" s="244"/>
      <c r="GV1" s="244"/>
      <c r="GW1" s="244"/>
      <c r="GX1" s="244"/>
      <c r="GY1" s="244"/>
      <c r="GZ1" s="244"/>
      <c r="HA1" s="244"/>
      <c r="HB1" s="244"/>
      <c r="HC1" s="244"/>
      <c r="HD1" s="244"/>
      <c r="HE1" s="244"/>
      <c r="HF1" s="244"/>
      <c r="HG1" s="244"/>
      <c r="HH1" s="244"/>
      <c r="HI1" s="244"/>
      <c r="HJ1" s="244"/>
      <c r="HK1" s="244"/>
      <c r="HL1" s="244"/>
      <c r="HM1" s="244"/>
      <c r="HN1" s="244"/>
      <c r="HO1" s="244"/>
      <c r="HP1" s="244"/>
      <c r="HQ1" s="244"/>
      <c r="HR1" s="244"/>
      <c r="HS1" s="244"/>
      <c r="HT1" s="244"/>
      <c r="HU1" s="244"/>
      <c r="HV1" s="244"/>
      <c r="HW1" s="244"/>
      <c r="HX1" s="244"/>
      <c r="HY1" s="244"/>
      <c r="HZ1" s="244"/>
      <c r="IA1" s="244"/>
      <c r="IB1" s="244"/>
      <c r="IC1" s="244"/>
      <c r="ID1" s="244"/>
      <c r="IE1" s="244"/>
      <c r="IF1" s="244"/>
      <c r="IG1" s="244"/>
      <c r="IH1" s="244"/>
      <c r="II1" s="244"/>
      <c r="IJ1" s="244"/>
      <c r="IK1" s="244"/>
      <c r="IL1" s="244"/>
      <c r="IM1" s="244"/>
      <c r="IN1" s="244"/>
      <c r="IO1" s="244"/>
      <c r="IP1" s="244"/>
      <c r="IQ1" s="244"/>
      <c r="IR1" s="244"/>
      <c r="IS1" s="244"/>
      <c r="IT1" s="244"/>
      <c r="IU1" s="244"/>
      <c r="IV1" s="244"/>
      <c r="IW1" s="244"/>
    </row>
    <row r="2" customFormat="false" ht="12.6" hidden="false" customHeight="true" outlineLevel="0" collapsed="false">
      <c r="A2" s="246" t="s">
        <v>85</v>
      </c>
      <c r="B2" s="246"/>
      <c r="C2" s="246"/>
      <c r="D2" s="246"/>
      <c r="E2" s="247" t="s">
        <v>86</v>
      </c>
      <c r="F2" s="248" t="s">
        <v>87</v>
      </c>
      <c r="G2" s="248"/>
      <c r="H2" s="248"/>
      <c r="I2" s="248"/>
      <c r="J2" s="248"/>
      <c r="K2" s="249" t="s">
        <v>88</v>
      </c>
      <c r="L2" s="249"/>
      <c r="M2" s="249"/>
      <c r="N2" s="249"/>
      <c r="O2" s="249"/>
      <c r="P2" s="250" t="s">
        <v>89</v>
      </c>
      <c r="Q2" s="250"/>
      <c r="R2" s="250"/>
      <c r="S2" s="250"/>
      <c r="T2" s="250"/>
      <c r="U2" s="250"/>
      <c r="V2" s="251" t="s">
        <v>90</v>
      </c>
      <c r="W2" s="251"/>
      <c r="X2" s="251"/>
      <c r="Y2" s="251"/>
      <c r="Z2" s="252" t="s">
        <v>91</v>
      </c>
      <c r="AA2" s="252"/>
      <c r="AB2" s="252"/>
      <c r="AC2" s="253" t="s">
        <v>92</v>
      </c>
      <c r="AD2" s="253"/>
      <c r="AE2" s="254"/>
      <c r="AF2" s="243"/>
      <c r="AG2" s="243"/>
      <c r="AH2" s="244"/>
      <c r="AI2" s="255"/>
      <c r="AJ2" s="255"/>
      <c r="AK2" s="256"/>
      <c r="AL2" s="256"/>
      <c r="AM2" s="256"/>
      <c r="AN2" s="255"/>
      <c r="AO2" s="255"/>
      <c r="AP2" s="255"/>
      <c r="AQ2" s="255"/>
      <c r="AR2" s="255"/>
      <c r="AS2" s="255"/>
      <c r="AT2" s="255"/>
      <c r="AU2" s="255"/>
      <c r="AV2" s="244"/>
      <c r="AW2" s="244"/>
      <c r="AX2" s="244"/>
      <c r="AY2" s="257" t="s">
        <v>6</v>
      </c>
      <c r="AZ2" s="257"/>
      <c r="BA2" s="257"/>
      <c r="BB2" s="257"/>
      <c r="BC2" s="244"/>
      <c r="BD2" s="244"/>
      <c r="BE2" s="244"/>
      <c r="BF2" s="244"/>
      <c r="BG2" s="244"/>
      <c r="BH2" s="244"/>
      <c r="BI2" s="244"/>
      <c r="BJ2" s="244"/>
      <c r="BK2" s="244"/>
      <c r="BL2" s="244"/>
      <c r="BM2" s="244"/>
      <c r="BN2" s="244"/>
      <c r="BO2" s="244"/>
      <c r="BP2" s="244"/>
      <c r="BQ2" s="244"/>
      <c r="BR2" s="244"/>
      <c r="BS2" s="244"/>
      <c r="BT2" s="244"/>
      <c r="BU2" s="244"/>
      <c r="BV2" s="244"/>
      <c r="BW2" s="244"/>
      <c r="BX2" s="244"/>
      <c r="BY2" s="244"/>
      <c r="BZ2" s="244"/>
      <c r="CA2" s="244"/>
      <c r="CB2" s="244"/>
      <c r="CC2" s="244"/>
      <c r="CD2" s="244"/>
      <c r="CE2" s="244"/>
      <c r="CF2" s="244"/>
      <c r="CG2" s="244"/>
      <c r="CH2" s="244"/>
      <c r="CI2" s="244"/>
      <c r="CJ2" s="244"/>
      <c r="CK2" s="244"/>
      <c r="CL2" s="244"/>
      <c r="CM2" s="244"/>
      <c r="CN2" s="244"/>
      <c r="CO2" s="244"/>
      <c r="CP2" s="244"/>
      <c r="CQ2" s="244"/>
      <c r="CR2" s="244"/>
      <c r="CS2" s="244"/>
      <c r="CT2" s="244"/>
      <c r="CU2" s="244"/>
      <c r="CV2" s="244"/>
      <c r="CW2" s="244"/>
      <c r="CX2" s="244"/>
      <c r="CY2" s="244"/>
      <c r="CZ2" s="244"/>
      <c r="DA2" s="244"/>
      <c r="DB2" s="244"/>
      <c r="DC2" s="244"/>
      <c r="DD2" s="244"/>
      <c r="DE2" s="244"/>
      <c r="DF2" s="244"/>
      <c r="DG2" s="244"/>
      <c r="DH2" s="244"/>
      <c r="DI2" s="244"/>
      <c r="DJ2" s="244"/>
      <c r="DK2" s="244"/>
      <c r="DL2" s="244"/>
      <c r="DM2" s="244"/>
      <c r="DN2" s="244"/>
      <c r="DO2" s="244"/>
      <c r="DP2" s="244"/>
      <c r="DQ2" s="244"/>
      <c r="DR2" s="244"/>
      <c r="DS2" s="244"/>
      <c r="DT2" s="244"/>
      <c r="DU2" s="244"/>
      <c r="DV2" s="244"/>
      <c r="DW2" s="244"/>
      <c r="DX2" s="244"/>
      <c r="DY2" s="244"/>
      <c r="DZ2" s="244"/>
      <c r="EA2" s="244"/>
      <c r="EB2" s="244"/>
      <c r="EC2" s="244"/>
      <c r="ED2" s="244"/>
      <c r="EE2" s="244"/>
      <c r="EF2" s="244"/>
      <c r="EG2" s="244"/>
      <c r="EH2" s="244"/>
      <c r="EI2" s="244"/>
      <c r="EJ2" s="244"/>
      <c r="EK2" s="244"/>
      <c r="EL2" s="244"/>
      <c r="EM2" s="244"/>
      <c r="EN2" s="244"/>
      <c r="EO2" s="244"/>
      <c r="EP2" s="244"/>
      <c r="EQ2" s="244"/>
      <c r="ER2" s="244"/>
      <c r="ES2" s="244"/>
      <c r="ET2" s="244"/>
      <c r="EU2" s="244"/>
      <c r="EV2" s="244"/>
      <c r="EW2" s="244"/>
      <c r="EX2" s="244"/>
      <c r="EY2" s="244"/>
      <c r="EZ2" s="244"/>
      <c r="FA2" s="244"/>
      <c r="FB2" s="244"/>
      <c r="FC2" s="244"/>
      <c r="FD2" s="244"/>
      <c r="FE2" s="244"/>
      <c r="FF2" s="244"/>
      <c r="FG2" s="244"/>
      <c r="FH2" s="244"/>
      <c r="FI2" s="244"/>
      <c r="FJ2" s="244"/>
      <c r="FK2" s="244"/>
      <c r="FL2" s="244"/>
      <c r="FM2" s="244"/>
      <c r="FN2" s="244"/>
      <c r="FO2" s="244"/>
      <c r="FP2" s="244"/>
      <c r="FQ2" s="244"/>
      <c r="FR2" s="244"/>
      <c r="FS2" s="244"/>
      <c r="FT2" s="244"/>
      <c r="FU2" s="244"/>
      <c r="FV2" s="244"/>
      <c r="FW2" s="244"/>
      <c r="FX2" s="244"/>
      <c r="FY2" s="244"/>
      <c r="FZ2" s="244"/>
      <c r="GA2" s="244"/>
      <c r="GB2" s="244"/>
      <c r="GC2" s="244"/>
      <c r="GD2" s="244"/>
      <c r="GE2" s="244"/>
      <c r="GF2" s="244"/>
      <c r="GG2" s="244"/>
      <c r="GH2" s="244"/>
      <c r="GI2" s="244"/>
      <c r="GJ2" s="244"/>
      <c r="GK2" s="244"/>
      <c r="GL2" s="244"/>
      <c r="GM2" s="244"/>
      <c r="GN2" s="244"/>
      <c r="GO2" s="244"/>
      <c r="GP2" s="244"/>
      <c r="GQ2" s="244"/>
      <c r="GR2" s="244"/>
      <c r="GS2" s="244"/>
      <c r="GT2" s="244"/>
      <c r="GU2" s="244"/>
      <c r="GV2" s="244"/>
      <c r="GW2" s="244"/>
      <c r="GX2" s="244"/>
      <c r="GY2" s="244"/>
      <c r="GZ2" s="244"/>
      <c r="HA2" s="244"/>
      <c r="HB2" s="244"/>
      <c r="HC2" s="244"/>
      <c r="HD2" s="244"/>
      <c r="HE2" s="244"/>
      <c r="HF2" s="244"/>
      <c r="HG2" s="244"/>
      <c r="HH2" s="244"/>
      <c r="HI2" s="244"/>
      <c r="HJ2" s="244"/>
      <c r="HK2" s="244"/>
      <c r="HL2" s="244"/>
      <c r="HM2" s="244"/>
      <c r="HN2" s="244"/>
      <c r="HO2" s="244"/>
      <c r="HP2" s="244"/>
      <c r="HQ2" s="244"/>
      <c r="HR2" s="244"/>
      <c r="HS2" s="244"/>
      <c r="HT2" s="244"/>
      <c r="HU2" s="244"/>
      <c r="HV2" s="244"/>
      <c r="HW2" s="244"/>
      <c r="HX2" s="244"/>
      <c r="HY2" s="244"/>
      <c r="HZ2" s="244"/>
      <c r="IA2" s="244"/>
      <c r="IB2" s="244"/>
      <c r="IC2" s="244"/>
      <c r="ID2" s="244"/>
      <c r="IE2" s="244"/>
      <c r="IF2" s="244"/>
      <c r="IG2" s="244"/>
      <c r="IH2" s="244"/>
      <c r="II2" s="244"/>
      <c r="IJ2" s="244"/>
      <c r="IK2" s="244"/>
      <c r="IL2" s="244"/>
      <c r="IM2" s="244"/>
      <c r="IN2" s="244"/>
      <c r="IO2" s="244"/>
      <c r="IP2" s="244"/>
      <c r="IQ2" s="244"/>
      <c r="IR2" s="244"/>
      <c r="IS2" s="244"/>
      <c r="IT2" s="244"/>
      <c r="IU2" s="244"/>
      <c r="IV2" s="244"/>
      <c r="IW2" s="244"/>
    </row>
    <row r="3" customFormat="false" ht="12.6" hidden="false" customHeight="true" outlineLevel="0" collapsed="false">
      <c r="A3" s="37" t="n">
        <f aca="false">H5</f>
        <v>45962</v>
      </c>
      <c r="B3" s="37"/>
      <c r="C3" s="37"/>
      <c r="D3" s="38" t="s">
        <v>7</v>
      </c>
      <c r="E3" s="38"/>
      <c r="F3" s="38"/>
      <c r="G3" s="38"/>
      <c r="H3" s="39" t="s">
        <v>8</v>
      </c>
      <c r="I3" s="39"/>
      <c r="J3" s="40" t="s">
        <v>9</v>
      </c>
      <c r="K3" s="40"/>
      <c r="L3" s="40"/>
      <c r="M3" s="41" t="s">
        <v>10</v>
      </c>
      <c r="N3" s="41"/>
      <c r="O3" s="41"/>
      <c r="P3" s="42" t="s">
        <v>11</v>
      </c>
      <c r="Q3" s="42"/>
      <c r="R3" s="42"/>
      <c r="S3" s="42" t="s">
        <v>12</v>
      </c>
      <c r="T3" s="42"/>
      <c r="U3" s="42"/>
      <c r="V3" s="42" t="s">
        <v>13</v>
      </c>
      <c r="W3" s="42"/>
      <c r="X3" s="42" t="s">
        <v>14</v>
      </c>
      <c r="Y3" s="42"/>
      <c r="Z3" s="43" t="s">
        <v>15</v>
      </c>
      <c r="AA3" s="43"/>
      <c r="AB3" s="44" t="s">
        <v>16</v>
      </c>
      <c r="AC3" s="44"/>
      <c r="AD3" s="44"/>
      <c r="AE3" s="45"/>
      <c r="AF3" s="46" t="s">
        <v>17</v>
      </c>
      <c r="AG3" s="46"/>
      <c r="AH3" s="46"/>
      <c r="AI3" s="47" t="s">
        <v>18</v>
      </c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8"/>
      <c r="AW3" s="48"/>
      <c r="AX3" s="48"/>
      <c r="AY3" s="49" t="s">
        <v>19</v>
      </c>
      <c r="AZ3" s="49"/>
      <c r="BA3" s="49"/>
      <c r="BB3" s="49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48"/>
      <c r="IW3" s="48"/>
    </row>
    <row r="4" customFormat="false" ht="12.6" hidden="false" customHeight="true" outlineLevel="0" collapsed="false">
      <c r="A4" s="37"/>
      <c r="B4" s="37"/>
      <c r="C4" s="37"/>
      <c r="D4" s="38"/>
      <c r="E4" s="38"/>
      <c r="F4" s="38"/>
      <c r="G4" s="38"/>
      <c r="H4" s="39"/>
      <c r="I4" s="39"/>
      <c r="J4" s="51" t="n">
        <v>0.045</v>
      </c>
      <c r="K4" s="51"/>
      <c r="L4" s="51"/>
      <c r="M4" s="52" t="n">
        <v>0.03545</v>
      </c>
      <c r="N4" s="52"/>
      <c r="O4" s="52"/>
      <c r="P4" s="53" t="s">
        <v>20</v>
      </c>
      <c r="Q4" s="54" t="n">
        <f aca="false">12.95%/2</f>
        <v>0.06475</v>
      </c>
      <c r="R4" s="54"/>
      <c r="S4" s="55" t="n">
        <v>0.027</v>
      </c>
      <c r="T4" s="55"/>
      <c r="U4" s="55"/>
      <c r="V4" s="53" t="s">
        <v>21</v>
      </c>
      <c r="W4" s="53"/>
      <c r="X4" s="56" t="n">
        <v>150000</v>
      </c>
      <c r="Y4" s="56"/>
      <c r="Z4" s="57" t="n">
        <v>0.009</v>
      </c>
      <c r="AA4" s="57"/>
      <c r="AB4" s="44"/>
      <c r="AC4" s="44"/>
      <c r="AD4" s="44"/>
      <c r="AE4" s="58"/>
      <c r="AF4" s="46"/>
      <c r="AG4" s="46"/>
      <c r="AH4" s="46"/>
      <c r="AI4" s="47" t="s">
        <v>22</v>
      </c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8"/>
      <c r="AW4" s="48"/>
      <c r="AX4" s="48"/>
      <c r="AY4" s="59" t="s">
        <v>23</v>
      </c>
      <c r="AZ4" s="59"/>
      <c r="BA4" s="59"/>
      <c r="BB4" s="59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0"/>
      <c r="CP4" s="50"/>
      <c r="CQ4" s="50"/>
      <c r="CR4" s="50"/>
      <c r="CS4" s="50"/>
      <c r="CT4" s="50"/>
      <c r="CU4" s="50"/>
      <c r="CV4" s="50"/>
      <c r="CW4" s="50"/>
      <c r="CX4" s="50"/>
      <c r="CY4" s="50"/>
      <c r="CZ4" s="50"/>
      <c r="DA4" s="50"/>
      <c r="DB4" s="50"/>
      <c r="DC4" s="50"/>
      <c r="DD4" s="50"/>
      <c r="DE4" s="50"/>
      <c r="DF4" s="50"/>
      <c r="DG4" s="50"/>
      <c r="DH4" s="50"/>
      <c r="DI4" s="50"/>
      <c r="DJ4" s="50"/>
      <c r="DK4" s="50"/>
      <c r="DL4" s="50"/>
      <c r="DM4" s="50"/>
      <c r="DN4" s="50"/>
      <c r="DO4" s="50"/>
      <c r="DP4" s="50"/>
      <c r="DQ4" s="50"/>
      <c r="DR4" s="50"/>
      <c r="DS4" s="50"/>
      <c r="DT4" s="50"/>
      <c r="DU4" s="50"/>
      <c r="DV4" s="50"/>
      <c r="DW4" s="50"/>
      <c r="DX4" s="50"/>
      <c r="DY4" s="50"/>
      <c r="DZ4" s="50"/>
      <c r="EA4" s="50"/>
      <c r="EB4" s="50"/>
      <c r="EC4" s="50"/>
      <c r="ED4" s="50"/>
      <c r="EE4" s="50"/>
      <c r="EF4" s="50"/>
      <c r="EG4" s="50"/>
      <c r="EH4" s="50"/>
      <c r="EI4" s="50"/>
      <c r="EJ4" s="50"/>
      <c r="EK4" s="50"/>
      <c r="EL4" s="50"/>
      <c r="EM4" s="50"/>
      <c r="EN4" s="50"/>
      <c r="EO4" s="50"/>
      <c r="EP4" s="50"/>
      <c r="EQ4" s="50"/>
      <c r="ER4" s="50"/>
      <c r="ES4" s="50"/>
      <c r="ET4" s="50"/>
      <c r="EU4" s="50"/>
      <c r="EV4" s="50"/>
      <c r="EW4" s="50"/>
      <c r="EX4" s="50"/>
      <c r="EY4" s="50"/>
      <c r="EZ4" s="50"/>
      <c r="FA4" s="50"/>
      <c r="FB4" s="50"/>
      <c r="FC4" s="50"/>
      <c r="FD4" s="50"/>
      <c r="FE4" s="50"/>
      <c r="FF4" s="50"/>
      <c r="FG4" s="50"/>
      <c r="FH4" s="50"/>
      <c r="FI4" s="50"/>
      <c r="FJ4" s="50"/>
      <c r="FK4" s="50"/>
      <c r="FL4" s="50"/>
      <c r="FM4" s="50"/>
      <c r="FN4" s="50"/>
      <c r="FO4" s="50"/>
      <c r="FP4" s="50"/>
      <c r="FQ4" s="50"/>
      <c r="FR4" s="50"/>
      <c r="FS4" s="50"/>
      <c r="FT4" s="50"/>
      <c r="FU4" s="50"/>
      <c r="FV4" s="50"/>
      <c r="FW4" s="50"/>
      <c r="FX4" s="50"/>
      <c r="FY4" s="50"/>
      <c r="FZ4" s="50"/>
      <c r="GA4" s="50"/>
      <c r="GB4" s="50"/>
      <c r="GC4" s="50"/>
      <c r="GD4" s="50"/>
      <c r="GE4" s="50"/>
      <c r="GF4" s="50"/>
      <c r="GG4" s="50"/>
      <c r="GH4" s="50"/>
      <c r="GI4" s="50"/>
      <c r="GJ4" s="50"/>
      <c r="GK4" s="50"/>
      <c r="GL4" s="50"/>
      <c r="GM4" s="50"/>
      <c r="GN4" s="50"/>
      <c r="GO4" s="50"/>
      <c r="GP4" s="50"/>
      <c r="GQ4" s="50"/>
      <c r="GR4" s="50"/>
      <c r="GS4" s="50"/>
      <c r="GT4" s="50"/>
      <c r="GU4" s="50"/>
      <c r="GV4" s="50"/>
      <c r="GW4" s="50"/>
      <c r="GX4" s="50"/>
      <c r="GY4" s="50"/>
      <c r="GZ4" s="50"/>
      <c r="HA4" s="50"/>
      <c r="HB4" s="50"/>
      <c r="HC4" s="50"/>
      <c r="HD4" s="50"/>
      <c r="HE4" s="50"/>
      <c r="HF4" s="50"/>
      <c r="HG4" s="50"/>
      <c r="HH4" s="50"/>
      <c r="HI4" s="50"/>
      <c r="HJ4" s="50"/>
      <c r="HK4" s="50"/>
      <c r="HL4" s="50"/>
      <c r="HM4" s="50"/>
      <c r="HN4" s="50"/>
      <c r="HO4" s="50"/>
      <c r="HP4" s="50"/>
      <c r="HQ4" s="50"/>
      <c r="HR4" s="50"/>
      <c r="HS4" s="50"/>
      <c r="HT4" s="50"/>
      <c r="HU4" s="50"/>
      <c r="HV4" s="50"/>
      <c r="HW4" s="50"/>
      <c r="HX4" s="50"/>
      <c r="HY4" s="50"/>
      <c r="HZ4" s="50"/>
      <c r="IA4" s="50"/>
      <c r="IB4" s="50"/>
      <c r="IC4" s="50"/>
      <c r="ID4" s="50"/>
      <c r="IE4" s="50"/>
      <c r="IF4" s="50"/>
      <c r="IG4" s="50"/>
      <c r="IH4" s="50"/>
      <c r="II4" s="50"/>
      <c r="IJ4" s="50"/>
      <c r="IK4" s="50"/>
      <c r="IL4" s="50"/>
      <c r="IM4" s="50"/>
      <c r="IN4" s="50"/>
      <c r="IO4" s="50"/>
      <c r="IP4" s="50"/>
      <c r="IQ4" s="50"/>
      <c r="IR4" s="50"/>
      <c r="IS4" s="50"/>
      <c r="IT4" s="50"/>
      <c r="IU4" s="50"/>
      <c r="IV4" s="48"/>
      <c r="IW4" s="48"/>
    </row>
    <row r="5" customFormat="false" ht="12.6" hidden="false" customHeight="true" outlineLevel="0" collapsed="false">
      <c r="A5" s="60" t="s">
        <v>24</v>
      </c>
      <c r="B5" s="60"/>
      <c r="C5" s="61" t="s">
        <v>25</v>
      </c>
      <c r="D5" s="61"/>
      <c r="E5" s="61"/>
      <c r="F5" s="62" t="s">
        <v>26</v>
      </c>
      <c r="G5" s="62"/>
      <c r="H5" s="63" t="n">
        <v>45962</v>
      </c>
      <c r="I5" s="63"/>
      <c r="J5" s="63"/>
      <c r="K5" s="63"/>
      <c r="L5" s="63"/>
      <c r="M5" s="63"/>
      <c r="N5" s="63"/>
      <c r="O5" s="64" t="n">
        <f aca="false">H6</f>
        <v>45991</v>
      </c>
      <c r="P5" s="64"/>
      <c r="Q5" s="62" t="s">
        <v>27</v>
      </c>
      <c r="R5" s="62"/>
      <c r="S5" s="65" t="s">
        <v>28</v>
      </c>
      <c r="T5" s="65"/>
      <c r="U5" s="65"/>
      <c r="V5" s="65"/>
      <c r="W5" s="66"/>
      <c r="X5" s="66"/>
      <c r="Y5" s="66"/>
      <c r="Z5" s="66"/>
      <c r="AA5" s="66"/>
      <c r="AB5" s="66"/>
      <c r="AC5" s="66"/>
      <c r="AD5" s="66"/>
      <c r="AE5" s="67"/>
      <c r="AF5" s="46"/>
      <c r="AG5" s="46"/>
      <c r="AH5" s="46"/>
      <c r="AI5" s="68"/>
      <c r="AJ5" s="69"/>
      <c r="AK5" s="70"/>
      <c r="AL5" s="70"/>
      <c r="AM5" s="70"/>
      <c r="AN5" s="71"/>
      <c r="AO5" s="71"/>
      <c r="AP5" s="71"/>
      <c r="AQ5" s="68"/>
      <c r="AR5" s="68"/>
      <c r="AS5" s="68"/>
      <c r="AT5" s="68"/>
      <c r="AU5" s="68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  <c r="BS5" s="72"/>
      <c r="BT5" s="72"/>
      <c r="BU5" s="72"/>
      <c r="BV5" s="72"/>
      <c r="BW5" s="72"/>
      <c r="BX5" s="72"/>
      <c r="BY5" s="72"/>
      <c r="BZ5" s="72"/>
      <c r="CA5" s="72"/>
      <c r="CB5" s="72"/>
      <c r="CC5" s="72"/>
      <c r="CD5" s="72"/>
      <c r="CE5" s="72"/>
      <c r="CF5" s="72"/>
      <c r="CG5" s="72"/>
      <c r="CH5" s="72"/>
      <c r="CI5" s="72"/>
      <c r="CJ5" s="72"/>
      <c r="CK5" s="72"/>
      <c r="CL5" s="72"/>
      <c r="CM5" s="72"/>
      <c r="CN5" s="72"/>
      <c r="CO5" s="72"/>
      <c r="CP5" s="72"/>
      <c r="CQ5" s="72"/>
      <c r="CR5" s="72"/>
      <c r="CS5" s="72"/>
      <c r="CT5" s="72"/>
      <c r="CU5" s="72"/>
      <c r="CV5" s="72"/>
      <c r="CW5" s="72"/>
      <c r="CX5" s="72"/>
      <c r="CY5" s="72"/>
      <c r="CZ5" s="72"/>
      <c r="DA5" s="72"/>
      <c r="DB5" s="72"/>
      <c r="DC5" s="72"/>
      <c r="DD5" s="72"/>
      <c r="DE5" s="72"/>
      <c r="DF5" s="72"/>
      <c r="DG5" s="72"/>
      <c r="DH5" s="72"/>
      <c r="DI5" s="72"/>
      <c r="DJ5" s="72"/>
      <c r="DK5" s="72"/>
      <c r="DL5" s="72"/>
      <c r="DM5" s="72"/>
      <c r="DN5" s="72"/>
      <c r="DO5" s="72"/>
      <c r="DP5" s="72"/>
      <c r="DQ5" s="72"/>
      <c r="DR5" s="72"/>
      <c r="DS5" s="72"/>
      <c r="DT5" s="72"/>
      <c r="DU5" s="72"/>
      <c r="DV5" s="72"/>
      <c r="DW5" s="72"/>
      <c r="DX5" s="72"/>
      <c r="DY5" s="72"/>
      <c r="DZ5" s="72"/>
      <c r="EA5" s="72"/>
      <c r="EB5" s="72"/>
      <c r="EC5" s="72"/>
      <c r="ED5" s="72"/>
      <c r="EE5" s="72"/>
      <c r="EF5" s="72"/>
      <c r="EG5" s="72"/>
      <c r="EH5" s="72"/>
      <c r="EI5" s="72"/>
      <c r="EJ5" s="72"/>
      <c r="EK5" s="72"/>
      <c r="EL5" s="72"/>
      <c r="EM5" s="72"/>
      <c r="EN5" s="72"/>
      <c r="EO5" s="72"/>
      <c r="EP5" s="72"/>
      <c r="EQ5" s="72"/>
      <c r="ER5" s="72"/>
      <c r="ES5" s="72"/>
      <c r="ET5" s="72"/>
      <c r="EU5" s="72"/>
      <c r="EV5" s="72"/>
      <c r="EW5" s="72"/>
      <c r="EX5" s="72"/>
      <c r="EY5" s="72"/>
      <c r="EZ5" s="72"/>
      <c r="FA5" s="72"/>
      <c r="FB5" s="72"/>
      <c r="FC5" s="72"/>
      <c r="FD5" s="72"/>
      <c r="FE5" s="72"/>
      <c r="FF5" s="72"/>
      <c r="FG5" s="72"/>
      <c r="FH5" s="72"/>
      <c r="FI5" s="72"/>
      <c r="FJ5" s="72"/>
      <c r="FK5" s="72"/>
      <c r="FL5" s="72"/>
      <c r="FM5" s="72"/>
      <c r="FN5" s="72"/>
      <c r="FO5" s="72"/>
      <c r="FP5" s="72"/>
      <c r="FQ5" s="72"/>
      <c r="FR5" s="72"/>
      <c r="FS5" s="72"/>
      <c r="FT5" s="72"/>
      <c r="FU5" s="72"/>
      <c r="FV5" s="72"/>
      <c r="FW5" s="72"/>
      <c r="FX5" s="72"/>
      <c r="FY5" s="72"/>
      <c r="FZ5" s="72"/>
      <c r="GA5" s="72"/>
      <c r="GB5" s="72"/>
      <c r="GC5" s="72"/>
      <c r="GD5" s="72"/>
      <c r="GE5" s="72"/>
      <c r="GF5" s="72"/>
      <c r="GG5" s="72"/>
      <c r="GH5" s="72"/>
      <c r="GI5" s="72"/>
      <c r="GJ5" s="72"/>
      <c r="GK5" s="72"/>
      <c r="GL5" s="72"/>
      <c r="GM5" s="72"/>
      <c r="GN5" s="72"/>
      <c r="GO5" s="72"/>
      <c r="GP5" s="72"/>
      <c r="GQ5" s="72"/>
      <c r="GR5" s="72"/>
      <c r="GS5" s="72"/>
      <c r="GT5" s="72"/>
      <c r="GU5" s="72"/>
      <c r="GV5" s="72"/>
      <c r="GW5" s="72"/>
      <c r="GX5" s="72"/>
      <c r="GY5" s="72"/>
      <c r="GZ5" s="72"/>
      <c r="HA5" s="72"/>
      <c r="HB5" s="72"/>
      <c r="HC5" s="72"/>
      <c r="HD5" s="72"/>
      <c r="HE5" s="72"/>
      <c r="HF5" s="72"/>
      <c r="HG5" s="72"/>
      <c r="HH5" s="72"/>
      <c r="HI5" s="72"/>
      <c r="HJ5" s="72"/>
      <c r="HK5" s="72"/>
      <c r="HL5" s="72"/>
      <c r="HM5" s="72"/>
      <c r="HN5" s="72"/>
      <c r="HO5" s="72"/>
      <c r="HP5" s="72"/>
      <c r="HQ5" s="72"/>
      <c r="HR5" s="72"/>
      <c r="HS5" s="72"/>
      <c r="HT5" s="72"/>
      <c r="HU5" s="72"/>
      <c r="HV5" s="72"/>
      <c r="HW5" s="72"/>
      <c r="HX5" s="72"/>
      <c r="HY5" s="72"/>
      <c r="HZ5" s="72"/>
      <c r="IA5" s="72"/>
      <c r="IB5" s="72"/>
      <c r="IC5" s="72"/>
      <c r="ID5" s="72"/>
      <c r="IE5" s="72"/>
      <c r="IF5" s="72"/>
      <c r="IG5" s="72"/>
      <c r="IH5" s="72"/>
      <c r="II5" s="72"/>
      <c r="IJ5" s="72"/>
      <c r="IK5" s="72"/>
      <c r="IL5" s="72"/>
      <c r="IM5" s="72"/>
      <c r="IN5" s="72"/>
      <c r="IO5" s="72"/>
      <c r="IP5" s="72"/>
      <c r="IQ5" s="72"/>
      <c r="IR5" s="72"/>
      <c r="IS5" s="72"/>
      <c r="IT5" s="72"/>
      <c r="IU5" s="72"/>
      <c r="IV5" s="73"/>
      <c r="IW5" s="73"/>
    </row>
    <row r="6" customFormat="false" ht="12.6" hidden="false" customHeight="true" outlineLevel="0" collapsed="false">
      <c r="A6" s="60"/>
      <c r="B6" s="60"/>
      <c r="C6" s="61"/>
      <c r="D6" s="61"/>
      <c r="E6" s="61"/>
      <c r="F6" s="62"/>
      <c r="G6" s="62"/>
      <c r="H6" s="74" t="n">
        <v>45991</v>
      </c>
      <c r="I6" s="74"/>
      <c r="J6" s="74"/>
      <c r="K6" s="74"/>
      <c r="L6" s="74"/>
      <c r="M6" s="74"/>
      <c r="N6" s="74"/>
      <c r="O6" s="64"/>
      <c r="P6" s="64"/>
      <c r="Q6" s="62"/>
      <c r="R6" s="62"/>
      <c r="S6" s="75" t="s">
        <v>29</v>
      </c>
      <c r="T6" s="75"/>
      <c r="U6" s="75"/>
      <c r="V6" s="75"/>
      <c r="W6" s="76"/>
      <c r="X6" s="76"/>
      <c r="Y6" s="76"/>
      <c r="Z6" s="76"/>
      <c r="AA6" s="76"/>
      <c r="AB6" s="76"/>
      <c r="AC6" s="76"/>
      <c r="AD6" s="76"/>
      <c r="AE6" s="77"/>
      <c r="AF6" s="46"/>
      <c r="AG6" s="46"/>
      <c r="AH6" s="46"/>
      <c r="AI6" s="68"/>
      <c r="AJ6" s="69"/>
      <c r="AK6" s="70"/>
      <c r="AL6" s="70"/>
      <c r="AM6" s="70"/>
      <c r="AN6" s="71"/>
      <c r="AO6" s="71"/>
      <c r="AP6" s="71"/>
      <c r="AQ6" s="68"/>
      <c r="AR6" s="68"/>
      <c r="AS6" s="68"/>
      <c r="AT6" s="68"/>
      <c r="AU6" s="68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72"/>
      <c r="CW6" s="72"/>
      <c r="CX6" s="72"/>
      <c r="CY6" s="72"/>
      <c r="CZ6" s="72"/>
      <c r="DA6" s="72"/>
      <c r="DB6" s="72"/>
      <c r="DC6" s="72"/>
      <c r="DD6" s="72"/>
      <c r="DE6" s="72"/>
      <c r="DF6" s="72"/>
      <c r="DG6" s="72"/>
      <c r="DH6" s="72"/>
      <c r="DI6" s="72"/>
      <c r="DJ6" s="72"/>
      <c r="DK6" s="72"/>
      <c r="DL6" s="72"/>
      <c r="DM6" s="72"/>
      <c r="DN6" s="72"/>
      <c r="DO6" s="72"/>
      <c r="DP6" s="72"/>
      <c r="DQ6" s="72"/>
      <c r="DR6" s="72"/>
      <c r="DS6" s="72"/>
      <c r="DT6" s="72"/>
      <c r="DU6" s="72"/>
      <c r="DV6" s="72"/>
      <c r="DW6" s="72"/>
      <c r="DX6" s="72"/>
      <c r="DY6" s="72"/>
      <c r="DZ6" s="72"/>
      <c r="EA6" s="72"/>
      <c r="EB6" s="72"/>
      <c r="EC6" s="72"/>
      <c r="ED6" s="72"/>
      <c r="EE6" s="72"/>
      <c r="EF6" s="72"/>
      <c r="EG6" s="72"/>
      <c r="EH6" s="72"/>
      <c r="EI6" s="72"/>
      <c r="EJ6" s="72"/>
      <c r="EK6" s="72"/>
      <c r="EL6" s="72"/>
      <c r="EM6" s="72"/>
      <c r="EN6" s="72"/>
      <c r="EO6" s="72"/>
      <c r="EP6" s="72"/>
      <c r="EQ6" s="72"/>
      <c r="ER6" s="72"/>
      <c r="ES6" s="72"/>
      <c r="ET6" s="72"/>
      <c r="EU6" s="72"/>
      <c r="EV6" s="72"/>
      <c r="EW6" s="72"/>
      <c r="EX6" s="72"/>
      <c r="EY6" s="72"/>
      <c r="EZ6" s="72"/>
      <c r="FA6" s="72"/>
      <c r="FB6" s="72"/>
      <c r="FC6" s="72"/>
      <c r="FD6" s="72"/>
      <c r="FE6" s="72"/>
      <c r="FF6" s="72"/>
      <c r="FG6" s="72"/>
      <c r="FH6" s="72"/>
      <c r="FI6" s="72"/>
      <c r="FJ6" s="72"/>
      <c r="FK6" s="72"/>
      <c r="FL6" s="72"/>
      <c r="FM6" s="72"/>
      <c r="FN6" s="72"/>
      <c r="FO6" s="72"/>
      <c r="FP6" s="72"/>
      <c r="FQ6" s="72"/>
      <c r="FR6" s="72"/>
      <c r="FS6" s="72"/>
      <c r="FT6" s="72"/>
      <c r="FU6" s="72"/>
      <c r="FV6" s="72"/>
      <c r="FW6" s="72"/>
      <c r="FX6" s="72"/>
      <c r="FY6" s="72"/>
      <c r="FZ6" s="72"/>
      <c r="GA6" s="72"/>
      <c r="GB6" s="72"/>
      <c r="GC6" s="72"/>
      <c r="GD6" s="72"/>
      <c r="GE6" s="72"/>
      <c r="GF6" s="72"/>
      <c r="GG6" s="72"/>
      <c r="GH6" s="72"/>
      <c r="GI6" s="72"/>
      <c r="GJ6" s="72"/>
      <c r="GK6" s="72"/>
      <c r="GL6" s="72"/>
      <c r="GM6" s="72"/>
      <c r="GN6" s="72"/>
      <c r="GO6" s="72"/>
      <c r="GP6" s="72"/>
      <c r="GQ6" s="72"/>
      <c r="GR6" s="72"/>
      <c r="GS6" s="72"/>
      <c r="GT6" s="72"/>
      <c r="GU6" s="72"/>
      <c r="GV6" s="72"/>
      <c r="GW6" s="72"/>
      <c r="GX6" s="72"/>
      <c r="GY6" s="72"/>
      <c r="GZ6" s="72"/>
      <c r="HA6" s="72"/>
      <c r="HB6" s="72"/>
      <c r="HC6" s="72"/>
      <c r="HD6" s="72"/>
      <c r="HE6" s="72"/>
      <c r="HF6" s="72"/>
      <c r="HG6" s="72"/>
      <c r="HH6" s="72"/>
      <c r="HI6" s="72"/>
      <c r="HJ6" s="72"/>
      <c r="HK6" s="72"/>
      <c r="HL6" s="72"/>
      <c r="HM6" s="72"/>
      <c r="HN6" s="72"/>
      <c r="HO6" s="72"/>
      <c r="HP6" s="72"/>
      <c r="HQ6" s="72"/>
      <c r="HR6" s="72"/>
      <c r="HS6" s="72"/>
      <c r="HT6" s="72"/>
      <c r="HU6" s="72"/>
      <c r="HV6" s="72"/>
      <c r="HW6" s="72"/>
      <c r="HX6" s="72"/>
      <c r="HY6" s="72"/>
      <c r="HZ6" s="72"/>
      <c r="IA6" s="72"/>
      <c r="IB6" s="72"/>
      <c r="IC6" s="72"/>
      <c r="ID6" s="72"/>
      <c r="IE6" s="72"/>
      <c r="IF6" s="72"/>
      <c r="IG6" s="72"/>
      <c r="IH6" s="72"/>
      <c r="II6" s="72"/>
      <c r="IJ6" s="72"/>
      <c r="IK6" s="72"/>
      <c r="IL6" s="72"/>
      <c r="IM6" s="72"/>
      <c r="IN6" s="72"/>
      <c r="IO6" s="72"/>
      <c r="IP6" s="72"/>
      <c r="IQ6" s="72"/>
      <c r="IR6" s="72"/>
      <c r="IS6" s="72"/>
      <c r="IT6" s="72"/>
      <c r="IU6" s="72"/>
      <c r="IV6" s="73"/>
      <c r="IW6" s="73"/>
    </row>
    <row r="7" customFormat="false" ht="18" hidden="false" customHeight="true" outlineLevel="0" collapsed="false">
      <c r="A7" s="78" t="s">
        <v>30</v>
      </c>
      <c r="B7" s="79" t="s">
        <v>31</v>
      </c>
      <c r="C7" s="79" t="s">
        <v>32</v>
      </c>
      <c r="D7" s="80" t="s">
        <v>33</v>
      </c>
      <c r="E7" s="79" t="s">
        <v>34</v>
      </c>
      <c r="F7" s="79" t="s">
        <v>35</v>
      </c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80" t="s">
        <v>36</v>
      </c>
      <c r="W7" s="81" t="s">
        <v>37</v>
      </c>
      <c r="X7" s="81" t="s">
        <v>38</v>
      </c>
      <c r="Y7" s="81"/>
      <c r="Z7" s="81"/>
      <c r="AA7" s="82" t="s">
        <v>39</v>
      </c>
      <c r="AB7" s="80" t="s">
        <v>40</v>
      </c>
      <c r="AC7" s="83" t="s">
        <v>41</v>
      </c>
      <c r="AD7" s="83"/>
      <c r="AE7" s="84" t="s">
        <v>42</v>
      </c>
      <c r="AF7" s="85"/>
      <c r="AG7" s="85"/>
      <c r="AH7" s="85"/>
      <c r="AI7" s="85"/>
      <c r="AJ7" s="85"/>
      <c r="AK7" s="85"/>
      <c r="AL7" s="85"/>
      <c r="AM7" s="85"/>
      <c r="AN7" s="50"/>
      <c r="AO7" s="50"/>
      <c r="AP7" s="50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  <c r="BT7" s="85"/>
      <c r="BU7" s="85"/>
      <c r="BV7" s="85"/>
      <c r="BW7" s="85"/>
      <c r="BX7" s="85"/>
      <c r="BY7" s="85"/>
      <c r="BZ7" s="85"/>
      <c r="CA7" s="85"/>
      <c r="CB7" s="85"/>
      <c r="CC7" s="85"/>
      <c r="CD7" s="85"/>
      <c r="CE7" s="85"/>
      <c r="CF7" s="85"/>
      <c r="CG7" s="85"/>
      <c r="CH7" s="85"/>
      <c r="CI7" s="85"/>
      <c r="CJ7" s="85"/>
      <c r="CK7" s="85"/>
      <c r="CL7" s="85"/>
      <c r="CM7" s="85"/>
      <c r="CN7" s="85"/>
      <c r="CO7" s="85"/>
      <c r="CP7" s="85"/>
      <c r="CQ7" s="85"/>
      <c r="CR7" s="85"/>
      <c r="CS7" s="85"/>
      <c r="CT7" s="85"/>
      <c r="CU7" s="85"/>
      <c r="CV7" s="85"/>
      <c r="CW7" s="85"/>
      <c r="CX7" s="85"/>
      <c r="CY7" s="85"/>
      <c r="CZ7" s="85"/>
      <c r="DA7" s="85"/>
      <c r="DB7" s="85"/>
      <c r="DC7" s="85"/>
      <c r="DD7" s="85"/>
      <c r="DE7" s="85"/>
      <c r="DF7" s="85"/>
      <c r="DG7" s="85"/>
      <c r="DH7" s="85"/>
      <c r="DI7" s="85"/>
      <c r="DJ7" s="85"/>
      <c r="DK7" s="85"/>
      <c r="DL7" s="85"/>
      <c r="DM7" s="85"/>
      <c r="DN7" s="85"/>
      <c r="DO7" s="85"/>
      <c r="DP7" s="85"/>
      <c r="DQ7" s="85"/>
      <c r="DR7" s="85"/>
      <c r="DS7" s="85"/>
      <c r="DT7" s="85"/>
      <c r="DU7" s="85"/>
      <c r="DV7" s="85"/>
      <c r="DW7" s="85"/>
      <c r="DX7" s="85"/>
      <c r="DY7" s="85"/>
      <c r="DZ7" s="85"/>
      <c r="EA7" s="85"/>
      <c r="EB7" s="85"/>
      <c r="EC7" s="85"/>
      <c r="ED7" s="85"/>
      <c r="EE7" s="85"/>
      <c r="EF7" s="85"/>
      <c r="EG7" s="85"/>
      <c r="EH7" s="85"/>
      <c r="EI7" s="85"/>
      <c r="EJ7" s="85"/>
      <c r="EK7" s="85"/>
      <c r="EL7" s="85"/>
      <c r="EM7" s="85"/>
      <c r="EN7" s="85"/>
      <c r="EO7" s="85"/>
      <c r="EP7" s="85"/>
      <c r="EQ7" s="85"/>
      <c r="ER7" s="85"/>
      <c r="ES7" s="85"/>
      <c r="ET7" s="85"/>
      <c r="EU7" s="85"/>
      <c r="EV7" s="85"/>
      <c r="EW7" s="85"/>
      <c r="EX7" s="85"/>
      <c r="EY7" s="85"/>
      <c r="EZ7" s="85"/>
      <c r="FA7" s="85"/>
      <c r="FB7" s="85"/>
      <c r="FC7" s="85"/>
      <c r="FD7" s="85"/>
      <c r="FE7" s="85"/>
      <c r="FF7" s="85"/>
      <c r="FG7" s="85"/>
      <c r="FH7" s="85"/>
      <c r="FI7" s="85"/>
      <c r="FJ7" s="85"/>
      <c r="FK7" s="85"/>
      <c r="FL7" s="85"/>
      <c r="FM7" s="85"/>
      <c r="FN7" s="85"/>
      <c r="FO7" s="85"/>
      <c r="FP7" s="85"/>
      <c r="FQ7" s="85"/>
      <c r="FR7" s="85"/>
      <c r="FS7" s="85"/>
      <c r="FT7" s="85"/>
      <c r="FU7" s="85"/>
      <c r="FV7" s="85"/>
      <c r="FW7" s="85"/>
      <c r="FX7" s="85"/>
      <c r="FY7" s="85"/>
      <c r="FZ7" s="85"/>
      <c r="GA7" s="85"/>
      <c r="GB7" s="85"/>
      <c r="GC7" s="85"/>
      <c r="GD7" s="85"/>
      <c r="GE7" s="85"/>
      <c r="GF7" s="85"/>
      <c r="GG7" s="85"/>
      <c r="GH7" s="85"/>
      <c r="GI7" s="85"/>
      <c r="GJ7" s="85"/>
      <c r="GK7" s="85"/>
      <c r="GL7" s="85"/>
      <c r="GM7" s="85"/>
      <c r="GN7" s="85"/>
      <c r="GO7" s="85"/>
      <c r="GP7" s="85"/>
      <c r="GQ7" s="85"/>
      <c r="GR7" s="85"/>
      <c r="GS7" s="85"/>
      <c r="GT7" s="85"/>
      <c r="GU7" s="85"/>
      <c r="GV7" s="85"/>
      <c r="GW7" s="85"/>
      <c r="GX7" s="85"/>
      <c r="GY7" s="85"/>
      <c r="GZ7" s="85"/>
      <c r="HA7" s="85"/>
      <c r="HB7" s="85"/>
      <c r="HC7" s="85"/>
      <c r="HD7" s="85"/>
      <c r="HE7" s="85"/>
      <c r="HF7" s="85"/>
      <c r="HG7" s="85"/>
      <c r="HH7" s="85"/>
      <c r="HI7" s="85"/>
      <c r="HJ7" s="85"/>
      <c r="HK7" s="85"/>
      <c r="HL7" s="85"/>
      <c r="HM7" s="85"/>
      <c r="HN7" s="85"/>
      <c r="HO7" s="85"/>
      <c r="HP7" s="85"/>
      <c r="HQ7" s="85"/>
      <c r="HR7" s="85"/>
      <c r="HS7" s="85"/>
      <c r="HT7" s="85"/>
      <c r="HU7" s="85"/>
      <c r="HV7" s="85"/>
      <c r="HW7" s="85"/>
      <c r="HX7" s="85"/>
      <c r="HY7" s="85"/>
      <c r="HZ7" s="85"/>
      <c r="IA7" s="85"/>
      <c r="IB7" s="85"/>
      <c r="IC7" s="85"/>
      <c r="ID7" s="85"/>
      <c r="IE7" s="85"/>
      <c r="IF7" s="85"/>
      <c r="IG7" s="85"/>
      <c r="IH7" s="85"/>
      <c r="II7" s="85"/>
      <c r="IJ7" s="85"/>
      <c r="IK7" s="85"/>
      <c r="IL7" s="85"/>
      <c r="IM7" s="85"/>
      <c r="IN7" s="85"/>
      <c r="IO7" s="85"/>
      <c r="IP7" s="85"/>
      <c r="IQ7" s="85"/>
      <c r="IR7" s="85"/>
      <c r="IS7" s="85"/>
      <c r="IT7" s="85"/>
      <c r="IU7" s="85"/>
      <c r="IV7" s="86"/>
      <c r="IW7" s="86"/>
    </row>
    <row r="8" customFormat="false" ht="18" hidden="false" customHeight="true" outlineLevel="0" collapsed="false">
      <c r="A8" s="78"/>
      <c r="B8" s="79"/>
      <c r="C8" s="79"/>
      <c r="D8" s="79"/>
      <c r="E8" s="79"/>
      <c r="F8" s="87" t="n">
        <v>1</v>
      </c>
      <c r="G8" s="88" t="n">
        <v>2</v>
      </c>
      <c r="H8" s="87" t="n">
        <v>3</v>
      </c>
      <c r="I8" s="87" t="n">
        <v>4</v>
      </c>
      <c r="J8" s="87" t="n">
        <v>5</v>
      </c>
      <c r="K8" s="87" t="n">
        <v>6</v>
      </c>
      <c r="L8" s="87" t="n">
        <v>7</v>
      </c>
      <c r="M8" s="87" t="n">
        <v>8</v>
      </c>
      <c r="N8" s="88" t="n">
        <v>9</v>
      </c>
      <c r="O8" s="87" t="n">
        <v>10</v>
      </c>
      <c r="P8" s="89" t="n">
        <v>11</v>
      </c>
      <c r="Q8" s="87" t="n">
        <v>12</v>
      </c>
      <c r="R8" s="87" t="n">
        <v>13</v>
      </c>
      <c r="S8" s="87" t="n">
        <v>14</v>
      </c>
      <c r="T8" s="87" t="n">
        <v>15</v>
      </c>
      <c r="U8" s="90"/>
      <c r="V8" s="80"/>
      <c r="W8" s="91" t="s">
        <v>43</v>
      </c>
      <c r="X8" s="92" t="s">
        <v>44</v>
      </c>
      <c r="Y8" s="92" t="s">
        <v>10</v>
      </c>
      <c r="Z8" s="92" t="s">
        <v>9</v>
      </c>
      <c r="AA8" s="82"/>
      <c r="AB8" s="80"/>
      <c r="AC8" s="91" t="s">
        <v>45</v>
      </c>
      <c r="AD8" s="93" t="s">
        <v>46</v>
      </c>
      <c r="AE8" s="84"/>
      <c r="AF8" s="94"/>
      <c r="AG8" s="94"/>
      <c r="AH8" s="95"/>
      <c r="AI8" s="96" t="n">
        <v>1</v>
      </c>
      <c r="AJ8" s="97" t="n">
        <v>2</v>
      </c>
      <c r="AK8" s="97" t="n">
        <v>3</v>
      </c>
      <c r="AL8" s="97" t="n">
        <v>4</v>
      </c>
      <c r="AM8" s="97" t="n">
        <v>5</v>
      </c>
      <c r="AN8" s="97" t="n">
        <v>6</v>
      </c>
      <c r="AO8" s="97" t="n">
        <v>7</v>
      </c>
      <c r="AP8" s="97" t="n">
        <v>8</v>
      </c>
      <c r="AQ8" s="97" t="n">
        <v>9</v>
      </c>
      <c r="AR8" s="97" t="n">
        <v>10</v>
      </c>
      <c r="AS8" s="97" t="n">
        <v>11</v>
      </c>
      <c r="AT8" s="97" t="n">
        <v>12</v>
      </c>
      <c r="AU8" s="97" t="n">
        <v>13</v>
      </c>
      <c r="AV8" s="97" t="n">
        <v>14</v>
      </c>
      <c r="AW8" s="97" t="n">
        <v>15</v>
      </c>
      <c r="AX8" s="98"/>
      <c r="AY8" s="99" t="s">
        <v>47</v>
      </c>
      <c r="AZ8" s="100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5"/>
      <c r="BQ8" s="95"/>
      <c r="BR8" s="95"/>
      <c r="BS8" s="95"/>
      <c r="BT8" s="95"/>
      <c r="BU8" s="95"/>
      <c r="BV8" s="95"/>
      <c r="BW8" s="95"/>
      <c r="BX8" s="95"/>
      <c r="BY8" s="95"/>
      <c r="BZ8" s="95"/>
      <c r="CA8" s="95"/>
      <c r="CB8" s="95"/>
      <c r="CC8" s="95"/>
      <c r="CD8" s="95"/>
      <c r="CE8" s="95"/>
      <c r="CF8" s="95"/>
      <c r="CG8" s="95"/>
      <c r="CH8" s="95"/>
      <c r="CI8" s="95"/>
      <c r="CJ8" s="95"/>
      <c r="CK8" s="95"/>
      <c r="CL8" s="95"/>
      <c r="CM8" s="95"/>
      <c r="CN8" s="95"/>
      <c r="CO8" s="95"/>
      <c r="CP8" s="95"/>
      <c r="CQ8" s="95"/>
      <c r="CR8" s="95"/>
      <c r="CS8" s="95"/>
      <c r="CT8" s="95"/>
      <c r="CU8" s="95"/>
      <c r="CV8" s="95"/>
      <c r="CW8" s="95"/>
      <c r="CX8" s="95"/>
      <c r="CY8" s="95"/>
      <c r="CZ8" s="95"/>
      <c r="DA8" s="95"/>
      <c r="DB8" s="95"/>
      <c r="DC8" s="95"/>
      <c r="DD8" s="95"/>
      <c r="DE8" s="95"/>
      <c r="DF8" s="95"/>
      <c r="DG8" s="95"/>
      <c r="DH8" s="95"/>
      <c r="DI8" s="95"/>
      <c r="DJ8" s="95"/>
      <c r="DK8" s="95"/>
      <c r="DL8" s="95"/>
      <c r="DM8" s="95"/>
      <c r="DN8" s="95"/>
      <c r="DO8" s="95"/>
      <c r="DP8" s="95"/>
      <c r="DQ8" s="95"/>
      <c r="DR8" s="95"/>
      <c r="DS8" s="95"/>
      <c r="DT8" s="95"/>
      <c r="DU8" s="95"/>
      <c r="DV8" s="95"/>
      <c r="DW8" s="95"/>
      <c r="DX8" s="95"/>
      <c r="DY8" s="95"/>
      <c r="DZ8" s="95"/>
      <c r="EA8" s="95"/>
      <c r="EB8" s="95"/>
      <c r="EC8" s="95"/>
      <c r="ED8" s="95"/>
      <c r="EE8" s="95"/>
      <c r="EF8" s="95"/>
      <c r="EG8" s="95"/>
      <c r="EH8" s="95"/>
      <c r="EI8" s="95"/>
      <c r="EJ8" s="95"/>
      <c r="EK8" s="95"/>
      <c r="EL8" s="95"/>
      <c r="EM8" s="95"/>
      <c r="EN8" s="95"/>
      <c r="EO8" s="95"/>
      <c r="EP8" s="95"/>
      <c r="EQ8" s="95"/>
      <c r="ER8" s="95"/>
      <c r="ES8" s="95"/>
      <c r="ET8" s="95"/>
      <c r="EU8" s="95"/>
      <c r="EV8" s="95"/>
      <c r="EW8" s="95"/>
      <c r="EX8" s="95"/>
      <c r="EY8" s="95"/>
      <c r="EZ8" s="95"/>
      <c r="FA8" s="95"/>
      <c r="FB8" s="95"/>
      <c r="FC8" s="95"/>
      <c r="FD8" s="95"/>
      <c r="FE8" s="95"/>
      <c r="FF8" s="95"/>
      <c r="FG8" s="95"/>
      <c r="FH8" s="95"/>
      <c r="FI8" s="95"/>
      <c r="FJ8" s="95"/>
      <c r="FK8" s="95"/>
      <c r="FL8" s="95"/>
      <c r="FM8" s="95"/>
      <c r="FN8" s="95"/>
      <c r="FO8" s="95"/>
      <c r="FP8" s="95"/>
      <c r="FQ8" s="95"/>
      <c r="FR8" s="95"/>
      <c r="FS8" s="95"/>
      <c r="FT8" s="95"/>
      <c r="FU8" s="95"/>
      <c r="FV8" s="95"/>
      <c r="FW8" s="95"/>
      <c r="FX8" s="95"/>
      <c r="FY8" s="95"/>
      <c r="FZ8" s="95"/>
      <c r="GA8" s="95"/>
      <c r="GB8" s="95"/>
      <c r="GC8" s="95"/>
      <c r="GD8" s="95"/>
      <c r="GE8" s="95"/>
      <c r="GF8" s="95"/>
      <c r="GG8" s="95"/>
      <c r="GH8" s="95"/>
      <c r="GI8" s="95"/>
      <c r="GJ8" s="95"/>
      <c r="GK8" s="95"/>
      <c r="GL8" s="95"/>
      <c r="GM8" s="95"/>
      <c r="GN8" s="95"/>
      <c r="GO8" s="95"/>
      <c r="GP8" s="95"/>
      <c r="GQ8" s="95"/>
      <c r="GR8" s="95"/>
      <c r="GS8" s="95"/>
      <c r="GT8" s="95"/>
      <c r="GU8" s="95"/>
      <c r="GV8" s="95"/>
      <c r="GW8" s="95"/>
      <c r="GX8" s="95"/>
      <c r="GY8" s="95"/>
      <c r="GZ8" s="95"/>
      <c r="HA8" s="95"/>
      <c r="HB8" s="95"/>
      <c r="HC8" s="95"/>
      <c r="HD8" s="95"/>
      <c r="HE8" s="95"/>
      <c r="HF8" s="95"/>
      <c r="HG8" s="95"/>
      <c r="HH8" s="95"/>
      <c r="HI8" s="95"/>
      <c r="HJ8" s="95"/>
      <c r="HK8" s="95"/>
      <c r="HL8" s="95"/>
      <c r="HM8" s="95"/>
      <c r="HN8" s="95"/>
      <c r="HO8" s="95"/>
      <c r="HP8" s="95"/>
      <c r="HQ8" s="95"/>
      <c r="HR8" s="95"/>
      <c r="HS8" s="95"/>
      <c r="HT8" s="95"/>
      <c r="HU8" s="95"/>
      <c r="HV8" s="95"/>
      <c r="HW8" s="95"/>
      <c r="HX8" s="95"/>
      <c r="HY8" s="95"/>
      <c r="HZ8" s="95"/>
      <c r="IA8" s="95"/>
      <c r="IB8" s="95"/>
      <c r="IC8" s="95"/>
      <c r="ID8" s="95"/>
      <c r="IE8" s="95"/>
      <c r="IF8" s="95"/>
      <c r="IG8" s="95"/>
      <c r="IH8" s="95"/>
      <c r="II8" s="95"/>
      <c r="IJ8" s="95"/>
      <c r="IK8" s="95"/>
      <c r="IL8" s="95"/>
      <c r="IM8" s="95"/>
      <c r="IN8" s="95"/>
      <c r="IO8" s="95"/>
      <c r="IP8" s="95"/>
      <c r="IQ8" s="101"/>
      <c r="IR8" s="101"/>
      <c r="IS8" s="101"/>
      <c r="IT8" s="101"/>
      <c r="IU8" s="101"/>
      <c r="IV8" s="101"/>
      <c r="IW8" s="101"/>
    </row>
    <row r="9" customFormat="false" ht="18" hidden="false" customHeight="true" outlineLevel="0" collapsed="false">
      <c r="A9" s="78"/>
      <c r="B9" s="79"/>
      <c r="C9" s="79"/>
      <c r="D9" s="79"/>
      <c r="E9" s="102" t="s">
        <v>48</v>
      </c>
      <c r="F9" s="88" t="n">
        <v>16</v>
      </c>
      <c r="G9" s="87" t="n">
        <v>17</v>
      </c>
      <c r="H9" s="89" t="n">
        <v>18</v>
      </c>
      <c r="I9" s="87" t="n">
        <v>19</v>
      </c>
      <c r="J9" s="87" t="n">
        <v>20</v>
      </c>
      <c r="K9" s="87" t="n">
        <v>21</v>
      </c>
      <c r="L9" s="87" t="n">
        <v>22</v>
      </c>
      <c r="M9" s="88" t="n">
        <v>23</v>
      </c>
      <c r="N9" s="87" t="n">
        <v>24</v>
      </c>
      <c r="O9" s="89" t="n">
        <v>25</v>
      </c>
      <c r="P9" s="258" t="n">
        <v>26</v>
      </c>
      <c r="Q9" s="87" t="n">
        <v>27</v>
      </c>
      <c r="R9" s="87" t="n">
        <v>28</v>
      </c>
      <c r="S9" s="87" t="n">
        <v>29</v>
      </c>
      <c r="T9" s="88" t="n">
        <v>30</v>
      </c>
      <c r="U9" s="87"/>
      <c r="V9" s="80"/>
      <c r="W9" s="91" t="s">
        <v>49</v>
      </c>
      <c r="X9" s="92" t="s">
        <v>12</v>
      </c>
      <c r="Y9" s="92" t="s">
        <v>13</v>
      </c>
      <c r="Z9" s="92" t="s">
        <v>11</v>
      </c>
      <c r="AA9" s="82"/>
      <c r="AB9" s="80"/>
      <c r="AC9" s="93" t="s">
        <v>50</v>
      </c>
      <c r="AD9" s="93"/>
      <c r="AE9" s="84"/>
      <c r="AF9" s="104" t="s">
        <v>51</v>
      </c>
      <c r="AG9" s="104" t="s">
        <v>52</v>
      </c>
      <c r="AH9" s="95"/>
      <c r="AI9" s="105" t="n">
        <v>16</v>
      </c>
      <c r="AJ9" s="106" t="n">
        <v>17</v>
      </c>
      <c r="AK9" s="106" t="n">
        <v>18</v>
      </c>
      <c r="AL9" s="106" t="n">
        <v>19</v>
      </c>
      <c r="AM9" s="106" t="n">
        <v>20</v>
      </c>
      <c r="AN9" s="106" t="n">
        <v>21</v>
      </c>
      <c r="AO9" s="106" t="n">
        <v>22</v>
      </c>
      <c r="AP9" s="106" t="n">
        <v>23</v>
      </c>
      <c r="AQ9" s="106" t="n">
        <v>24</v>
      </c>
      <c r="AR9" s="106" t="n">
        <v>25</v>
      </c>
      <c r="AS9" s="106" t="n">
        <v>26</v>
      </c>
      <c r="AT9" s="106" t="n">
        <v>27</v>
      </c>
      <c r="AU9" s="106" t="n">
        <v>28</v>
      </c>
      <c r="AV9" s="106" t="n">
        <v>29</v>
      </c>
      <c r="AW9" s="106" t="n">
        <v>30</v>
      </c>
      <c r="AX9" s="107" t="n">
        <v>31</v>
      </c>
      <c r="AY9" s="99"/>
      <c r="AZ9" s="100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5"/>
      <c r="BQ9" s="95"/>
      <c r="BR9" s="95"/>
      <c r="BS9" s="95"/>
      <c r="BT9" s="95"/>
      <c r="BU9" s="95"/>
      <c r="BV9" s="95"/>
      <c r="BW9" s="95"/>
      <c r="BX9" s="95"/>
      <c r="BY9" s="95"/>
      <c r="BZ9" s="95"/>
      <c r="CA9" s="95"/>
      <c r="CB9" s="95"/>
      <c r="CC9" s="95"/>
      <c r="CD9" s="95"/>
      <c r="CE9" s="95"/>
      <c r="CF9" s="95"/>
      <c r="CG9" s="95"/>
      <c r="CH9" s="95"/>
      <c r="CI9" s="95"/>
      <c r="CJ9" s="95"/>
      <c r="CK9" s="95"/>
      <c r="CL9" s="95"/>
      <c r="CM9" s="95"/>
      <c r="CN9" s="95"/>
      <c r="CO9" s="95"/>
      <c r="CP9" s="95"/>
      <c r="CQ9" s="95"/>
      <c r="CR9" s="95"/>
      <c r="CS9" s="95"/>
      <c r="CT9" s="95"/>
      <c r="CU9" s="95"/>
      <c r="CV9" s="95"/>
      <c r="CW9" s="95"/>
      <c r="CX9" s="95"/>
      <c r="CY9" s="95"/>
      <c r="CZ9" s="95"/>
      <c r="DA9" s="95"/>
      <c r="DB9" s="95"/>
      <c r="DC9" s="95"/>
      <c r="DD9" s="95"/>
      <c r="DE9" s="95"/>
      <c r="DF9" s="95"/>
      <c r="DG9" s="95"/>
      <c r="DH9" s="95"/>
      <c r="DI9" s="95"/>
      <c r="DJ9" s="95"/>
      <c r="DK9" s="95"/>
      <c r="DL9" s="95"/>
      <c r="DM9" s="95"/>
      <c r="DN9" s="95"/>
      <c r="DO9" s="95"/>
      <c r="DP9" s="95"/>
      <c r="DQ9" s="95"/>
      <c r="DR9" s="95"/>
      <c r="DS9" s="95"/>
      <c r="DT9" s="95"/>
      <c r="DU9" s="95"/>
      <c r="DV9" s="95"/>
      <c r="DW9" s="95"/>
      <c r="DX9" s="95"/>
      <c r="DY9" s="95"/>
      <c r="DZ9" s="95"/>
      <c r="EA9" s="95"/>
      <c r="EB9" s="95"/>
      <c r="EC9" s="95"/>
      <c r="ED9" s="95"/>
      <c r="EE9" s="95"/>
      <c r="EF9" s="95"/>
      <c r="EG9" s="95"/>
      <c r="EH9" s="95"/>
      <c r="EI9" s="95"/>
      <c r="EJ9" s="95"/>
      <c r="EK9" s="95"/>
      <c r="EL9" s="95"/>
      <c r="EM9" s="95"/>
      <c r="EN9" s="95"/>
      <c r="EO9" s="95"/>
      <c r="EP9" s="95"/>
      <c r="EQ9" s="95"/>
      <c r="ER9" s="95"/>
      <c r="ES9" s="95"/>
      <c r="ET9" s="95"/>
      <c r="EU9" s="95"/>
      <c r="EV9" s="95"/>
      <c r="EW9" s="95"/>
      <c r="EX9" s="95"/>
      <c r="EY9" s="95"/>
      <c r="EZ9" s="95"/>
      <c r="FA9" s="95"/>
      <c r="FB9" s="95"/>
      <c r="FC9" s="95"/>
      <c r="FD9" s="95"/>
      <c r="FE9" s="95"/>
      <c r="FF9" s="95"/>
      <c r="FG9" s="95"/>
      <c r="FH9" s="95"/>
      <c r="FI9" s="95"/>
      <c r="FJ9" s="95"/>
      <c r="FK9" s="95"/>
      <c r="FL9" s="95"/>
      <c r="FM9" s="95"/>
      <c r="FN9" s="95"/>
      <c r="FO9" s="95"/>
      <c r="FP9" s="95"/>
      <c r="FQ9" s="95"/>
      <c r="FR9" s="95"/>
      <c r="FS9" s="95"/>
      <c r="FT9" s="95"/>
      <c r="FU9" s="95"/>
      <c r="FV9" s="95"/>
      <c r="FW9" s="95"/>
      <c r="FX9" s="95"/>
      <c r="FY9" s="95"/>
      <c r="FZ9" s="95"/>
      <c r="GA9" s="95"/>
      <c r="GB9" s="95"/>
      <c r="GC9" s="95"/>
      <c r="GD9" s="95"/>
      <c r="GE9" s="95"/>
      <c r="GF9" s="95"/>
      <c r="GG9" s="95"/>
      <c r="GH9" s="95"/>
      <c r="GI9" s="95"/>
      <c r="GJ9" s="95"/>
      <c r="GK9" s="95"/>
      <c r="GL9" s="95"/>
      <c r="GM9" s="95"/>
      <c r="GN9" s="95"/>
      <c r="GO9" s="95"/>
      <c r="GP9" s="95"/>
      <c r="GQ9" s="95"/>
      <c r="GR9" s="95"/>
      <c r="GS9" s="95"/>
      <c r="GT9" s="95"/>
      <c r="GU9" s="95"/>
      <c r="GV9" s="95"/>
      <c r="GW9" s="95"/>
      <c r="GX9" s="95"/>
      <c r="GY9" s="95"/>
      <c r="GZ9" s="95"/>
      <c r="HA9" s="95"/>
      <c r="HB9" s="95"/>
      <c r="HC9" s="95"/>
      <c r="HD9" s="95"/>
      <c r="HE9" s="95"/>
      <c r="HF9" s="95"/>
      <c r="HG9" s="95"/>
      <c r="HH9" s="95"/>
      <c r="HI9" s="95"/>
      <c r="HJ9" s="95"/>
      <c r="HK9" s="95"/>
      <c r="HL9" s="95"/>
      <c r="HM9" s="95"/>
      <c r="HN9" s="95"/>
      <c r="HO9" s="95"/>
      <c r="HP9" s="95"/>
      <c r="HQ9" s="95"/>
      <c r="HR9" s="95"/>
      <c r="HS9" s="95"/>
      <c r="HT9" s="95"/>
      <c r="HU9" s="95"/>
      <c r="HV9" s="95"/>
      <c r="HW9" s="95"/>
      <c r="HX9" s="95"/>
      <c r="HY9" s="95"/>
      <c r="HZ9" s="95"/>
      <c r="IA9" s="95"/>
      <c r="IB9" s="95"/>
      <c r="IC9" s="95"/>
      <c r="ID9" s="95"/>
      <c r="IE9" s="95"/>
      <c r="IF9" s="95"/>
      <c r="IG9" s="95"/>
      <c r="IH9" s="95"/>
      <c r="II9" s="95"/>
      <c r="IJ9" s="95"/>
      <c r="IK9" s="95"/>
      <c r="IL9" s="95"/>
      <c r="IM9" s="95"/>
      <c r="IN9" s="95"/>
      <c r="IO9" s="95"/>
      <c r="IP9" s="95"/>
      <c r="IQ9" s="101"/>
      <c r="IR9" s="101"/>
      <c r="IS9" s="101"/>
      <c r="IT9" s="101"/>
      <c r="IU9" s="101"/>
      <c r="IV9" s="101"/>
      <c r="IW9" s="101"/>
    </row>
    <row r="10" customFormat="false" ht="12.6" hidden="false" customHeight="true" outlineLevel="0" collapsed="false">
      <c r="A10" s="108" t="n">
        <v>1</v>
      </c>
      <c r="B10" s="259" t="n">
        <f aca="false">IF(ISERROR(VLOOKUP(C10,일용직명단!$A$3:$I$104,2,FALSE())),0,VLOOKUP(C10,일용직명단!$A$3:$I$104,2,FALSE()))</f>
        <v>0</v>
      </c>
      <c r="C10" s="260" t="s">
        <v>53</v>
      </c>
      <c r="D10" s="111" t="str">
        <f aca="false">IF(ISERROR(VLOOKUP(C10,일용직명단!$A$3:$K$1246,3,FALSE())),0,VLOOKUP(C10,일용직명단!$A$3:$K$1246,3,FALSE()))</f>
        <v>660123-1386716</v>
      </c>
      <c r="E10" s="112" t="str">
        <f aca="false">IF(ISERROR(VLOOKUP(C10,일용직명단!$A$3:$K$1246,4,FALSE())),0,VLOOKUP(C10,일용직명단!$A$3:$K$1246,4,FALSE()))</f>
        <v>충북 영동군 양강면 국촌1길10</v>
      </c>
      <c r="F10" s="192"/>
      <c r="G10" s="193"/>
      <c r="H10" s="181" t="n">
        <v>1</v>
      </c>
      <c r="I10" s="181" t="n">
        <v>1</v>
      </c>
      <c r="J10" s="184" t="n">
        <v>1</v>
      </c>
      <c r="K10" s="181" t="n">
        <v>1</v>
      </c>
      <c r="L10" s="184" t="n">
        <v>1</v>
      </c>
      <c r="M10" s="184" t="n">
        <v>1</v>
      </c>
      <c r="N10" s="193"/>
      <c r="O10" s="190" t="n">
        <v>1</v>
      </c>
      <c r="P10" s="184" t="n">
        <v>1</v>
      </c>
      <c r="Q10" s="190" t="n">
        <v>1</v>
      </c>
      <c r="R10" s="181" t="n">
        <v>1</v>
      </c>
      <c r="S10" s="190" t="n">
        <v>1</v>
      </c>
      <c r="T10" s="181" t="n">
        <v>1</v>
      </c>
      <c r="U10" s="119"/>
      <c r="V10" s="120" t="n">
        <f aca="false">SUM(F10:U11)</f>
        <v>12</v>
      </c>
      <c r="W10" s="121" t="n">
        <f aca="false">IF(ISERROR(VLOOKUP(C10,일용직명단!$A$3:$K$1246,8,FALSE())),0,VLOOKUP(C10,일용직명단!$A$3:$K$1246,8,FALSE()))</f>
        <v>150000</v>
      </c>
      <c r="X10" s="122" t="n">
        <f aca="false">IFERROR(IF(AG10&gt;=65,0,ROUNDDOWN(W11*$Z$4,-1)),0)</f>
        <v>16200</v>
      </c>
      <c r="Y10" s="122" t="n">
        <f aca="false">IF(AE10&gt;=8,ROUNDDOWN(W11*$M$4,-1),0)</f>
        <v>63810</v>
      </c>
      <c r="Z10" s="123" t="n">
        <f aca="false">IFERROR(IF(AND(COUNT(F10:U11)&gt;=8,$AG10&lt;60,W11&lt;=5530000),ROUNDDOWN(ROUNDDOWN(W11,-3)*4.5%,-1),IF(AND(COUNT(F10:U11)&gt;=8,AG10&lt;60,W11&gt;5530000),248850,0)),0)</f>
        <v>0</v>
      </c>
      <c r="AA10" s="124" t="n">
        <f aca="false">+X10+Y10+X11+Y11+Z10+Z11</f>
        <v>84140</v>
      </c>
      <c r="AB10" s="125" t="n">
        <f aca="false">W11-AA10</f>
        <v>1715860</v>
      </c>
      <c r="AC10" s="126" t="str">
        <f aca="false">IF(ISERROR(VLOOKUP(C10,일용직명단!$A$3:$I$1226,5,FALSE())),0,VLOOKUP(C10,일용직명단!$A$3:$I$1226,5,FALSE()))</f>
        <v>농협</v>
      </c>
      <c r="AD10" s="127" t="str">
        <f aca="false">IF(ISERROR(VLOOKUP(C10,일용직명단!$A$3:$I$1226,6,FALSE())),0,VLOOKUP(C10,일용직명단!$A$3:$I$1226,6,FALSE()))</f>
        <v>임종관</v>
      </c>
      <c r="AE10" s="128" t="n">
        <f aca="false">COUNT(F10:U11)</f>
        <v>12</v>
      </c>
      <c r="AF10" s="129" t="str">
        <f aca="false">IF(OR(MID(D10,8,1)="1",MID(D10,8,1)="2"),19&amp;LEFT(D10,2),20&amp;LEFT(D10,2))&amp;"-"&amp;MID(D10,3,2)&amp;"-"&amp;MID(D10,5,2)</f>
        <v>1966-01-23</v>
      </c>
      <c r="AG10" s="129" t="n">
        <f aca="true">INT((TODAY()-AF10)/365.25)</f>
        <v>60</v>
      </c>
      <c r="AH10" s="130" t="n">
        <f aca="false">ROUNDDOWN(SUM(AI10:AX11),-1)</f>
        <v>0</v>
      </c>
      <c r="AI10" s="130" t="n">
        <f aca="false">IF($W10*F10&gt;150000,($W10*F10-150000)*6%*45%,0)</f>
        <v>0</v>
      </c>
      <c r="AJ10" s="130" t="n">
        <f aca="false">IF($W10*G10&gt;150000,($W10*G10-150000)*6%*45%,0)</f>
        <v>0</v>
      </c>
      <c r="AK10" s="130" t="n">
        <f aca="false">IF($W10*H10&gt;150000,($W10*H10-150000)*6%*45%,0)</f>
        <v>0</v>
      </c>
      <c r="AL10" s="130" t="n">
        <f aca="false">IF($W10*I10&gt;150000,($W10*I10-150000)*6%*45%,0)</f>
        <v>0</v>
      </c>
      <c r="AM10" s="130" t="n">
        <f aca="false">IF($W10*J10&gt;150000,($W10*J10-150000)*6%*45%,0)</f>
        <v>0</v>
      </c>
      <c r="AN10" s="130" t="n">
        <f aca="false">IF($W10*K10&gt;150000,($W10*K10-150000)*6%*45%,0)</f>
        <v>0</v>
      </c>
      <c r="AO10" s="130" t="n">
        <f aca="false">IF($W10*L10&gt;150000,($W10*L10-150000)*6%*45%,0)</f>
        <v>0</v>
      </c>
      <c r="AP10" s="130" t="n">
        <f aca="false">IF($W10*M10&gt;150000,($W10*M10-150000)*6%*45%,0)</f>
        <v>0</v>
      </c>
      <c r="AQ10" s="130" t="n">
        <f aca="false">IF($W10*N10&gt;150000,($W10*N10-150000)*6%*45%,0)</f>
        <v>0</v>
      </c>
      <c r="AR10" s="130" t="n">
        <f aca="false">IF($W10*O10&gt;150000,($W10*O10-150000)*6%*45%,0)</f>
        <v>0</v>
      </c>
      <c r="AS10" s="130" t="n">
        <f aca="false">IF($W10*P10&gt;150000,($W10*P10-150000)*6%*45%,0)</f>
        <v>0</v>
      </c>
      <c r="AT10" s="130" t="n">
        <f aca="false">IF($W10*Q10&gt;150000,($W10*Q10-150000)*6%*45%,0)</f>
        <v>0</v>
      </c>
      <c r="AU10" s="130" t="n">
        <f aca="false">IF($W10*R10&gt;150000,($W10*R10-150000)*6%*45%,0)</f>
        <v>0</v>
      </c>
      <c r="AV10" s="130" t="n">
        <f aca="false">IF($W10*S10&gt;150000,($W10*S10-150000)*6%*45%,0)</f>
        <v>0</v>
      </c>
      <c r="AW10" s="130" t="n">
        <f aca="false">IF($W10*T10&gt;150000,($W10*T10-150000)*6%*45%,0)</f>
        <v>0</v>
      </c>
      <c r="AX10" s="130"/>
      <c r="AY10" s="131" t="str">
        <f aca="false">IF(ISERROR(VLOOKUP(C10,[26]일용직명단!$A$3:$M$1151,11,FALSE())),0,VLOOKUP(C10,[26]일용직명단!$A$3:$M$1151,11,FALSE()))</f>
        <v>29155</v>
      </c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</row>
    <row r="11" customFormat="false" ht="12.6" hidden="false" customHeight="true" outlineLevel="0" collapsed="false">
      <c r="A11" s="108"/>
      <c r="B11" s="259"/>
      <c r="C11" s="260"/>
      <c r="D11" s="111"/>
      <c r="E11" s="112" t="str">
        <f aca="false">IF(ISERROR(VLOOKUP(C10,일용직명단!$A$3:$K$1246,9,FALSE())),0,VLOOKUP(C10,일용직명단!$A$3:$K$1246,9,FALSE()))</f>
        <v>010-3039-3737</v>
      </c>
      <c r="F11" s="195"/>
      <c r="G11" s="196"/>
      <c r="H11" s="196"/>
      <c r="I11" s="193"/>
      <c r="J11" s="191"/>
      <c r="K11" s="193"/>
      <c r="L11" s="192"/>
      <c r="M11" s="197"/>
      <c r="N11" s="198"/>
      <c r="O11" s="199"/>
      <c r="P11" s="198"/>
      <c r="Q11" s="193"/>
      <c r="R11" s="192"/>
      <c r="S11" s="192"/>
      <c r="T11" s="192"/>
      <c r="U11" s="115"/>
      <c r="V11" s="120"/>
      <c r="W11" s="138" t="n">
        <f aca="false">W10*V10</f>
        <v>1800000</v>
      </c>
      <c r="X11" s="122" t="n">
        <f aca="false">IF(AH10&lt;1000,0,AH10)</f>
        <v>0</v>
      </c>
      <c r="Y11" s="122" t="n">
        <f aca="false">ROUNDDOWN(X11*10%,-1)</f>
        <v>0</v>
      </c>
      <c r="Z11" s="123" t="n">
        <f aca="false">IF(AE10&gt;=8,ROUNDDOWN(Y10*$Q$4,-1),0)</f>
        <v>4130</v>
      </c>
      <c r="AA11" s="124"/>
      <c r="AB11" s="125"/>
      <c r="AC11" s="127" t="str">
        <f aca="false">IF(ISERROR(VLOOKUP(C10,일용직명단!$A$3:$I$1226,7,FALSE())),0,VLOOKUP(C10,일용직명단!$A$3:$I$1226,7,FALSE()))</f>
        <v>352-1734-5415-23</v>
      </c>
      <c r="AD11" s="127"/>
      <c r="AE11" s="128"/>
      <c r="AF11" s="129"/>
      <c r="AG11" s="129"/>
      <c r="AH11" s="130"/>
      <c r="AI11" s="130" t="n">
        <f aca="false">IF($W10*F11&gt;150000,($W10*F11-150000)*6%*45%,0)</f>
        <v>0</v>
      </c>
      <c r="AJ11" s="130" t="n">
        <f aca="false">IF($W10*G11&gt;150000,($W10*G11-150000)*6%*45%,0)</f>
        <v>0</v>
      </c>
      <c r="AK11" s="130" t="n">
        <f aca="false">IF($W10*H11&gt;150000,($W10*H11-150000)*6%*45%,0)</f>
        <v>0</v>
      </c>
      <c r="AL11" s="130" t="n">
        <f aca="false">IF($W10*I11&gt;150000,($W10*I11-150000)*6%*45%,0)</f>
        <v>0</v>
      </c>
      <c r="AM11" s="130" t="n">
        <f aca="false">IF($W10*J11&gt;150000,($W10*J11-150000)*6%*45%,0)</f>
        <v>0</v>
      </c>
      <c r="AN11" s="130" t="n">
        <f aca="false">IF($W10*K11&gt;150000,($W10*K11-150000)*6%*45%,0)</f>
        <v>0</v>
      </c>
      <c r="AO11" s="130" t="n">
        <f aca="false">IF($W10*L11&gt;150000,($W10*L11-150000)*6%*45%,0)</f>
        <v>0</v>
      </c>
      <c r="AP11" s="130" t="n">
        <f aca="false">IF($W10*M11&gt;150000,($W10*M11-150000)*6%*45%,0)</f>
        <v>0</v>
      </c>
      <c r="AQ11" s="130" t="n">
        <f aca="false">IF($W10*N11&gt;150000,($W10*N11-150000)*6%*45%,0)</f>
        <v>0</v>
      </c>
      <c r="AR11" s="130" t="n">
        <f aca="false">IF($W10*O11&gt;150000,($W10*O11-150000)*6%*45%,0)</f>
        <v>0</v>
      </c>
      <c r="AS11" s="130" t="n">
        <f aca="false">IF($W10*P11&gt;150000,($W10*P11-150000)*6%*45%,0)</f>
        <v>0</v>
      </c>
      <c r="AT11" s="130" t="n">
        <f aca="false">IF($W10*Q11&gt;150000,($W10*Q11-150000)*6%*45%,0)</f>
        <v>0</v>
      </c>
      <c r="AU11" s="130" t="n">
        <f aca="false">IF($W10*R11&gt;150000,($W10*R11-150000)*6%*45%,0)</f>
        <v>0</v>
      </c>
      <c r="AV11" s="130" t="n">
        <f aca="false">IF($W10*S11&gt;150000,($W10*S11-150000)*6%*45%,0)</f>
        <v>0</v>
      </c>
      <c r="AW11" s="130" t="n">
        <f aca="false">IF($W10*T11&gt;150000,($W10*T11-150000)*6%*45%,0)</f>
        <v>0</v>
      </c>
      <c r="AX11" s="130" t="n">
        <f aca="false">IF($W10*U11&gt;150000,($W10*U11-150000)*6%*45%,0)</f>
        <v>0</v>
      </c>
      <c r="AY11" s="13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</row>
    <row r="12" customFormat="false" ht="12.6" hidden="false" customHeight="true" outlineLevel="0" collapsed="false">
      <c r="A12" s="108" t="n">
        <f aca="false">A10+1</f>
        <v>2</v>
      </c>
      <c r="B12" s="259" t="n">
        <f aca="false">IF(ISERROR(VLOOKUP(C12,일용직명단!$A$3:$I$104,2,FALSE())),0,VLOOKUP(C12,일용직명단!$A$3:$I$104,2,FALSE()))</f>
        <v>0</v>
      </c>
      <c r="C12" s="261" t="s">
        <v>64</v>
      </c>
      <c r="D12" s="111" t="str">
        <f aca="false">IF(ISERROR(VLOOKUP(C12,일용직명단!$A$3:$K$1246,3,FALSE())),0,VLOOKUP(C12,일용직명단!$A$3:$K$1246,3,FALSE()))</f>
        <v>620908-1386710</v>
      </c>
      <c r="E12" s="140" t="str">
        <f aca="false">IF(ISERROR(VLOOKUP(C12,일용직명단!$A$3:$K$1246,4,FALSE())),0,VLOOKUP(C12,일용직명단!$A$3:$K$1246,4,FALSE()))</f>
        <v>충북 영동군 영동읍 동정로 39-27, 현대아파트 101동 1501호</v>
      </c>
      <c r="F12" s="192"/>
      <c r="G12" s="193"/>
      <c r="H12" s="181" t="n">
        <v>1</v>
      </c>
      <c r="I12" s="181" t="n">
        <v>1</v>
      </c>
      <c r="J12" s="184" t="n">
        <v>1</v>
      </c>
      <c r="K12" s="181" t="n">
        <v>1</v>
      </c>
      <c r="L12" s="184" t="n">
        <v>1</v>
      </c>
      <c r="M12" s="184" t="n">
        <v>1</v>
      </c>
      <c r="N12" s="193"/>
      <c r="O12" s="190" t="n">
        <v>1</v>
      </c>
      <c r="P12" s="184" t="n">
        <v>1</v>
      </c>
      <c r="Q12" s="190" t="n">
        <v>1</v>
      </c>
      <c r="R12" s="181" t="n">
        <v>1</v>
      </c>
      <c r="S12" s="190" t="n">
        <v>1</v>
      </c>
      <c r="T12" s="181" t="n">
        <v>1</v>
      </c>
      <c r="U12" s="119"/>
      <c r="V12" s="120" t="n">
        <f aca="false">SUM(F12:U13)</f>
        <v>12</v>
      </c>
      <c r="W12" s="121" t="n">
        <f aca="false">IF(ISERROR(VLOOKUP(C12,일용직명단!$A$3:$K$1246,8,FALSE())),0,VLOOKUP(C12,일용직명단!$A$3:$K$1246,8,FALSE()))</f>
        <v>150000</v>
      </c>
      <c r="X12" s="122" t="n">
        <f aca="false">IFERROR(IF(AG12&gt;=65,0,ROUNDDOWN(W13*$Z$4,-1)),0)</f>
        <v>16200</v>
      </c>
      <c r="Y12" s="122" t="n">
        <f aca="false">IF(AE12&gt;=8,ROUNDDOWN(W13*$M$4,-1),0)</f>
        <v>63810</v>
      </c>
      <c r="Z12" s="123" t="n">
        <f aca="false">IFERROR(IF(AND(COUNT(F12:U13)&gt;=8,$AG12&lt;60,W13&lt;=5530000),ROUNDDOWN(ROUNDDOWN(W13,-3)*4.5%,-1),IF(AND(COUNT(F12:U13)&gt;=8,AG12&lt;60,W13&gt;5530000),248850,0)),0)</f>
        <v>0</v>
      </c>
      <c r="AA12" s="124" t="n">
        <f aca="false">+X12+Y12+X13+Y13+Z12+Z13</f>
        <v>84140</v>
      </c>
      <c r="AB12" s="125" t="n">
        <f aca="false">W13-AA12</f>
        <v>1715860</v>
      </c>
      <c r="AC12" s="126" t="str">
        <f aca="false">IF(ISERROR(VLOOKUP(C12,일용직명단!$A$3:$I$1226,5,FALSE())),0,VLOOKUP(C12,일용직명단!$A$3:$I$1226,5,FALSE()))</f>
        <v>농협</v>
      </c>
      <c r="AD12" s="127" t="str">
        <f aca="false">IF(ISERROR(VLOOKUP(C12,일용직명단!$A$3:$I$1226,6,FALSE())),0,VLOOKUP(C12,일용직명단!$A$3:$I$1226,6,FALSE()))</f>
        <v>장신진</v>
      </c>
      <c r="AE12" s="141" t="n">
        <f aca="false">COUNT(F12:U13)</f>
        <v>12</v>
      </c>
      <c r="AF12" s="129" t="str">
        <f aca="false">IF(OR(MID(D12,8,1)="1",MID(D12,8,1)="2"),19&amp;LEFT(D12,2),20&amp;LEFT(D12,2))&amp;"-"&amp;MID(D12,3,2)&amp;"-"&amp;MID(D12,5,2)</f>
        <v>1962-09-08</v>
      </c>
      <c r="AG12" s="129" t="n">
        <f aca="true">INT((TODAY()-AF12)/365.25)</f>
        <v>63</v>
      </c>
      <c r="AH12" s="130" t="n">
        <f aca="false">ROUNDDOWN(SUM(AI12:AX13),-1)</f>
        <v>0</v>
      </c>
      <c r="AI12" s="130" t="n">
        <f aca="false">IF($W12*F12&gt;150000,($W12*F12-150000)*6%*45%,0)</f>
        <v>0</v>
      </c>
      <c r="AJ12" s="130" t="n">
        <f aca="false">IF($W12*G12&gt;150000,($W12*G12-150000)*6%*45%,0)</f>
        <v>0</v>
      </c>
      <c r="AK12" s="130" t="n">
        <f aca="false">IF($W12*H12&gt;150000,($W12*H12-150000)*6%*45%,0)</f>
        <v>0</v>
      </c>
      <c r="AL12" s="130" t="n">
        <f aca="false">IF($W12*I12&gt;150000,($W12*I12-150000)*6%*45%,0)</f>
        <v>0</v>
      </c>
      <c r="AM12" s="130" t="n">
        <f aca="false">IF($W12*J12&gt;150000,($W12*J12-150000)*6%*45%,0)</f>
        <v>0</v>
      </c>
      <c r="AN12" s="130" t="n">
        <f aca="false">IF($W12*K12&gt;150000,($W12*K12-150000)*6%*45%,0)</f>
        <v>0</v>
      </c>
      <c r="AO12" s="130" t="n">
        <f aca="false">IF($W12*L12&gt;150000,($W12*L12-150000)*6%*45%,0)</f>
        <v>0</v>
      </c>
      <c r="AP12" s="130" t="n">
        <f aca="false">IF($W12*M12&gt;150000,($W12*M12-150000)*6%*45%,0)</f>
        <v>0</v>
      </c>
      <c r="AQ12" s="130" t="n">
        <f aca="false">IF($W12*N12&gt;150000,($W12*N12-150000)*6%*45%,0)</f>
        <v>0</v>
      </c>
      <c r="AR12" s="130" t="n">
        <f aca="false">IF($W12*O12&gt;150000,($W12*O12-150000)*6%*45%,0)</f>
        <v>0</v>
      </c>
      <c r="AS12" s="130" t="n">
        <f aca="false">IF($W12*P12&gt;150000,($W12*P12-150000)*6%*45%,0)</f>
        <v>0</v>
      </c>
      <c r="AT12" s="130" t="n">
        <f aca="false">IF($W12*Q12&gt;150000,($W12*Q12-150000)*6%*45%,0)</f>
        <v>0</v>
      </c>
      <c r="AU12" s="130" t="n">
        <f aca="false">IF($W12*R12&gt;150000,($W12*R12-150000)*6%*45%,0)</f>
        <v>0</v>
      </c>
      <c r="AV12" s="130" t="n">
        <f aca="false">IF($W12*S12&gt;150000,($W12*S12-150000)*6%*45%,0)</f>
        <v>0</v>
      </c>
      <c r="AW12" s="130" t="n">
        <f aca="false">IF($W12*T12&gt;150000,($W12*T12-150000)*6%*45%,0)</f>
        <v>0</v>
      </c>
      <c r="AX12" s="130"/>
      <c r="AY12" s="131" t="str">
        <f aca="false">IF(ISERROR(VLOOKUP(C12,[26]일용직명단!$A$3:$M$1151,11,FALSE())),0,VLOOKUP(C12,[26]일용직명단!$A$3:$M$1151,11,FALSE()))</f>
        <v>29140</v>
      </c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</row>
    <row r="13" customFormat="false" ht="12.6" hidden="false" customHeight="true" outlineLevel="0" collapsed="false">
      <c r="A13" s="108"/>
      <c r="B13" s="259"/>
      <c r="C13" s="261"/>
      <c r="D13" s="111"/>
      <c r="E13" s="140" t="str">
        <f aca="false">IF(ISERROR(VLOOKUP(C12,일용직명단!$A$3:$K$1246,9,FALSE())),0,VLOOKUP(C12,일용직명단!$A$3:$K$1246,9,FALSE()))</f>
        <v>010-8450-8819</v>
      </c>
      <c r="F13" s="195"/>
      <c r="G13" s="196"/>
      <c r="H13" s="196"/>
      <c r="I13" s="193"/>
      <c r="J13" s="191"/>
      <c r="K13" s="193"/>
      <c r="L13" s="192"/>
      <c r="M13" s="197"/>
      <c r="N13" s="198"/>
      <c r="O13" s="199"/>
      <c r="P13" s="198"/>
      <c r="Q13" s="193"/>
      <c r="R13" s="192"/>
      <c r="S13" s="192"/>
      <c r="T13" s="192"/>
      <c r="U13" s="115"/>
      <c r="V13" s="120"/>
      <c r="W13" s="138" t="n">
        <f aca="false">W12*V12</f>
        <v>1800000</v>
      </c>
      <c r="X13" s="122" t="n">
        <f aca="false">IF(AH12&lt;1000,0,AH12)</f>
        <v>0</v>
      </c>
      <c r="Y13" s="122" t="n">
        <f aca="false">ROUNDDOWN(X13*10%,-1)</f>
        <v>0</v>
      </c>
      <c r="Z13" s="123" t="n">
        <f aca="false">IF(AE12&gt;=8,ROUNDDOWN(Y12*$Q$4,-1),0)</f>
        <v>4130</v>
      </c>
      <c r="AA13" s="124"/>
      <c r="AB13" s="125"/>
      <c r="AC13" s="127" t="str">
        <f aca="false">IF(ISERROR(VLOOKUP(C12,일용직명단!$A$3:$I$1226,7,FALSE())),0,VLOOKUP(C12,일용직명단!$A$3:$I$1226,7,FALSE()))</f>
        <v>356-1353-2371-93</v>
      </c>
      <c r="AD13" s="127"/>
      <c r="AE13" s="141"/>
      <c r="AF13" s="129"/>
      <c r="AG13" s="129"/>
      <c r="AH13" s="130"/>
      <c r="AI13" s="130" t="n">
        <f aca="false">IF($W12*F13&gt;150000,($W12*F13-150000)*6%*45%,0)</f>
        <v>0</v>
      </c>
      <c r="AJ13" s="130" t="n">
        <f aca="false">IF($W12*G13&gt;150000,($W12*G13-150000)*6%*45%,0)</f>
        <v>0</v>
      </c>
      <c r="AK13" s="130" t="n">
        <f aca="false">IF($W12*H13&gt;150000,($W12*H13-150000)*6%*45%,0)</f>
        <v>0</v>
      </c>
      <c r="AL13" s="130" t="n">
        <f aca="false">IF($W12*I13&gt;150000,($W12*I13-150000)*6%*45%,0)</f>
        <v>0</v>
      </c>
      <c r="AM13" s="130" t="n">
        <f aca="false">IF($W12*J13&gt;150000,($W12*J13-150000)*6%*45%,0)</f>
        <v>0</v>
      </c>
      <c r="AN13" s="130" t="n">
        <f aca="false">IF($W12*K13&gt;150000,($W12*K13-150000)*6%*45%,0)</f>
        <v>0</v>
      </c>
      <c r="AO13" s="130" t="n">
        <f aca="false">IF($W12*L13&gt;150000,($W12*L13-150000)*6%*45%,0)</f>
        <v>0</v>
      </c>
      <c r="AP13" s="130" t="n">
        <f aca="false">IF($W12*M13&gt;150000,($W12*M13-150000)*6%*45%,0)</f>
        <v>0</v>
      </c>
      <c r="AQ13" s="130" t="n">
        <f aca="false">IF($W12*N13&gt;150000,($W12*N13-150000)*6%*45%,0)</f>
        <v>0</v>
      </c>
      <c r="AR13" s="130" t="n">
        <f aca="false">IF($W12*O13&gt;150000,($W12*O13-150000)*6%*45%,0)</f>
        <v>0</v>
      </c>
      <c r="AS13" s="130" t="n">
        <f aca="false">IF($W12*P13&gt;150000,($W12*P13-150000)*6%*45%,0)</f>
        <v>0</v>
      </c>
      <c r="AT13" s="130" t="n">
        <f aca="false">IF($W12*Q13&gt;150000,($W12*Q13-150000)*6%*45%,0)</f>
        <v>0</v>
      </c>
      <c r="AU13" s="130" t="n">
        <f aca="false">IF($W12*R13&gt;150000,($W12*R13-150000)*6%*45%,0)</f>
        <v>0</v>
      </c>
      <c r="AV13" s="130" t="n">
        <f aca="false">IF($W12*S13&gt;150000,($W12*S13-150000)*6%*45%,0)</f>
        <v>0</v>
      </c>
      <c r="AW13" s="130" t="n">
        <f aca="false">IF($W12*T13&gt;150000,($W12*T13-150000)*6%*45%,0)</f>
        <v>0</v>
      </c>
      <c r="AX13" s="130" t="n">
        <f aca="false">IF($W12*U13&gt;150000,($W12*U13-150000)*6%*45%,0)</f>
        <v>0</v>
      </c>
      <c r="AY13" s="13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</row>
    <row r="14" customFormat="false" ht="12.75" hidden="false" customHeight="true" outlineLevel="0" collapsed="false">
      <c r="A14" s="108" t="n">
        <f aca="false">A12+1</f>
        <v>3</v>
      </c>
      <c r="B14" s="262" t="n">
        <f aca="false">IF(ISERROR(VLOOKUP(C14,일용직명단!$A$3:$I$104,2,FALSE())),0,VLOOKUP(C14,일용직명단!$A$3:$I$104,2,FALSE()))</f>
        <v>0</v>
      </c>
      <c r="C14" s="260" t="s">
        <v>55</v>
      </c>
      <c r="D14" s="111" t="str">
        <f aca="false">IF(ISERROR(VLOOKUP(C14,일용직명단!$A$3:$K$1246,3,FALSE())),0,VLOOKUP(C14,일용직명단!$A$3:$K$1246,3,FALSE()))</f>
        <v>660105-1386714</v>
      </c>
      <c r="E14" s="140" t="str">
        <f aca="false">IF(ISERROR(VLOOKUP(C14,일용직명단!$A$3:$K$1246,4,FALSE())),0,VLOOKUP(C14,일용직명단!$A$3:$K$1246,4,FALSE()))</f>
        <v>충북 영동군 양강면 남전2안길 4-17 (남전리 272)</v>
      </c>
      <c r="F14" s="192"/>
      <c r="G14" s="193"/>
      <c r="H14" s="181" t="n">
        <v>1</v>
      </c>
      <c r="I14" s="181" t="n">
        <v>1</v>
      </c>
      <c r="J14" s="184" t="n">
        <v>1</v>
      </c>
      <c r="K14" s="181" t="n">
        <v>1</v>
      </c>
      <c r="L14" s="184" t="n">
        <v>1</v>
      </c>
      <c r="M14" s="184" t="n">
        <v>1</v>
      </c>
      <c r="N14" s="193"/>
      <c r="O14" s="190" t="n">
        <v>1</v>
      </c>
      <c r="P14" s="184" t="n">
        <v>1</v>
      </c>
      <c r="Q14" s="190" t="n">
        <v>1</v>
      </c>
      <c r="R14" s="181" t="n">
        <v>1</v>
      </c>
      <c r="S14" s="190" t="n">
        <v>1</v>
      </c>
      <c r="T14" s="181" t="n">
        <v>1</v>
      </c>
      <c r="U14" s="119"/>
      <c r="V14" s="144" t="n">
        <f aca="false">SUM(F14:U15)</f>
        <v>12</v>
      </c>
      <c r="W14" s="121" t="n">
        <f aca="false">IF(ISERROR(VLOOKUP(C14,일용직명단!$A$3:$K$1246,8,FALSE())),0,VLOOKUP(C14,일용직명단!$A$3:$K$1246,8,FALSE()))</f>
        <v>150000</v>
      </c>
      <c r="X14" s="123" t="n">
        <f aca="false">IFERROR(IF(AG14&gt;=65,0,ROUNDDOWN(W15*$Z$4,-1)),0)</f>
        <v>16200</v>
      </c>
      <c r="Y14" s="123" t="n">
        <f aca="false">IF(AE14&gt;=8,ROUNDDOWN(W15*$M$4,-1),0)</f>
        <v>63810</v>
      </c>
      <c r="Z14" s="123" t="n">
        <f aca="false">IFERROR(IF(AND(COUNT(F14:U15)&gt;=8,$AG14&lt;60,W15&lt;=5530000),ROUNDDOWN(ROUNDDOWN(W15,-3)*4.5%,-1),IF(AND(COUNT(F14:U15)&gt;=8,AG14&lt;60,W15&gt;5530000),248850,0)),0)</f>
        <v>0</v>
      </c>
      <c r="AA14" s="145" t="n">
        <f aca="false">+X14+Y14+X15+Y15+Z14+Z15</f>
        <v>84140</v>
      </c>
      <c r="AB14" s="146" t="n">
        <f aca="false">W15-AA14</f>
        <v>1715860</v>
      </c>
      <c r="AC14" s="147" t="str">
        <f aca="false">IF(ISERROR(VLOOKUP(C14,일용직명단!$A$3:$I$1226,5,FALSE())),0,VLOOKUP(C14,일용직명단!$A$3:$I$1226,5,FALSE()))</f>
        <v>농협</v>
      </c>
      <c r="AD14" s="148" t="str">
        <f aca="false">IF(ISERROR(VLOOKUP(C14,일용직명단!$A$3:$I$1226,6,FALSE())),0,VLOOKUP(C14,일용직명단!$A$3:$I$1226,6,FALSE()))</f>
        <v>박범해</v>
      </c>
      <c r="AE14" s="149" t="n">
        <f aca="false">COUNT(F14:U15)</f>
        <v>12</v>
      </c>
      <c r="AF14" s="129" t="str">
        <f aca="false">IF(OR(MID(D14,8,1)="1",MID(D14,8,1)="2"),19&amp;LEFT(D14,2),20&amp;LEFT(D14,2))&amp;"-"&amp;MID(D14,3,2)&amp;"-"&amp;MID(D14,5,2)</f>
        <v>1966-01-05</v>
      </c>
      <c r="AG14" s="129" t="n">
        <f aca="true">INT((TODAY()-AF14)/365.25)</f>
        <v>60</v>
      </c>
      <c r="AH14" s="130" t="n">
        <f aca="false">ROUNDDOWN(SUM(AI14:AX15),-1)</f>
        <v>0</v>
      </c>
      <c r="AI14" s="130" t="n">
        <f aca="false">IF($W14*F14&gt;150000,($W14*F14-150000)*6%*45%,0)</f>
        <v>0</v>
      </c>
      <c r="AJ14" s="130" t="n">
        <f aca="false">IF($W14*G14&gt;150000,($W14*G14-150000)*6%*45%,0)</f>
        <v>0</v>
      </c>
      <c r="AK14" s="130" t="n">
        <f aca="false">IF($W14*H14&gt;150000,($W14*H14-150000)*6%*45%,0)</f>
        <v>0</v>
      </c>
      <c r="AL14" s="130" t="n">
        <f aca="false">IF($W14*I14&gt;150000,($W14*I14-150000)*6%*45%,0)</f>
        <v>0</v>
      </c>
      <c r="AM14" s="130" t="n">
        <f aca="false">IF($W14*J14&gt;150000,($W14*J14-150000)*6%*45%,0)</f>
        <v>0</v>
      </c>
      <c r="AN14" s="130" t="n">
        <f aca="false">IF($W14*K14&gt;150000,($W14*K14-150000)*6%*45%,0)</f>
        <v>0</v>
      </c>
      <c r="AO14" s="130" t="n">
        <f aca="false">IF($W14*L14&gt;150000,($W14*L14-150000)*6%*45%,0)</f>
        <v>0</v>
      </c>
      <c r="AP14" s="130" t="n">
        <f aca="false">IF($W14*M14&gt;150000,($W14*M14-150000)*6%*45%,0)</f>
        <v>0</v>
      </c>
      <c r="AQ14" s="130" t="n">
        <f aca="false">IF($W14*N14&gt;150000,($W14*N14-150000)*6%*45%,0)</f>
        <v>0</v>
      </c>
      <c r="AR14" s="130" t="n">
        <f aca="false">IF($W14*O14&gt;150000,($W14*O14-150000)*6%*45%,0)</f>
        <v>0</v>
      </c>
      <c r="AS14" s="130" t="n">
        <f aca="false">IF($W14*P14&gt;150000,($W14*P14-150000)*6%*45%,0)</f>
        <v>0</v>
      </c>
      <c r="AT14" s="130" t="n">
        <f aca="false">IF($W14*Q14&gt;150000,($W14*Q14-150000)*6%*45%,0)</f>
        <v>0</v>
      </c>
      <c r="AU14" s="130" t="n">
        <f aca="false">IF($W14*R14&gt;150000,($W14*R14-150000)*6%*45%,0)</f>
        <v>0</v>
      </c>
      <c r="AV14" s="130" t="n">
        <f aca="false">IF($W14*S14&gt;150000,($W14*S14-150000)*6%*45%,0)</f>
        <v>0</v>
      </c>
      <c r="AW14" s="130" t="n">
        <f aca="false">IF($W14*T14&gt;150000,($W14*T14-150000)*6%*45%,0)</f>
        <v>0</v>
      </c>
      <c r="AX14" s="130"/>
      <c r="AY14" s="131" t="str">
        <f aca="false">IF(ISERROR(VLOOKUP(C14,[26]일용직명단!$A$3:$M$1151,11,FALSE())),0,VLOOKUP(C14,[26]일용직명단!$A$3:$M$1151,11,FALSE()))</f>
        <v>29155</v>
      </c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</row>
    <row r="15" customFormat="false" ht="12.6" hidden="false" customHeight="true" outlineLevel="0" collapsed="false">
      <c r="A15" s="108"/>
      <c r="B15" s="262"/>
      <c r="C15" s="260"/>
      <c r="D15" s="111"/>
      <c r="E15" s="140" t="str">
        <f aca="false">IF(ISERROR(VLOOKUP(C14,일용직명단!$A$3:$K$1246,9,FALSE())),0,VLOOKUP(C14,일용직명단!$A$3:$K$1246,9,FALSE()))</f>
        <v>010-6356-5898</v>
      </c>
      <c r="F15" s="195"/>
      <c r="G15" s="196"/>
      <c r="H15" s="196"/>
      <c r="I15" s="193"/>
      <c r="J15" s="191"/>
      <c r="K15" s="193"/>
      <c r="L15" s="192"/>
      <c r="M15" s="197"/>
      <c r="N15" s="198"/>
      <c r="O15" s="199"/>
      <c r="P15" s="198"/>
      <c r="Q15" s="193"/>
      <c r="R15" s="192"/>
      <c r="S15" s="192"/>
      <c r="T15" s="192"/>
      <c r="U15" s="115"/>
      <c r="V15" s="144"/>
      <c r="W15" s="138" t="n">
        <f aca="false">W14*V14</f>
        <v>1800000</v>
      </c>
      <c r="X15" s="123" t="n">
        <f aca="false">IF(AH14&lt;1000,0,AH14)</f>
        <v>0</v>
      </c>
      <c r="Y15" s="123" t="n">
        <f aca="false">ROUNDDOWN(X15*10%,-1)</f>
        <v>0</v>
      </c>
      <c r="Z15" s="123" t="n">
        <f aca="false">IF(AE14&gt;=8,ROUNDDOWN(Y14*$Q$4,-1),0)</f>
        <v>4130</v>
      </c>
      <c r="AA15" s="145"/>
      <c r="AB15" s="146"/>
      <c r="AC15" s="148" t="str">
        <f aca="false">IF(ISERROR(VLOOKUP(C14,일용직명단!$A$3:$I$1226,7,FALSE())),0,VLOOKUP(C14,일용직명단!$A$3:$I$1226,7,FALSE()))</f>
        <v>356-1071-0591-83</v>
      </c>
      <c r="AD15" s="148"/>
      <c r="AE15" s="149"/>
      <c r="AF15" s="129"/>
      <c r="AG15" s="129"/>
      <c r="AH15" s="130"/>
      <c r="AI15" s="130" t="n">
        <f aca="false">IF($W14*F15&gt;150000,($W14*F15-150000)*6%*45%,0)</f>
        <v>0</v>
      </c>
      <c r="AJ15" s="130" t="n">
        <f aca="false">IF($W14*G15&gt;150000,($W14*G15-150000)*6%*45%,0)</f>
        <v>0</v>
      </c>
      <c r="AK15" s="130" t="n">
        <f aca="false">IF($W14*H15&gt;150000,($W14*H15-150000)*6%*45%,0)</f>
        <v>0</v>
      </c>
      <c r="AL15" s="130" t="n">
        <f aca="false">IF($W14*I15&gt;150000,($W14*I15-150000)*6%*45%,0)</f>
        <v>0</v>
      </c>
      <c r="AM15" s="130" t="n">
        <f aca="false">IF($W14*J15&gt;150000,($W14*J15-150000)*6%*45%,0)</f>
        <v>0</v>
      </c>
      <c r="AN15" s="130" t="n">
        <f aca="false">IF($W14*K15&gt;150000,($W14*K15-150000)*6%*45%,0)</f>
        <v>0</v>
      </c>
      <c r="AO15" s="130" t="n">
        <f aca="false">IF($W14*L15&gt;150000,($W14*L15-150000)*6%*45%,0)</f>
        <v>0</v>
      </c>
      <c r="AP15" s="130" t="n">
        <f aca="false">IF($W14*M15&gt;150000,($W14*M15-150000)*6%*45%,0)</f>
        <v>0</v>
      </c>
      <c r="AQ15" s="130" t="n">
        <f aca="false">IF($W14*N15&gt;150000,($W14*N15-150000)*6%*45%,0)</f>
        <v>0</v>
      </c>
      <c r="AR15" s="130" t="n">
        <f aca="false">IF($W14*O15&gt;150000,($W14*O15-150000)*6%*45%,0)</f>
        <v>0</v>
      </c>
      <c r="AS15" s="130" t="n">
        <f aca="false">IF($W14*P15&gt;150000,($W14*P15-150000)*6%*45%,0)</f>
        <v>0</v>
      </c>
      <c r="AT15" s="130" t="n">
        <f aca="false">IF($W14*Q15&gt;150000,($W14*Q15-150000)*6%*45%,0)</f>
        <v>0</v>
      </c>
      <c r="AU15" s="130" t="n">
        <f aca="false">IF($W14*R15&gt;150000,($W14*R15-150000)*6%*45%,0)</f>
        <v>0</v>
      </c>
      <c r="AV15" s="130" t="n">
        <f aca="false">IF($W14*S15&gt;150000,($W14*S15-150000)*6%*45%,0)</f>
        <v>0</v>
      </c>
      <c r="AW15" s="130" t="n">
        <f aca="false">IF($W14*T15&gt;150000,($W14*T15-150000)*6%*45%,0)</f>
        <v>0</v>
      </c>
      <c r="AX15" s="130" t="n">
        <f aca="false">IF($W14*U15&gt;150000,($W14*U15-150000)*6%*45%,0)</f>
        <v>0</v>
      </c>
      <c r="AY15" s="13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</row>
    <row r="16" customFormat="false" ht="12.6" hidden="false" customHeight="true" outlineLevel="0" collapsed="false">
      <c r="A16" s="108" t="n">
        <f aca="false">A14+1</f>
        <v>4</v>
      </c>
      <c r="B16" s="263" t="s">
        <v>93</v>
      </c>
      <c r="C16" s="260" t="s">
        <v>94</v>
      </c>
      <c r="D16" s="111" t="str">
        <f aca="false">IF(ISERROR(VLOOKUP(C16,일용직명단!$A$3:$K$1246,3,FALSE())),0,VLOOKUP(C16,일용직명단!$A$3:$K$1246,3,FALSE()))</f>
        <v>000329-3691911</v>
      </c>
      <c r="E16" s="112" t="str">
        <f aca="false">IF(ISERROR(VLOOKUP(C16,일용직명단!$A$3:$K$1246,4,FALSE())),0,VLOOKUP(C16,일용직명단!$A$3:$K$1246,4,FALSE()))</f>
        <v>충북 제천시 제천북로1길 75 (왕암동)</v>
      </c>
      <c r="F16" s="192"/>
      <c r="G16" s="193"/>
      <c r="H16" s="181" t="n">
        <v>1</v>
      </c>
      <c r="I16" s="181" t="n">
        <v>1</v>
      </c>
      <c r="J16" s="184" t="n">
        <v>1</v>
      </c>
      <c r="K16" s="181" t="n">
        <v>1</v>
      </c>
      <c r="L16" s="184" t="n">
        <v>1</v>
      </c>
      <c r="M16" s="184" t="n">
        <v>1</v>
      </c>
      <c r="N16" s="193"/>
      <c r="O16" s="190" t="n">
        <v>1</v>
      </c>
      <c r="P16" s="184" t="n">
        <v>1</v>
      </c>
      <c r="Q16" s="190" t="n">
        <v>1</v>
      </c>
      <c r="R16" s="181" t="n">
        <v>1</v>
      </c>
      <c r="S16" s="190" t="n">
        <v>1</v>
      </c>
      <c r="T16" s="181" t="n">
        <v>1</v>
      </c>
      <c r="U16" s="119"/>
      <c r="V16" s="120" t="n">
        <f aca="false">SUM(F16:U17)</f>
        <v>12</v>
      </c>
      <c r="W16" s="121" t="n">
        <f aca="false">IF(ISERROR(VLOOKUP(C16,일용직명단!$A$3:$K$1246,8,FALSE())),0,VLOOKUP(C16,일용직명단!$A$3:$K$1246,8,FALSE()))</f>
        <v>150000</v>
      </c>
      <c r="X16" s="122" t="n">
        <f aca="false">IFERROR(IF(AG16&gt;=65,0,ROUNDDOWN(W17*$Z$4,-1)),0)</f>
        <v>16200</v>
      </c>
      <c r="Y16" s="122" t="n">
        <f aca="false">IF(AE16&gt;=8,ROUNDDOWN(W17*$M$4,-1),0)</f>
        <v>63810</v>
      </c>
      <c r="Z16" s="122" t="n">
        <f aca="false">IFERROR(IF(AND(COUNT(F16:U17)&gt;=8,$AG16&lt;60,W17&lt;=5530000),ROUNDDOWN(ROUNDDOWN(W17,-3)*4.5%,-1),IF(AND(COUNT(F16:U17)&gt;=8,AG16&lt;60,W17&gt;5530000),248850,0)),0)</f>
        <v>81000</v>
      </c>
      <c r="AA16" s="124" t="n">
        <f aca="false">+X16+Y16+X17+Y17+Z16+Z17</f>
        <v>165140</v>
      </c>
      <c r="AB16" s="125" t="n">
        <f aca="false">W17-AA16</f>
        <v>1634860</v>
      </c>
      <c r="AC16" s="126" t="str">
        <f aca="false">IF(ISERROR(VLOOKUP(C16,일용직명단!$A$3:$I$1226,5,FALSE())),0,VLOOKUP(C16,일용직명단!$A$3:$I$1226,5,FALSE()))</f>
        <v>농협</v>
      </c>
      <c r="AD16" s="127" t="str">
        <f aca="false">IF(ISERROR(VLOOKUP(C16,일용직명단!$A$3:$I$1226,6,FALSE())),0,VLOOKUP(C16,일용직명단!$A$3:$I$1226,6,FALSE()))</f>
        <v>이명철</v>
      </c>
      <c r="AE16" s="150" t="n">
        <f aca="false">COUNT(F16:U17)</f>
        <v>12</v>
      </c>
      <c r="AF16" s="129" t="str">
        <f aca="false">IF(OR(MID(D16,8,1)="1",MID(D16,8,1)="2"),19&amp;LEFT(D16,2),20&amp;LEFT(D16,2))&amp;"-"&amp;MID(D16,3,2)&amp;"-"&amp;MID(D16,5,2)</f>
        <v>2000-03-29</v>
      </c>
      <c r="AG16" s="129" t="n">
        <f aca="true">INT((TODAY()-AF16)/365.25)</f>
        <v>26</v>
      </c>
      <c r="AH16" s="130" t="n">
        <f aca="false">ROUNDDOWN(SUM(AI16:AX17),-1)</f>
        <v>0</v>
      </c>
      <c r="AI16" s="130" t="n">
        <f aca="false">IF($W16*F16&gt;150000,($W16*F16-150000)*6%*45%,0)</f>
        <v>0</v>
      </c>
      <c r="AJ16" s="130" t="n">
        <f aca="false">IF($W16*G16&gt;150000,($W16*G16-150000)*6%*45%,0)</f>
        <v>0</v>
      </c>
      <c r="AK16" s="130" t="n">
        <f aca="false">IF($W16*H16&gt;150000,($W16*H16-150000)*6%*45%,0)</f>
        <v>0</v>
      </c>
      <c r="AL16" s="130" t="n">
        <f aca="false">IF($W16*I16&gt;150000,($W16*I16-150000)*6%*45%,0)</f>
        <v>0</v>
      </c>
      <c r="AM16" s="130" t="n">
        <f aca="false">IF($W16*J16&gt;150000,($W16*J16-150000)*6%*45%,0)</f>
        <v>0</v>
      </c>
      <c r="AN16" s="130" t="n">
        <f aca="false">IF($W16*K16&gt;150000,($W16*K16-150000)*6%*45%,0)</f>
        <v>0</v>
      </c>
      <c r="AO16" s="130" t="n">
        <f aca="false">IF($W16*L16&gt;150000,($W16*L16-150000)*6%*45%,0)</f>
        <v>0</v>
      </c>
      <c r="AP16" s="130" t="n">
        <f aca="false">IF($W16*M16&gt;150000,($W16*M16-150000)*6%*45%,0)</f>
        <v>0</v>
      </c>
      <c r="AQ16" s="130" t="n">
        <f aca="false">IF($W16*N16&gt;150000,($W16*N16-150000)*6%*45%,0)</f>
        <v>0</v>
      </c>
      <c r="AR16" s="130" t="n">
        <f aca="false">IF($W16*O16&gt;150000,($W16*O16-150000)*6%*45%,0)</f>
        <v>0</v>
      </c>
      <c r="AS16" s="130" t="n">
        <f aca="false">IF($W16*P16&gt;150000,($W16*P16-150000)*6%*45%,0)</f>
        <v>0</v>
      </c>
      <c r="AT16" s="130" t="n">
        <f aca="false">IF($W16*Q16&gt;150000,($W16*Q16-150000)*6%*45%,0)</f>
        <v>0</v>
      </c>
      <c r="AU16" s="130" t="n">
        <f aca="false">IF($W16*R16&gt;150000,($W16*R16-150000)*6%*45%,0)</f>
        <v>0</v>
      </c>
      <c r="AV16" s="130" t="n">
        <f aca="false">IF($W16*S16&gt;150000,($W16*S16-150000)*6%*45%,0)</f>
        <v>0</v>
      </c>
      <c r="AW16" s="130" t="n">
        <f aca="false">IF($W16*T16&gt;150000,($W16*T16-150000)*6%*45%,0)</f>
        <v>0</v>
      </c>
      <c r="AX16" s="130"/>
      <c r="AY16" s="151" t="str">
        <f aca="false">IF(ISERROR(VLOOKUP(C16,[26]일용직명단!$A$3:$M$1151,11,FALSE())),0,VLOOKUP(C16,[26]일용직명단!$A$3:$M$1151,11,FALSE()))</f>
        <v>27116</v>
      </c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</row>
    <row r="17" customFormat="false" ht="12.6" hidden="false" customHeight="true" outlineLevel="0" collapsed="false">
      <c r="A17" s="108"/>
      <c r="B17" s="263"/>
      <c r="C17" s="260"/>
      <c r="D17" s="111"/>
      <c r="E17" s="112" t="str">
        <f aca="false">IF(ISERROR(VLOOKUP(C16,일용직명단!$A$3:$K$1246,9,FALSE())),0,VLOOKUP(C16,일용직명단!$A$3:$K$1246,9,FALSE()))</f>
        <v>010-5301-8775</v>
      </c>
      <c r="F17" s="195"/>
      <c r="G17" s="196"/>
      <c r="H17" s="196"/>
      <c r="I17" s="193"/>
      <c r="J17" s="191"/>
      <c r="K17" s="193"/>
      <c r="L17" s="192"/>
      <c r="M17" s="197"/>
      <c r="N17" s="198"/>
      <c r="O17" s="199"/>
      <c r="P17" s="198"/>
      <c r="Q17" s="193"/>
      <c r="R17" s="192"/>
      <c r="S17" s="192"/>
      <c r="T17" s="192"/>
      <c r="U17" s="191"/>
      <c r="V17" s="120"/>
      <c r="W17" s="138" t="n">
        <f aca="false">W16*V16</f>
        <v>1800000</v>
      </c>
      <c r="X17" s="122" t="n">
        <f aca="false">IF(AH16&lt;1000,0,AH16)</f>
        <v>0</v>
      </c>
      <c r="Y17" s="122" t="n">
        <f aca="false">ROUNDDOWN(X17*10%,-1)</f>
        <v>0</v>
      </c>
      <c r="Z17" s="122" t="n">
        <f aca="false">IF(AE16&gt;=8,ROUNDDOWN(Y16*$Q$4,-1),0)</f>
        <v>4130</v>
      </c>
      <c r="AA17" s="124"/>
      <c r="AB17" s="125"/>
      <c r="AC17" s="127" t="str">
        <f aca="false">IF(ISERROR(VLOOKUP(C16,일용직명단!$A$3:$I$1226,7,FALSE())),0,VLOOKUP(C16,일용직명단!$A$3:$I$1226,7,FALSE()))</f>
        <v>302-1531-6143-71</v>
      </c>
      <c r="AD17" s="127"/>
      <c r="AE17" s="155"/>
      <c r="AF17" s="129"/>
      <c r="AG17" s="129"/>
      <c r="AH17" s="130"/>
      <c r="AI17" s="130" t="n">
        <f aca="false">IF($W16*F17&gt;150000,($W16*F17-150000)*6%*45%,0)</f>
        <v>0</v>
      </c>
      <c r="AJ17" s="130" t="n">
        <f aca="false">IF($W16*G17&gt;150000,($W16*G17-150000)*6%*45%,0)</f>
        <v>0</v>
      </c>
      <c r="AK17" s="130" t="n">
        <f aca="false">IF($W16*H17&gt;150000,($W16*H17-150000)*6%*45%,0)</f>
        <v>0</v>
      </c>
      <c r="AL17" s="130" t="n">
        <f aca="false">IF($W16*I17&gt;150000,($W16*I17-150000)*6%*45%,0)</f>
        <v>0</v>
      </c>
      <c r="AM17" s="130" t="n">
        <f aca="false">IF($W16*J17&gt;150000,($W16*J17-150000)*6%*45%,0)</f>
        <v>0</v>
      </c>
      <c r="AN17" s="130" t="n">
        <f aca="false">IF($W16*K17&gt;150000,($W16*K17-150000)*6%*45%,0)</f>
        <v>0</v>
      </c>
      <c r="AO17" s="130" t="n">
        <f aca="false">IF($W16*L17&gt;150000,($W16*L17-150000)*6%*45%,0)</f>
        <v>0</v>
      </c>
      <c r="AP17" s="130" t="n">
        <f aca="false">IF($W16*M17&gt;150000,($W16*M17-150000)*6%*45%,0)</f>
        <v>0</v>
      </c>
      <c r="AQ17" s="130" t="n">
        <f aca="false">IF($W16*N17&gt;150000,($W16*N17-150000)*6%*45%,0)</f>
        <v>0</v>
      </c>
      <c r="AR17" s="130" t="n">
        <f aca="false">IF($W16*O17&gt;150000,($W16*O17-150000)*6%*45%,0)</f>
        <v>0</v>
      </c>
      <c r="AS17" s="130" t="n">
        <f aca="false">IF($W16*P17&gt;150000,($W16*P17-150000)*6%*45%,0)</f>
        <v>0</v>
      </c>
      <c r="AT17" s="130" t="n">
        <f aca="false">IF($W16*Q17&gt;150000,($W16*Q17-150000)*6%*45%,0)</f>
        <v>0</v>
      </c>
      <c r="AU17" s="130" t="n">
        <f aca="false">IF($W16*R17&gt;150000,($W16*R17-150000)*6%*45%,0)</f>
        <v>0</v>
      </c>
      <c r="AV17" s="130" t="n">
        <f aca="false">IF($W16*S17&gt;150000,($W16*S17-150000)*6%*45%,0)</f>
        <v>0</v>
      </c>
      <c r="AW17" s="130" t="n">
        <f aca="false">IF($W16*T17&gt;150000,($W16*T17-150000)*6%*45%,0)</f>
        <v>0</v>
      </c>
      <c r="AX17" s="130" t="n">
        <f aca="false">IF($W16*U17&gt;150000,($W16*U17-150000)*6%*45%,0)</f>
        <v>0</v>
      </c>
      <c r="AY17" s="15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6" hidden="false" customHeight="true" outlineLevel="0" collapsed="false">
      <c r="A18" s="108" t="n">
        <f aca="false">A16+1</f>
        <v>5</v>
      </c>
      <c r="B18" s="263" t="s">
        <v>87</v>
      </c>
      <c r="C18" s="261" t="s">
        <v>75</v>
      </c>
      <c r="D18" s="111" t="str">
        <f aca="false">IF(ISERROR(VLOOKUP(C18,일용직명단!$A$3:$K$1246,3,FALSE())),0,VLOOKUP(C18,일용직명단!$A$3:$K$1246,3,FALSE()))</f>
        <v>730108-1148320</v>
      </c>
      <c r="E18" s="140" t="str">
        <f aca="false">IF(ISERROR(VLOOKUP(C18,일용직명단!$A$3:$K$1246,4,FALSE())),0,VLOOKUP(C18,일용직명단!$A$3:$K$1246,4,FALSE()))</f>
        <v>충북 영동군 양강면 마포2길 8</v>
      </c>
      <c r="F18" s="192"/>
      <c r="G18" s="193"/>
      <c r="H18" s="181" t="n">
        <v>1</v>
      </c>
      <c r="I18" s="181" t="n">
        <v>1</v>
      </c>
      <c r="J18" s="184" t="n">
        <v>1</v>
      </c>
      <c r="K18" s="181" t="n">
        <v>1</v>
      </c>
      <c r="L18" s="184" t="n">
        <v>1</v>
      </c>
      <c r="M18" s="184" t="n">
        <v>1</v>
      </c>
      <c r="N18" s="193"/>
      <c r="O18" s="190" t="n">
        <v>1</v>
      </c>
      <c r="P18" s="184" t="n">
        <v>1</v>
      </c>
      <c r="Q18" s="190" t="n">
        <v>1</v>
      </c>
      <c r="R18" s="181" t="n">
        <v>1</v>
      </c>
      <c r="S18" s="190" t="n">
        <v>1</v>
      </c>
      <c r="T18" s="181" t="n">
        <v>1</v>
      </c>
      <c r="U18" s="119"/>
      <c r="V18" s="144" t="n">
        <f aca="false">SUM(F18:U19)</f>
        <v>12</v>
      </c>
      <c r="W18" s="121" t="n">
        <f aca="false">IF(ISERROR(VLOOKUP(C18,일용직명단!$A$3:$K$1246,8,FALSE())),0,VLOOKUP(C18,일용직명단!$A$3:$K$1246,8,FALSE()))</f>
        <v>170000</v>
      </c>
      <c r="X18" s="156" t="n">
        <f aca="false">IFERROR(IF(AG18&gt;=65,0,ROUNDDOWN(W19*$Z$4,-1)),0)</f>
        <v>18360</v>
      </c>
      <c r="Y18" s="156" t="n">
        <f aca="false">IF(AE18&gt;=8,ROUNDDOWN(W19*$M$4,-1),0)</f>
        <v>72310</v>
      </c>
      <c r="Z18" s="156" t="n">
        <f aca="false">IFERROR(IF(AND(COUNT(F18:U19)&gt;=8,$AG18&lt;60,W19&lt;=5530000),ROUNDDOWN(ROUNDDOWN(W19,-3)*4.5%,-1),IF(AND(COUNT(F18:U19)&gt;=8,AG18&lt;60,W19&gt;5530000),248850,0)),0)</f>
        <v>91800</v>
      </c>
      <c r="AA18" s="145" t="n">
        <f aca="false">+X18+Y18+X19+Y19+Z18+Z19</f>
        <v>194270</v>
      </c>
      <c r="AB18" s="146" t="n">
        <f aca="false">W19-AA18</f>
        <v>1845730</v>
      </c>
      <c r="AC18" s="157" t="str">
        <f aca="false">IF(ISERROR(VLOOKUP(C18,일용직명단!$A$3:$I$1226,5,FALSE())),0,VLOOKUP(C18,일용직명단!$A$3:$I$1226,5,FALSE()))</f>
        <v>농협</v>
      </c>
      <c r="AD18" s="158" t="str">
        <f aca="false">IF(ISERROR(VLOOKUP(C18,일용직명단!$A$3:$I$1226,6,FALSE())),0,VLOOKUP(C18,일용직명단!$A$3:$I$1226,6,FALSE()))</f>
        <v>심종섭</v>
      </c>
      <c r="AE18" s="149" t="n">
        <f aca="false">COUNT(F18:U19)</f>
        <v>12</v>
      </c>
      <c r="AF18" s="129" t="str">
        <f aca="false">IF(OR(MID(D18,8,1)="1",MID(D18,8,1)="2"),19&amp;LEFT(D18,2),20&amp;LEFT(D18,2))&amp;"-"&amp;MID(D18,3,2)&amp;"-"&amp;MID(D18,5,2)</f>
        <v>1973-01-08</v>
      </c>
      <c r="AG18" s="129" t="n">
        <f aca="true">INT((TODAY()-AF18)/365.25)</f>
        <v>53</v>
      </c>
      <c r="AH18" s="130" t="n">
        <f aca="false">ROUNDDOWN(SUM(AI18:AX19),-1)</f>
        <v>6480</v>
      </c>
      <c r="AI18" s="130" t="n">
        <f aca="false">IF($W18*F18&gt;150000,($W18*F18-150000)*6%*45%,0)</f>
        <v>0</v>
      </c>
      <c r="AJ18" s="130" t="n">
        <f aca="false">IF($W18*G18&gt;150000,($W18*G18-150000)*6%*45%,0)</f>
        <v>0</v>
      </c>
      <c r="AK18" s="130" t="n">
        <f aca="false">IF($W18*H18&gt;150000,($W18*H18-150000)*6%*45%,0)</f>
        <v>540</v>
      </c>
      <c r="AL18" s="130" t="n">
        <f aca="false">IF($W18*I18&gt;150000,($W18*I18-150000)*6%*45%,0)</f>
        <v>540</v>
      </c>
      <c r="AM18" s="130" t="n">
        <f aca="false">IF($W18*J18&gt;150000,($W18*J18-150000)*6%*45%,0)</f>
        <v>540</v>
      </c>
      <c r="AN18" s="130" t="n">
        <f aca="false">IF($W18*K18&gt;150000,($W18*K18-150000)*6%*45%,0)</f>
        <v>540</v>
      </c>
      <c r="AO18" s="130" t="n">
        <f aca="false">IF($W18*L18&gt;150000,($W18*L18-150000)*6%*45%,0)</f>
        <v>540</v>
      </c>
      <c r="AP18" s="130" t="n">
        <f aca="false">IF($W18*M18&gt;150000,($W18*M18-150000)*6%*45%,0)</f>
        <v>540</v>
      </c>
      <c r="AQ18" s="130" t="n">
        <f aca="false">IF($W18*N18&gt;150000,($W18*N18-150000)*6%*45%,0)</f>
        <v>0</v>
      </c>
      <c r="AR18" s="130" t="n">
        <f aca="false">IF($W18*O18&gt;150000,($W18*O18-150000)*6%*45%,0)</f>
        <v>540</v>
      </c>
      <c r="AS18" s="130" t="n">
        <f aca="false">IF($W18*P18&gt;150000,($W18*P18-150000)*6%*45%,0)</f>
        <v>540</v>
      </c>
      <c r="AT18" s="130" t="n">
        <f aca="false">IF($W18*Q18&gt;150000,($W18*Q18-150000)*6%*45%,0)</f>
        <v>540</v>
      </c>
      <c r="AU18" s="130" t="n">
        <f aca="false">IF($W18*R18&gt;150000,($W18*R18-150000)*6%*45%,0)</f>
        <v>540</v>
      </c>
      <c r="AV18" s="130" t="n">
        <f aca="false">IF($W18*S18&gt;150000,($W18*S18-150000)*6%*45%,0)</f>
        <v>540</v>
      </c>
      <c r="AW18" s="130" t="n">
        <f aca="false">IF($W18*T18&gt;150000,($W18*T18-150000)*6%*45%,0)</f>
        <v>540</v>
      </c>
      <c r="AX18" s="130"/>
      <c r="AY18" s="131" t="n">
        <f aca="false">IF(ISERROR(VLOOKUP(C18,[26]일용직명단!$A$3:$M$1151,11,FALSE())),0,VLOOKUP(C18,[26]일용직명단!$A$3:$M$1151,11,FALSE()))</f>
        <v>0</v>
      </c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</row>
    <row r="19" customFormat="false" ht="12.6" hidden="false" customHeight="true" outlineLevel="0" collapsed="false">
      <c r="A19" s="108"/>
      <c r="B19" s="263"/>
      <c r="C19" s="261"/>
      <c r="D19" s="111"/>
      <c r="E19" s="140" t="str">
        <f aca="false">IF(ISERROR(VLOOKUP(C18,일용직명단!$A$3:$K$1246,9,FALSE())),0,VLOOKUP(C18,일용직명단!$A$3:$K$1246,9,FALSE()))</f>
        <v>010-2304-8648</v>
      </c>
      <c r="F19" s="195"/>
      <c r="G19" s="196"/>
      <c r="H19" s="196"/>
      <c r="I19" s="193"/>
      <c r="J19" s="191"/>
      <c r="K19" s="193"/>
      <c r="L19" s="192"/>
      <c r="M19" s="197"/>
      <c r="N19" s="198"/>
      <c r="O19" s="199"/>
      <c r="P19" s="198"/>
      <c r="Q19" s="193"/>
      <c r="R19" s="192"/>
      <c r="S19" s="192"/>
      <c r="T19" s="192"/>
      <c r="U19" s="191"/>
      <c r="V19" s="144"/>
      <c r="W19" s="138" t="n">
        <f aca="false">W18*V18</f>
        <v>2040000</v>
      </c>
      <c r="X19" s="156" t="n">
        <f aca="false">IF(AH18&lt;1000,0,AH18)</f>
        <v>6480</v>
      </c>
      <c r="Y19" s="156" t="n">
        <f aca="false">ROUNDDOWN(X19*10%,-1)</f>
        <v>640</v>
      </c>
      <c r="Z19" s="156" t="n">
        <f aca="false">IF(AE18&gt;=8,ROUNDDOWN(Y18*$Q$4,-1),0)</f>
        <v>4680</v>
      </c>
      <c r="AA19" s="145"/>
      <c r="AB19" s="146"/>
      <c r="AC19" s="158" t="str">
        <f aca="false">IF(ISERROR(VLOOKUP(C18,일용직명단!$A$3:$I$1226,7,FALSE())),0,VLOOKUP(C18,일용직명단!$A$3:$I$1226,7,FALSE()))</f>
        <v>352-1213-5051-73</v>
      </c>
      <c r="AD19" s="158"/>
      <c r="AE19" s="149"/>
      <c r="AF19" s="129"/>
      <c r="AG19" s="129"/>
      <c r="AH19" s="130"/>
      <c r="AI19" s="130" t="n">
        <f aca="false">IF($W18*F19&gt;150000,($W18*F19-150000)*6%*45%,0)</f>
        <v>0</v>
      </c>
      <c r="AJ19" s="130" t="n">
        <f aca="false">IF($W18*G19&gt;150000,($W18*G19-150000)*6%*45%,0)</f>
        <v>0</v>
      </c>
      <c r="AK19" s="130" t="n">
        <f aca="false">IF($W18*H19&gt;150000,($W18*H19-150000)*6%*45%,0)</f>
        <v>0</v>
      </c>
      <c r="AL19" s="130" t="n">
        <f aca="false">IF($W18*I19&gt;150000,($W18*I19-150000)*6%*45%,0)</f>
        <v>0</v>
      </c>
      <c r="AM19" s="130" t="n">
        <f aca="false">IF($W18*J19&gt;150000,($W18*J19-150000)*6%*45%,0)</f>
        <v>0</v>
      </c>
      <c r="AN19" s="130" t="n">
        <f aca="false">IF($W18*K19&gt;150000,($W18*K19-150000)*6%*45%,0)</f>
        <v>0</v>
      </c>
      <c r="AO19" s="130" t="n">
        <f aca="false">IF($W18*L19&gt;150000,($W18*L19-150000)*6%*45%,0)</f>
        <v>0</v>
      </c>
      <c r="AP19" s="130" t="n">
        <f aca="false">IF($W18*M19&gt;150000,($W18*M19-150000)*6%*45%,0)</f>
        <v>0</v>
      </c>
      <c r="AQ19" s="130" t="n">
        <f aca="false">IF($W18*N19&gt;150000,($W18*N19-150000)*6%*45%,0)</f>
        <v>0</v>
      </c>
      <c r="AR19" s="130" t="n">
        <f aca="false">IF($W18*O19&gt;150000,($W18*O19-150000)*6%*45%,0)</f>
        <v>0</v>
      </c>
      <c r="AS19" s="130" t="n">
        <f aca="false">IF($W18*P19&gt;150000,($W18*P19-150000)*6%*45%,0)</f>
        <v>0</v>
      </c>
      <c r="AT19" s="130" t="n">
        <f aca="false">IF($W18*Q19&gt;150000,($W18*Q19-150000)*6%*45%,0)</f>
        <v>0</v>
      </c>
      <c r="AU19" s="130" t="n">
        <f aca="false">IF($W18*R19&gt;150000,($W18*R19-150000)*6%*45%,0)</f>
        <v>0</v>
      </c>
      <c r="AV19" s="130" t="n">
        <f aca="false">IF($W18*S19&gt;150000,($W18*S19-150000)*6%*45%,0)</f>
        <v>0</v>
      </c>
      <c r="AW19" s="130" t="n">
        <f aca="false">IF($W18*T19&gt;150000,($W18*T19-150000)*6%*45%,0)</f>
        <v>0</v>
      </c>
      <c r="AX19" s="130" t="n">
        <f aca="false">IF($W18*U19&gt;150000,($W18*U19-150000)*6%*45%,0)</f>
        <v>0</v>
      </c>
      <c r="AY19" s="13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</row>
    <row r="20" customFormat="false" ht="12.6" hidden="false" customHeight="true" outlineLevel="0" collapsed="false">
      <c r="A20" s="108" t="n">
        <f aca="false">A18+1</f>
        <v>6</v>
      </c>
      <c r="B20" s="263" t="n">
        <f aca="false">IF(ISERROR(VLOOKUP(C20,일용직명단!$A$3:$I$104,2,FALSE())),0,VLOOKUP(C20,일용직명단!$A$3:$I$104,2,FALSE()))</f>
        <v>0</v>
      </c>
      <c r="C20" s="261" t="s">
        <v>66</v>
      </c>
      <c r="D20" s="111" t="str">
        <f aca="false">IF(ISERROR(VLOOKUP(C20,일용직명단!$A$3:$K$1246,3,FALSE())),0,VLOOKUP(C20,일용직명단!$A$3:$K$1246,3,FALSE()))</f>
        <v>720402-1798516</v>
      </c>
      <c r="E20" s="140" t="str">
        <f aca="false">IF(ISERROR(VLOOKUP(C20,일용직명단!$A$3:$K$1246,4,FALSE())),0,VLOOKUP(C20,일용직명단!$A$3:$K$1246,4,FALSE()))</f>
        <v>경북 칠곡군 북삼읍 인강9길 10, 101동 1212호(로얄아파트)</v>
      </c>
      <c r="F20" s="192"/>
      <c r="G20" s="193"/>
      <c r="H20" s="181" t="n">
        <v>1</v>
      </c>
      <c r="I20" s="181" t="n">
        <v>1</v>
      </c>
      <c r="J20" s="184" t="n">
        <v>1</v>
      </c>
      <c r="K20" s="181" t="n">
        <v>1</v>
      </c>
      <c r="L20" s="184" t="n">
        <v>1</v>
      </c>
      <c r="M20" s="184" t="n">
        <v>1</v>
      </c>
      <c r="N20" s="193"/>
      <c r="O20" s="190" t="n">
        <v>1</v>
      </c>
      <c r="P20" s="184" t="n">
        <v>1</v>
      </c>
      <c r="Q20" s="190" t="n">
        <v>1</v>
      </c>
      <c r="R20" s="181" t="n">
        <v>1</v>
      </c>
      <c r="S20" s="190" t="n">
        <v>1</v>
      </c>
      <c r="T20" s="181" t="n">
        <v>1</v>
      </c>
      <c r="U20" s="194"/>
      <c r="V20" s="144" t="n">
        <f aca="false">SUM(F20:U21)</f>
        <v>12</v>
      </c>
      <c r="W20" s="121" t="n">
        <f aca="false">IF(ISERROR(VLOOKUP(C20,일용직명단!$A$3:$K$1246,8,FALSE())),0,VLOOKUP(C20,일용직명단!$A$3:$K$1246,8,FALSE()))</f>
        <v>150000</v>
      </c>
      <c r="X20" s="156" t="n">
        <f aca="false">IFERROR(IF(AG20&gt;=65,0,ROUNDDOWN(W21*$Z$4,-1)),0)</f>
        <v>16200</v>
      </c>
      <c r="Y20" s="156" t="n">
        <f aca="false">IF(AE20&gt;=8,ROUNDDOWN(W21*$M$4,-1),0)</f>
        <v>63810</v>
      </c>
      <c r="Z20" s="156" t="n">
        <f aca="false">IFERROR(IF(AND(COUNT(F20:U21)&gt;=8,$AG20&lt;60,W21&lt;=5530000),ROUNDDOWN(ROUNDDOWN(W21,-3)*4.5%,-1),IF(AND(COUNT(F20:U21)&gt;=8,AG20&lt;60,W21&gt;5530000),248850,0)),0)</f>
        <v>81000</v>
      </c>
      <c r="AA20" s="145" t="n">
        <f aca="false">+X20+Y20+X21+Y21+Z20+Z21</f>
        <v>165140</v>
      </c>
      <c r="AB20" s="146" t="n">
        <f aca="false">W21-AA20</f>
        <v>1634860</v>
      </c>
      <c r="AC20" s="157" t="str">
        <f aca="false">IF(ISERROR(VLOOKUP(C20,일용직명단!$A$3:$I$1226,5,FALSE())),0,VLOOKUP(C20,일용직명단!$A$3:$I$1226,5,FALSE()))</f>
        <v>농협</v>
      </c>
      <c r="AD20" s="158" t="str">
        <f aca="false">IF(ISERROR(VLOOKUP(C20,일용직명단!$A$3:$I$1226,6,FALSE())),0,VLOOKUP(C20,일용직명단!$A$3:$I$1226,6,FALSE()))</f>
        <v>김판수</v>
      </c>
      <c r="AE20" s="149" t="n">
        <f aca="false">COUNT(F20:U21)</f>
        <v>12</v>
      </c>
      <c r="AF20" s="129" t="str">
        <f aca="false">IF(OR(MID(D20,8,1)="1",MID(D20,8,1)="2"),19&amp;LEFT(D20,2),20&amp;LEFT(D20,2))&amp;"-"&amp;MID(D20,3,2)&amp;"-"&amp;MID(D20,5,2)</f>
        <v>1972-04-02</v>
      </c>
      <c r="AG20" s="129" t="n">
        <f aca="true">INT((TODAY()-AF20)/365.25)</f>
        <v>54</v>
      </c>
      <c r="AH20" s="130" t="n">
        <f aca="false">ROUNDDOWN(SUM(AI20:AX21),-1)</f>
        <v>0</v>
      </c>
      <c r="AI20" s="130" t="n">
        <f aca="false">IF($W20*F20&gt;150000,($W20*F20-150000)*6%*45%,0)</f>
        <v>0</v>
      </c>
      <c r="AJ20" s="130" t="n">
        <f aca="false">IF($W20*G20&gt;150000,($W20*G20-150000)*6%*45%,0)</f>
        <v>0</v>
      </c>
      <c r="AK20" s="130" t="n">
        <f aca="false">IF($W20*H20&gt;150000,($W20*H20-150000)*6%*45%,0)</f>
        <v>0</v>
      </c>
      <c r="AL20" s="130" t="n">
        <f aca="false">IF($W20*I20&gt;150000,($W20*I20-150000)*6%*45%,0)</f>
        <v>0</v>
      </c>
      <c r="AM20" s="130" t="n">
        <f aca="false">IF($W20*J20&gt;150000,($W20*J20-150000)*6%*45%,0)</f>
        <v>0</v>
      </c>
      <c r="AN20" s="130" t="n">
        <f aca="false">IF($W20*K20&gt;150000,($W20*K20-150000)*6%*45%,0)</f>
        <v>0</v>
      </c>
      <c r="AO20" s="130" t="n">
        <f aca="false">IF($W20*L20&gt;150000,($W20*L20-150000)*6%*45%,0)</f>
        <v>0</v>
      </c>
      <c r="AP20" s="130" t="n">
        <f aca="false">IF($W20*M20&gt;150000,($W20*M20-150000)*6%*45%,0)</f>
        <v>0</v>
      </c>
      <c r="AQ20" s="130" t="n">
        <f aca="false">IF($W20*N20&gt;150000,($W20*N20-150000)*6%*45%,0)</f>
        <v>0</v>
      </c>
      <c r="AR20" s="130" t="n">
        <f aca="false">IF($W20*O20&gt;150000,($W20*O20-150000)*6%*45%,0)</f>
        <v>0</v>
      </c>
      <c r="AS20" s="130" t="n">
        <f aca="false">IF($W20*P20&gt;150000,($W20*P20-150000)*6%*45%,0)</f>
        <v>0</v>
      </c>
      <c r="AT20" s="130" t="n">
        <f aca="false">IF($W20*Q20&gt;150000,($W20*Q20-150000)*6%*45%,0)</f>
        <v>0</v>
      </c>
      <c r="AU20" s="130" t="n">
        <f aca="false">IF($W20*R20&gt;150000,($W20*R20-150000)*6%*45%,0)</f>
        <v>0</v>
      </c>
      <c r="AV20" s="130" t="n">
        <f aca="false">IF($W20*S20&gt;150000,($W20*S20-150000)*6%*45%,0)</f>
        <v>0</v>
      </c>
      <c r="AW20" s="130" t="n">
        <f aca="false">IF($W20*T20&gt;150000,($W20*T20-150000)*6%*45%,0)</f>
        <v>0</v>
      </c>
      <c r="AX20" s="130"/>
      <c r="AY20" s="131" t="n">
        <f aca="false">IF(ISERROR(VLOOKUP(C20,[26]일용직명단!$A$3:$M$1151,11,FALSE())),0,VLOOKUP(C20,[26]일용직명단!$A$3:$M$1151,11,FALSE()))</f>
        <v>0</v>
      </c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</row>
    <row r="21" customFormat="false" ht="12.6" hidden="false" customHeight="true" outlineLevel="0" collapsed="false">
      <c r="A21" s="108"/>
      <c r="B21" s="263"/>
      <c r="C21" s="261"/>
      <c r="D21" s="111"/>
      <c r="E21" s="140" t="str">
        <f aca="false">IF(ISERROR(VLOOKUP(C20,일용직명단!$A$3:$K$1246,9,FALSE())),0,VLOOKUP(C20,일용직명단!$A$3:$K$1246,9,FALSE()))</f>
        <v>010-7520-7708</v>
      </c>
      <c r="F21" s="195"/>
      <c r="G21" s="196"/>
      <c r="H21" s="196"/>
      <c r="I21" s="193"/>
      <c r="J21" s="191"/>
      <c r="K21" s="193"/>
      <c r="L21" s="192"/>
      <c r="M21" s="197"/>
      <c r="N21" s="198"/>
      <c r="O21" s="199"/>
      <c r="P21" s="198"/>
      <c r="Q21" s="193"/>
      <c r="R21" s="192"/>
      <c r="S21" s="192"/>
      <c r="T21" s="192"/>
      <c r="U21" s="191"/>
      <c r="V21" s="144"/>
      <c r="W21" s="138" t="n">
        <f aca="false">W20*V20</f>
        <v>1800000</v>
      </c>
      <c r="X21" s="156" t="n">
        <f aca="false">IF(AH20&lt;1000,0,AH20)</f>
        <v>0</v>
      </c>
      <c r="Y21" s="156" t="n">
        <f aca="false">ROUNDDOWN(X21*10%,-1)</f>
        <v>0</v>
      </c>
      <c r="Z21" s="156" t="n">
        <f aca="false">IF(AE20&gt;=8,ROUNDDOWN(Y20*$Q$4,-1),0)</f>
        <v>4130</v>
      </c>
      <c r="AA21" s="145"/>
      <c r="AB21" s="146"/>
      <c r="AC21" s="158" t="str">
        <f aca="false">IF(ISERROR(VLOOKUP(C20,일용직명단!$A$3:$I$1226,7,FALSE())),0,VLOOKUP(C20,일용직명단!$A$3:$I$1226,7,FALSE()))</f>
        <v>735089-56-010696</v>
      </c>
      <c r="AD21" s="158"/>
      <c r="AE21" s="149"/>
      <c r="AF21" s="129"/>
      <c r="AG21" s="129"/>
      <c r="AH21" s="130"/>
      <c r="AI21" s="130" t="n">
        <f aca="false">IF($W20*F21&gt;150000,($W20*F21-150000)*6%*45%,0)</f>
        <v>0</v>
      </c>
      <c r="AJ21" s="130" t="n">
        <f aca="false">IF($W20*G21&gt;150000,($W20*G21-150000)*6%*45%,0)</f>
        <v>0</v>
      </c>
      <c r="AK21" s="130" t="n">
        <f aca="false">IF($W20*H21&gt;150000,($W20*H21-150000)*6%*45%,0)</f>
        <v>0</v>
      </c>
      <c r="AL21" s="130" t="n">
        <f aca="false">IF($W20*I21&gt;150000,($W20*I21-150000)*6%*45%,0)</f>
        <v>0</v>
      </c>
      <c r="AM21" s="130" t="n">
        <f aca="false">IF($W20*J21&gt;150000,($W20*J21-150000)*6%*45%,0)</f>
        <v>0</v>
      </c>
      <c r="AN21" s="130" t="n">
        <f aca="false">IF($W20*K21&gt;150000,($W20*K21-150000)*6%*45%,0)</f>
        <v>0</v>
      </c>
      <c r="AO21" s="130" t="n">
        <f aca="false">IF($W20*L21&gt;150000,($W20*L21-150000)*6%*45%,0)</f>
        <v>0</v>
      </c>
      <c r="AP21" s="130" t="n">
        <f aca="false">IF($W20*M21&gt;150000,($W20*M21-150000)*6%*45%,0)</f>
        <v>0</v>
      </c>
      <c r="AQ21" s="130" t="n">
        <f aca="false">IF($W20*N21&gt;150000,($W20*N21-150000)*6%*45%,0)</f>
        <v>0</v>
      </c>
      <c r="AR21" s="130" t="n">
        <f aca="false">IF($W20*O21&gt;150000,($W20*O21-150000)*6%*45%,0)</f>
        <v>0</v>
      </c>
      <c r="AS21" s="130" t="n">
        <f aca="false">IF($W20*P21&gt;150000,($W20*P21-150000)*6%*45%,0)</f>
        <v>0</v>
      </c>
      <c r="AT21" s="130" t="n">
        <f aca="false">IF($W20*Q21&gt;150000,($W20*Q21-150000)*6%*45%,0)</f>
        <v>0</v>
      </c>
      <c r="AU21" s="130" t="n">
        <f aca="false">IF($W20*R21&gt;150000,($W20*R21-150000)*6%*45%,0)</f>
        <v>0</v>
      </c>
      <c r="AV21" s="130" t="n">
        <f aca="false">IF($W20*S21&gt;150000,($W20*S21-150000)*6%*45%,0)</f>
        <v>0</v>
      </c>
      <c r="AW21" s="130" t="n">
        <f aca="false">IF($W20*T21&gt;150000,($W20*T21-150000)*6%*45%,0)</f>
        <v>0</v>
      </c>
      <c r="AX21" s="130" t="n">
        <f aca="false">IF($W20*U21&gt;150000,($W20*U21-150000)*6%*45%,0)</f>
        <v>0</v>
      </c>
      <c r="AY21" s="13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</row>
    <row r="22" customFormat="false" ht="12.6" hidden="false" customHeight="true" outlineLevel="0" collapsed="false">
      <c r="A22" s="108" t="n">
        <f aca="false">A20+1</f>
        <v>7</v>
      </c>
      <c r="B22" s="264"/>
      <c r="C22" s="261" t="s">
        <v>67</v>
      </c>
      <c r="D22" s="111" t="str">
        <f aca="false">IF(ISERROR(VLOOKUP(C22,일용직명단!$A$3:$K$1246,3,FALSE())),0,VLOOKUP(C22,일용직명단!$A$3:$K$1246,3,FALSE()))</f>
        <v>530810-1057646</v>
      </c>
      <c r="E22" s="160" t="str">
        <f aca="false">IF(ISERROR(VLOOKUP(C22,일용직명단!$A$3:$K$1246,4,FALSE())),0,VLOOKUP(C22,일용직명단!$A$3:$K$1246,4,FALSE()))</f>
        <v>충북 영동군 양강면 남전2안길 4-20</v>
      </c>
      <c r="F22" s="192"/>
      <c r="G22" s="193"/>
      <c r="H22" s="181" t="n">
        <v>1</v>
      </c>
      <c r="I22" s="181" t="n">
        <v>1</v>
      </c>
      <c r="J22" s="184" t="n">
        <v>1</v>
      </c>
      <c r="K22" s="181" t="n">
        <v>1</v>
      </c>
      <c r="L22" s="184" t="n">
        <v>1</v>
      </c>
      <c r="M22" s="184" t="n">
        <v>1</v>
      </c>
      <c r="N22" s="193"/>
      <c r="O22" s="190" t="n">
        <v>1</v>
      </c>
      <c r="P22" s="184" t="n">
        <v>1</v>
      </c>
      <c r="Q22" s="190" t="n">
        <v>1</v>
      </c>
      <c r="R22" s="181" t="n">
        <v>1</v>
      </c>
      <c r="S22" s="190" t="n">
        <v>1</v>
      </c>
      <c r="T22" s="181" t="n">
        <v>1</v>
      </c>
      <c r="U22" s="194"/>
      <c r="V22" s="144" t="n">
        <f aca="false">SUM(F22:U23)</f>
        <v>12</v>
      </c>
      <c r="W22" s="121" t="n">
        <f aca="false">IF(ISERROR(VLOOKUP(C22,일용직명단!$A$3:$K$1246,8,FALSE())),0,VLOOKUP(C22,일용직명단!$A$3:$K$1246,8,FALSE()))</f>
        <v>150000</v>
      </c>
      <c r="X22" s="156" t="n">
        <f aca="false">IFERROR(IF(AG22&gt;=65,0,ROUNDDOWN(W23*$Z$4,-1)),0)</f>
        <v>0</v>
      </c>
      <c r="Y22" s="156" t="n">
        <f aca="false">IF(AE22&gt;=8,ROUNDDOWN(W23*$M$4,-1),0)</f>
        <v>63810</v>
      </c>
      <c r="Z22" s="156" t="n">
        <f aca="false">IFERROR(IF(AND(COUNT(F22:U23)&gt;=8,$AG22&lt;60,W23&lt;=5530000),ROUNDDOWN(ROUNDDOWN(W23,-3)*4.5%,-1),IF(AND(COUNT(F22:U23)&gt;=8,AG22&lt;60,W23&gt;5530000),248850,0)),0)</f>
        <v>0</v>
      </c>
      <c r="AA22" s="145" t="n">
        <f aca="false">+X22+Y22+X23+Y23+Z22+Z23</f>
        <v>67940</v>
      </c>
      <c r="AB22" s="146" t="n">
        <f aca="false">W23-AA22</f>
        <v>1732060</v>
      </c>
      <c r="AC22" s="157" t="str">
        <f aca="false">IF(ISERROR(VLOOKUP(C22,일용직명단!$A$3:$I$1226,5,FALSE())),0,VLOOKUP(C22,일용직명단!$A$3:$I$1226,5,FALSE()))</f>
        <v>농협</v>
      </c>
      <c r="AD22" s="158" t="str">
        <f aca="false">IF(ISERROR(VLOOKUP(C22,일용직명단!$A$3:$I$1226,6,FALSE())),0,VLOOKUP(C22,일용직명단!$A$3:$I$1226,6,FALSE()))</f>
        <v>김환배</v>
      </c>
      <c r="AE22" s="141" t="n">
        <f aca="false">COUNT(F22:U23)</f>
        <v>12</v>
      </c>
      <c r="AF22" s="129" t="str">
        <f aca="false">IF(OR(MID(D22,8,1)="1",MID(D22,8,1)="2"),19&amp;LEFT(D22,2),20&amp;LEFT(D22,2))&amp;"-"&amp;MID(D22,3,2)&amp;"-"&amp;MID(D22,5,2)</f>
        <v>1953-08-10</v>
      </c>
      <c r="AG22" s="129" t="n">
        <f aca="true">INT((TODAY()-AF22)/365.25)</f>
        <v>72</v>
      </c>
      <c r="AH22" s="161" t="n">
        <f aca="false">ROUNDDOWN(SUM(AI22:AX23),-1)</f>
        <v>0</v>
      </c>
      <c r="AI22" s="130" t="n">
        <f aca="false">IF($W22*F22&gt;150000,($W22*F22-150000)*6%*45%,0)</f>
        <v>0</v>
      </c>
      <c r="AJ22" s="130" t="n">
        <f aca="false">IF($W22*G22&gt;150000,($W22*G22-150000)*6%*45%,0)</f>
        <v>0</v>
      </c>
      <c r="AK22" s="130" t="n">
        <f aca="false">IF($W22*H22&gt;150000,($W22*H22-150000)*6%*45%,0)</f>
        <v>0</v>
      </c>
      <c r="AL22" s="130" t="n">
        <f aca="false">IF($W22*I22&gt;150000,($W22*I22-150000)*6%*45%,0)</f>
        <v>0</v>
      </c>
      <c r="AM22" s="130" t="n">
        <f aca="false">IF($W22*J22&gt;150000,($W22*J22-150000)*6%*45%,0)</f>
        <v>0</v>
      </c>
      <c r="AN22" s="130" t="n">
        <f aca="false">IF($W22*K22&gt;150000,($W22*K22-150000)*6%*45%,0)</f>
        <v>0</v>
      </c>
      <c r="AO22" s="130" t="n">
        <f aca="false">IF($W22*L22&gt;150000,($W22*L22-150000)*6%*45%,0)</f>
        <v>0</v>
      </c>
      <c r="AP22" s="130" t="n">
        <f aca="false">IF($W22*M22&gt;150000,($W22*M22-150000)*6%*45%,0)</f>
        <v>0</v>
      </c>
      <c r="AQ22" s="130" t="n">
        <f aca="false">IF($W22*N22&gt;150000,($W22*N22-150000)*6%*45%,0)</f>
        <v>0</v>
      </c>
      <c r="AR22" s="130" t="n">
        <f aca="false">IF($W22*O22&gt;150000,($W22*O22-150000)*6%*45%,0)</f>
        <v>0</v>
      </c>
      <c r="AS22" s="130" t="n">
        <f aca="false">IF($W22*P22&gt;150000,($W22*P22-150000)*6%*45%,0)</f>
        <v>0</v>
      </c>
      <c r="AT22" s="130" t="n">
        <f aca="false">IF($W22*Q22&gt;150000,($W22*Q22-150000)*6%*45%,0)</f>
        <v>0</v>
      </c>
      <c r="AU22" s="130" t="n">
        <f aca="false">IF($W22*R22&gt;150000,($W22*R22-150000)*6%*45%,0)</f>
        <v>0</v>
      </c>
      <c r="AV22" s="130" t="n">
        <f aca="false">IF($W22*S22&gt;150000,($W22*S22-150000)*6%*45%,0)</f>
        <v>0</v>
      </c>
      <c r="AW22" s="130" t="n">
        <f aca="false">IF($W22*T22&gt;150000,($W22*T22-150000)*6%*45%,0)</f>
        <v>0</v>
      </c>
      <c r="AX22" s="130"/>
      <c r="AY22" s="162" t="str">
        <f aca="false">IF(ISERROR(VLOOKUP(C22,[27]일용직명단!$A$3:$M$1151,11,FALSE())),0,VLOOKUP(C22,[27]일용직명단!$A$3:$M$1151,11,FALSE()))</f>
        <v>29155</v>
      </c>
      <c r="AZ22" s="163"/>
      <c r="BA22" s="163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</row>
    <row r="23" customFormat="false" ht="12.6" hidden="false" customHeight="true" outlineLevel="0" collapsed="false">
      <c r="A23" s="108"/>
      <c r="B23" s="264"/>
      <c r="C23" s="261"/>
      <c r="D23" s="111"/>
      <c r="E23" s="160" t="str">
        <f aca="false">IF(ISERROR(VLOOKUP(C22,일용직명단!$A$3:$K$1246,9,FALSE())),0,VLOOKUP(C22,일용직명단!$A$3:$K$1246,9,FALSE()))</f>
        <v>010-5326-2934</v>
      </c>
      <c r="F23" s="195"/>
      <c r="G23" s="196"/>
      <c r="H23" s="196"/>
      <c r="I23" s="193"/>
      <c r="J23" s="191"/>
      <c r="K23" s="193"/>
      <c r="L23" s="192"/>
      <c r="M23" s="197"/>
      <c r="N23" s="198"/>
      <c r="O23" s="199"/>
      <c r="P23" s="198"/>
      <c r="Q23" s="193"/>
      <c r="R23" s="192"/>
      <c r="S23" s="192"/>
      <c r="T23" s="192"/>
      <c r="U23" s="191"/>
      <c r="V23" s="144"/>
      <c r="W23" s="138" t="n">
        <f aca="false">W22*V22</f>
        <v>1800000</v>
      </c>
      <c r="X23" s="156" t="n">
        <f aca="false">IF(AH22&lt;1000,0,AH22)</f>
        <v>0</v>
      </c>
      <c r="Y23" s="156" t="n">
        <f aca="false">ROUNDDOWN(X23*10%,-1)</f>
        <v>0</v>
      </c>
      <c r="Z23" s="156" t="n">
        <f aca="false">IF(AE22&gt;=8,ROUNDDOWN(Y22*$Q$4,-1),0)</f>
        <v>4130</v>
      </c>
      <c r="AA23" s="145"/>
      <c r="AB23" s="146"/>
      <c r="AC23" s="158" t="str">
        <f aca="false">IF(ISERROR(VLOOKUP(C22,일용직명단!$A$3:$I$1226,7,FALSE())),0,VLOOKUP(C22,일용직명단!$A$3:$I$1226,7,FALSE()))</f>
        <v>352-0532-0302-03</v>
      </c>
      <c r="AD23" s="158"/>
      <c r="AE23" s="141"/>
      <c r="AF23" s="129"/>
      <c r="AG23" s="129"/>
      <c r="AH23" s="161"/>
      <c r="AI23" s="130" t="n">
        <f aca="false">IF($W22*F23&gt;150000,($W22*F23-150000)*6%*45%,0)</f>
        <v>0</v>
      </c>
      <c r="AJ23" s="130" t="n">
        <f aca="false">IF($W22*G23&gt;150000,($W22*G23-150000)*6%*45%,0)</f>
        <v>0</v>
      </c>
      <c r="AK23" s="130" t="n">
        <f aca="false">IF($W22*H23&gt;150000,($W22*H23-150000)*6%*45%,0)</f>
        <v>0</v>
      </c>
      <c r="AL23" s="130" t="n">
        <f aca="false">IF($W22*I23&gt;150000,($W22*I23-150000)*6%*45%,0)</f>
        <v>0</v>
      </c>
      <c r="AM23" s="130" t="n">
        <f aca="false">IF($W22*J23&gt;150000,($W22*J23-150000)*6%*45%,0)</f>
        <v>0</v>
      </c>
      <c r="AN23" s="130" t="n">
        <f aca="false">IF($W22*K23&gt;150000,($W22*K23-150000)*6%*45%,0)</f>
        <v>0</v>
      </c>
      <c r="AO23" s="130" t="n">
        <f aca="false">IF($W22*L23&gt;150000,($W22*L23-150000)*6%*45%,0)</f>
        <v>0</v>
      </c>
      <c r="AP23" s="130" t="n">
        <f aca="false">IF($W22*M23&gt;150000,($W22*M23-150000)*6%*45%,0)</f>
        <v>0</v>
      </c>
      <c r="AQ23" s="130" t="n">
        <f aca="false">IF($W22*N23&gt;150000,($W22*N23-150000)*6%*45%,0)</f>
        <v>0</v>
      </c>
      <c r="AR23" s="130" t="n">
        <f aca="false">IF($W22*O23&gt;150000,($W22*O23-150000)*6%*45%,0)</f>
        <v>0</v>
      </c>
      <c r="AS23" s="130" t="n">
        <f aca="false">IF($W22*P23&gt;150000,($W22*P23-150000)*6%*45%,0)</f>
        <v>0</v>
      </c>
      <c r="AT23" s="130" t="n">
        <f aca="false">IF($W22*Q23&gt;150000,($W22*Q23-150000)*6%*45%,0)</f>
        <v>0</v>
      </c>
      <c r="AU23" s="130" t="n">
        <f aca="false">IF($W22*R23&gt;150000,($W22*R23-150000)*6%*45%,0)</f>
        <v>0</v>
      </c>
      <c r="AV23" s="130" t="n">
        <f aca="false">IF($W22*S23&gt;150000,($W22*S23-150000)*6%*45%,0)</f>
        <v>0</v>
      </c>
      <c r="AW23" s="130" t="n">
        <f aca="false">IF($W22*T23&gt;150000,($W22*T23-150000)*6%*45%,0)</f>
        <v>0</v>
      </c>
      <c r="AX23" s="130" t="n">
        <f aca="false">IF($W22*U23&gt;150000,($W22*U23-150000)*6%*45%,0)</f>
        <v>0</v>
      </c>
      <c r="AY23" s="162"/>
      <c r="AZ23" s="163"/>
      <c r="BA23" s="163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</row>
    <row r="24" customFormat="false" ht="12.6" hidden="false" customHeight="true" outlineLevel="0" collapsed="false">
      <c r="A24" s="108" t="n">
        <f aca="false">A22+1</f>
        <v>8</v>
      </c>
      <c r="B24" s="262" t="n">
        <f aca="false">IF(ISERROR(VLOOKUP(C24,일용직명단!$A$3:$I$104,2,FALSE())),0,VLOOKUP(C24,일용직명단!$A$3:$I$104,2,FALSE()))</f>
        <v>0</v>
      </c>
      <c r="C24" s="260" t="s">
        <v>68</v>
      </c>
      <c r="D24" s="111" t="str">
        <f aca="false">IF(ISERROR(VLOOKUP(C24,일용직명단!$A$3:$K$1246,3,FALSE())),0,VLOOKUP(C24,일용직명단!$A$3:$K$1246,3,FALSE()))</f>
        <v>700705-1384813</v>
      </c>
      <c r="E24" s="164" t="str">
        <f aca="false">IF(ISERROR(VLOOKUP(C24,일용직명단!$A$3:$K$1246,4,FALSE())),0,VLOOKUP(C24,일용직명단!$A$3:$K$1246,4,FALSE()))</f>
        <v>충북 청주시 상당구 중고개로248번길 52-1</v>
      </c>
      <c r="F24" s="192"/>
      <c r="G24" s="193"/>
      <c r="H24" s="181" t="n">
        <v>1</v>
      </c>
      <c r="I24" s="181" t="n">
        <v>1</v>
      </c>
      <c r="J24" s="184" t="n">
        <v>1</v>
      </c>
      <c r="K24" s="181" t="n">
        <v>1</v>
      </c>
      <c r="L24" s="184" t="n">
        <v>1</v>
      </c>
      <c r="M24" s="184" t="n">
        <v>1</v>
      </c>
      <c r="N24" s="193"/>
      <c r="O24" s="190" t="n">
        <v>1</v>
      </c>
      <c r="P24" s="184" t="n">
        <v>1</v>
      </c>
      <c r="Q24" s="190" t="n">
        <v>1</v>
      </c>
      <c r="R24" s="181" t="n">
        <v>1</v>
      </c>
      <c r="S24" s="190" t="n">
        <v>1</v>
      </c>
      <c r="T24" s="181" t="n">
        <v>1</v>
      </c>
      <c r="U24" s="194"/>
      <c r="V24" s="144" t="n">
        <f aca="false">SUM(F24:U25)</f>
        <v>12</v>
      </c>
      <c r="W24" s="121" t="n">
        <f aca="false">IF(ISERROR(VLOOKUP(C24,일용직명단!$A$3:$K$1246,8,FALSE())),0,VLOOKUP(C24,일용직명단!$A$3:$K$1246,8,FALSE()))</f>
        <v>150000</v>
      </c>
      <c r="X24" s="123" t="n">
        <f aca="false">IFERROR(IF(AG24&gt;=65,0,ROUNDDOWN(W25*$Z$4,-1)),0)</f>
        <v>16200</v>
      </c>
      <c r="Y24" s="123" t="n">
        <f aca="false">IF(AE24&gt;=8,ROUNDDOWN(W25*$M$4,-1),0)</f>
        <v>63810</v>
      </c>
      <c r="Z24" s="123" t="n">
        <f aca="false">IFERROR(IF(AND(COUNT(F24:U25)&gt;=8,$AG24&lt;60,W25&lt;=5530000),ROUNDDOWN(ROUNDDOWN(W25,-3)*4.5%,-1),IF(AND(COUNT(F24:U25)&gt;=8,AG24&lt;60,W25&gt;5530000),248850,0)),0)</f>
        <v>81000</v>
      </c>
      <c r="AA24" s="145" t="n">
        <f aca="false">+X24+Y24+X25+Y25+Z24+Z25</f>
        <v>165140</v>
      </c>
      <c r="AB24" s="146" t="n">
        <f aca="false">W25-AA24</f>
        <v>1634860</v>
      </c>
      <c r="AC24" s="165" t="str">
        <f aca="false">IF(ISERROR(VLOOKUP(C24,일용직명단!$A$3:$I$1226,5,FALSE())),0,VLOOKUP(C24,일용직명단!$A$3:$I$1226,5,FALSE()))</f>
        <v>농협</v>
      </c>
      <c r="AD24" s="166" t="str">
        <f aca="false">IF(ISERROR(VLOOKUP(C24,일용직명단!$A$3:$I$1226,6,FALSE())),0,VLOOKUP(C24,일용직명단!$A$3:$I$1226,6,FALSE()))</f>
        <v>정상천</v>
      </c>
      <c r="AE24" s="128" t="n">
        <f aca="false">COUNT(F24:U25)</f>
        <v>12</v>
      </c>
      <c r="AF24" s="129" t="str">
        <f aca="false">IF(OR(MID(D24,8,1)="1",MID(D24,8,1)="2"),19&amp;LEFT(D24,2),20&amp;LEFT(D24,2))&amp;"-"&amp;MID(D24,3,2)&amp;"-"&amp;MID(D24,5,2)</f>
        <v>1970-07-05</v>
      </c>
      <c r="AG24" s="129" t="n">
        <f aca="true">INT((TODAY()-AF24)/365.25)</f>
        <v>55</v>
      </c>
      <c r="AH24" s="130" t="n">
        <f aca="false">ROUNDDOWN(SUM(AI24:AX25),-1)</f>
        <v>0</v>
      </c>
      <c r="AI24" s="130" t="n">
        <f aca="false">IF($W24*F24&gt;150000,($W24*F24-150000)*6%*45%,0)</f>
        <v>0</v>
      </c>
      <c r="AJ24" s="130" t="n">
        <f aca="false">IF($W24*G24&gt;150000,($W24*G24-150000)*6%*45%,0)</f>
        <v>0</v>
      </c>
      <c r="AK24" s="130" t="n">
        <f aca="false">IF($W24*H24&gt;150000,($W24*H24-150000)*6%*45%,0)</f>
        <v>0</v>
      </c>
      <c r="AL24" s="130" t="n">
        <f aca="false">IF($W24*I24&gt;150000,($W24*I24-150000)*6%*45%,0)</f>
        <v>0</v>
      </c>
      <c r="AM24" s="130" t="n">
        <f aca="false">IF($W24*J24&gt;150000,($W24*J24-150000)*6%*45%,0)</f>
        <v>0</v>
      </c>
      <c r="AN24" s="130" t="n">
        <f aca="false">IF($W24*K24&gt;150000,($W24*K24-150000)*6%*45%,0)</f>
        <v>0</v>
      </c>
      <c r="AO24" s="130" t="n">
        <f aca="false">IF($W24*L24&gt;150000,($W24*L24-150000)*6%*45%,0)</f>
        <v>0</v>
      </c>
      <c r="AP24" s="130" t="n">
        <f aca="false">IF($W24*M24&gt;150000,($W24*M24-150000)*6%*45%,0)</f>
        <v>0</v>
      </c>
      <c r="AQ24" s="130" t="n">
        <f aca="false">IF($W24*N24&gt;150000,($W24*N24-150000)*6%*45%,0)</f>
        <v>0</v>
      </c>
      <c r="AR24" s="130" t="n">
        <f aca="false">IF($W24*O24&gt;150000,($W24*O24-150000)*6%*45%,0)</f>
        <v>0</v>
      </c>
      <c r="AS24" s="130" t="n">
        <f aca="false">IF($W24*P24&gt;150000,($W24*P24-150000)*6%*45%,0)</f>
        <v>0</v>
      </c>
      <c r="AT24" s="130" t="n">
        <f aca="false">IF($W24*Q24&gt;150000,($W24*Q24-150000)*6%*45%,0)</f>
        <v>0</v>
      </c>
      <c r="AU24" s="130" t="n">
        <f aca="false">IF($W24*R24&gt;150000,($W24*R24-150000)*6%*45%,0)</f>
        <v>0</v>
      </c>
      <c r="AV24" s="130" t="n">
        <f aca="false">IF($W24*S24&gt;150000,($W24*S24-150000)*6%*45%,0)</f>
        <v>0</v>
      </c>
      <c r="AW24" s="130" t="n">
        <f aca="false">IF($W24*T24&gt;150000,($W24*T24-150000)*6%*45%,0)</f>
        <v>0</v>
      </c>
      <c r="AX24" s="130"/>
      <c r="AY24" s="131" t="n">
        <f aca="false">IF(ISERROR(VLOOKUP(C24,[26]일용직명단!$A$3:$M$1151,11,FALSE())),0,VLOOKUP(C24,[26]일용직명단!$A$3:$M$1151,11,FALSE()))</f>
        <v>0</v>
      </c>
      <c r="AZ24" s="11"/>
      <c r="BA24" s="167"/>
      <c r="BB24" s="167"/>
      <c r="BC24" s="167"/>
      <c r="BD24" s="167"/>
      <c r="BE24" s="167"/>
      <c r="BF24" s="167"/>
      <c r="BG24" s="167"/>
      <c r="BH24" s="167"/>
      <c r="BI24" s="167"/>
      <c r="BJ24" s="167"/>
      <c r="BK24" s="167"/>
      <c r="BL24" s="167"/>
      <c r="BM24" s="167"/>
      <c r="BN24" s="167"/>
      <c r="BO24" s="167"/>
      <c r="BP24" s="167"/>
      <c r="BQ24" s="167"/>
      <c r="BR24" s="167"/>
      <c r="BS24" s="167"/>
      <c r="BT24" s="167"/>
      <c r="BU24" s="167"/>
      <c r="BV24" s="167"/>
      <c r="BW24" s="167"/>
      <c r="BX24" s="167"/>
      <c r="BY24" s="167"/>
      <c r="BZ24" s="167"/>
      <c r="CA24" s="167"/>
      <c r="CB24" s="167"/>
      <c r="CC24" s="167"/>
      <c r="CD24" s="167"/>
      <c r="CE24" s="167"/>
      <c r="CF24" s="167"/>
      <c r="CG24" s="167"/>
      <c r="CH24" s="167"/>
      <c r="CI24" s="167"/>
      <c r="CJ24" s="167"/>
      <c r="CK24" s="167"/>
      <c r="CL24" s="167"/>
      <c r="CM24" s="167"/>
      <c r="CN24" s="167"/>
      <c r="CO24" s="167"/>
      <c r="CP24" s="167"/>
      <c r="CQ24" s="167"/>
      <c r="CR24" s="167"/>
      <c r="CS24" s="167"/>
      <c r="CT24" s="167"/>
      <c r="CU24" s="167"/>
      <c r="CV24" s="167"/>
      <c r="CW24" s="167"/>
      <c r="CX24" s="167"/>
      <c r="CY24" s="167"/>
      <c r="CZ24" s="167"/>
      <c r="DA24" s="167"/>
      <c r="DB24" s="167"/>
      <c r="DC24" s="167"/>
      <c r="DD24" s="167"/>
      <c r="DE24" s="167"/>
      <c r="DF24" s="167"/>
      <c r="DG24" s="167"/>
      <c r="DH24" s="167"/>
      <c r="DI24" s="167"/>
      <c r="DJ24" s="167"/>
      <c r="DK24" s="167"/>
      <c r="DL24" s="167"/>
      <c r="DM24" s="167"/>
      <c r="DN24" s="167"/>
      <c r="DO24" s="167"/>
      <c r="DP24" s="167"/>
      <c r="DQ24" s="167"/>
      <c r="DR24" s="167"/>
      <c r="DS24" s="167"/>
      <c r="DT24" s="167"/>
      <c r="DU24" s="167"/>
      <c r="DV24" s="167"/>
      <c r="DW24" s="167"/>
      <c r="DX24" s="167"/>
      <c r="DY24" s="167"/>
      <c r="DZ24" s="167"/>
      <c r="EA24" s="167"/>
      <c r="EB24" s="167"/>
      <c r="EC24" s="167"/>
      <c r="ED24" s="167"/>
      <c r="EE24" s="167"/>
      <c r="EF24" s="167"/>
      <c r="EG24" s="167"/>
      <c r="EH24" s="167"/>
      <c r="EI24" s="167"/>
      <c r="EJ24" s="167"/>
      <c r="EK24" s="167"/>
      <c r="EL24" s="167"/>
      <c r="EM24" s="167"/>
      <c r="EN24" s="167"/>
      <c r="EO24" s="167"/>
      <c r="EP24" s="167"/>
      <c r="EQ24" s="167"/>
      <c r="ER24" s="167"/>
      <c r="ES24" s="167"/>
      <c r="ET24" s="167"/>
      <c r="EU24" s="167"/>
      <c r="EV24" s="167"/>
      <c r="EW24" s="167"/>
      <c r="EX24" s="167"/>
      <c r="EY24" s="167"/>
      <c r="EZ24" s="167"/>
      <c r="FA24" s="167"/>
      <c r="FB24" s="167"/>
      <c r="FC24" s="167"/>
      <c r="FD24" s="167"/>
      <c r="FE24" s="167"/>
      <c r="FF24" s="167"/>
      <c r="FG24" s="167"/>
      <c r="FH24" s="167"/>
      <c r="FI24" s="167"/>
      <c r="FJ24" s="167"/>
      <c r="FK24" s="167"/>
      <c r="FL24" s="167"/>
      <c r="FM24" s="167"/>
      <c r="FN24" s="167"/>
      <c r="FO24" s="167"/>
      <c r="FP24" s="167"/>
      <c r="FQ24" s="167"/>
      <c r="FR24" s="167"/>
      <c r="FS24" s="167"/>
      <c r="FT24" s="167"/>
      <c r="FU24" s="167"/>
      <c r="FV24" s="167"/>
      <c r="FW24" s="167"/>
      <c r="FX24" s="167"/>
      <c r="FY24" s="167"/>
      <c r="FZ24" s="167"/>
      <c r="GA24" s="167"/>
      <c r="GB24" s="167"/>
      <c r="GC24" s="167"/>
      <c r="GD24" s="167"/>
      <c r="GE24" s="167"/>
      <c r="GF24" s="167"/>
      <c r="GG24" s="167"/>
      <c r="GH24" s="167"/>
      <c r="GI24" s="167"/>
      <c r="GJ24" s="167"/>
      <c r="GK24" s="167"/>
      <c r="GL24" s="167"/>
      <c r="GM24" s="167"/>
      <c r="GN24" s="167"/>
      <c r="GO24" s="167"/>
      <c r="GP24" s="167"/>
      <c r="GQ24" s="167"/>
      <c r="GR24" s="167"/>
      <c r="GS24" s="167"/>
      <c r="GT24" s="167"/>
      <c r="GU24" s="167"/>
      <c r="GV24" s="167"/>
      <c r="GW24" s="167"/>
      <c r="GX24" s="167"/>
      <c r="GY24" s="167"/>
      <c r="GZ24" s="167"/>
      <c r="HA24" s="167"/>
      <c r="HB24" s="167"/>
      <c r="HC24" s="167"/>
      <c r="HD24" s="167"/>
      <c r="HE24" s="167"/>
      <c r="HF24" s="167"/>
      <c r="HG24" s="167"/>
      <c r="HH24" s="167"/>
      <c r="HI24" s="167"/>
      <c r="HJ24" s="167"/>
      <c r="HK24" s="167"/>
      <c r="HL24" s="167"/>
      <c r="HM24" s="167"/>
      <c r="HN24" s="167"/>
      <c r="HO24" s="167"/>
      <c r="HP24" s="167"/>
      <c r="HQ24" s="167"/>
      <c r="HR24" s="167"/>
      <c r="HS24" s="167"/>
      <c r="HT24" s="167"/>
      <c r="HU24" s="167"/>
      <c r="HV24" s="167"/>
      <c r="HW24" s="167"/>
      <c r="HX24" s="167"/>
      <c r="HY24" s="167"/>
      <c r="HZ24" s="167"/>
      <c r="IA24" s="167"/>
      <c r="IB24" s="167"/>
      <c r="IC24" s="167"/>
      <c r="ID24" s="167"/>
      <c r="IE24" s="167"/>
      <c r="IF24" s="167"/>
      <c r="IG24" s="167"/>
      <c r="IH24" s="167"/>
      <c r="II24" s="167"/>
      <c r="IJ24" s="167"/>
      <c r="IK24" s="167"/>
      <c r="IL24" s="167"/>
      <c r="IM24" s="167"/>
      <c r="IN24" s="167"/>
      <c r="IO24" s="167"/>
      <c r="IP24" s="167"/>
      <c r="IQ24" s="167"/>
      <c r="IR24" s="167"/>
      <c r="IS24" s="167"/>
      <c r="IT24" s="167"/>
      <c r="IU24" s="167"/>
      <c r="IV24" s="167"/>
      <c r="IW24" s="167"/>
    </row>
    <row r="25" customFormat="false" ht="12.6" hidden="false" customHeight="true" outlineLevel="0" collapsed="false">
      <c r="A25" s="108"/>
      <c r="B25" s="262"/>
      <c r="C25" s="260"/>
      <c r="D25" s="111"/>
      <c r="E25" s="164" t="n">
        <f aca="false">IF(ISERROR(VLOOKUP(C24,일용직명단!$A$3:$K$1246,9,FALSE())),0,VLOOKUP(C24,일용직명단!$A$3:$K$1246,9,FALSE()))</f>
        <v>0</v>
      </c>
      <c r="F25" s="195"/>
      <c r="G25" s="196"/>
      <c r="H25" s="196"/>
      <c r="I25" s="193"/>
      <c r="J25" s="191"/>
      <c r="K25" s="193"/>
      <c r="L25" s="192"/>
      <c r="M25" s="197"/>
      <c r="N25" s="198"/>
      <c r="O25" s="199"/>
      <c r="P25" s="198"/>
      <c r="Q25" s="193"/>
      <c r="R25" s="192"/>
      <c r="S25" s="192"/>
      <c r="T25" s="192"/>
      <c r="U25" s="191"/>
      <c r="V25" s="144"/>
      <c r="W25" s="138" t="n">
        <f aca="false">W24*V24</f>
        <v>1800000</v>
      </c>
      <c r="X25" s="123" t="n">
        <f aca="false">IF(AH24&lt;1000,0,AH24)</f>
        <v>0</v>
      </c>
      <c r="Y25" s="123" t="n">
        <f aca="false">ROUNDDOWN(X25*10%,-1)</f>
        <v>0</v>
      </c>
      <c r="Z25" s="123" t="n">
        <f aca="false">IF(AE24&gt;=8,ROUNDDOWN(Y24*$Q$4,-1),0)</f>
        <v>4130</v>
      </c>
      <c r="AA25" s="145"/>
      <c r="AB25" s="146"/>
      <c r="AC25" s="166" t="str">
        <f aca="false">IF(ISERROR(VLOOKUP(C24,일용직명단!$A$3:$I$1226,7,FALSE())),0,VLOOKUP(C24,일용직명단!$A$3:$I$1226,7,FALSE()))</f>
        <v>401120-52-051004</v>
      </c>
      <c r="AD25" s="166"/>
      <c r="AE25" s="128"/>
      <c r="AF25" s="129"/>
      <c r="AG25" s="129"/>
      <c r="AH25" s="130"/>
      <c r="AI25" s="130" t="n">
        <f aca="false">IF($W24*F25&gt;150000,($W24*F25-150000)*6%*45%,0)</f>
        <v>0</v>
      </c>
      <c r="AJ25" s="130" t="n">
        <f aca="false">IF($W24*G25&gt;150000,($W24*G25-150000)*6%*45%,0)</f>
        <v>0</v>
      </c>
      <c r="AK25" s="130" t="n">
        <f aca="false">IF($W24*H25&gt;150000,($W24*H25-150000)*6%*45%,0)</f>
        <v>0</v>
      </c>
      <c r="AL25" s="130" t="n">
        <f aca="false">IF($W24*I25&gt;150000,($W24*I25-150000)*6%*45%,0)</f>
        <v>0</v>
      </c>
      <c r="AM25" s="130" t="n">
        <f aca="false">IF($W24*J25&gt;150000,($W24*J25-150000)*6%*45%,0)</f>
        <v>0</v>
      </c>
      <c r="AN25" s="130" t="n">
        <f aca="false">IF($W24*K25&gt;150000,($W24*K25-150000)*6%*45%,0)</f>
        <v>0</v>
      </c>
      <c r="AO25" s="130" t="n">
        <f aca="false">IF($W24*L25&gt;150000,($W24*L25-150000)*6%*45%,0)</f>
        <v>0</v>
      </c>
      <c r="AP25" s="130" t="n">
        <f aca="false">IF($W24*M25&gt;150000,($W24*M25-150000)*6%*45%,0)</f>
        <v>0</v>
      </c>
      <c r="AQ25" s="130" t="n">
        <f aca="false">IF($W24*N25&gt;150000,($W24*N25-150000)*6%*45%,0)</f>
        <v>0</v>
      </c>
      <c r="AR25" s="130" t="n">
        <f aca="false">IF($W24*O25&gt;150000,($W24*O25-150000)*6%*45%,0)</f>
        <v>0</v>
      </c>
      <c r="AS25" s="130" t="n">
        <f aca="false">IF($W24*P25&gt;150000,($W24*P25-150000)*6%*45%,0)</f>
        <v>0</v>
      </c>
      <c r="AT25" s="130" t="n">
        <f aca="false">IF($W24*Q25&gt;150000,($W24*Q25-150000)*6%*45%,0)</f>
        <v>0</v>
      </c>
      <c r="AU25" s="130" t="n">
        <f aca="false">IF($W24*R25&gt;150000,($W24*R25-150000)*6%*45%,0)</f>
        <v>0</v>
      </c>
      <c r="AV25" s="130" t="n">
        <f aca="false">IF($W24*S25&gt;150000,($W24*S25-150000)*6%*45%,0)</f>
        <v>0</v>
      </c>
      <c r="AW25" s="130" t="n">
        <f aca="false">IF($W24*T25&gt;150000,($W24*T25-150000)*6%*45%,0)</f>
        <v>0</v>
      </c>
      <c r="AX25" s="130" t="n">
        <f aca="false">IF($W24*U25&gt;150000,($W24*U25-150000)*6%*45%,0)</f>
        <v>0</v>
      </c>
      <c r="AY25" s="131"/>
      <c r="AZ25" s="11"/>
      <c r="BA25" s="167"/>
      <c r="BB25" s="167"/>
      <c r="BC25" s="167"/>
      <c r="BD25" s="167"/>
      <c r="BE25" s="167"/>
      <c r="BF25" s="167"/>
      <c r="BG25" s="167"/>
      <c r="BH25" s="167"/>
      <c r="BI25" s="167"/>
      <c r="BJ25" s="167"/>
      <c r="BK25" s="167"/>
      <c r="BL25" s="167"/>
      <c r="BM25" s="167"/>
      <c r="BN25" s="167"/>
      <c r="BO25" s="167"/>
      <c r="BP25" s="167"/>
      <c r="BQ25" s="167"/>
      <c r="BR25" s="167"/>
      <c r="BS25" s="167"/>
      <c r="BT25" s="167"/>
      <c r="BU25" s="167"/>
      <c r="BV25" s="167"/>
      <c r="BW25" s="167"/>
      <c r="BX25" s="167"/>
      <c r="BY25" s="167"/>
      <c r="BZ25" s="167"/>
      <c r="CA25" s="167"/>
      <c r="CB25" s="167"/>
      <c r="CC25" s="167"/>
      <c r="CD25" s="167"/>
      <c r="CE25" s="167"/>
      <c r="CF25" s="167"/>
      <c r="CG25" s="167"/>
      <c r="CH25" s="167"/>
      <c r="CI25" s="167"/>
      <c r="CJ25" s="167"/>
      <c r="CK25" s="167"/>
      <c r="CL25" s="167"/>
      <c r="CM25" s="167"/>
      <c r="CN25" s="167"/>
      <c r="CO25" s="167"/>
      <c r="CP25" s="167"/>
      <c r="CQ25" s="167"/>
      <c r="CR25" s="167"/>
      <c r="CS25" s="167"/>
      <c r="CT25" s="167"/>
      <c r="CU25" s="167"/>
      <c r="CV25" s="167"/>
      <c r="CW25" s="167"/>
      <c r="CX25" s="167"/>
      <c r="CY25" s="167"/>
      <c r="CZ25" s="167"/>
      <c r="DA25" s="167"/>
      <c r="DB25" s="167"/>
      <c r="DC25" s="167"/>
      <c r="DD25" s="167"/>
      <c r="DE25" s="167"/>
      <c r="DF25" s="167"/>
      <c r="DG25" s="167"/>
      <c r="DH25" s="167"/>
      <c r="DI25" s="167"/>
      <c r="DJ25" s="167"/>
      <c r="DK25" s="167"/>
      <c r="DL25" s="167"/>
      <c r="DM25" s="167"/>
      <c r="DN25" s="167"/>
      <c r="DO25" s="167"/>
      <c r="DP25" s="167"/>
      <c r="DQ25" s="167"/>
      <c r="DR25" s="167"/>
      <c r="DS25" s="167"/>
      <c r="DT25" s="167"/>
      <c r="DU25" s="167"/>
      <c r="DV25" s="167"/>
      <c r="DW25" s="167"/>
      <c r="DX25" s="167"/>
      <c r="DY25" s="167"/>
      <c r="DZ25" s="167"/>
      <c r="EA25" s="167"/>
      <c r="EB25" s="167"/>
      <c r="EC25" s="167"/>
      <c r="ED25" s="167"/>
      <c r="EE25" s="167"/>
      <c r="EF25" s="167"/>
      <c r="EG25" s="167"/>
      <c r="EH25" s="167"/>
      <c r="EI25" s="167"/>
      <c r="EJ25" s="167"/>
      <c r="EK25" s="167"/>
      <c r="EL25" s="167"/>
      <c r="EM25" s="167"/>
      <c r="EN25" s="167"/>
      <c r="EO25" s="167"/>
      <c r="EP25" s="167"/>
      <c r="EQ25" s="167"/>
      <c r="ER25" s="167"/>
      <c r="ES25" s="167"/>
      <c r="ET25" s="167"/>
      <c r="EU25" s="167"/>
      <c r="EV25" s="167"/>
      <c r="EW25" s="167"/>
      <c r="EX25" s="167"/>
      <c r="EY25" s="167"/>
      <c r="EZ25" s="167"/>
      <c r="FA25" s="167"/>
      <c r="FB25" s="167"/>
      <c r="FC25" s="167"/>
      <c r="FD25" s="167"/>
      <c r="FE25" s="167"/>
      <c r="FF25" s="167"/>
      <c r="FG25" s="167"/>
      <c r="FH25" s="167"/>
      <c r="FI25" s="167"/>
      <c r="FJ25" s="167"/>
      <c r="FK25" s="167"/>
      <c r="FL25" s="167"/>
      <c r="FM25" s="167"/>
      <c r="FN25" s="167"/>
      <c r="FO25" s="167"/>
      <c r="FP25" s="167"/>
      <c r="FQ25" s="167"/>
      <c r="FR25" s="167"/>
      <c r="FS25" s="167"/>
      <c r="FT25" s="167"/>
      <c r="FU25" s="167"/>
      <c r="FV25" s="167"/>
      <c r="FW25" s="167"/>
      <c r="FX25" s="167"/>
      <c r="FY25" s="167"/>
      <c r="FZ25" s="167"/>
      <c r="GA25" s="167"/>
      <c r="GB25" s="167"/>
      <c r="GC25" s="167"/>
      <c r="GD25" s="167"/>
      <c r="GE25" s="167"/>
      <c r="GF25" s="167"/>
      <c r="GG25" s="167"/>
      <c r="GH25" s="167"/>
      <c r="GI25" s="167"/>
      <c r="GJ25" s="167"/>
      <c r="GK25" s="167"/>
      <c r="GL25" s="167"/>
      <c r="GM25" s="167"/>
      <c r="GN25" s="167"/>
      <c r="GO25" s="167"/>
      <c r="GP25" s="167"/>
      <c r="GQ25" s="167"/>
      <c r="GR25" s="167"/>
      <c r="GS25" s="167"/>
      <c r="GT25" s="167"/>
      <c r="GU25" s="167"/>
      <c r="GV25" s="167"/>
      <c r="GW25" s="167"/>
      <c r="GX25" s="167"/>
      <c r="GY25" s="167"/>
      <c r="GZ25" s="167"/>
      <c r="HA25" s="167"/>
      <c r="HB25" s="167"/>
      <c r="HC25" s="167"/>
      <c r="HD25" s="167"/>
      <c r="HE25" s="167"/>
      <c r="HF25" s="167"/>
      <c r="HG25" s="167"/>
      <c r="HH25" s="167"/>
      <c r="HI25" s="167"/>
      <c r="HJ25" s="167"/>
      <c r="HK25" s="167"/>
      <c r="HL25" s="167"/>
      <c r="HM25" s="167"/>
      <c r="HN25" s="167"/>
      <c r="HO25" s="167"/>
      <c r="HP25" s="167"/>
      <c r="HQ25" s="167"/>
      <c r="HR25" s="167"/>
      <c r="HS25" s="167"/>
      <c r="HT25" s="167"/>
      <c r="HU25" s="167"/>
      <c r="HV25" s="167"/>
      <c r="HW25" s="167"/>
      <c r="HX25" s="167"/>
      <c r="HY25" s="167"/>
      <c r="HZ25" s="167"/>
      <c r="IA25" s="167"/>
      <c r="IB25" s="167"/>
      <c r="IC25" s="167"/>
      <c r="ID25" s="167"/>
      <c r="IE25" s="167"/>
      <c r="IF25" s="167"/>
      <c r="IG25" s="167"/>
      <c r="IH25" s="167"/>
      <c r="II25" s="167"/>
      <c r="IJ25" s="167"/>
      <c r="IK25" s="167"/>
      <c r="IL25" s="167"/>
      <c r="IM25" s="167"/>
      <c r="IN25" s="167"/>
      <c r="IO25" s="167"/>
      <c r="IP25" s="167"/>
      <c r="IQ25" s="167"/>
      <c r="IR25" s="167"/>
      <c r="IS25" s="167"/>
      <c r="IT25" s="167"/>
      <c r="IU25" s="167"/>
      <c r="IV25" s="167"/>
      <c r="IW25" s="167"/>
    </row>
    <row r="26" customFormat="false" ht="12.6" hidden="false" customHeight="true" outlineLevel="0" collapsed="false">
      <c r="A26" s="108" t="n">
        <f aca="false">A24+1</f>
        <v>9</v>
      </c>
      <c r="B26" s="262"/>
      <c r="C26" s="260" t="s">
        <v>95</v>
      </c>
      <c r="D26" s="111" t="str">
        <f aca="false">IF(ISERROR(VLOOKUP(C26,일용직명단!$A$3:$K$1246,3,FALSE())),0,VLOOKUP(C26,일용직명단!$A$3:$K$1246,3,FALSE()))</f>
        <v>651227-1384614</v>
      </c>
      <c r="E26" s="140" t="str">
        <f aca="false">IF(ISERROR(VLOOKUP(C26,일용직명단!$A$3:$K$1246,4,FALSE())),0,VLOOKUP(C26,일용직명단!$A$3:$K$1246,4,FALSE()))</f>
        <v>충북 옥천군 청산면 예곡2길8-10</v>
      </c>
      <c r="F26" s="192"/>
      <c r="G26" s="193"/>
      <c r="H26" s="181" t="n">
        <v>1</v>
      </c>
      <c r="I26" s="181" t="n">
        <v>1</v>
      </c>
      <c r="J26" s="184" t="n">
        <v>1</v>
      </c>
      <c r="K26" s="181" t="n">
        <v>1</v>
      </c>
      <c r="L26" s="184" t="n">
        <v>1</v>
      </c>
      <c r="M26" s="184" t="n">
        <v>1</v>
      </c>
      <c r="N26" s="193"/>
      <c r="O26" s="193"/>
      <c r="P26" s="192"/>
      <c r="Q26" s="193"/>
      <c r="R26" s="191"/>
      <c r="S26" s="193"/>
      <c r="T26" s="191"/>
      <c r="U26" s="194"/>
      <c r="V26" s="168" t="n">
        <f aca="false">SUM(F26:U27)</f>
        <v>6</v>
      </c>
      <c r="W26" s="121" t="n">
        <f aca="false">IF(ISERROR(VLOOKUP(C26,일용직명단!$A$3:$K$1246,8,FALSE())),0,VLOOKUP(C26,일용직명단!$A$3:$K$1246,8,FALSE()))</f>
        <v>200000</v>
      </c>
      <c r="X26" s="123" t="n">
        <f aca="false">IFERROR(IF(AG26&gt;=65,0,ROUNDDOWN(W27*$Z$4,-1)),0)</f>
        <v>10800</v>
      </c>
      <c r="Y26" s="123" t="n">
        <f aca="false">IF(AE26&gt;=8,ROUNDDOWN(W27*$M$4,-1),0)</f>
        <v>0</v>
      </c>
      <c r="Z26" s="123" t="n">
        <f aca="false">IFERROR(IF(AND(COUNT(F26:U27)&gt;=8,$AG26&lt;60,W27&lt;=5530000),ROUNDDOWN(ROUNDDOWN(W27,-3)*4.5%,-1),IF(AND(COUNT(F26:U27)&gt;=8,AG26&lt;60,W27&gt;5530000),248850,0)),0)</f>
        <v>0</v>
      </c>
      <c r="AA26" s="145" t="n">
        <f aca="false">+X26+Y26+X27+Y27+Z26+Z27</f>
        <v>19710</v>
      </c>
      <c r="AB26" s="146" t="n">
        <f aca="false">W27-AA26</f>
        <v>1180290</v>
      </c>
      <c r="AC26" s="165" t="str">
        <f aca="false">IF(ISERROR(VLOOKUP(C26,일용직명단!$A$3:$I$1226,5,FALSE())),0,VLOOKUP(C26,일용직명단!$A$3:$I$1226,5,FALSE()))</f>
        <v>농협</v>
      </c>
      <c r="AD26" s="166" t="str">
        <f aca="false">IF(ISERROR(VLOOKUP(C26,일용직명단!$A$3:$I$1226,6,FALSE())),0,VLOOKUP(C26,일용직명단!$A$3:$I$1226,6,FALSE()))</f>
        <v>김운수</v>
      </c>
      <c r="AE26" s="141" t="n">
        <f aca="false">COUNT(F26:U27)</f>
        <v>6</v>
      </c>
      <c r="AF26" s="169" t="str">
        <f aca="false">IF(OR(MID(D26,8,1)="1",MID(D26,8,1)="2"),19&amp;LEFT(D26,2),20&amp;LEFT(D26,2))&amp;"-"&amp;MID(D26,3,2)&amp;"-"&amp;MID(D26,5,2)</f>
        <v>1965-12-27</v>
      </c>
      <c r="AG26" s="169" t="n">
        <f aca="true">INT((TODAY()-AF26)/365.25)</f>
        <v>60</v>
      </c>
      <c r="AH26" s="130" t="n">
        <f aca="false">ROUNDDOWN(SUM(AI26:AX27),-1)</f>
        <v>8100</v>
      </c>
      <c r="AI26" s="130" t="n">
        <f aca="false">IF($W26*F26&gt;150000,($W26*F26-150000)*6%*45%,0)</f>
        <v>0</v>
      </c>
      <c r="AJ26" s="130" t="n">
        <f aca="false">IF($W26*G26&gt;150000,($W26*G26-150000)*6%*45%,0)</f>
        <v>0</v>
      </c>
      <c r="AK26" s="130" t="n">
        <f aca="false">IF($W26*H26&gt;150000,($W26*H26-150000)*6%*45%,0)</f>
        <v>1350</v>
      </c>
      <c r="AL26" s="130" t="n">
        <f aca="false">IF($W26*I26&gt;150000,($W26*I26-150000)*6%*45%,0)</f>
        <v>1350</v>
      </c>
      <c r="AM26" s="130" t="n">
        <f aca="false">IF($W26*J26&gt;150000,($W26*J26-150000)*6%*45%,0)</f>
        <v>1350</v>
      </c>
      <c r="AN26" s="130" t="n">
        <f aca="false">IF($W26*K26&gt;150000,($W26*K26-150000)*6%*45%,0)</f>
        <v>1350</v>
      </c>
      <c r="AO26" s="130" t="n">
        <f aca="false">IF($W26*L26&gt;150000,($W26*L26-150000)*6%*45%,0)</f>
        <v>1350</v>
      </c>
      <c r="AP26" s="130" t="n">
        <f aca="false">IF($W26*M26&gt;150000,($W26*M26-150000)*6%*45%,0)</f>
        <v>1350</v>
      </c>
      <c r="AQ26" s="130" t="n">
        <f aca="false">IF($W26*N26&gt;150000,($W26*N26-150000)*6%*45%,0)</f>
        <v>0</v>
      </c>
      <c r="AR26" s="130" t="n">
        <f aca="false">IF($W26*O26&gt;150000,($W26*O26-150000)*6%*45%,0)</f>
        <v>0</v>
      </c>
      <c r="AS26" s="130" t="n">
        <f aca="false">IF($W26*P26&gt;150000,($W26*P26-150000)*6%*45%,0)</f>
        <v>0</v>
      </c>
      <c r="AT26" s="130" t="n">
        <f aca="false">IF($W26*Q26&gt;150000,($W26*Q26-150000)*6%*45%,0)</f>
        <v>0</v>
      </c>
      <c r="AU26" s="130" t="n">
        <f aca="false">IF($W26*R26&gt;150000,($W26*R26-150000)*6%*45%,0)</f>
        <v>0</v>
      </c>
      <c r="AV26" s="130" t="n">
        <f aca="false">IF($W26*S26&gt;150000,($W26*S26-150000)*6%*45%,0)</f>
        <v>0</v>
      </c>
      <c r="AW26" s="130" t="n">
        <f aca="false">IF($W26*T26&gt;150000,($W26*T26-150000)*6%*45%,0)</f>
        <v>0</v>
      </c>
      <c r="AX26" s="130"/>
      <c r="AY26" s="131" t="n">
        <f aca="false">IF(ISERROR(VLOOKUP(C26,[26]일용직명단!$A$3:$M$1151,11,FALSE())),0,VLOOKUP(C26,[26]일용직명단!$A$3:$M$1151,11,FALSE()))</f>
        <v>0</v>
      </c>
      <c r="AZ26" s="11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</row>
    <row r="27" customFormat="false" ht="12.6" hidden="false" customHeight="true" outlineLevel="0" collapsed="false">
      <c r="A27" s="108"/>
      <c r="B27" s="262"/>
      <c r="C27" s="260"/>
      <c r="D27" s="111"/>
      <c r="E27" s="140" t="n">
        <f aca="false">IF(ISERROR(VLOOKUP(C26,일용직명단!$A$3:$K$1246,9,FALSE())),0,VLOOKUP(C26,일용직명단!$A$3:$K$1246,9,FALSE()))</f>
        <v>0</v>
      </c>
      <c r="F27" s="195"/>
      <c r="G27" s="196"/>
      <c r="H27" s="196"/>
      <c r="I27" s="193"/>
      <c r="J27" s="191"/>
      <c r="K27" s="193"/>
      <c r="L27" s="192"/>
      <c r="M27" s="197"/>
      <c r="N27" s="198"/>
      <c r="O27" s="199"/>
      <c r="P27" s="198"/>
      <c r="Q27" s="193"/>
      <c r="R27" s="192"/>
      <c r="S27" s="192"/>
      <c r="T27" s="192"/>
      <c r="U27" s="191"/>
      <c r="V27" s="168"/>
      <c r="W27" s="138" t="n">
        <f aca="false">W26*V26</f>
        <v>1200000</v>
      </c>
      <c r="X27" s="123" t="n">
        <f aca="false">IF(AH26&lt;1000,0,AH26)</f>
        <v>8100</v>
      </c>
      <c r="Y27" s="123" t="n">
        <f aca="false">ROUNDDOWN(X27*10%,-1)</f>
        <v>810</v>
      </c>
      <c r="Z27" s="123" t="n">
        <f aca="false">IF(AE26&gt;=8,ROUNDDOWN(Y26*$Q$4,-1),0)</f>
        <v>0</v>
      </c>
      <c r="AA27" s="145"/>
      <c r="AB27" s="146"/>
      <c r="AC27" s="166" t="str">
        <f aca="false">IF(ISERROR(VLOOKUP(C26,일용직명단!$A$3:$I$1226,7,FALSE())),0,VLOOKUP(C26,일용직명단!$A$3:$I$1226,7,FALSE()))</f>
        <v>405054-52-107347</v>
      </c>
      <c r="AD27" s="166"/>
      <c r="AE27" s="141"/>
      <c r="AF27" s="169"/>
      <c r="AG27" s="169"/>
      <c r="AH27" s="130"/>
      <c r="AI27" s="130" t="n">
        <f aca="false">IF($W26*F27&gt;150000,($W26*F27-150000)*6%*45%,0)</f>
        <v>0</v>
      </c>
      <c r="AJ27" s="130" t="n">
        <f aca="false">IF($W26*G27&gt;150000,($W26*G27-150000)*6%*45%,0)</f>
        <v>0</v>
      </c>
      <c r="AK27" s="130" t="n">
        <f aca="false">IF($W26*H27&gt;150000,($W26*H27-150000)*6%*45%,0)</f>
        <v>0</v>
      </c>
      <c r="AL27" s="130" t="n">
        <f aca="false">IF($W26*I27&gt;150000,($W26*I27-150000)*6%*45%,0)</f>
        <v>0</v>
      </c>
      <c r="AM27" s="130" t="n">
        <f aca="false">IF($W26*J27&gt;150000,($W26*J27-150000)*6%*45%,0)</f>
        <v>0</v>
      </c>
      <c r="AN27" s="130" t="n">
        <f aca="false">IF($W26*K27&gt;150000,($W26*K27-150000)*6%*45%,0)</f>
        <v>0</v>
      </c>
      <c r="AO27" s="130" t="n">
        <f aca="false">IF($W26*L27&gt;150000,($W26*L27-150000)*6%*45%,0)</f>
        <v>0</v>
      </c>
      <c r="AP27" s="130" t="n">
        <f aca="false">IF($W26*M27&gt;150000,($W26*M27-150000)*6%*45%,0)</f>
        <v>0</v>
      </c>
      <c r="AQ27" s="130" t="n">
        <f aca="false">IF($W26*N27&gt;150000,($W26*N27-150000)*6%*45%,0)</f>
        <v>0</v>
      </c>
      <c r="AR27" s="130" t="n">
        <f aca="false">IF($W26*O27&gt;150000,($W26*O27-150000)*6%*45%,0)</f>
        <v>0</v>
      </c>
      <c r="AS27" s="130" t="n">
        <f aca="false">IF($W26*P27&gt;150000,($W26*P27-150000)*6%*45%,0)</f>
        <v>0</v>
      </c>
      <c r="AT27" s="130" t="n">
        <f aca="false">IF($W26*Q27&gt;150000,($W26*Q27-150000)*6%*45%,0)</f>
        <v>0</v>
      </c>
      <c r="AU27" s="130" t="n">
        <f aca="false">IF($W26*R27&gt;150000,($W26*R27-150000)*6%*45%,0)</f>
        <v>0</v>
      </c>
      <c r="AV27" s="130" t="n">
        <f aca="false">IF($W26*S27&gt;150000,($W26*S27-150000)*6%*45%,0)</f>
        <v>0</v>
      </c>
      <c r="AW27" s="130" t="n">
        <f aca="false">IF($W26*T27&gt;150000,($W26*T27-150000)*6%*45%,0)</f>
        <v>0</v>
      </c>
      <c r="AX27" s="130" t="n">
        <f aca="false">IF($W26*U27&gt;150000,($W26*U27-150000)*6%*45%,0)</f>
        <v>0</v>
      </c>
      <c r="AY27" s="131"/>
      <c r="AZ27" s="11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</row>
    <row r="28" customFormat="false" ht="12.6" hidden="false" customHeight="true" outlineLevel="0" collapsed="false">
      <c r="A28" s="108" t="n">
        <f aca="false">A10+1</f>
        <v>2</v>
      </c>
      <c r="B28" s="265"/>
      <c r="C28" s="266" t="s">
        <v>96</v>
      </c>
      <c r="D28" s="267" t="n">
        <f aca="false">IF(ISERROR(VLOOKUP(C28,일용직명단!$A$3:$K$1246,3,FALSE())),0,VLOOKUP(C28,일용직명단!$A$3:$K$1246,3,FALSE()))</f>
        <v>0</v>
      </c>
      <c r="E28" s="140" t="n">
        <f aca="false">IF(ISERROR(VLOOKUP(C28,일용직명단!$A$3:$K$1246,4,FALSE())),0,VLOOKUP(C28,일용직명단!$A$3:$K$1246,4,FALSE()))</f>
        <v>0</v>
      </c>
      <c r="F28" s="192"/>
      <c r="G28" s="192"/>
      <c r="H28" s="268" t="n">
        <v>1</v>
      </c>
      <c r="I28" s="269" t="n">
        <v>1</v>
      </c>
      <c r="J28" s="268" t="n">
        <v>1</v>
      </c>
      <c r="K28" s="269" t="n">
        <v>1</v>
      </c>
      <c r="L28" s="268" t="n">
        <v>1</v>
      </c>
      <c r="M28" s="192"/>
      <c r="N28" s="193"/>
      <c r="O28" s="191"/>
      <c r="P28" s="192"/>
      <c r="Q28" s="193"/>
      <c r="R28" s="191"/>
      <c r="S28" s="193"/>
      <c r="T28" s="191"/>
      <c r="U28" s="194"/>
      <c r="V28" s="168" t="n">
        <f aca="false">SUM(F28:U29)</f>
        <v>7</v>
      </c>
      <c r="W28" s="121" t="n">
        <f aca="false">IF(ISERROR(VLOOKUP(C28,일용직명단!$A$3:$K$1246,8,FALSE())),0,VLOOKUP(C28,일용직명단!$A$3:$K$1246,8,FALSE()))</f>
        <v>0</v>
      </c>
      <c r="X28" s="123" t="n">
        <f aca="false">IFERROR(IF(AG28&gt;=65,0,ROUNDDOWN(W29*$Z$4,-1)),0)</f>
        <v>0</v>
      </c>
      <c r="Y28" s="123" t="n">
        <f aca="false">IF(AE28&gt;=8,ROUNDDOWN(W29*$M$4,-1),0)</f>
        <v>0</v>
      </c>
      <c r="Z28" s="123" t="n">
        <f aca="false">IFERROR(IF(AND(COUNT(F28:U29)&gt;=8,$AG28&lt;60,W29&lt;=5530000),ROUNDDOWN(ROUNDDOWN(W29,-3)*4.5%,-1),IF(AND(COUNT(F28:U29)&gt;=8,AG28&lt;60,W29&gt;5530000),248850,0)),0)</f>
        <v>0</v>
      </c>
      <c r="AA28" s="145" t="n">
        <f aca="false">+X28+Y28+X29+Y29+Z28+Z29</f>
        <v>0</v>
      </c>
      <c r="AB28" s="146" t="n">
        <f aca="false">W29-AA28</f>
        <v>0</v>
      </c>
      <c r="AC28" s="165" t="n">
        <f aca="false">IF(ISERROR(VLOOKUP(C28,일용직명단!$A$3:$I$1226,5,FALSE())),0,VLOOKUP(C28,일용직명단!$A$3:$I$1226,5,FALSE()))</f>
        <v>0</v>
      </c>
      <c r="AD28" s="166" t="n">
        <f aca="false">IF(ISERROR(VLOOKUP(C28,일용직명단!$A$3:$I$1226,6,FALSE())),0,VLOOKUP(C28,일용직명단!$A$3:$I$1226,6,FALSE()))</f>
        <v>0</v>
      </c>
      <c r="AE28" s="141" t="n">
        <f aca="false">COUNT(F28:U29)</f>
        <v>7</v>
      </c>
      <c r="AF28" s="169" t="str">
        <f aca="false">IF(OR(MID(D28,8,1)="1",MID(D28,8,1)="2"),19&amp;LEFT(D28,2),20&amp;LEFT(D28,2))&amp;"-"&amp;MID(D28,3,2)&amp;"-"&amp;MID(D28,5,2)</f>
        <v>200--</v>
      </c>
      <c r="AG28" s="169" t="e">
        <f aca="true">INT((TODAY()-AF28)/365.25)</f>
        <v>#VALUE!</v>
      </c>
      <c r="AH28" s="130" t="n">
        <f aca="false">ROUNDDOWN(SUM(AI28:AX29),-1)</f>
        <v>0</v>
      </c>
      <c r="AI28" s="130" t="n">
        <f aca="false">IF($W28*F28&gt;150000,($W28*F28-150000)*6%*45%,0)</f>
        <v>0</v>
      </c>
      <c r="AJ28" s="130" t="n">
        <f aca="false">IF($W28*G28&gt;150000,($W28*G28-150000)*6%*45%,0)</f>
        <v>0</v>
      </c>
      <c r="AK28" s="130" t="n">
        <f aca="false">IF($W28*H28&gt;150000,($W28*H28-150000)*6%*45%,0)</f>
        <v>0</v>
      </c>
      <c r="AL28" s="130" t="n">
        <f aca="false">IF($W28*I28&gt;150000,($W28*I28-150000)*6%*45%,0)</f>
        <v>0</v>
      </c>
      <c r="AM28" s="130" t="n">
        <f aca="false">IF($W28*J28&gt;150000,($W28*J28-150000)*6%*45%,0)</f>
        <v>0</v>
      </c>
      <c r="AN28" s="130" t="n">
        <f aca="false">IF($W28*K28&gt;150000,($W28*K28-150000)*6%*45%,0)</f>
        <v>0</v>
      </c>
      <c r="AO28" s="130" t="n">
        <f aca="false">IF($W28*L28&gt;150000,($W28*L28-150000)*6%*45%,0)</f>
        <v>0</v>
      </c>
      <c r="AP28" s="130" t="n">
        <f aca="false">IF($W28*M28&gt;150000,($W28*M28-150000)*6%*45%,0)</f>
        <v>0</v>
      </c>
      <c r="AQ28" s="130" t="n">
        <f aca="false">IF($W28*N28&gt;150000,($W28*N28-150000)*6%*45%,0)</f>
        <v>0</v>
      </c>
      <c r="AR28" s="130" t="n">
        <f aca="false">IF($W28*O28&gt;150000,($W28*O28-150000)*6%*45%,0)</f>
        <v>0</v>
      </c>
      <c r="AS28" s="130" t="n">
        <f aca="false">IF($W28*P28&gt;150000,($W28*P28-150000)*6%*45%,0)</f>
        <v>0</v>
      </c>
      <c r="AT28" s="130" t="n">
        <f aca="false">IF($W28*Q28&gt;150000,($W28*Q28-150000)*6%*45%,0)</f>
        <v>0</v>
      </c>
      <c r="AU28" s="130" t="n">
        <f aca="false">IF($W28*R28&gt;150000,($W28*R28-150000)*6%*45%,0)</f>
        <v>0</v>
      </c>
      <c r="AV28" s="130" t="n">
        <f aca="false">IF($W28*S28&gt;150000,($W28*S28-150000)*6%*45%,0)</f>
        <v>0</v>
      </c>
      <c r="AW28" s="130" t="n">
        <f aca="false">IF($W28*T28&gt;150000,($W28*T28-150000)*6%*45%,0)</f>
        <v>0</v>
      </c>
      <c r="AX28" s="130"/>
      <c r="AY28" s="131" t="n">
        <f aca="false">IF(ISERROR(VLOOKUP(C28,[26]일용직명단!$A$3:$M$1151,11,FALSE())),0,VLOOKUP(C28,[26]일용직명단!$A$3:$M$1151,11,FALSE()))</f>
        <v>0</v>
      </c>
      <c r="AZ28" s="11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</row>
    <row r="29" customFormat="false" ht="12.6" hidden="false" customHeight="true" outlineLevel="0" collapsed="false">
      <c r="A29" s="108"/>
      <c r="B29" s="265"/>
      <c r="C29" s="266"/>
      <c r="D29" s="267"/>
      <c r="E29" s="140" t="n">
        <f aca="false">IF(ISERROR(VLOOKUP(C28,일용직명단!$A$3:$K$1246,9,FALSE())),0,VLOOKUP(C28,일용직명단!$A$3:$K$1246,9,FALSE()))</f>
        <v>0</v>
      </c>
      <c r="F29" s="195"/>
      <c r="G29" s="270" t="n">
        <v>1</v>
      </c>
      <c r="H29" s="270" t="n">
        <v>1</v>
      </c>
      <c r="I29" s="193"/>
      <c r="J29" s="191"/>
      <c r="K29" s="193"/>
      <c r="L29" s="192"/>
      <c r="M29" s="192"/>
      <c r="N29" s="193"/>
      <c r="O29" s="191"/>
      <c r="P29" s="193"/>
      <c r="Q29" s="193"/>
      <c r="R29" s="192"/>
      <c r="S29" s="192"/>
      <c r="T29" s="192"/>
      <c r="U29" s="191"/>
      <c r="V29" s="168"/>
      <c r="W29" s="138" t="n">
        <f aca="false">W28*V28</f>
        <v>0</v>
      </c>
      <c r="X29" s="123" t="n">
        <f aca="false">IF(AH28&lt;1000,0,AH28)</f>
        <v>0</v>
      </c>
      <c r="Y29" s="123" t="n">
        <f aca="false">ROUNDDOWN(X29*10%,-1)</f>
        <v>0</v>
      </c>
      <c r="Z29" s="123" t="n">
        <f aca="false">IF(AE28&gt;=8,ROUNDDOWN(Y28*$Q$4,-1),0)</f>
        <v>0</v>
      </c>
      <c r="AA29" s="145"/>
      <c r="AB29" s="146"/>
      <c r="AC29" s="166" t="n">
        <f aca="false">IF(ISERROR(VLOOKUP(C28,일용직명단!$A$3:$I$1226,7,FALSE())),0,VLOOKUP(C28,일용직명단!$A$3:$I$1226,7,FALSE()))</f>
        <v>0</v>
      </c>
      <c r="AD29" s="166"/>
      <c r="AE29" s="141"/>
      <c r="AF29" s="169"/>
      <c r="AG29" s="169"/>
      <c r="AH29" s="130"/>
      <c r="AI29" s="130" t="n">
        <f aca="false">IF($W28*F29&gt;150000,($W28*F29-150000)*6%*45%,0)</f>
        <v>0</v>
      </c>
      <c r="AJ29" s="130" t="n">
        <f aca="false">IF($W28*G29&gt;150000,($W28*G29-150000)*6%*45%,0)</f>
        <v>0</v>
      </c>
      <c r="AK29" s="130" t="n">
        <f aca="false">IF($W28*H29&gt;150000,($W28*H29-150000)*6%*45%,0)</f>
        <v>0</v>
      </c>
      <c r="AL29" s="130" t="n">
        <f aca="false">IF($W28*I29&gt;150000,($W28*I29-150000)*6%*45%,0)</f>
        <v>0</v>
      </c>
      <c r="AM29" s="130" t="n">
        <f aca="false">IF($W28*J29&gt;150000,($W28*J29-150000)*6%*45%,0)</f>
        <v>0</v>
      </c>
      <c r="AN29" s="130" t="n">
        <f aca="false">IF($W28*K29&gt;150000,($W28*K29-150000)*6%*45%,0)</f>
        <v>0</v>
      </c>
      <c r="AO29" s="130" t="n">
        <f aca="false">IF($W28*L29&gt;150000,($W28*L29-150000)*6%*45%,0)</f>
        <v>0</v>
      </c>
      <c r="AP29" s="130" t="n">
        <f aca="false">IF($W28*M29&gt;150000,($W28*M29-150000)*6%*45%,0)</f>
        <v>0</v>
      </c>
      <c r="AQ29" s="130" t="n">
        <f aca="false">IF($W28*N29&gt;150000,($W28*N29-150000)*6%*45%,0)</f>
        <v>0</v>
      </c>
      <c r="AR29" s="130" t="n">
        <f aca="false">IF($W28*O29&gt;150000,($W28*O29-150000)*6%*45%,0)</f>
        <v>0</v>
      </c>
      <c r="AS29" s="130" t="n">
        <f aca="false">IF($W28*P29&gt;150000,($W28*P29-150000)*6%*45%,0)</f>
        <v>0</v>
      </c>
      <c r="AT29" s="130" t="n">
        <f aca="false">IF($W28*Q29&gt;150000,($W28*Q29-150000)*6%*45%,0)</f>
        <v>0</v>
      </c>
      <c r="AU29" s="130" t="n">
        <f aca="false">IF($W28*R29&gt;150000,($W28*R29-150000)*6%*45%,0)</f>
        <v>0</v>
      </c>
      <c r="AV29" s="130" t="n">
        <f aca="false">IF($W28*S29&gt;150000,($W28*S29-150000)*6%*45%,0)</f>
        <v>0</v>
      </c>
      <c r="AW29" s="130" t="n">
        <f aca="false">IF($W28*T29&gt;150000,($W28*T29-150000)*6%*45%,0)</f>
        <v>0</v>
      </c>
      <c r="AX29" s="130" t="n">
        <f aca="false">IF($W28*U29&gt;150000,($W28*U29-150000)*6%*45%,0)</f>
        <v>0</v>
      </c>
      <c r="AY29" s="131"/>
      <c r="AZ29" s="11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</row>
    <row r="30" customFormat="false" ht="12.6" hidden="false" customHeight="true" outlineLevel="0" collapsed="false">
      <c r="A30" s="108" t="n">
        <f aca="false">A28+1</f>
        <v>3</v>
      </c>
      <c r="B30" s="271" t="s">
        <v>88</v>
      </c>
      <c r="C30" s="272" t="s">
        <v>97</v>
      </c>
      <c r="D30" s="267" t="n">
        <f aca="false">IF(ISERROR(VLOOKUP(C30,일용직명단!$A$3:$K$1246,3,FALSE())),0,VLOOKUP(C30,일용직명단!$A$3:$K$1246,3,FALSE()))</f>
        <v>0</v>
      </c>
      <c r="E30" s="112" t="n">
        <f aca="false">IF(ISERROR(VLOOKUP(C30,일용직명단!$A$3:$K$1246,4,FALSE())),0,VLOOKUP(C30,일용직명단!$A$3:$K$1246,4,FALSE()))</f>
        <v>0</v>
      </c>
      <c r="F30" s="192"/>
      <c r="G30" s="192"/>
      <c r="H30" s="268" t="n">
        <v>1</v>
      </c>
      <c r="I30" s="269" t="n">
        <v>1</v>
      </c>
      <c r="J30" s="268" t="n">
        <v>1</v>
      </c>
      <c r="K30" s="269" t="n">
        <v>1</v>
      </c>
      <c r="L30" s="268" t="n">
        <v>1</v>
      </c>
      <c r="M30" s="192"/>
      <c r="N30" s="193"/>
      <c r="O30" s="191"/>
      <c r="P30" s="192"/>
      <c r="Q30" s="193"/>
      <c r="R30" s="191"/>
      <c r="S30" s="193"/>
      <c r="T30" s="191"/>
      <c r="U30" s="194"/>
      <c r="V30" s="120" t="n">
        <f aca="false">SUM(F30:U31)</f>
        <v>7</v>
      </c>
      <c r="W30" s="121" t="n">
        <f aca="false">IF(ISERROR(VLOOKUP(C30,일용직명단!$A$3:$K$1246,8,FALSE())),0,VLOOKUP(C30,일용직명단!$A$3:$K$1246,8,FALSE()))</f>
        <v>0</v>
      </c>
      <c r="X30" s="122" t="n">
        <f aca="false">IFERROR(IF(AG30&gt;=65,0,ROUNDDOWN(W31*$Z$4,-1)),0)</f>
        <v>0</v>
      </c>
      <c r="Y30" s="122" t="n">
        <f aca="false">IF(AE30&gt;=8,ROUNDDOWN(W31*$M$4,-1),0)</f>
        <v>0</v>
      </c>
      <c r="Z30" s="123" t="n">
        <f aca="false">IFERROR(IF(AND(COUNT(F30:U31)&gt;=8,$AG30&lt;60,W31&lt;=5530000),ROUNDDOWN(ROUNDDOWN(W31,-3)*4.5%,-1),IF(AND(COUNT(F30:U31)&gt;=8,AG30&lt;60,W31&gt;5530000),248850,0)),0)</f>
        <v>0</v>
      </c>
      <c r="AA30" s="124" t="n">
        <f aca="false">+X30+Y30+X31+Y31+Z30+Z31</f>
        <v>0</v>
      </c>
      <c r="AB30" s="125" t="n">
        <f aca="false">W31-AA30</f>
        <v>0</v>
      </c>
      <c r="AC30" s="126" t="n">
        <f aca="false">IF(ISERROR(VLOOKUP(C30,일용직명단!$A$3:$I$1226,5,FALSE())),0,VLOOKUP(C30,일용직명단!$A$3:$I$1226,5,FALSE()))</f>
        <v>0</v>
      </c>
      <c r="AD30" s="127" t="n">
        <f aca="false">IF(ISERROR(VLOOKUP(C30,일용직명단!$A$3:$I$1226,6,FALSE())),0,VLOOKUP(C30,일용직명단!$A$3:$I$1226,6,FALSE()))</f>
        <v>0</v>
      </c>
      <c r="AE30" s="128" t="n">
        <f aca="false">COUNT(F30:U31)</f>
        <v>7</v>
      </c>
      <c r="AF30" s="129" t="str">
        <f aca="false">IF(OR(MID(D30,8,1)="1",MID(D30,8,1)="2"),19&amp;LEFT(D30,2),20&amp;LEFT(D30,2))&amp;"-"&amp;MID(D30,3,2)&amp;"-"&amp;MID(D30,5,2)</f>
        <v>200--</v>
      </c>
      <c r="AG30" s="129" t="e">
        <f aca="true">INT((TODAY()-AF30)/365.25)</f>
        <v>#VALUE!</v>
      </c>
      <c r="AH30" s="130" t="n">
        <f aca="false">ROUNDDOWN(SUM(AI30:AX31),-1)</f>
        <v>0</v>
      </c>
      <c r="AI30" s="130" t="n">
        <f aca="false">IF($W30*F30&gt;150000,($W30*F30-150000)*6%*45%,0)</f>
        <v>0</v>
      </c>
      <c r="AJ30" s="130" t="n">
        <f aca="false">IF($W30*G30&gt;150000,($W30*G30-150000)*6%*45%,0)</f>
        <v>0</v>
      </c>
      <c r="AK30" s="130" t="n">
        <f aca="false">IF($W30*H30&gt;150000,($W30*H30-150000)*6%*45%,0)</f>
        <v>0</v>
      </c>
      <c r="AL30" s="130" t="n">
        <f aca="false">IF($W30*I30&gt;150000,($W30*I30-150000)*6%*45%,0)</f>
        <v>0</v>
      </c>
      <c r="AM30" s="130" t="n">
        <f aca="false">IF($W30*J30&gt;150000,($W30*J30-150000)*6%*45%,0)</f>
        <v>0</v>
      </c>
      <c r="AN30" s="130" t="n">
        <f aca="false">IF($W30*K30&gt;150000,($W30*K30-150000)*6%*45%,0)</f>
        <v>0</v>
      </c>
      <c r="AO30" s="130" t="n">
        <f aca="false">IF($W30*L30&gt;150000,($W30*L30-150000)*6%*45%,0)</f>
        <v>0</v>
      </c>
      <c r="AP30" s="130" t="n">
        <f aca="false">IF($W30*M30&gt;150000,($W30*M30-150000)*6%*45%,0)</f>
        <v>0</v>
      </c>
      <c r="AQ30" s="130" t="n">
        <f aca="false">IF($W30*N30&gt;150000,($W30*N30-150000)*6%*45%,0)</f>
        <v>0</v>
      </c>
      <c r="AR30" s="130" t="n">
        <f aca="false">IF($W30*O30&gt;150000,($W30*O30-150000)*6%*45%,0)</f>
        <v>0</v>
      </c>
      <c r="AS30" s="130" t="n">
        <f aca="false">IF($W30*P30&gt;150000,($W30*P30-150000)*6%*45%,0)</f>
        <v>0</v>
      </c>
      <c r="AT30" s="130" t="n">
        <f aca="false">IF($W30*Q30&gt;150000,($W30*Q30-150000)*6%*45%,0)</f>
        <v>0</v>
      </c>
      <c r="AU30" s="130" t="n">
        <f aca="false">IF($W30*R30&gt;150000,($W30*R30-150000)*6%*45%,0)</f>
        <v>0</v>
      </c>
      <c r="AV30" s="130" t="n">
        <f aca="false">IF($W30*S30&gt;150000,($W30*S30-150000)*6%*45%,0)</f>
        <v>0</v>
      </c>
      <c r="AW30" s="130" t="n">
        <f aca="false">IF($W30*T30&gt;150000,($W30*T30-150000)*6%*45%,0)</f>
        <v>0</v>
      </c>
      <c r="AX30" s="130"/>
      <c r="AY30" s="131" t="n">
        <f aca="false">IF(ISERROR(VLOOKUP(C30,[26]일용직명단!$A$3:$M$1151,11,FALSE())),0,VLOOKUP(C30,[26]일용직명단!$A$3:$M$1151,11,FALSE()))</f>
        <v>0</v>
      </c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</row>
    <row r="31" customFormat="false" ht="12.6" hidden="false" customHeight="true" outlineLevel="0" collapsed="false">
      <c r="A31" s="108"/>
      <c r="B31" s="271"/>
      <c r="C31" s="272"/>
      <c r="D31" s="267"/>
      <c r="E31" s="112" t="n">
        <f aca="false">IF(ISERROR(VLOOKUP(C30,일용직명단!$A$3:$K$1246,9,FALSE())),0,VLOOKUP(C30,일용직명단!$A$3:$K$1246,9,FALSE()))</f>
        <v>0</v>
      </c>
      <c r="F31" s="195"/>
      <c r="G31" s="270" t="n">
        <v>1</v>
      </c>
      <c r="H31" s="270" t="n">
        <v>1</v>
      </c>
      <c r="I31" s="193"/>
      <c r="J31" s="191"/>
      <c r="K31" s="193"/>
      <c r="L31" s="192"/>
      <c r="M31" s="192"/>
      <c r="N31" s="193"/>
      <c r="O31" s="191"/>
      <c r="P31" s="193"/>
      <c r="Q31" s="193"/>
      <c r="R31" s="192"/>
      <c r="S31" s="192"/>
      <c r="T31" s="192"/>
      <c r="U31" s="191"/>
      <c r="V31" s="120"/>
      <c r="W31" s="138" t="n">
        <f aca="false">W30*V30</f>
        <v>0</v>
      </c>
      <c r="X31" s="122" t="n">
        <f aca="false">IF(AH30&lt;1000,0,AH30)</f>
        <v>0</v>
      </c>
      <c r="Y31" s="122" t="n">
        <f aca="false">ROUNDDOWN(X31*10%,-1)</f>
        <v>0</v>
      </c>
      <c r="Z31" s="123" t="n">
        <f aca="false">IF(AE30&gt;=8,ROUNDDOWN(Y30*$Q$4,-1),0)</f>
        <v>0</v>
      </c>
      <c r="AA31" s="124"/>
      <c r="AB31" s="125"/>
      <c r="AC31" s="127" t="n">
        <f aca="false">IF(ISERROR(VLOOKUP(C30,일용직명단!$A$3:$I$1226,7,FALSE())),0,VLOOKUP(C30,일용직명단!$A$3:$I$1226,7,FALSE()))</f>
        <v>0</v>
      </c>
      <c r="AD31" s="127"/>
      <c r="AE31" s="128"/>
      <c r="AF31" s="129"/>
      <c r="AG31" s="129"/>
      <c r="AH31" s="130"/>
      <c r="AI31" s="130" t="n">
        <f aca="false">IF($W30*F31&gt;150000,($W30*F31-150000)*6%*45%,0)</f>
        <v>0</v>
      </c>
      <c r="AJ31" s="130" t="n">
        <f aca="false">IF($W30*G31&gt;150000,($W30*G31-150000)*6%*45%,0)</f>
        <v>0</v>
      </c>
      <c r="AK31" s="130" t="n">
        <f aca="false">IF($W30*H31&gt;150000,($W30*H31-150000)*6%*45%,0)</f>
        <v>0</v>
      </c>
      <c r="AL31" s="130" t="n">
        <f aca="false">IF($W30*I31&gt;150000,($W30*I31-150000)*6%*45%,0)</f>
        <v>0</v>
      </c>
      <c r="AM31" s="130" t="n">
        <f aca="false">IF($W30*J31&gt;150000,($W30*J31-150000)*6%*45%,0)</f>
        <v>0</v>
      </c>
      <c r="AN31" s="130" t="n">
        <f aca="false">IF($W30*K31&gt;150000,($W30*K31-150000)*6%*45%,0)</f>
        <v>0</v>
      </c>
      <c r="AO31" s="130" t="n">
        <f aca="false">IF($W30*L31&gt;150000,($W30*L31-150000)*6%*45%,0)</f>
        <v>0</v>
      </c>
      <c r="AP31" s="130" t="n">
        <f aca="false">IF($W30*M31&gt;150000,($W30*M31-150000)*6%*45%,0)</f>
        <v>0</v>
      </c>
      <c r="AQ31" s="130" t="n">
        <f aca="false">IF($W30*N31&gt;150000,($W30*N31-150000)*6%*45%,0)</f>
        <v>0</v>
      </c>
      <c r="AR31" s="130" t="n">
        <f aca="false">IF($W30*O31&gt;150000,($W30*O31-150000)*6%*45%,0)</f>
        <v>0</v>
      </c>
      <c r="AS31" s="130" t="n">
        <f aca="false">IF($W30*P31&gt;150000,($W30*P31-150000)*6%*45%,0)</f>
        <v>0</v>
      </c>
      <c r="AT31" s="130" t="n">
        <f aca="false">IF($W30*Q31&gt;150000,($W30*Q31-150000)*6%*45%,0)</f>
        <v>0</v>
      </c>
      <c r="AU31" s="130" t="n">
        <f aca="false">IF($W30*R31&gt;150000,($W30*R31-150000)*6%*45%,0)</f>
        <v>0</v>
      </c>
      <c r="AV31" s="130" t="n">
        <f aca="false">IF($W30*S31&gt;150000,($W30*S31-150000)*6%*45%,0)</f>
        <v>0</v>
      </c>
      <c r="AW31" s="130" t="n">
        <f aca="false">IF($W30*T31&gt;150000,($W30*T31-150000)*6%*45%,0)</f>
        <v>0</v>
      </c>
      <c r="AX31" s="130" t="n">
        <f aca="false">IF($W30*U31&gt;150000,($W30*U31-150000)*6%*45%,0)</f>
        <v>0</v>
      </c>
      <c r="AY31" s="13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</row>
    <row r="32" customFormat="false" ht="12.6" hidden="false" customHeight="true" outlineLevel="0" collapsed="false">
      <c r="A32" s="108" t="n">
        <f aca="false">A30+1</f>
        <v>4</v>
      </c>
      <c r="B32" s="271" t="s">
        <v>98</v>
      </c>
      <c r="C32" s="272" t="s">
        <v>99</v>
      </c>
      <c r="D32" s="267" t="n">
        <f aca="false">IF(ISERROR(VLOOKUP(C32,일용직명단!$A$3:$K$1246,3,FALSE())),0,VLOOKUP(C32,일용직명단!$A$3:$K$1246,3,FALSE()))</f>
        <v>0</v>
      </c>
      <c r="E32" s="140" t="n">
        <f aca="false">IF(ISERROR(VLOOKUP(C32,일용직명단!$A$3:$K$1246,4,FALSE())),0,VLOOKUP(C32,일용직명단!$A$3:$K$1246,4,FALSE()))</f>
        <v>0</v>
      </c>
      <c r="F32" s="192"/>
      <c r="G32" s="192"/>
      <c r="H32" s="268" t="n">
        <v>1</v>
      </c>
      <c r="I32" s="269" t="n">
        <v>1</v>
      </c>
      <c r="J32" s="268" t="n">
        <v>1</v>
      </c>
      <c r="K32" s="269" t="n">
        <v>1</v>
      </c>
      <c r="L32" s="268" t="n">
        <v>1</v>
      </c>
      <c r="M32" s="192"/>
      <c r="N32" s="191"/>
      <c r="O32" s="193"/>
      <c r="P32" s="192"/>
      <c r="Q32" s="193"/>
      <c r="R32" s="191"/>
      <c r="S32" s="193"/>
      <c r="T32" s="191"/>
      <c r="U32" s="194"/>
      <c r="V32" s="144" t="n">
        <f aca="false">SUM(F32:U33)</f>
        <v>7</v>
      </c>
      <c r="W32" s="121" t="n">
        <f aca="false">IF(ISERROR(VLOOKUP(C32,일용직명단!$A$3:$K$1246,8,FALSE())),0,VLOOKUP(C32,일용직명단!$A$3:$K$1246,8,FALSE()))</f>
        <v>0</v>
      </c>
      <c r="X32" s="123" t="n">
        <f aca="false">IFERROR(IF(AG32&gt;=65,0,ROUNDDOWN(W33*$Z$4,-1)),0)</f>
        <v>0</v>
      </c>
      <c r="Y32" s="123" t="n">
        <f aca="false">IF(AE32&gt;=8,ROUNDDOWN(W33*$M$4,-1),0)</f>
        <v>0</v>
      </c>
      <c r="Z32" s="123" t="n">
        <f aca="false">IFERROR(IF(AND(COUNT(F32:U33)&gt;=8,$AG32&lt;60,W33&lt;=5530000),ROUNDDOWN(ROUNDDOWN(W33,-3)*4.5%,-1),IF(AND(COUNT(F32:U33)&gt;=8,AG32&lt;60,W33&gt;5530000),248850,0)),0)</f>
        <v>0</v>
      </c>
      <c r="AA32" s="145" t="n">
        <f aca="false">+X32+Y32+X33+Y33+Z32+Z33</f>
        <v>0</v>
      </c>
      <c r="AB32" s="146" t="n">
        <f aca="false">W33-AA32</f>
        <v>0</v>
      </c>
      <c r="AC32" s="147" t="n">
        <f aca="false">IF(ISERROR(VLOOKUP(C32,일용직명단!$A$3:$I$1226,5,FALSE())),0,VLOOKUP(C32,일용직명단!$A$3:$I$1226,5,FALSE()))</f>
        <v>0</v>
      </c>
      <c r="AD32" s="148" t="n">
        <f aca="false">IF(ISERROR(VLOOKUP(C32,일용직명단!$A$3:$I$1226,6,FALSE())),0,VLOOKUP(C32,일용직명단!$A$3:$I$1226,6,FALSE()))</f>
        <v>0</v>
      </c>
      <c r="AE32" s="141" t="n">
        <f aca="false">COUNT(F32:U33)</f>
        <v>7</v>
      </c>
      <c r="AF32" s="169" t="str">
        <f aca="false">IF(OR(MID(D32,8,1)="1",MID(D32,8,1)="2"),19&amp;LEFT(D32,2),20&amp;LEFT(D32,2))&amp;"-"&amp;MID(D32,3,2)&amp;"-"&amp;MID(D32,5,2)</f>
        <v>200--</v>
      </c>
      <c r="AG32" s="169" t="e">
        <f aca="true">INT((TODAY()-AF32)/365.25)</f>
        <v>#VALUE!</v>
      </c>
      <c r="AH32" s="130" t="n">
        <f aca="false">ROUNDDOWN(SUM(AI32:AX33),-1)</f>
        <v>0</v>
      </c>
      <c r="AI32" s="130" t="n">
        <f aca="false">IF($W32*F32&gt;150000,($W32*F32-150000)*6%*45%,0)</f>
        <v>0</v>
      </c>
      <c r="AJ32" s="130" t="n">
        <f aca="false">IF($W32*G32&gt;150000,($W32*G32-150000)*6%*45%,0)</f>
        <v>0</v>
      </c>
      <c r="AK32" s="130" t="n">
        <f aca="false">IF($W32*H32&gt;150000,($W32*H32-150000)*6%*45%,0)</f>
        <v>0</v>
      </c>
      <c r="AL32" s="130" t="n">
        <f aca="false">IF($W32*I32&gt;150000,($W32*I32-150000)*6%*45%,0)</f>
        <v>0</v>
      </c>
      <c r="AM32" s="130" t="n">
        <f aca="false">IF($W32*J32&gt;150000,($W32*J32-150000)*6%*45%,0)</f>
        <v>0</v>
      </c>
      <c r="AN32" s="130" t="n">
        <f aca="false">IF($W32*K32&gt;150000,($W32*K32-150000)*6%*45%,0)</f>
        <v>0</v>
      </c>
      <c r="AO32" s="130" t="n">
        <f aca="false">IF($W32*L32&gt;150000,($W32*L32-150000)*6%*45%,0)</f>
        <v>0</v>
      </c>
      <c r="AP32" s="130" t="n">
        <f aca="false">IF($W32*M32&gt;150000,($W32*M32-150000)*6%*45%,0)</f>
        <v>0</v>
      </c>
      <c r="AQ32" s="130" t="n">
        <f aca="false">IF($W32*N32&gt;150000,($W32*N32-150000)*6%*45%,0)</f>
        <v>0</v>
      </c>
      <c r="AR32" s="130" t="n">
        <f aca="false">IF($W32*O32&gt;150000,($W32*O32-150000)*6%*45%,0)</f>
        <v>0</v>
      </c>
      <c r="AS32" s="130" t="n">
        <f aca="false">IF($W32*P32&gt;150000,($W32*P32-150000)*6%*45%,0)</f>
        <v>0</v>
      </c>
      <c r="AT32" s="130" t="n">
        <f aca="false">IF($W32*Q32&gt;150000,($W32*Q32-150000)*6%*45%,0)</f>
        <v>0</v>
      </c>
      <c r="AU32" s="130" t="n">
        <f aca="false">IF($W32*R32&gt;150000,($W32*R32-150000)*6%*45%,0)</f>
        <v>0</v>
      </c>
      <c r="AV32" s="130" t="n">
        <f aca="false">IF($W32*S32&gt;150000,($W32*S32-150000)*6%*45%,0)</f>
        <v>0</v>
      </c>
      <c r="AW32" s="130" t="n">
        <f aca="false">IF($W32*T32&gt;150000,($W32*T32-150000)*6%*45%,0)</f>
        <v>0</v>
      </c>
      <c r="AX32" s="130"/>
      <c r="AY32" s="131" t="n">
        <f aca="false">IF(ISERROR(VLOOKUP(C32,[26]일용직명단!$A$3:$M$1151,11,FALSE())),0,VLOOKUP(C32,[26]일용직명단!$A$3:$M$1151,11,FALSE()))</f>
        <v>0</v>
      </c>
      <c r="AZ32" s="11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</row>
    <row r="33" customFormat="false" ht="12.6" hidden="false" customHeight="true" outlineLevel="0" collapsed="false">
      <c r="A33" s="108"/>
      <c r="B33" s="271"/>
      <c r="C33" s="272"/>
      <c r="D33" s="267"/>
      <c r="E33" s="140" t="n">
        <f aca="false">IF(ISERROR(VLOOKUP(C32,일용직명단!$A$3:$K$1246,9,FALSE())),0,VLOOKUP(C32,일용직명단!$A$3:$K$1246,9,FALSE()))</f>
        <v>0</v>
      </c>
      <c r="F33" s="195"/>
      <c r="G33" s="270" t="n">
        <v>1</v>
      </c>
      <c r="H33" s="270" t="n">
        <v>1</v>
      </c>
      <c r="I33" s="193"/>
      <c r="J33" s="191"/>
      <c r="K33" s="193"/>
      <c r="L33" s="192"/>
      <c r="M33" s="192"/>
      <c r="N33" s="193"/>
      <c r="O33" s="191"/>
      <c r="P33" s="192"/>
      <c r="Q33" s="193"/>
      <c r="R33" s="192"/>
      <c r="S33" s="192"/>
      <c r="T33" s="192"/>
      <c r="U33" s="191"/>
      <c r="V33" s="144"/>
      <c r="W33" s="138" t="n">
        <f aca="false">W32*V32</f>
        <v>0</v>
      </c>
      <c r="X33" s="123" t="n">
        <f aca="false">IF(AH32&lt;1000,0,AH32)</f>
        <v>0</v>
      </c>
      <c r="Y33" s="123" t="n">
        <f aca="false">ROUNDDOWN(X33*10%,-1)</f>
        <v>0</v>
      </c>
      <c r="Z33" s="123" t="n">
        <f aca="false">IF(AE32&gt;=8,ROUNDDOWN(Y32*$Q$4,-1),0)</f>
        <v>0</v>
      </c>
      <c r="AA33" s="145"/>
      <c r="AB33" s="146"/>
      <c r="AC33" s="148" t="n">
        <f aca="false">IF(ISERROR(VLOOKUP(C32,일용직명단!$A$3:$I$1226,7,FALSE())),0,VLOOKUP(C32,일용직명단!$A$3:$I$1226,7,FALSE()))</f>
        <v>0</v>
      </c>
      <c r="AD33" s="148"/>
      <c r="AE33" s="141"/>
      <c r="AF33" s="169"/>
      <c r="AG33" s="169"/>
      <c r="AH33" s="130"/>
      <c r="AI33" s="130" t="n">
        <f aca="false">IF($W32*F33&gt;150000,($W32*F33-150000)*6%*45%,0)</f>
        <v>0</v>
      </c>
      <c r="AJ33" s="130" t="n">
        <f aca="false">IF($W32*G33&gt;150000,($W32*G33-150000)*6%*45%,0)</f>
        <v>0</v>
      </c>
      <c r="AK33" s="130" t="n">
        <f aca="false">IF($W32*H33&gt;150000,($W32*H33-150000)*6%*45%,0)</f>
        <v>0</v>
      </c>
      <c r="AL33" s="130" t="n">
        <f aca="false">IF($W32*I33&gt;150000,($W32*I33-150000)*6%*45%,0)</f>
        <v>0</v>
      </c>
      <c r="AM33" s="130" t="n">
        <f aca="false">IF($W32*J33&gt;150000,($W32*J33-150000)*6%*45%,0)</f>
        <v>0</v>
      </c>
      <c r="AN33" s="130" t="n">
        <f aca="false">IF($W32*K33&gt;150000,($W32*K33-150000)*6%*45%,0)</f>
        <v>0</v>
      </c>
      <c r="AO33" s="130" t="n">
        <f aca="false">IF($W32*L33&gt;150000,($W32*L33-150000)*6%*45%,0)</f>
        <v>0</v>
      </c>
      <c r="AP33" s="130" t="n">
        <f aca="false">IF($W32*M33&gt;150000,($W32*M33-150000)*6%*45%,0)</f>
        <v>0</v>
      </c>
      <c r="AQ33" s="130" t="n">
        <f aca="false">IF($W32*N33&gt;150000,($W32*N33-150000)*6%*45%,0)</f>
        <v>0</v>
      </c>
      <c r="AR33" s="130" t="n">
        <f aca="false">IF($W32*O33&gt;150000,($W32*O33-150000)*6%*45%,0)</f>
        <v>0</v>
      </c>
      <c r="AS33" s="130" t="n">
        <f aca="false">IF($W32*P33&gt;150000,($W32*P33-150000)*6%*45%,0)</f>
        <v>0</v>
      </c>
      <c r="AT33" s="130" t="n">
        <f aca="false">IF($W32*Q33&gt;150000,($W32*Q33-150000)*6%*45%,0)</f>
        <v>0</v>
      </c>
      <c r="AU33" s="130" t="n">
        <f aca="false">IF($W32*R33&gt;150000,($W32*R33-150000)*6%*45%,0)</f>
        <v>0</v>
      </c>
      <c r="AV33" s="130" t="n">
        <f aca="false">IF($W32*S33&gt;150000,($W32*S33-150000)*6%*45%,0)</f>
        <v>0</v>
      </c>
      <c r="AW33" s="130" t="n">
        <f aca="false">IF($W32*T33&gt;150000,($W32*T33-150000)*6%*45%,0)</f>
        <v>0</v>
      </c>
      <c r="AX33" s="130" t="n">
        <f aca="false">IF($W32*U33&gt;150000,($W32*U33-150000)*6%*45%,0)</f>
        <v>0</v>
      </c>
      <c r="AY33" s="131"/>
      <c r="AZ33" s="11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</row>
    <row r="34" customFormat="false" ht="12.6" hidden="false" customHeight="true" outlineLevel="0" collapsed="false">
      <c r="A34" s="108" t="n">
        <f aca="false">A32+1</f>
        <v>5</v>
      </c>
      <c r="B34" s="271" t="s">
        <v>91</v>
      </c>
      <c r="C34" s="272" t="s">
        <v>100</v>
      </c>
      <c r="D34" s="267" t="n">
        <f aca="false">IF(ISERROR(VLOOKUP(C34,일용직명단!$A$3:$K$1246,3,FALSE())),0,VLOOKUP(C34,일용직명단!$A$3:$K$1246,3,FALSE()))</f>
        <v>0</v>
      </c>
      <c r="E34" s="140" t="n">
        <f aca="false">IF(ISERROR(VLOOKUP(C34,일용직명단!$A$3:$K$1246,4,FALSE())),0,VLOOKUP(C34,일용직명단!$A$3:$K$1246,4,FALSE()))</f>
        <v>0</v>
      </c>
      <c r="F34" s="192"/>
      <c r="G34" s="193"/>
      <c r="H34" s="269" t="n">
        <v>1</v>
      </c>
      <c r="I34" s="269" t="n">
        <v>1</v>
      </c>
      <c r="J34" s="268" t="n">
        <v>1</v>
      </c>
      <c r="K34" s="269" t="n">
        <v>1</v>
      </c>
      <c r="L34" s="192"/>
      <c r="M34" s="192"/>
      <c r="N34" s="193"/>
      <c r="O34" s="193"/>
      <c r="P34" s="192"/>
      <c r="Q34" s="193"/>
      <c r="R34" s="191"/>
      <c r="S34" s="193"/>
      <c r="T34" s="191"/>
      <c r="U34" s="194"/>
      <c r="V34" s="120" t="n">
        <f aca="false">SUM(F34:U35)</f>
        <v>7</v>
      </c>
      <c r="W34" s="121" t="n">
        <f aca="false">IF(ISERROR(VLOOKUP(C34,일용직명단!$A$3:$K$1246,8,FALSE())),0,VLOOKUP(C34,일용직명단!$A$3:$K$1246,8,FALSE()))</f>
        <v>0</v>
      </c>
      <c r="X34" s="122" t="n">
        <f aca="false">IFERROR(IF(AG34&gt;=65,0,ROUNDDOWN(W35*$Z$4,-1)),0)</f>
        <v>0</v>
      </c>
      <c r="Y34" s="122" t="n">
        <f aca="false">IF(AE34&gt;=8,ROUNDDOWN(W35*$M$4,-1),0)</f>
        <v>0</v>
      </c>
      <c r="Z34" s="123" t="n">
        <f aca="false">IFERROR(IF(AND(COUNT(F34:U35)&gt;=8,$AG34&lt;60,W35&lt;=5530000),ROUNDDOWN(ROUNDDOWN(W35,-3)*4.5%,-1),IF(AND(COUNT(F34:U35)&gt;=8,AG34&lt;60,W35&gt;5530000),248850,0)),0)</f>
        <v>0</v>
      </c>
      <c r="AA34" s="124" t="n">
        <f aca="false">+X34+Y34+X35+Y35+Z34+Z35</f>
        <v>0</v>
      </c>
      <c r="AB34" s="125" t="n">
        <f aca="false">W35-AA34</f>
        <v>0</v>
      </c>
      <c r="AC34" s="126" t="n">
        <f aca="false">IF(ISERROR(VLOOKUP(C34,일용직명단!$A$3:$I$1226,5,FALSE())),0,VLOOKUP(C34,일용직명단!$A$3:$I$1226,5,FALSE()))</f>
        <v>0</v>
      </c>
      <c r="AD34" s="127" t="n">
        <f aca="false">IF(ISERROR(VLOOKUP(C34,일용직명단!$A$3:$I$1226,6,FALSE())),0,VLOOKUP(C34,일용직명단!$A$3:$I$1226,6,FALSE()))</f>
        <v>0</v>
      </c>
      <c r="AE34" s="141" t="n">
        <f aca="false">COUNT(F34:U35)</f>
        <v>7</v>
      </c>
      <c r="AF34" s="129" t="str">
        <f aca="false">IF(OR(MID(D34,8,1)="1",MID(D34,8,1)="2"),19&amp;LEFT(D34,2),20&amp;LEFT(D34,2))&amp;"-"&amp;MID(D34,3,2)&amp;"-"&amp;MID(D34,5,2)</f>
        <v>200--</v>
      </c>
      <c r="AG34" s="129" t="e">
        <f aca="true">INT((TODAY()-AF34)/365.25)</f>
        <v>#VALUE!</v>
      </c>
      <c r="AH34" s="130" t="n">
        <f aca="false">ROUNDDOWN(SUM(AI34:AX35),-1)</f>
        <v>0</v>
      </c>
      <c r="AI34" s="130" t="n">
        <f aca="false">IF($W34*F34&gt;150000,($W34*F34-150000)*6%*45%,0)</f>
        <v>0</v>
      </c>
      <c r="AJ34" s="130" t="n">
        <f aca="false">IF($W34*G34&gt;150000,($W34*G34-150000)*6%*45%,0)</f>
        <v>0</v>
      </c>
      <c r="AK34" s="130" t="n">
        <f aca="false">IF($W34*H34&gt;150000,($W34*H34-150000)*6%*45%,0)</f>
        <v>0</v>
      </c>
      <c r="AL34" s="130" t="n">
        <f aca="false">IF($W34*I34&gt;150000,($W34*I34-150000)*6%*45%,0)</f>
        <v>0</v>
      </c>
      <c r="AM34" s="130" t="n">
        <f aca="false">IF($W34*J34&gt;150000,($W34*J34-150000)*6%*45%,0)</f>
        <v>0</v>
      </c>
      <c r="AN34" s="130" t="n">
        <f aca="false">IF($W34*K34&gt;150000,($W34*K34-150000)*6%*45%,0)</f>
        <v>0</v>
      </c>
      <c r="AO34" s="130" t="n">
        <f aca="false">IF($W34*L34&gt;150000,($W34*L34-150000)*6%*45%,0)</f>
        <v>0</v>
      </c>
      <c r="AP34" s="130" t="n">
        <f aca="false">IF($W34*M34&gt;150000,($W34*M34-150000)*6%*45%,0)</f>
        <v>0</v>
      </c>
      <c r="AQ34" s="130" t="n">
        <f aca="false">IF($W34*N34&gt;150000,($W34*N34-150000)*6%*45%,0)</f>
        <v>0</v>
      </c>
      <c r="AR34" s="130" t="n">
        <f aca="false">IF($W34*O34&gt;150000,($W34*O34-150000)*6%*45%,0)</f>
        <v>0</v>
      </c>
      <c r="AS34" s="130" t="n">
        <f aca="false">IF($W34*P34&gt;150000,($W34*P34-150000)*6%*45%,0)</f>
        <v>0</v>
      </c>
      <c r="AT34" s="130" t="n">
        <f aca="false">IF($W34*Q34&gt;150000,($W34*Q34-150000)*6%*45%,0)</f>
        <v>0</v>
      </c>
      <c r="AU34" s="130" t="n">
        <f aca="false">IF($W34*R34&gt;150000,($W34*R34-150000)*6%*45%,0)</f>
        <v>0</v>
      </c>
      <c r="AV34" s="130" t="n">
        <f aca="false">IF($W34*S34&gt;150000,($W34*S34-150000)*6%*45%,0)</f>
        <v>0</v>
      </c>
      <c r="AW34" s="130" t="n">
        <f aca="false">IF($W34*T34&gt;150000,($W34*T34-150000)*6%*45%,0)</f>
        <v>0</v>
      </c>
      <c r="AX34" s="130"/>
      <c r="AY34" s="131" t="n">
        <f aca="false">IF(ISERROR(VLOOKUP(C34,[26]일용직명단!$A$3:$M$1151,11,FALSE())),0,VLOOKUP(C34,[26]일용직명단!$A$3:$M$1151,11,FALSE()))</f>
        <v>0</v>
      </c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</row>
    <row r="35" customFormat="false" ht="12.6" hidden="false" customHeight="true" outlineLevel="0" collapsed="false">
      <c r="A35" s="108"/>
      <c r="B35" s="271"/>
      <c r="C35" s="272"/>
      <c r="D35" s="267"/>
      <c r="E35" s="140" t="n">
        <f aca="false">IF(ISERROR(VLOOKUP(C34,일용직명단!$A$3:$K$1246,9,FALSE())),0,VLOOKUP(C34,일용직명단!$A$3:$K$1246,9,FALSE()))</f>
        <v>0</v>
      </c>
      <c r="F35" s="195"/>
      <c r="G35" s="270" t="n">
        <v>1</v>
      </c>
      <c r="H35" s="270" t="n">
        <v>1</v>
      </c>
      <c r="I35" s="273" t="n">
        <v>1</v>
      </c>
      <c r="J35" s="191"/>
      <c r="K35" s="193"/>
      <c r="L35" s="192"/>
      <c r="M35" s="192"/>
      <c r="N35" s="193"/>
      <c r="O35" s="191"/>
      <c r="P35" s="198"/>
      <c r="Q35" s="193"/>
      <c r="R35" s="192"/>
      <c r="S35" s="192"/>
      <c r="T35" s="192"/>
      <c r="U35" s="191"/>
      <c r="V35" s="120"/>
      <c r="W35" s="138" t="n">
        <f aca="false">W34*V34</f>
        <v>0</v>
      </c>
      <c r="X35" s="122" t="n">
        <f aca="false">IF(AH34&lt;1000,0,AH34)</f>
        <v>0</v>
      </c>
      <c r="Y35" s="122" t="n">
        <f aca="false">ROUNDDOWN(X35*10%,-1)</f>
        <v>0</v>
      </c>
      <c r="Z35" s="123" t="n">
        <f aca="false">IF(AE34&gt;=8,ROUNDDOWN(Y34*$Q$4,-1),0)</f>
        <v>0</v>
      </c>
      <c r="AA35" s="124"/>
      <c r="AB35" s="125"/>
      <c r="AC35" s="127" t="n">
        <f aca="false">IF(ISERROR(VLOOKUP(C34,일용직명단!$A$3:$I$1226,7,FALSE())),0,VLOOKUP(C34,일용직명단!$A$3:$I$1226,7,FALSE()))</f>
        <v>0</v>
      </c>
      <c r="AD35" s="127"/>
      <c r="AE35" s="141"/>
      <c r="AF35" s="129"/>
      <c r="AG35" s="129"/>
      <c r="AH35" s="130"/>
      <c r="AI35" s="130" t="n">
        <f aca="false">IF($W34*F35&gt;150000,($W34*F35-150000)*6%*45%,0)</f>
        <v>0</v>
      </c>
      <c r="AJ35" s="130" t="n">
        <f aca="false">IF($W34*G35&gt;150000,($W34*G35-150000)*6%*45%,0)</f>
        <v>0</v>
      </c>
      <c r="AK35" s="130" t="n">
        <f aca="false">IF($W34*H35&gt;150000,($W34*H35-150000)*6%*45%,0)</f>
        <v>0</v>
      </c>
      <c r="AL35" s="130" t="n">
        <f aca="false">IF($W34*I35&gt;150000,($W34*I35-150000)*6%*45%,0)</f>
        <v>0</v>
      </c>
      <c r="AM35" s="130" t="n">
        <f aca="false">IF($W34*J35&gt;150000,($W34*J35-150000)*6%*45%,0)</f>
        <v>0</v>
      </c>
      <c r="AN35" s="130" t="n">
        <f aca="false">IF($W34*K35&gt;150000,($W34*K35-150000)*6%*45%,0)</f>
        <v>0</v>
      </c>
      <c r="AO35" s="130" t="n">
        <f aca="false">IF($W34*L35&gt;150000,($W34*L35-150000)*6%*45%,0)</f>
        <v>0</v>
      </c>
      <c r="AP35" s="130" t="n">
        <f aca="false">IF($W34*M35&gt;150000,($W34*M35-150000)*6%*45%,0)</f>
        <v>0</v>
      </c>
      <c r="AQ35" s="130" t="n">
        <f aca="false">IF($W34*N35&gt;150000,($W34*N35-150000)*6%*45%,0)</f>
        <v>0</v>
      </c>
      <c r="AR35" s="130" t="n">
        <f aca="false">IF($W34*O35&gt;150000,($W34*O35-150000)*6%*45%,0)</f>
        <v>0</v>
      </c>
      <c r="AS35" s="130" t="n">
        <f aca="false">IF($W34*P35&gt;150000,($W34*P35-150000)*6%*45%,0)</f>
        <v>0</v>
      </c>
      <c r="AT35" s="130" t="n">
        <f aca="false">IF($W34*Q35&gt;150000,($W34*Q35-150000)*6%*45%,0)</f>
        <v>0</v>
      </c>
      <c r="AU35" s="130" t="n">
        <f aca="false">IF($W34*R35&gt;150000,($W34*R35-150000)*6%*45%,0)</f>
        <v>0</v>
      </c>
      <c r="AV35" s="130" t="n">
        <f aca="false">IF($W34*S35&gt;150000,($W34*S35-150000)*6%*45%,0)</f>
        <v>0</v>
      </c>
      <c r="AW35" s="130" t="n">
        <f aca="false">IF($W34*T35&gt;150000,($W34*T35-150000)*6%*45%,0)</f>
        <v>0</v>
      </c>
      <c r="AX35" s="130" t="n">
        <f aca="false">IF($W34*U35&gt;150000,($W34*U35-150000)*6%*45%,0)</f>
        <v>0</v>
      </c>
      <c r="AY35" s="13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</row>
    <row r="36" customFormat="false" ht="12.6" hidden="false" customHeight="true" outlineLevel="0" collapsed="false">
      <c r="A36" s="108" t="n">
        <f aca="false">A34+1</f>
        <v>6</v>
      </c>
      <c r="B36" s="271" t="s">
        <v>93</v>
      </c>
      <c r="C36" s="266" t="s">
        <v>101</v>
      </c>
      <c r="D36" s="267" t="n">
        <f aca="false">IF(ISERROR(VLOOKUP(C36,일용직명단!$A$3:$K$1246,3,FALSE())),0,VLOOKUP(C36,일용직명단!$A$3:$K$1246,3,FALSE()))</f>
        <v>0</v>
      </c>
      <c r="E36" s="140" t="n">
        <f aca="false">IF(ISERROR(VLOOKUP(C36,일용직명단!$A$3:$K$1246,4,FALSE())),0,VLOOKUP(C36,일용직명단!$A$3:$K$1246,4,FALSE()))</f>
        <v>0</v>
      </c>
      <c r="F36" s="192"/>
      <c r="G36" s="193"/>
      <c r="H36" s="269" t="n">
        <v>1</v>
      </c>
      <c r="I36" s="269" t="n">
        <v>1</v>
      </c>
      <c r="J36" s="268" t="n">
        <v>1</v>
      </c>
      <c r="K36" s="269" t="n">
        <v>1</v>
      </c>
      <c r="L36" s="268" t="n">
        <v>1</v>
      </c>
      <c r="M36" s="192"/>
      <c r="N36" s="193"/>
      <c r="O36" s="193"/>
      <c r="P36" s="192"/>
      <c r="Q36" s="193"/>
      <c r="R36" s="191"/>
      <c r="S36" s="193"/>
      <c r="T36" s="191"/>
      <c r="U36" s="194"/>
      <c r="V36" s="120" t="n">
        <f aca="false">SUM(F36:U37)</f>
        <v>7</v>
      </c>
      <c r="W36" s="121" t="n">
        <f aca="false">IF(ISERROR(VLOOKUP(C36,일용직명단!$A$3:$K$1246,8,FALSE())),0,VLOOKUP(C36,일용직명단!$A$3:$K$1246,8,FALSE()))</f>
        <v>0</v>
      </c>
      <c r="X36" s="122" t="n">
        <f aca="false">IFERROR(IF(AG36&gt;=65,0,ROUNDDOWN(W37*$Z$4,-1)),0)</f>
        <v>0</v>
      </c>
      <c r="Y36" s="122" t="n">
        <f aca="false">IF(AE36&gt;=8,ROUNDDOWN(W37*$M$4,-1),0)</f>
        <v>0</v>
      </c>
      <c r="Z36" s="123" t="n">
        <f aca="false">IFERROR(IF(AND(COUNT(F36:U37)&gt;=8,$AG36&lt;60,W37&lt;=5530000),ROUNDDOWN(ROUNDDOWN(W37,-3)*4.5%,-1),IF(AND(COUNT(F36:U37)&gt;=8,AG36&lt;60,W37&gt;5530000),248850,0)),0)</f>
        <v>0</v>
      </c>
      <c r="AA36" s="124" t="n">
        <f aca="false">+X36+Y36+X37+Y37+Z36+Z37</f>
        <v>0</v>
      </c>
      <c r="AB36" s="125" t="n">
        <f aca="false">W37-AA36</f>
        <v>0</v>
      </c>
      <c r="AC36" s="126" t="n">
        <f aca="false">IF(ISERROR(VLOOKUP(C36,일용직명단!$A$3:$I$1226,5,FALSE())),0,VLOOKUP(C36,일용직명단!$A$3:$I$1226,5,FALSE()))</f>
        <v>0</v>
      </c>
      <c r="AD36" s="127" t="n">
        <f aca="false">IF(ISERROR(VLOOKUP(C36,일용직명단!$A$3:$I$1226,6,FALSE())),0,VLOOKUP(C36,일용직명단!$A$3:$I$1226,6,FALSE()))</f>
        <v>0</v>
      </c>
      <c r="AE36" s="141" t="n">
        <f aca="false">COUNT(F36:U37)</f>
        <v>7</v>
      </c>
      <c r="AF36" s="129" t="str">
        <f aca="false">IF(OR(MID(D36,8,1)="1",MID(D36,8,1)="2"),19&amp;LEFT(D36,2),20&amp;LEFT(D36,2))&amp;"-"&amp;MID(D36,3,2)&amp;"-"&amp;MID(D36,5,2)</f>
        <v>200--</v>
      </c>
      <c r="AG36" s="129" t="e">
        <f aca="true">INT((TODAY()-AF36)/365.25)</f>
        <v>#VALUE!</v>
      </c>
      <c r="AH36" s="130" t="n">
        <f aca="false">ROUNDDOWN(SUM(AI36:AX37),-1)</f>
        <v>0</v>
      </c>
      <c r="AI36" s="130" t="n">
        <f aca="false">IF($W36*F36&gt;150000,($W36*F36-150000)*6%*45%,0)</f>
        <v>0</v>
      </c>
      <c r="AJ36" s="130" t="n">
        <f aca="false">IF($W36*G36&gt;150000,($W36*G36-150000)*6%*45%,0)</f>
        <v>0</v>
      </c>
      <c r="AK36" s="130" t="n">
        <f aca="false">IF($W36*H36&gt;150000,($W36*H36-150000)*6%*45%,0)</f>
        <v>0</v>
      </c>
      <c r="AL36" s="130" t="n">
        <f aca="false">IF($W36*I36&gt;150000,($W36*I36-150000)*6%*45%,0)</f>
        <v>0</v>
      </c>
      <c r="AM36" s="130" t="n">
        <f aca="false">IF($W36*J36&gt;150000,($W36*J36-150000)*6%*45%,0)</f>
        <v>0</v>
      </c>
      <c r="AN36" s="130" t="n">
        <f aca="false">IF($W36*K36&gt;150000,($W36*K36-150000)*6%*45%,0)</f>
        <v>0</v>
      </c>
      <c r="AO36" s="130" t="n">
        <f aca="false">IF($W36*L36&gt;150000,($W36*L36-150000)*6%*45%,0)</f>
        <v>0</v>
      </c>
      <c r="AP36" s="130" t="n">
        <f aca="false">IF($W36*M36&gt;150000,($W36*M36-150000)*6%*45%,0)</f>
        <v>0</v>
      </c>
      <c r="AQ36" s="130" t="n">
        <f aca="false">IF($W36*N36&gt;150000,($W36*N36-150000)*6%*45%,0)</f>
        <v>0</v>
      </c>
      <c r="AR36" s="130" t="n">
        <f aca="false">IF($W36*O36&gt;150000,($W36*O36-150000)*6%*45%,0)</f>
        <v>0</v>
      </c>
      <c r="AS36" s="130" t="n">
        <f aca="false">IF($W36*P36&gt;150000,($W36*P36-150000)*6%*45%,0)</f>
        <v>0</v>
      </c>
      <c r="AT36" s="130" t="n">
        <f aca="false">IF($W36*Q36&gt;150000,($W36*Q36-150000)*6%*45%,0)</f>
        <v>0</v>
      </c>
      <c r="AU36" s="130" t="n">
        <f aca="false">IF($W36*R36&gt;150000,($W36*R36-150000)*6%*45%,0)</f>
        <v>0</v>
      </c>
      <c r="AV36" s="130" t="n">
        <f aca="false">IF($W36*S36&gt;150000,($W36*S36-150000)*6%*45%,0)</f>
        <v>0</v>
      </c>
      <c r="AW36" s="130" t="n">
        <f aca="false">IF($W36*T36&gt;150000,($W36*T36-150000)*6%*45%,0)</f>
        <v>0</v>
      </c>
      <c r="AX36" s="130"/>
      <c r="AY36" s="131" t="n">
        <f aca="false">IF(ISERROR(VLOOKUP(C36,[26]일용직명단!$A$3:$M$1151,11,FALSE())),0,VLOOKUP(C36,[26]일용직명단!$A$3:$M$1151,11,FALSE()))</f>
        <v>0</v>
      </c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</row>
    <row r="37" customFormat="false" ht="12.6" hidden="false" customHeight="true" outlineLevel="0" collapsed="false">
      <c r="A37" s="108"/>
      <c r="B37" s="271"/>
      <c r="C37" s="266"/>
      <c r="D37" s="267"/>
      <c r="E37" s="140" t="n">
        <f aca="false">IF(ISERROR(VLOOKUP(C36,일용직명단!$A$3:$K$1246,9,FALSE())),0,VLOOKUP(C36,일용직명단!$A$3:$K$1246,9,FALSE()))</f>
        <v>0</v>
      </c>
      <c r="F37" s="195"/>
      <c r="G37" s="270" t="n">
        <v>1</v>
      </c>
      <c r="H37" s="270" t="n">
        <v>1</v>
      </c>
      <c r="I37" s="193"/>
      <c r="J37" s="191"/>
      <c r="K37" s="193"/>
      <c r="L37" s="192"/>
      <c r="M37" s="192"/>
      <c r="N37" s="193"/>
      <c r="O37" s="191"/>
      <c r="P37" s="193"/>
      <c r="Q37" s="193"/>
      <c r="R37" s="192"/>
      <c r="S37" s="192"/>
      <c r="T37" s="192"/>
      <c r="U37" s="191"/>
      <c r="V37" s="120"/>
      <c r="W37" s="138" t="n">
        <f aca="false">W36*V36</f>
        <v>0</v>
      </c>
      <c r="X37" s="122" t="n">
        <f aca="false">IF(AH36&lt;1000,0,AH36)</f>
        <v>0</v>
      </c>
      <c r="Y37" s="122" t="n">
        <f aca="false">ROUNDDOWN(X37*10%,-1)</f>
        <v>0</v>
      </c>
      <c r="Z37" s="123" t="n">
        <f aca="false">IF(AE36&gt;=8,ROUNDDOWN(Y36*$Q$4,-1),0)</f>
        <v>0</v>
      </c>
      <c r="AA37" s="124"/>
      <c r="AB37" s="125"/>
      <c r="AC37" s="127" t="n">
        <f aca="false">IF(ISERROR(VLOOKUP(C36,일용직명단!$A$3:$I$1226,7,FALSE())),0,VLOOKUP(C36,일용직명단!$A$3:$I$1226,7,FALSE()))</f>
        <v>0</v>
      </c>
      <c r="AD37" s="127"/>
      <c r="AE37" s="141"/>
      <c r="AF37" s="129"/>
      <c r="AG37" s="129"/>
      <c r="AH37" s="130"/>
      <c r="AI37" s="130" t="n">
        <f aca="false">IF($W36*F37&gt;150000,($W36*F37-150000)*6%*45%,0)</f>
        <v>0</v>
      </c>
      <c r="AJ37" s="130" t="n">
        <f aca="false">IF($W36*G37&gt;150000,($W36*G37-150000)*6%*45%,0)</f>
        <v>0</v>
      </c>
      <c r="AK37" s="130" t="n">
        <f aca="false">IF($W36*H37&gt;150000,($W36*H37-150000)*6%*45%,0)</f>
        <v>0</v>
      </c>
      <c r="AL37" s="130" t="n">
        <f aca="false">IF($W36*I37&gt;150000,($W36*I37-150000)*6%*45%,0)</f>
        <v>0</v>
      </c>
      <c r="AM37" s="130" t="n">
        <f aca="false">IF($W36*J37&gt;150000,($W36*J37-150000)*6%*45%,0)</f>
        <v>0</v>
      </c>
      <c r="AN37" s="130" t="n">
        <f aca="false">IF($W36*K37&gt;150000,($W36*K37-150000)*6%*45%,0)</f>
        <v>0</v>
      </c>
      <c r="AO37" s="130" t="n">
        <f aca="false">IF($W36*L37&gt;150000,($W36*L37-150000)*6%*45%,0)</f>
        <v>0</v>
      </c>
      <c r="AP37" s="130" t="n">
        <f aca="false">IF($W36*M37&gt;150000,($W36*M37-150000)*6%*45%,0)</f>
        <v>0</v>
      </c>
      <c r="AQ37" s="130" t="n">
        <f aca="false">IF($W36*N37&gt;150000,($W36*N37-150000)*6%*45%,0)</f>
        <v>0</v>
      </c>
      <c r="AR37" s="130" t="n">
        <f aca="false">IF($W36*O37&gt;150000,($W36*O37-150000)*6%*45%,0)</f>
        <v>0</v>
      </c>
      <c r="AS37" s="130" t="n">
        <f aca="false">IF($W36*P37&gt;150000,($W36*P37-150000)*6%*45%,0)</f>
        <v>0</v>
      </c>
      <c r="AT37" s="130" t="n">
        <f aca="false">IF($W36*Q37&gt;150000,($W36*Q37-150000)*6%*45%,0)</f>
        <v>0</v>
      </c>
      <c r="AU37" s="130" t="n">
        <f aca="false">IF($W36*R37&gt;150000,($W36*R37-150000)*6%*45%,0)</f>
        <v>0</v>
      </c>
      <c r="AV37" s="130" t="n">
        <f aca="false">IF($W36*S37&gt;150000,($W36*S37-150000)*6%*45%,0)</f>
        <v>0</v>
      </c>
      <c r="AW37" s="130" t="n">
        <f aca="false">IF($W36*T37&gt;150000,($W36*T37-150000)*6%*45%,0)</f>
        <v>0</v>
      </c>
      <c r="AX37" s="130" t="n">
        <f aca="false">IF($W36*U37&gt;150000,($W36*U37-150000)*6%*45%,0)</f>
        <v>0</v>
      </c>
      <c r="AY37" s="13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</row>
    <row r="38" customFormat="false" ht="12.6" hidden="false" customHeight="true" outlineLevel="0" collapsed="false">
      <c r="A38" s="108" t="n">
        <f aca="false">A36+1</f>
        <v>7</v>
      </c>
      <c r="B38" s="265"/>
      <c r="C38" s="272" t="s">
        <v>102</v>
      </c>
      <c r="D38" s="267" t="n">
        <f aca="false">IF(ISERROR(VLOOKUP(C38,일용직명단!$A$3:$K$1246,3,FALSE())),0,VLOOKUP(C38,일용직명단!$A$3:$K$1246,3,FALSE()))</f>
        <v>0</v>
      </c>
      <c r="E38" s="140" t="n">
        <f aca="false">IF(ISERROR(VLOOKUP(C38,일용직명단!$A$3:$K$1246,4,FALSE())),0,VLOOKUP(C38,일용직명단!$A$3:$K$1246,4,FALSE()))</f>
        <v>0</v>
      </c>
      <c r="F38" s="192"/>
      <c r="G38" s="193"/>
      <c r="H38" s="191"/>
      <c r="I38" s="269" t="n">
        <v>1</v>
      </c>
      <c r="J38" s="268" t="n">
        <v>1</v>
      </c>
      <c r="K38" s="269" t="n">
        <v>1</v>
      </c>
      <c r="L38" s="268" t="n">
        <v>1</v>
      </c>
      <c r="M38" s="192"/>
      <c r="N38" s="193"/>
      <c r="O38" s="193"/>
      <c r="P38" s="192"/>
      <c r="Q38" s="193"/>
      <c r="R38" s="191"/>
      <c r="S38" s="193"/>
      <c r="T38" s="191"/>
      <c r="U38" s="194"/>
      <c r="V38" s="168" t="n">
        <f aca="false">SUM(F38:U39)</f>
        <v>7</v>
      </c>
      <c r="W38" s="121" t="n">
        <f aca="false">IF(ISERROR(VLOOKUP(C38,일용직명단!$A$3:$K$1246,8,FALSE())),0,VLOOKUP(C38,일용직명단!$A$3:$K$1246,8,FALSE()))</f>
        <v>0</v>
      </c>
      <c r="X38" s="123" t="n">
        <f aca="false">IFERROR(IF(AG38&gt;=65,0,ROUNDDOWN(W39*$Z$4,-1)),0)</f>
        <v>0</v>
      </c>
      <c r="Y38" s="123" t="n">
        <f aca="false">IF(AE38&gt;=8,ROUNDDOWN(W39*$M$4,-1),0)</f>
        <v>0</v>
      </c>
      <c r="Z38" s="123" t="n">
        <f aca="false">IFERROR(IF(AND(COUNT(F38:U39)&gt;=8,$AG38&lt;60,W39&lt;=5530000),ROUNDDOWN(ROUNDDOWN(W39,-3)*4.5%,-1),IF(AND(COUNT(F38:U39)&gt;=8,AG38&lt;60,W39&gt;5530000),248850,0)),0)</f>
        <v>0</v>
      </c>
      <c r="AA38" s="124" t="n">
        <f aca="false">+X38+Y38+X39+Y39+Z38+Z39</f>
        <v>0</v>
      </c>
      <c r="AB38" s="146" t="n">
        <f aca="false">W39-AA38</f>
        <v>0</v>
      </c>
      <c r="AC38" s="165" t="n">
        <f aca="false">IF(ISERROR(VLOOKUP(C38,일용직명단!$A$3:$I$1226,5,FALSE())),0,VLOOKUP(C38,일용직명단!$A$3:$I$1226,5,FALSE()))</f>
        <v>0</v>
      </c>
      <c r="AD38" s="166" t="n">
        <f aca="false">IF(ISERROR(VLOOKUP(C38,일용직명단!$A$3:$I$1226,6,FALSE())),0,VLOOKUP(C38,일용직명단!$A$3:$I$1226,6,FALSE()))</f>
        <v>0</v>
      </c>
      <c r="AE38" s="141" t="n">
        <f aca="false">COUNT(F38:U39)</f>
        <v>7</v>
      </c>
      <c r="AF38" s="169" t="str">
        <f aca="false">IF(OR(MID(D38,8,1)="1",MID(D38,8,1)="2"),19&amp;LEFT(D38,2),20&amp;LEFT(D38,2))&amp;"-"&amp;MID(D38,3,2)&amp;"-"&amp;MID(D38,5,2)</f>
        <v>200--</v>
      </c>
      <c r="AG38" s="169" t="e">
        <f aca="true">INT((TODAY()-AF38)/365.25)</f>
        <v>#VALUE!</v>
      </c>
      <c r="AH38" s="130" t="n">
        <f aca="false">ROUNDDOWN(SUM(AI38:AX39),-1)</f>
        <v>0</v>
      </c>
      <c r="AI38" s="130" t="n">
        <f aca="false">IF($W38*F38&gt;150000,($W38*F38-150000)*6%*45%,0)</f>
        <v>0</v>
      </c>
      <c r="AJ38" s="130" t="n">
        <f aca="false">IF($W38*G38&gt;150000,($W38*G38-150000)*6%*45%,0)</f>
        <v>0</v>
      </c>
      <c r="AK38" s="130" t="n">
        <f aca="false">IF($W38*H38&gt;150000,($W38*H38-150000)*6%*45%,0)</f>
        <v>0</v>
      </c>
      <c r="AL38" s="130" t="n">
        <f aca="false">IF($W38*I38&gt;150000,($W38*I38-150000)*6%*45%,0)</f>
        <v>0</v>
      </c>
      <c r="AM38" s="130" t="n">
        <f aca="false">IF($W38*J38&gt;150000,($W38*J38-150000)*6%*45%,0)</f>
        <v>0</v>
      </c>
      <c r="AN38" s="130" t="n">
        <f aca="false">IF($W38*K38&gt;150000,($W38*K38-150000)*6%*45%,0)</f>
        <v>0</v>
      </c>
      <c r="AO38" s="130" t="n">
        <f aca="false">IF($W38*L38&gt;150000,($W38*L38-150000)*6%*45%,0)</f>
        <v>0</v>
      </c>
      <c r="AP38" s="130" t="n">
        <f aca="false">IF($W38*M38&gt;150000,($W38*M38-150000)*6%*45%,0)</f>
        <v>0</v>
      </c>
      <c r="AQ38" s="130" t="n">
        <f aca="false">IF($W38*N38&gt;150000,($W38*N38-150000)*6%*45%,0)</f>
        <v>0</v>
      </c>
      <c r="AR38" s="130" t="n">
        <f aca="false">IF($W38*O38&gt;150000,($W38*O38-150000)*6%*45%,0)</f>
        <v>0</v>
      </c>
      <c r="AS38" s="130" t="n">
        <f aca="false">IF($W38*P38&gt;150000,($W38*P38-150000)*6%*45%,0)</f>
        <v>0</v>
      </c>
      <c r="AT38" s="130" t="n">
        <f aca="false">IF($W38*Q38&gt;150000,($W38*Q38-150000)*6%*45%,0)</f>
        <v>0</v>
      </c>
      <c r="AU38" s="130" t="n">
        <f aca="false">IF($W38*R38&gt;150000,($W38*R38-150000)*6%*45%,0)</f>
        <v>0</v>
      </c>
      <c r="AV38" s="130" t="n">
        <f aca="false">IF($W38*S38&gt;150000,($W38*S38-150000)*6%*45%,0)</f>
        <v>0</v>
      </c>
      <c r="AW38" s="130" t="n">
        <f aca="false">IF($W38*T38&gt;150000,($W38*T38-150000)*6%*45%,0)</f>
        <v>0</v>
      </c>
      <c r="AX38" s="130"/>
      <c r="AY38" s="131" t="n">
        <f aca="false">IF(ISERROR(VLOOKUP(C38,[26]일용직명단!$A$3:$M$1151,11,FALSE())),0,VLOOKUP(C38,[26]일용직명단!$A$3:$M$1151,11,FALSE()))</f>
        <v>0</v>
      </c>
      <c r="AZ38" s="11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</row>
    <row r="39" customFormat="false" ht="12.6" hidden="false" customHeight="true" outlineLevel="0" collapsed="false">
      <c r="A39" s="108"/>
      <c r="B39" s="265"/>
      <c r="C39" s="272"/>
      <c r="D39" s="267"/>
      <c r="E39" s="140" t="n">
        <f aca="false">IF(ISERROR(VLOOKUP(C38,일용직명단!$A$3:$K$1246,9,FALSE())),0,VLOOKUP(C38,일용직명단!$A$3:$K$1246,9,FALSE()))</f>
        <v>0</v>
      </c>
      <c r="F39" s="195"/>
      <c r="G39" s="196"/>
      <c r="H39" s="196"/>
      <c r="I39" s="193"/>
      <c r="J39" s="191"/>
      <c r="K39" s="193"/>
      <c r="L39" s="192"/>
      <c r="M39" s="192"/>
      <c r="N39" s="273" t="n">
        <v>1</v>
      </c>
      <c r="O39" s="191"/>
      <c r="P39" s="273" t="n">
        <v>1</v>
      </c>
      <c r="Q39" s="193"/>
      <c r="R39" s="268" t="n">
        <v>1</v>
      </c>
      <c r="S39" s="192"/>
      <c r="T39" s="192"/>
      <c r="U39" s="191"/>
      <c r="V39" s="168"/>
      <c r="W39" s="138" t="n">
        <f aca="false">W38*V38</f>
        <v>0</v>
      </c>
      <c r="X39" s="123" t="n">
        <f aca="false">IF(AH38&lt;1000,0,AH38)</f>
        <v>0</v>
      </c>
      <c r="Y39" s="123" t="n">
        <f aca="false">ROUNDDOWN(X39*10%,-1)</f>
        <v>0</v>
      </c>
      <c r="Z39" s="123" t="n">
        <f aca="false">IF(AE38&gt;=8,ROUNDDOWN(Y38*$Q$4,-1),0)</f>
        <v>0</v>
      </c>
      <c r="AA39" s="124"/>
      <c r="AB39" s="146"/>
      <c r="AC39" s="166" t="n">
        <f aca="false">IF(ISERROR(VLOOKUP(C38,일용직명단!$A$3:$I$1226,7,FALSE())),0,VLOOKUP(C38,일용직명단!$A$3:$I$1226,7,FALSE()))</f>
        <v>0</v>
      </c>
      <c r="AD39" s="166"/>
      <c r="AE39" s="141"/>
      <c r="AF39" s="169"/>
      <c r="AG39" s="169"/>
      <c r="AH39" s="130"/>
      <c r="AI39" s="130" t="n">
        <f aca="false">IF($W38*F39&gt;150000,($W38*F39-150000)*6%*45%,0)</f>
        <v>0</v>
      </c>
      <c r="AJ39" s="130" t="n">
        <f aca="false">IF($W38*G39&gt;150000,($W38*G39-150000)*6%*45%,0)</f>
        <v>0</v>
      </c>
      <c r="AK39" s="130" t="n">
        <f aca="false">IF($W38*H39&gt;150000,($W38*H39-150000)*6%*45%,0)</f>
        <v>0</v>
      </c>
      <c r="AL39" s="130" t="n">
        <f aca="false">IF($W38*I39&gt;150000,($W38*I39-150000)*6%*45%,0)</f>
        <v>0</v>
      </c>
      <c r="AM39" s="130" t="n">
        <f aca="false">IF($W38*J39&gt;150000,($W38*J39-150000)*6%*45%,0)</f>
        <v>0</v>
      </c>
      <c r="AN39" s="130" t="n">
        <f aca="false">IF($W38*K39&gt;150000,($W38*K39-150000)*6%*45%,0)</f>
        <v>0</v>
      </c>
      <c r="AO39" s="130" t="n">
        <f aca="false">IF($W38*L39&gt;150000,($W38*L39-150000)*6%*45%,0)</f>
        <v>0</v>
      </c>
      <c r="AP39" s="130" t="n">
        <f aca="false">IF($W38*M39&gt;150000,($W38*M39-150000)*6%*45%,0)</f>
        <v>0</v>
      </c>
      <c r="AQ39" s="130" t="n">
        <f aca="false">IF($W38*N39&gt;150000,($W38*N39-150000)*6%*45%,0)</f>
        <v>0</v>
      </c>
      <c r="AR39" s="130" t="n">
        <f aca="false">IF($W38*O39&gt;150000,($W38*O39-150000)*6%*45%,0)</f>
        <v>0</v>
      </c>
      <c r="AS39" s="130" t="n">
        <f aca="false">IF($W38*P39&gt;150000,($W38*P39-150000)*6%*45%,0)</f>
        <v>0</v>
      </c>
      <c r="AT39" s="130" t="n">
        <f aca="false">IF($W38*Q39&gt;150000,($W38*Q39-150000)*6%*45%,0)</f>
        <v>0</v>
      </c>
      <c r="AU39" s="130" t="n">
        <f aca="false">IF($W38*R39&gt;150000,($W38*R39-150000)*6%*45%,0)</f>
        <v>0</v>
      </c>
      <c r="AV39" s="130" t="n">
        <f aca="false">IF($W38*S39&gt;150000,($W38*S39-150000)*6%*45%,0)</f>
        <v>0</v>
      </c>
      <c r="AW39" s="130" t="n">
        <f aca="false">IF($W38*T39&gt;150000,($W38*T39-150000)*6%*45%,0)</f>
        <v>0</v>
      </c>
      <c r="AX39" s="130" t="n">
        <f aca="false">IF($W38*U39&gt;150000,($W38*U39-150000)*6%*45%,0)</f>
        <v>0</v>
      </c>
      <c r="AY39" s="131"/>
      <c r="AZ39" s="11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</row>
    <row r="40" customFormat="false" ht="12.6" hidden="false" customHeight="true" outlineLevel="0" collapsed="false">
      <c r="A40" s="108" t="n">
        <f aca="false">A26+1</f>
        <v>10</v>
      </c>
      <c r="B40" s="274"/>
      <c r="C40" s="275" t="s">
        <v>54</v>
      </c>
      <c r="D40" s="111" t="str">
        <f aca="false">IF(ISERROR(VLOOKUP(C40,일용직명단!$A$3:$K$1246,3,FALSE())),0,VLOOKUP(C40,일용직명단!$A$3:$K$1246,3,FALSE()))</f>
        <v>601219-1386711</v>
      </c>
      <c r="E40" s="140" t="str">
        <f aca="false">IF(ISERROR(VLOOKUP(C40,일용직명단!$A$3:$K$1246,4,FALSE())),0,VLOOKUP(C40,일용직명단!$A$3:$K$1246,4,FALSE()))</f>
        <v>충북 영동군 양강면 내만길 173 (만계리 156-4)</v>
      </c>
      <c r="F40" s="192"/>
      <c r="G40" s="192"/>
      <c r="H40" s="192"/>
      <c r="I40" s="191"/>
      <c r="J40" s="192"/>
      <c r="K40" s="276" t="n">
        <v>1</v>
      </c>
      <c r="L40" s="277" t="n">
        <v>1</v>
      </c>
      <c r="M40" s="277" t="n">
        <v>1</v>
      </c>
      <c r="N40" s="193"/>
      <c r="O40" s="191"/>
      <c r="P40" s="277" t="n">
        <v>1</v>
      </c>
      <c r="Q40" s="278" t="n">
        <v>1</v>
      </c>
      <c r="R40" s="276" t="n">
        <v>1</v>
      </c>
      <c r="S40" s="278" t="n">
        <v>1</v>
      </c>
      <c r="T40" s="276" t="n">
        <v>1</v>
      </c>
      <c r="U40" s="194"/>
      <c r="V40" s="168" t="n">
        <f aca="false">SUM(F40:U41)</f>
        <v>12</v>
      </c>
      <c r="W40" s="121" t="n">
        <f aca="false">IF(ISERROR(VLOOKUP(C40,일용직명단!$A$3:$K$1246,8,FALSE())),0,VLOOKUP(C40,일용직명단!$A$3:$K$1246,8,FALSE()))</f>
        <v>150000</v>
      </c>
      <c r="X40" s="123" t="n">
        <f aca="false">IFERROR(IF(AG40&gt;=65,0,ROUNDDOWN(W41*$Z$4,-1)),0)</f>
        <v>0</v>
      </c>
      <c r="Y40" s="123" t="n">
        <f aca="false">IF(AE40&gt;=8,ROUNDDOWN(W41*$M$4,-1),0)</f>
        <v>63810</v>
      </c>
      <c r="Z40" s="123" t="n">
        <f aca="false">IFERROR(IF(AND(COUNT(F40:U41)&gt;=8,$AG40&lt;60,W41&lt;=5530000),ROUNDDOWN(ROUNDDOWN(W41,-3)*4.5%,-1),IF(AND(COUNT(F40:U41)&gt;=8,AG40&lt;60,W41&gt;5530000),248850,0)),0)</f>
        <v>0</v>
      </c>
      <c r="AA40" s="145" t="n">
        <f aca="false">+X40+Y40+X41+Y41+Z40+Z41</f>
        <v>67940</v>
      </c>
      <c r="AB40" s="146" t="n">
        <f aca="false">W41-AA40</f>
        <v>1732060</v>
      </c>
      <c r="AC40" s="165" t="str">
        <f aca="false">IF(ISERROR(VLOOKUP(C40,일용직명단!$A$3:$I$1226,5,FALSE())),0,VLOOKUP(C40,일용직명단!$A$3:$I$1226,5,FALSE()))</f>
        <v>농협</v>
      </c>
      <c r="AD40" s="166" t="str">
        <f aca="false">IF(ISERROR(VLOOKUP(C40,일용직명단!$A$3:$I$1226,6,FALSE())),0,VLOOKUP(C40,일용직명단!$A$3:$I$1226,6,FALSE()))</f>
        <v>민헌기</v>
      </c>
      <c r="AE40" s="141" t="n">
        <f aca="false">COUNT(F40:U41)</f>
        <v>12</v>
      </c>
      <c r="AF40" s="169" t="str">
        <f aca="false">IF(OR(MID(D40,8,1)="1",MID(D40,8,1)="2"),19&amp;LEFT(D40,2),20&amp;LEFT(D40,2))&amp;"-"&amp;MID(D40,3,2)&amp;"-"&amp;MID(D40,5,2)</f>
        <v>1960-12-19</v>
      </c>
      <c r="AG40" s="169" t="n">
        <f aca="true">INT((TODAY()-AF40)/365.25)</f>
        <v>65</v>
      </c>
      <c r="AH40" s="130" t="n">
        <f aca="false">ROUNDDOWN(SUM(AI40:AX41),-1)</f>
        <v>0</v>
      </c>
      <c r="AI40" s="130" t="n">
        <f aca="false">IF($W40*F40&gt;150000,($W40*F40-150000)*6%*45%,0)</f>
        <v>0</v>
      </c>
      <c r="AJ40" s="130" t="n">
        <f aca="false">IF($W40*G40&gt;150000,($W40*G40-150000)*6%*45%,0)</f>
        <v>0</v>
      </c>
      <c r="AK40" s="130" t="n">
        <f aca="false">IF($W40*H40&gt;150000,($W40*H40-150000)*6%*45%,0)</f>
        <v>0</v>
      </c>
      <c r="AL40" s="130" t="n">
        <f aca="false">IF($W40*I40&gt;150000,($W40*I40-150000)*6%*45%,0)</f>
        <v>0</v>
      </c>
      <c r="AM40" s="130" t="n">
        <f aca="false">IF($W40*J40&gt;150000,($W40*J40-150000)*6%*45%,0)</f>
        <v>0</v>
      </c>
      <c r="AN40" s="130" t="n">
        <f aca="false">IF($W40*K40&gt;150000,($W40*K40-150000)*6%*45%,0)</f>
        <v>0</v>
      </c>
      <c r="AO40" s="130" t="n">
        <f aca="false">IF($W40*L40&gt;150000,($W40*L40-150000)*6%*45%,0)</f>
        <v>0</v>
      </c>
      <c r="AP40" s="130" t="n">
        <f aca="false">IF($W40*M40&gt;150000,($W40*M40-150000)*6%*45%,0)</f>
        <v>0</v>
      </c>
      <c r="AQ40" s="130" t="n">
        <f aca="false">IF($W40*N40&gt;150000,($W40*N40-150000)*6%*45%,0)</f>
        <v>0</v>
      </c>
      <c r="AR40" s="130" t="n">
        <f aca="false">IF($W40*O40&gt;150000,($W40*O40-150000)*6%*45%,0)</f>
        <v>0</v>
      </c>
      <c r="AS40" s="130" t="n">
        <f aca="false">IF($W40*P40&gt;150000,($W40*P40-150000)*6%*45%,0)</f>
        <v>0</v>
      </c>
      <c r="AT40" s="130" t="n">
        <f aca="false">IF($W40*Q40&gt;150000,($W40*Q40-150000)*6%*45%,0)</f>
        <v>0</v>
      </c>
      <c r="AU40" s="130" t="n">
        <f aca="false">IF($W40*R40&gt;150000,($W40*R40-150000)*6%*45%,0)</f>
        <v>0</v>
      </c>
      <c r="AV40" s="130" t="n">
        <f aca="false">IF($W40*S40&gt;150000,($W40*S40-150000)*6%*45%,0)</f>
        <v>0</v>
      </c>
      <c r="AW40" s="130" t="n">
        <f aca="false">IF($W40*T40&gt;150000,($W40*T40-150000)*6%*45%,0)</f>
        <v>0</v>
      </c>
      <c r="AX40" s="130"/>
      <c r="AY40" s="131" t="str">
        <f aca="false">IF(ISERROR(VLOOKUP(C40,[26]일용직명단!$A$3:$M$1151,11,FALSE())),0,VLOOKUP(C40,[26]일용직명단!$A$3:$M$1151,11,FALSE()))</f>
        <v>29157</v>
      </c>
      <c r="AZ40" s="11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</row>
    <row r="41" customFormat="false" ht="12.6" hidden="false" customHeight="true" outlineLevel="0" collapsed="false">
      <c r="A41" s="108"/>
      <c r="B41" s="274"/>
      <c r="C41" s="275"/>
      <c r="D41" s="111"/>
      <c r="E41" s="140" t="str">
        <f aca="false">IF(ISERROR(VLOOKUP(C40,일용직명단!$A$3:$K$1246,9,FALSE())),0,VLOOKUP(C40,일용직명단!$A$3:$K$1246,9,FALSE()))</f>
        <v>010-5338-5196</v>
      </c>
      <c r="F41" s="195"/>
      <c r="G41" s="279" t="n">
        <v>1</v>
      </c>
      <c r="H41" s="279" t="n">
        <v>1</v>
      </c>
      <c r="I41" s="278" t="n">
        <v>1</v>
      </c>
      <c r="J41" s="276" t="n">
        <v>1</v>
      </c>
      <c r="K41" s="193"/>
      <c r="L41" s="192"/>
      <c r="M41" s="192"/>
      <c r="N41" s="193"/>
      <c r="O41" s="191"/>
      <c r="P41" s="193"/>
      <c r="Q41" s="193"/>
      <c r="R41" s="192"/>
      <c r="S41" s="192"/>
      <c r="T41" s="192"/>
      <c r="U41" s="191"/>
      <c r="V41" s="168"/>
      <c r="W41" s="138" t="n">
        <f aca="false">W40*V40</f>
        <v>1800000</v>
      </c>
      <c r="X41" s="123" t="n">
        <f aca="false">IF(AH40&lt;1000,0,AH40)</f>
        <v>0</v>
      </c>
      <c r="Y41" s="123" t="n">
        <f aca="false">ROUNDDOWN(X41*10%,-1)</f>
        <v>0</v>
      </c>
      <c r="Z41" s="123" t="n">
        <f aca="false">IF(AE40&gt;=8,ROUNDDOWN(Y40*$Q$4,-1),0)</f>
        <v>4130</v>
      </c>
      <c r="AA41" s="145"/>
      <c r="AB41" s="146"/>
      <c r="AC41" s="166" t="str">
        <f aca="false">IF(ISERROR(VLOOKUP(C40,일용직명단!$A$3:$I$1226,7,FALSE())),0,VLOOKUP(C40,일용직명단!$A$3:$I$1226,7,FALSE()))</f>
        <v>352-0293-9952-13</v>
      </c>
      <c r="AD41" s="166"/>
      <c r="AE41" s="141"/>
      <c r="AF41" s="169"/>
      <c r="AG41" s="169"/>
      <c r="AH41" s="130"/>
      <c r="AI41" s="130" t="n">
        <f aca="false">IF($W40*F41&gt;150000,($W40*F41-150000)*6%*45%,0)</f>
        <v>0</v>
      </c>
      <c r="AJ41" s="130" t="n">
        <f aca="false">IF($W40*G41&gt;150000,($W40*G41-150000)*6%*45%,0)</f>
        <v>0</v>
      </c>
      <c r="AK41" s="130" t="n">
        <f aca="false">IF($W40*H41&gt;150000,($W40*H41-150000)*6%*45%,0)</f>
        <v>0</v>
      </c>
      <c r="AL41" s="130" t="n">
        <f aca="false">IF($W40*I41&gt;150000,($W40*I41-150000)*6%*45%,0)</f>
        <v>0</v>
      </c>
      <c r="AM41" s="130" t="n">
        <f aca="false">IF($W40*J41&gt;150000,($W40*J41-150000)*6%*45%,0)</f>
        <v>0</v>
      </c>
      <c r="AN41" s="130" t="n">
        <f aca="false">IF($W40*K41&gt;150000,($W40*K41-150000)*6%*45%,0)</f>
        <v>0</v>
      </c>
      <c r="AO41" s="130" t="n">
        <f aca="false">IF($W40*L41&gt;150000,($W40*L41-150000)*6%*45%,0)</f>
        <v>0</v>
      </c>
      <c r="AP41" s="130" t="n">
        <f aca="false">IF($W40*M41&gt;150000,($W40*M41-150000)*6%*45%,0)</f>
        <v>0</v>
      </c>
      <c r="AQ41" s="130" t="n">
        <f aca="false">IF($W40*N41&gt;150000,($W40*N41-150000)*6%*45%,0)</f>
        <v>0</v>
      </c>
      <c r="AR41" s="130" t="n">
        <f aca="false">IF($W40*O41&gt;150000,($W40*O41-150000)*6%*45%,0)</f>
        <v>0</v>
      </c>
      <c r="AS41" s="130" t="n">
        <f aca="false">IF($W40*P41&gt;150000,($W40*P41-150000)*6%*45%,0)</f>
        <v>0</v>
      </c>
      <c r="AT41" s="130" t="n">
        <f aca="false">IF($W40*Q41&gt;150000,($W40*Q41-150000)*6%*45%,0)</f>
        <v>0</v>
      </c>
      <c r="AU41" s="130" t="n">
        <f aca="false">IF($W40*R41&gt;150000,($W40*R41-150000)*6%*45%,0)</f>
        <v>0</v>
      </c>
      <c r="AV41" s="130" t="n">
        <f aca="false">IF($W40*S41&gt;150000,($W40*S41-150000)*6%*45%,0)</f>
        <v>0</v>
      </c>
      <c r="AW41" s="130" t="n">
        <f aca="false">IF($W40*T41&gt;150000,($W40*T41-150000)*6%*45%,0)</f>
        <v>0</v>
      </c>
      <c r="AX41" s="130" t="n">
        <f aca="false">IF($W40*U41&gt;150000,($W40*U41-150000)*6%*45%,0)</f>
        <v>0</v>
      </c>
      <c r="AY41" s="131"/>
      <c r="AZ41" s="11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</row>
    <row r="42" customFormat="false" ht="12.6" hidden="false" customHeight="true" outlineLevel="0" collapsed="false">
      <c r="A42" s="108" t="n">
        <f aca="false">A40+1</f>
        <v>11</v>
      </c>
      <c r="B42" s="274" t="n">
        <f aca="false">IF(ISERROR(VLOOKUP(C42,일용직명단!$A$3:$I$104,2,FALSE())),0,VLOOKUP(C42,일용직명단!$A$3:$I$104,2,FALSE()))</f>
        <v>0</v>
      </c>
      <c r="C42" s="275" t="s">
        <v>63</v>
      </c>
      <c r="D42" s="111" t="str">
        <f aca="false">IF(ISERROR(VLOOKUP(C42,일용직명단!$A$3:$K$1246,3,FALSE())),0,VLOOKUP(C42,일용직명단!$A$3:$K$1246,3,FALSE()))</f>
        <v>630605-1182813</v>
      </c>
      <c r="E42" s="164" t="str">
        <f aca="false">IF(ISERROR(VLOOKUP(C42,일용직명단!$A$3:$K$1246,4,FALSE())),0,VLOOKUP(C42,일용직명단!$A$3:$K$1246,4,FALSE()))</f>
        <v>인천광역시 남동구 인주대로 857, 102동 105호(만수동,삼환아파트)</v>
      </c>
      <c r="F42" s="192"/>
      <c r="G42" s="192"/>
      <c r="H42" s="192"/>
      <c r="I42" s="191"/>
      <c r="J42" s="192"/>
      <c r="K42" s="276" t="n">
        <v>1</v>
      </c>
      <c r="L42" s="277" t="n">
        <v>1</v>
      </c>
      <c r="M42" s="277" t="n">
        <v>1</v>
      </c>
      <c r="N42" s="193"/>
      <c r="O42" s="191"/>
      <c r="P42" s="277" t="n">
        <v>1</v>
      </c>
      <c r="Q42" s="278" t="n">
        <v>1</v>
      </c>
      <c r="R42" s="276" t="n">
        <v>1</v>
      </c>
      <c r="S42" s="278" t="n">
        <v>1</v>
      </c>
      <c r="T42" s="276" t="n">
        <v>1</v>
      </c>
      <c r="U42" s="194"/>
      <c r="V42" s="144" t="n">
        <f aca="false">SUM(F42:U43)</f>
        <v>12</v>
      </c>
      <c r="W42" s="121" t="n">
        <f aca="false">IF(ISERROR(VLOOKUP(C42,일용직명단!$A$3:$K$1246,8,FALSE())),0,VLOOKUP(C42,일용직명단!$A$3:$K$1246,8,FALSE()))</f>
        <v>150000</v>
      </c>
      <c r="X42" s="123" t="n">
        <f aca="false">IFERROR(IF(AG42&gt;=65,0,ROUNDDOWN(W43*$Z$4,-1)),0)</f>
        <v>16200</v>
      </c>
      <c r="Y42" s="123" t="n">
        <f aca="false">IF(AE42&gt;=8,ROUNDDOWN(W43*$M$4,-1),0)</f>
        <v>63810</v>
      </c>
      <c r="Z42" s="123" t="n">
        <f aca="false">IFERROR(IF(AND(COUNT(F42:U43)&gt;=8,$AG42&lt;60,W43&lt;=5530000),ROUNDDOWN(ROUNDDOWN(W43,-3)*4.5%,-1),IF(AND(COUNT(F42:U43)&gt;=8,AG42&lt;60,W43&gt;5530000),248850,0)),0)</f>
        <v>0</v>
      </c>
      <c r="AA42" s="145" t="n">
        <f aca="false">+X42+Y42+X43+Y43+Z42+Z43</f>
        <v>84140</v>
      </c>
      <c r="AB42" s="146" t="n">
        <f aca="false">W43-AA42</f>
        <v>1715860</v>
      </c>
      <c r="AC42" s="165" t="str">
        <f aca="false">IF(ISERROR(VLOOKUP(C42,일용직명단!$A$3:$I$1226,5,FALSE())),0,VLOOKUP(C42,일용직명단!$A$3:$I$1226,5,FALSE()))</f>
        <v>새마을</v>
      </c>
      <c r="AD42" s="166" t="str">
        <f aca="false">IF(ISERROR(VLOOKUP(C42,일용직명단!$A$3:$I$1226,6,FALSE())),0,VLOOKUP(C42,일용직명단!$A$3:$I$1226,6,FALSE()))</f>
        <v>박봉열</v>
      </c>
      <c r="AE42" s="128" t="n">
        <f aca="false">COUNT(F42:U43)</f>
        <v>12</v>
      </c>
      <c r="AF42" s="129" t="str">
        <f aca="false">IF(OR(MID(D42,8,1)="1",MID(D42,8,1)="2"),19&amp;LEFT(D42,2),20&amp;LEFT(D42,2))&amp;"-"&amp;MID(D42,3,2)&amp;"-"&amp;MID(D42,5,2)</f>
        <v>1963-06-05</v>
      </c>
      <c r="AG42" s="129" t="n">
        <f aca="true">INT((TODAY()-AF42)/365.25)</f>
        <v>62</v>
      </c>
      <c r="AH42" s="130" t="n">
        <f aca="false">ROUNDDOWN(SUM(AI42:AX43),-1)</f>
        <v>0</v>
      </c>
      <c r="AI42" s="130" t="n">
        <f aca="false">IF($W42*F42&gt;150000,($W42*F42-150000)*6%*45%,0)</f>
        <v>0</v>
      </c>
      <c r="AJ42" s="130" t="n">
        <f aca="false">IF($W42*G42&gt;150000,($W42*G42-150000)*6%*45%,0)</f>
        <v>0</v>
      </c>
      <c r="AK42" s="130" t="n">
        <f aca="false">IF($W42*H42&gt;150000,($W42*H42-150000)*6%*45%,0)</f>
        <v>0</v>
      </c>
      <c r="AL42" s="130" t="n">
        <f aca="false">IF($W42*I42&gt;150000,($W42*I42-150000)*6%*45%,0)</f>
        <v>0</v>
      </c>
      <c r="AM42" s="130" t="n">
        <f aca="false">IF($W42*J42&gt;150000,($W42*J42-150000)*6%*45%,0)</f>
        <v>0</v>
      </c>
      <c r="AN42" s="130" t="n">
        <f aca="false">IF($W42*K42&gt;150000,($W42*K42-150000)*6%*45%,0)</f>
        <v>0</v>
      </c>
      <c r="AO42" s="130" t="n">
        <f aca="false">IF($W42*L42&gt;150000,($W42*L42-150000)*6%*45%,0)</f>
        <v>0</v>
      </c>
      <c r="AP42" s="130" t="n">
        <f aca="false">IF($W42*M42&gt;150000,($W42*M42-150000)*6%*45%,0)</f>
        <v>0</v>
      </c>
      <c r="AQ42" s="130" t="n">
        <f aca="false">IF($W42*N42&gt;150000,($W42*N42-150000)*6%*45%,0)</f>
        <v>0</v>
      </c>
      <c r="AR42" s="130" t="n">
        <f aca="false">IF($W42*O42&gt;150000,($W42*O42-150000)*6%*45%,0)</f>
        <v>0</v>
      </c>
      <c r="AS42" s="130" t="n">
        <f aca="false">IF($W42*P42&gt;150000,($W42*P42-150000)*6%*45%,0)</f>
        <v>0</v>
      </c>
      <c r="AT42" s="130" t="n">
        <f aca="false">IF($W42*Q42&gt;150000,($W42*Q42-150000)*6%*45%,0)</f>
        <v>0</v>
      </c>
      <c r="AU42" s="130" t="n">
        <f aca="false">IF($W42*R42&gt;150000,($W42*R42-150000)*6%*45%,0)</f>
        <v>0</v>
      </c>
      <c r="AV42" s="130" t="n">
        <f aca="false">IF($W42*S42&gt;150000,($W42*S42-150000)*6%*45%,0)</f>
        <v>0</v>
      </c>
      <c r="AW42" s="130" t="n">
        <f aca="false">IF($W42*T42&gt;150000,($W42*T42-150000)*6%*45%,0)</f>
        <v>0</v>
      </c>
      <c r="AX42" s="130"/>
      <c r="AY42" s="131" t="n">
        <f aca="false">IF(ISERROR(VLOOKUP(C42,[26]일용직명단!$A$3:$M$1151,11,FALSE())),0,VLOOKUP(C42,[26]일용직명단!$A$3:$M$1151,11,FALSE()))</f>
        <v>0</v>
      </c>
      <c r="AZ42" s="11"/>
      <c r="BA42" s="167"/>
      <c r="BB42" s="167"/>
      <c r="BC42" s="167"/>
      <c r="BD42" s="167"/>
      <c r="BE42" s="167"/>
      <c r="BF42" s="167"/>
      <c r="BG42" s="167"/>
      <c r="BH42" s="167"/>
      <c r="BI42" s="167"/>
      <c r="BJ42" s="167"/>
      <c r="BK42" s="167"/>
      <c r="BL42" s="167"/>
      <c r="BM42" s="167"/>
      <c r="BN42" s="167"/>
      <c r="BO42" s="167"/>
      <c r="BP42" s="167"/>
      <c r="BQ42" s="167"/>
      <c r="BR42" s="167"/>
      <c r="BS42" s="167"/>
      <c r="BT42" s="167"/>
      <c r="BU42" s="167"/>
      <c r="BV42" s="167"/>
      <c r="BW42" s="167"/>
      <c r="BX42" s="167"/>
      <c r="BY42" s="167"/>
      <c r="BZ42" s="167"/>
      <c r="CA42" s="167"/>
      <c r="CB42" s="167"/>
      <c r="CC42" s="167"/>
      <c r="CD42" s="167"/>
      <c r="CE42" s="167"/>
      <c r="CF42" s="167"/>
      <c r="CG42" s="167"/>
      <c r="CH42" s="167"/>
      <c r="CI42" s="167"/>
      <c r="CJ42" s="167"/>
      <c r="CK42" s="167"/>
      <c r="CL42" s="167"/>
      <c r="CM42" s="167"/>
      <c r="CN42" s="167"/>
      <c r="CO42" s="167"/>
      <c r="CP42" s="167"/>
      <c r="CQ42" s="167"/>
      <c r="CR42" s="167"/>
      <c r="CS42" s="167"/>
      <c r="CT42" s="167"/>
      <c r="CU42" s="167"/>
      <c r="CV42" s="167"/>
      <c r="CW42" s="167"/>
      <c r="CX42" s="167"/>
      <c r="CY42" s="167"/>
      <c r="CZ42" s="167"/>
      <c r="DA42" s="167"/>
      <c r="DB42" s="167"/>
      <c r="DC42" s="167"/>
      <c r="DD42" s="167"/>
      <c r="DE42" s="167"/>
      <c r="DF42" s="167"/>
      <c r="DG42" s="167"/>
      <c r="DH42" s="167"/>
      <c r="DI42" s="167"/>
      <c r="DJ42" s="167"/>
      <c r="DK42" s="167"/>
      <c r="DL42" s="167"/>
      <c r="DM42" s="167"/>
      <c r="DN42" s="167"/>
      <c r="DO42" s="167"/>
      <c r="DP42" s="167"/>
      <c r="DQ42" s="167"/>
      <c r="DR42" s="167"/>
      <c r="DS42" s="167"/>
      <c r="DT42" s="167"/>
      <c r="DU42" s="167"/>
      <c r="DV42" s="167"/>
      <c r="DW42" s="167"/>
      <c r="DX42" s="167"/>
      <c r="DY42" s="167"/>
      <c r="DZ42" s="167"/>
      <c r="EA42" s="167"/>
      <c r="EB42" s="167"/>
      <c r="EC42" s="167"/>
      <c r="ED42" s="167"/>
      <c r="EE42" s="167"/>
      <c r="EF42" s="167"/>
      <c r="EG42" s="167"/>
      <c r="EH42" s="167"/>
      <c r="EI42" s="167"/>
      <c r="EJ42" s="167"/>
      <c r="EK42" s="167"/>
      <c r="EL42" s="167"/>
      <c r="EM42" s="167"/>
      <c r="EN42" s="167"/>
      <c r="EO42" s="167"/>
      <c r="EP42" s="167"/>
      <c r="EQ42" s="167"/>
      <c r="ER42" s="167"/>
      <c r="ES42" s="167"/>
      <c r="ET42" s="167"/>
      <c r="EU42" s="167"/>
      <c r="EV42" s="167"/>
      <c r="EW42" s="167"/>
      <c r="EX42" s="167"/>
      <c r="EY42" s="167"/>
      <c r="EZ42" s="167"/>
      <c r="FA42" s="167"/>
      <c r="FB42" s="167"/>
      <c r="FC42" s="167"/>
      <c r="FD42" s="167"/>
      <c r="FE42" s="167"/>
      <c r="FF42" s="167"/>
      <c r="FG42" s="167"/>
      <c r="FH42" s="167"/>
      <c r="FI42" s="167"/>
      <c r="FJ42" s="167"/>
      <c r="FK42" s="167"/>
      <c r="FL42" s="167"/>
      <c r="FM42" s="167"/>
      <c r="FN42" s="167"/>
      <c r="FO42" s="167"/>
      <c r="FP42" s="167"/>
      <c r="FQ42" s="167"/>
      <c r="FR42" s="167"/>
      <c r="FS42" s="167"/>
      <c r="FT42" s="167"/>
      <c r="FU42" s="167"/>
      <c r="FV42" s="167"/>
      <c r="FW42" s="167"/>
      <c r="FX42" s="167"/>
      <c r="FY42" s="167"/>
      <c r="FZ42" s="167"/>
      <c r="GA42" s="167"/>
      <c r="GB42" s="167"/>
      <c r="GC42" s="167"/>
      <c r="GD42" s="167"/>
      <c r="GE42" s="167"/>
      <c r="GF42" s="167"/>
      <c r="GG42" s="167"/>
      <c r="GH42" s="167"/>
      <c r="GI42" s="167"/>
      <c r="GJ42" s="167"/>
      <c r="GK42" s="167"/>
      <c r="GL42" s="167"/>
      <c r="GM42" s="167"/>
      <c r="GN42" s="167"/>
      <c r="GO42" s="167"/>
      <c r="GP42" s="167"/>
      <c r="GQ42" s="167"/>
      <c r="GR42" s="167"/>
      <c r="GS42" s="167"/>
      <c r="GT42" s="167"/>
      <c r="GU42" s="167"/>
      <c r="GV42" s="167"/>
      <c r="GW42" s="167"/>
      <c r="GX42" s="167"/>
      <c r="GY42" s="167"/>
      <c r="GZ42" s="167"/>
      <c r="HA42" s="167"/>
      <c r="HB42" s="167"/>
      <c r="HC42" s="167"/>
      <c r="HD42" s="167"/>
      <c r="HE42" s="167"/>
      <c r="HF42" s="167"/>
      <c r="HG42" s="167"/>
      <c r="HH42" s="167"/>
      <c r="HI42" s="167"/>
      <c r="HJ42" s="167"/>
      <c r="HK42" s="167"/>
      <c r="HL42" s="167"/>
      <c r="HM42" s="167"/>
      <c r="HN42" s="167"/>
      <c r="HO42" s="167"/>
      <c r="HP42" s="167"/>
      <c r="HQ42" s="167"/>
      <c r="HR42" s="167"/>
      <c r="HS42" s="167"/>
      <c r="HT42" s="167"/>
      <c r="HU42" s="167"/>
      <c r="HV42" s="167"/>
      <c r="HW42" s="167"/>
      <c r="HX42" s="167"/>
      <c r="HY42" s="167"/>
      <c r="HZ42" s="167"/>
      <c r="IA42" s="167"/>
      <c r="IB42" s="167"/>
      <c r="IC42" s="167"/>
      <c r="ID42" s="167"/>
      <c r="IE42" s="167"/>
      <c r="IF42" s="167"/>
      <c r="IG42" s="167"/>
      <c r="IH42" s="167"/>
      <c r="II42" s="167"/>
      <c r="IJ42" s="167"/>
      <c r="IK42" s="167"/>
      <c r="IL42" s="167"/>
      <c r="IM42" s="167"/>
      <c r="IN42" s="167"/>
      <c r="IO42" s="167"/>
      <c r="IP42" s="167"/>
      <c r="IQ42" s="167"/>
      <c r="IR42" s="167"/>
      <c r="IS42" s="167"/>
      <c r="IT42" s="167"/>
      <c r="IU42" s="167"/>
      <c r="IV42" s="167"/>
      <c r="IW42" s="167"/>
    </row>
    <row r="43" customFormat="false" ht="12.6" hidden="false" customHeight="true" outlineLevel="0" collapsed="false">
      <c r="A43" s="108"/>
      <c r="B43" s="274"/>
      <c r="C43" s="275"/>
      <c r="D43" s="111"/>
      <c r="E43" s="164" t="n">
        <f aca="false">IF(ISERROR(VLOOKUP(C42,일용직명단!$A$3:$K$1246,9,FALSE())),0,VLOOKUP(C42,일용직명단!$A$3:$K$1246,9,FALSE()))</f>
        <v>0</v>
      </c>
      <c r="F43" s="195"/>
      <c r="G43" s="279" t="n">
        <v>1</v>
      </c>
      <c r="H43" s="279" t="n">
        <v>1</v>
      </c>
      <c r="I43" s="278" t="n">
        <v>1</v>
      </c>
      <c r="J43" s="276" t="n">
        <v>1</v>
      </c>
      <c r="K43" s="193"/>
      <c r="L43" s="192"/>
      <c r="M43" s="192"/>
      <c r="N43" s="193"/>
      <c r="O43" s="191"/>
      <c r="P43" s="193"/>
      <c r="Q43" s="193"/>
      <c r="R43" s="192"/>
      <c r="S43" s="192"/>
      <c r="T43" s="192"/>
      <c r="U43" s="191"/>
      <c r="V43" s="144"/>
      <c r="W43" s="138" t="n">
        <f aca="false">W42*V42</f>
        <v>1800000</v>
      </c>
      <c r="X43" s="123" t="n">
        <f aca="false">IF(AH42&lt;1000,0,AH42)</f>
        <v>0</v>
      </c>
      <c r="Y43" s="123" t="n">
        <f aca="false">ROUNDDOWN(X43*10%,-1)</f>
        <v>0</v>
      </c>
      <c r="Z43" s="123" t="n">
        <f aca="false">IF(AE42&gt;=8,ROUNDDOWN(Y42*$Q$4,-1),0)</f>
        <v>4130</v>
      </c>
      <c r="AA43" s="145"/>
      <c r="AB43" s="146"/>
      <c r="AC43" s="166" t="str">
        <f aca="false">IF(ISERROR(VLOOKUP(C42,일용직명단!$A$3:$I$1226,7,FALSE())),0,VLOOKUP(C42,일용직명단!$A$3:$I$1226,7,FALSE()))</f>
        <v>2306-09-0087630-4</v>
      </c>
      <c r="AD43" s="166"/>
      <c r="AE43" s="128"/>
      <c r="AF43" s="129"/>
      <c r="AG43" s="129"/>
      <c r="AH43" s="130"/>
      <c r="AI43" s="130" t="n">
        <f aca="false">IF($W42*F43&gt;150000,($W42*F43-150000)*6%*45%,0)</f>
        <v>0</v>
      </c>
      <c r="AJ43" s="130" t="n">
        <f aca="false">IF($W42*G43&gt;150000,($W42*G43-150000)*6%*45%,0)</f>
        <v>0</v>
      </c>
      <c r="AK43" s="130" t="n">
        <f aca="false">IF($W42*H43&gt;150000,($W42*H43-150000)*6%*45%,0)</f>
        <v>0</v>
      </c>
      <c r="AL43" s="130" t="n">
        <f aca="false">IF($W42*I43&gt;150000,($W42*I43-150000)*6%*45%,0)</f>
        <v>0</v>
      </c>
      <c r="AM43" s="130" t="n">
        <f aca="false">IF($W42*J43&gt;150000,($W42*J43-150000)*6%*45%,0)</f>
        <v>0</v>
      </c>
      <c r="AN43" s="130" t="n">
        <f aca="false">IF($W42*K43&gt;150000,($W42*K43-150000)*6%*45%,0)</f>
        <v>0</v>
      </c>
      <c r="AO43" s="130" t="n">
        <f aca="false">IF($W42*L43&gt;150000,($W42*L43-150000)*6%*45%,0)</f>
        <v>0</v>
      </c>
      <c r="AP43" s="130" t="n">
        <f aca="false">IF($W42*M43&gt;150000,($W42*M43-150000)*6%*45%,0)</f>
        <v>0</v>
      </c>
      <c r="AQ43" s="130" t="n">
        <f aca="false">IF($W42*N43&gt;150000,($W42*N43-150000)*6%*45%,0)</f>
        <v>0</v>
      </c>
      <c r="AR43" s="130" t="n">
        <f aca="false">IF($W42*O43&gt;150000,($W42*O43-150000)*6%*45%,0)</f>
        <v>0</v>
      </c>
      <c r="AS43" s="130" t="n">
        <f aca="false">IF($W42*P43&gt;150000,($W42*P43-150000)*6%*45%,0)</f>
        <v>0</v>
      </c>
      <c r="AT43" s="130" t="n">
        <f aca="false">IF($W42*Q43&gt;150000,($W42*Q43-150000)*6%*45%,0)</f>
        <v>0</v>
      </c>
      <c r="AU43" s="130" t="n">
        <f aca="false">IF($W42*R43&gt;150000,($W42*R43-150000)*6%*45%,0)</f>
        <v>0</v>
      </c>
      <c r="AV43" s="130" t="n">
        <f aca="false">IF($W42*S43&gt;150000,($W42*S43-150000)*6%*45%,0)</f>
        <v>0</v>
      </c>
      <c r="AW43" s="130" t="n">
        <f aca="false">IF($W42*T43&gt;150000,($W42*T43-150000)*6%*45%,0)</f>
        <v>0</v>
      </c>
      <c r="AX43" s="130" t="n">
        <f aca="false">IF($W42*U43&gt;150000,($W42*U43-150000)*6%*45%,0)</f>
        <v>0</v>
      </c>
      <c r="AY43" s="131"/>
      <c r="AZ43" s="11"/>
      <c r="BA43" s="167"/>
      <c r="BB43" s="167"/>
      <c r="BC43" s="167"/>
      <c r="BD43" s="167"/>
      <c r="BE43" s="167"/>
      <c r="BF43" s="167"/>
      <c r="BG43" s="167"/>
      <c r="BH43" s="167"/>
      <c r="BI43" s="167"/>
      <c r="BJ43" s="167"/>
      <c r="BK43" s="167"/>
      <c r="BL43" s="167"/>
      <c r="BM43" s="167"/>
      <c r="BN43" s="167"/>
      <c r="BO43" s="167"/>
      <c r="BP43" s="167"/>
      <c r="BQ43" s="167"/>
      <c r="BR43" s="167"/>
      <c r="BS43" s="167"/>
      <c r="BT43" s="167"/>
      <c r="BU43" s="167"/>
      <c r="BV43" s="167"/>
      <c r="BW43" s="167"/>
      <c r="BX43" s="167"/>
      <c r="BY43" s="167"/>
      <c r="BZ43" s="167"/>
      <c r="CA43" s="167"/>
      <c r="CB43" s="167"/>
      <c r="CC43" s="167"/>
      <c r="CD43" s="167"/>
      <c r="CE43" s="167"/>
      <c r="CF43" s="167"/>
      <c r="CG43" s="167"/>
      <c r="CH43" s="167"/>
      <c r="CI43" s="167"/>
      <c r="CJ43" s="167"/>
      <c r="CK43" s="167"/>
      <c r="CL43" s="167"/>
      <c r="CM43" s="167"/>
      <c r="CN43" s="167"/>
      <c r="CO43" s="167"/>
      <c r="CP43" s="167"/>
      <c r="CQ43" s="167"/>
      <c r="CR43" s="167"/>
      <c r="CS43" s="167"/>
      <c r="CT43" s="167"/>
      <c r="CU43" s="167"/>
      <c r="CV43" s="167"/>
      <c r="CW43" s="167"/>
      <c r="CX43" s="167"/>
      <c r="CY43" s="167"/>
      <c r="CZ43" s="167"/>
      <c r="DA43" s="167"/>
      <c r="DB43" s="167"/>
      <c r="DC43" s="167"/>
      <c r="DD43" s="167"/>
      <c r="DE43" s="167"/>
      <c r="DF43" s="167"/>
      <c r="DG43" s="167"/>
      <c r="DH43" s="167"/>
      <c r="DI43" s="167"/>
      <c r="DJ43" s="167"/>
      <c r="DK43" s="167"/>
      <c r="DL43" s="167"/>
      <c r="DM43" s="167"/>
      <c r="DN43" s="167"/>
      <c r="DO43" s="167"/>
      <c r="DP43" s="167"/>
      <c r="DQ43" s="167"/>
      <c r="DR43" s="167"/>
      <c r="DS43" s="167"/>
      <c r="DT43" s="167"/>
      <c r="DU43" s="167"/>
      <c r="DV43" s="167"/>
      <c r="DW43" s="167"/>
      <c r="DX43" s="167"/>
      <c r="DY43" s="167"/>
      <c r="DZ43" s="167"/>
      <c r="EA43" s="167"/>
      <c r="EB43" s="167"/>
      <c r="EC43" s="167"/>
      <c r="ED43" s="167"/>
      <c r="EE43" s="167"/>
      <c r="EF43" s="167"/>
      <c r="EG43" s="167"/>
      <c r="EH43" s="167"/>
      <c r="EI43" s="167"/>
      <c r="EJ43" s="167"/>
      <c r="EK43" s="167"/>
      <c r="EL43" s="167"/>
      <c r="EM43" s="167"/>
      <c r="EN43" s="167"/>
      <c r="EO43" s="167"/>
      <c r="EP43" s="167"/>
      <c r="EQ43" s="167"/>
      <c r="ER43" s="167"/>
      <c r="ES43" s="167"/>
      <c r="ET43" s="167"/>
      <c r="EU43" s="167"/>
      <c r="EV43" s="167"/>
      <c r="EW43" s="167"/>
      <c r="EX43" s="167"/>
      <c r="EY43" s="167"/>
      <c r="EZ43" s="167"/>
      <c r="FA43" s="167"/>
      <c r="FB43" s="167"/>
      <c r="FC43" s="167"/>
      <c r="FD43" s="167"/>
      <c r="FE43" s="167"/>
      <c r="FF43" s="167"/>
      <c r="FG43" s="167"/>
      <c r="FH43" s="167"/>
      <c r="FI43" s="167"/>
      <c r="FJ43" s="167"/>
      <c r="FK43" s="167"/>
      <c r="FL43" s="167"/>
      <c r="FM43" s="167"/>
      <c r="FN43" s="167"/>
      <c r="FO43" s="167"/>
      <c r="FP43" s="167"/>
      <c r="FQ43" s="167"/>
      <c r="FR43" s="167"/>
      <c r="FS43" s="167"/>
      <c r="FT43" s="167"/>
      <c r="FU43" s="167"/>
      <c r="FV43" s="167"/>
      <c r="FW43" s="167"/>
      <c r="FX43" s="167"/>
      <c r="FY43" s="167"/>
      <c r="FZ43" s="167"/>
      <c r="GA43" s="167"/>
      <c r="GB43" s="167"/>
      <c r="GC43" s="167"/>
      <c r="GD43" s="167"/>
      <c r="GE43" s="167"/>
      <c r="GF43" s="167"/>
      <c r="GG43" s="167"/>
      <c r="GH43" s="167"/>
      <c r="GI43" s="167"/>
      <c r="GJ43" s="167"/>
      <c r="GK43" s="167"/>
      <c r="GL43" s="167"/>
      <c r="GM43" s="167"/>
      <c r="GN43" s="167"/>
      <c r="GO43" s="167"/>
      <c r="GP43" s="167"/>
      <c r="GQ43" s="167"/>
      <c r="GR43" s="167"/>
      <c r="GS43" s="167"/>
      <c r="GT43" s="167"/>
      <c r="GU43" s="167"/>
      <c r="GV43" s="167"/>
      <c r="GW43" s="167"/>
      <c r="GX43" s="167"/>
      <c r="GY43" s="167"/>
      <c r="GZ43" s="167"/>
      <c r="HA43" s="167"/>
      <c r="HB43" s="167"/>
      <c r="HC43" s="167"/>
      <c r="HD43" s="167"/>
      <c r="HE43" s="167"/>
      <c r="HF43" s="167"/>
      <c r="HG43" s="167"/>
      <c r="HH43" s="167"/>
      <c r="HI43" s="167"/>
      <c r="HJ43" s="167"/>
      <c r="HK43" s="167"/>
      <c r="HL43" s="167"/>
      <c r="HM43" s="167"/>
      <c r="HN43" s="167"/>
      <c r="HO43" s="167"/>
      <c r="HP43" s="167"/>
      <c r="HQ43" s="167"/>
      <c r="HR43" s="167"/>
      <c r="HS43" s="167"/>
      <c r="HT43" s="167"/>
      <c r="HU43" s="167"/>
      <c r="HV43" s="167"/>
      <c r="HW43" s="167"/>
      <c r="HX43" s="167"/>
      <c r="HY43" s="167"/>
      <c r="HZ43" s="167"/>
      <c r="IA43" s="167"/>
      <c r="IB43" s="167"/>
      <c r="IC43" s="167"/>
      <c r="ID43" s="167"/>
      <c r="IE43" s="167"/>
      <c r="IF43" s="167"/>
      <c r="IG43" s="167"/>
      <c r="IH43" s="167"/>
      <c r="II43" s="167"/>
      <c r="IJ43" s="167"/>
      <c r="IK43" s="167"/>
      <c r="IL43" s="167"/>
      <c r="IM43" s="167"/>
      <c r="IN43" s="167"/>
      <c r="IO43" s="167"/>
      <c r="IP43" s="167"/>
      <c r="IQ43" s="167"/>
      <c r="IR43" s="167"/>
      <c r="IS43" s="167"/>
      <c r="IT43" s="167"/>
      <c r="IU43" s="167"/>
      <c r="IV43" s="167"/>
      <c r="IW43" s="167"/>
    </row>
    <row r="44" customFormat="false" ht="12.6" hidden="false" customHeight="true" outlineLevel="0" collapsed="false">
      <c r="A44" s="108" t="n">
        <f aca="false">A42+1</f>
        <v>12</v>
      </c>
      <c r="B44" s="280" t="s">
        <v>84</v>
      </c>
      <c r="C44" s="275" t="s">
        <v>65</v>
      </c>
      <c r="D44" s="111" t="str">
        <f aca="false">IF(ISERROR(VLOOKUP(C44,일용직명단!$A$3:$K$1246,3,FALSE())),0,VLOOKUP(C44,일용직명단!$A$3:$K$1246,3,FALSE()))</f>
        <v>600810-1386721</v>
      </c>
      <c r="E44" s="173" t="str">
        <f aca="false">IF(ISERROR(VLOOKUP(C44,일용직명단!$A$3:$K$1246,4,FALSE())),0,VLOOKUP(C44,일용직명단!$A$3:$K$1246,4,FALSE()))</f>
        <v>충북 영동군 양강면 내만길 178-2</v>
      </c>
      <c r="F44" s="192"/>
      <c r="G44" s="192"/>
      <c r="H44" s="192"/>
      <c r="I44" s="191"/>
      <c r="J44" s="192"/>
      <c r="K44" s="276" t="n">
        <v>1</v>
      </c>
      <c r="L44" s="277" t="n">
        <v>1</v>
      </c>
      <c r="M44" s="277" t="n">
        <v>1</v>
      </c>
      <c r="N44" s="193"/>
      <c r="O44" s="191"/>
      <c r="P44" s="277" t="n">
        <v>1</v>
      </c>
      <c r="Q44" s="278" t="n">
        <v>1</v>
      </c>
      <c r="R44" s="276" t="n">
        <v>1</v>
      </c>
      <c r="S44" s="278" t="n">
        <v>1</v>
      </c>
      <c r="T44" s="276" t="n">
        <v>1</v>
      </c>
      <c r="U44" s="194"/>
      <c r="V44" s="120" t="n">
        <f aca="false">SUM(F44:U45)</f>
        <v>12</v>
      </c>
      <c r="W44" s="121" t="n">
        <f aca="false">IF(ISERROR(VLOOKUP(C44,일용직명단!$A$3:$K$1246,8,FALSE())),0,VLOOKUP(C44,일용직명단!$A$3:$K$1246,8,FALSE()))</f>
        <v>150000</v>
      </c>
      <c r="X44" s="122" t="n">
        <f aca="false">IFERROR(IF(AG44&gt;=65,0,ROUNDDOWN(W45*$Z$4,-1)),0)</f>
        <v>0</v>
      </c>
      <c r="Y44" s="122" t="n">
        <f aca="false">IF(AE44&gt;=8,ROUNDDOWN(W45*$M$4,-1),0)</f>
        <v>63810</v>
      </c>
      <c r="Z44" s="122" t="n">
        <f aca="false">IFERROR(IF(AND(COUNT(F44:U45)&gt;=8,$AG44&lt;60,W45&lt;=5530000),ROUNDDOWN(ROUNDDOWN(W45,-3)*4.5%,-1),IF(AND(COUNT(F44:U45)&gt;=8,AG44&lt;60,W45&gt;5530000),248850,0)),0)</f>
        <v>0</v>
      </c>
      <c r="AA44" s="124" t="n">
        <f aca="false">+X44+Y44+X45+Y45+Z44+Z45</f>
        <v>67940</v>
      </c>
      <c r="AB44" s="125" t="n">
        <f aca="false">W45-AA44</f>
        <v>1732060</v>
      </c>
      <c r="AC44" s="126" t="str">
        <f aca="false">IF(ISERROR(VLOOKUP(C44,일용직명단!$A$3:$I$1226,5,FALSE())),0,VLOOKUP(C44,일용직명단!$A$3:$I$1226,5,FALSE()))</f>
        <v>농협</v>
      </c>
      <c r="AD44" s="127" t="str">
        <f aca="false">IF(ISERROR(VLOOKUP(C44,일용직명단!$A$3:$I$1226,6,FALSE())),0,VLOOKUP(C44,일용직명단!$A$3:$I$1226,6,FALSE()))</f>
        <v>민백규</v>
      </c>
      <c r="AE44" s="141" t="n">
        <f aca="false">COUNT(F44:U45)</f>
        <v>12</v>
      </c>
      <c r="AF44" s="169" t="str">
        <f aca="false">IF(OR(MID(D44,8,1)="1",MID(D44,8,1)="2"),19&amp;LEFT(D44,2),20&amp;LEFT(D44,2))&amp;"-"&amp;MID(D44,3,2)&amp;"-"&amp;MID(D44,5,2)</f>
        <v>1960-08-10</v>
      </c>
      <c r="AG44" s="169" t="n">
        <f aca="true">INT((TODAY()-AF44)/365.25)</f>
        <v>65</v>
      </c>
      <c r="AH44" s="130" t="n">
        <f aca="false">ROUNDDOWN(SUM(AI44:AX45),-1)</f>
        <v>0</v>
      </c>
      <c r="AI44" s="130" t="n">
        <f aca="false">IF($W44*F44&gt;150000,($W44*F44-150000)*6%*45%,0)</f>
        <v>0</v>
      </c>
      <c r="AJ44" s="130" t="n">
        <f aca="false">IF($W44*G44&gt;150000,($W44*G44-150000)*6%*45%,0)</f>
        <v>0</v>
      </c>
      <c r="AK44" s="130" t="n">
        <f aca="false">IF($W44*H44&gt;150000,($W44*H44-150000)*6%*45%,0)</f>
        <v>0</v>
      </c>
      <c r="AL44" s="130" t="n">
        <f aca="false">IF($W44*I44&gt;150000,($W44*I44-150000)*6%*45%,0)</f>
        <v>0</v>
      </c>
      <c r="AM44" s="130" t="n">
        <f aca="false">IF($W44*J44&gt;150000,($W44*J44-150000)*6%*45%,0)</f>
        <v>0</v>
      </c>
      <c r="AN44" s="130" t="n">
        <f aca="false">IF($W44*K44&gt;150000,($W44*K44-150000)*6%*45%,0)</f>
        <v>0</v>
      </c>
      <c r="AO44" s="130" t="n">
        <f aca="false">IF($W44*L44&gt;150000,($W44*L44-150000)*6%*45%,0)</f>
        <v>0</v>
      </c>
      <c r="AP44" s="130" t="n">
        <f aca="false">IF($W44*M44&gt;150000,($W44*M44-150000)*6%*45%,0)</f>
        <v>0</v>
      </c>
      <c r="AQ44" s="130" t="n">
        <f aca="false">IF($W44*N44&gt;150000,($W44*N44-150000)*6%*45%,0)</f>
        <v>0</v>
      </c>
      <c r="AR44" s="130" t="n">
        <f aca="false">IF($W44*O44&gt;150000,($W44*O44-150000)*6%*45%,0)</f>
        <v>0</v>
      </c>
      <c r="AS44" s="130" t="n">
        <f aca="false">IF($W44*P44&gt;150000,($W44*P44-150000)*6%*45%,0)</f>
        <v>0</v>
      </c>
      <c r="AT44" s="130" t="n">
        <f aca="false">IF($W44*Q44&gt;150000,($W44*Q44-150000)*6%*45%,0)</f>
        <v>0</v>
      </c>
      <c r="AU44" s="130" t="n">
        <f aca="false">IF($W44*R44&gt;150000,($W44*R44-150000)*6%*45%,0)</f>
        <v>0</v>
      </c>
      <c r="AV44" s="130" t="n">
        <f aca="false">IF($W44*S44&gt;150000,($W44*S44-150000)*6%*45%,0)</f>
        <v>0</v>
      </c>
      <c r="AW44" s="130" t="n">
        <f aca="false">IF($W44*T44&gt;150000,($W44*T44-150000)*6%*45%,0)</f>
        <v>0</v>
      </c>
      <c r="AX44" s="130"/>
      <c r="AY44" s="131" t="str">
        <f aca="false">IF(ISERROR(VLOOKUP(C44,[26]일용직명단!$A$3:$M$1151,11,FALSE())),0,VLOOKUP(C44,[26]일용직명단!$A$3:$M$1151,11,FALSE()))</f>
        <v>29157</v>
      </c>
      <c r="AZ44" s="11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</row>
    <row r="45" customFormat="false" ht="12.6" hidden="false" customHeight="true" outlineLevel="0" collapsed="false">
      <c r="A45" s="108"/>
      <c r="B45" s="280"/>
      <c r="C45" s="275"/>
      <c r="D45" s="111"/>
      <c r="E45" s="173" t="str">
        <f aca="false">IF(ISERROR(VLOOKUP(C44,일용직명단!$A$3:$K$1246,9,FALSE())),0,VLOOKUP(C44,일용직명단!$A$3:$K$1246,9,FALSE()))</f>
        <v>010-7107-2693</v>
      </c>
      <c r="F45" s="195"/>
      <c r="G45" s="279" t="n">
        <v>1</v>
      </c>
      <c r="H45" s="279" t="n">
        <v>1</v>
      </c>
      <c r="I45" s="278" t="n">
        <v>1</v>
      </c>
      <c r="J45" s="276" t="n">
        <v>1</v>
      </c>
      <c r="K45" s="193"/>
      <c r="L45" s="192"/>
      <c r="M45" s="192"/>
      <c r="N45" s="193"/>
      <c r="O45" s="191"/>
      <c r="P45" s="193"/>
      <c r="Q45" s="193"/>
      <c r="R45" s="192"/>
      <c r="S45" s="192"/>
      <c r="T45" s="192"/>
      <c r="U45" s="191"/>
      <c r="V45" s="120"/>
      <c r="W45" s="138" t="n">
        <f aca="false">W44*V44</f>
        <v>1800000</v>
      </c>
      <c r="X45" s="122" t="n">
        <f aca="false">IF(AH44&lt;1000,0,AH44)</f>
        <v>0</v>
      </c>
      <c r="Y45" s="122" t="n">
        <f aca="false">ROUNDDOWN(X45*10%,-1)</f>
        <v>0</v>
      </c>
      <c r="Z45" s="122" t="n">
        <f aca="false">IF(AE44&gt;=8,ROUNDDOWN(Y44*$Q$4,-1),0)</f>
        <v>4130</v>
      </c>
      <c r="AA45" s="124"/>
      <c r="AB45" s="125"/>
      <c r="AC45" s="127" t="str">
        <f aca="false">IF(ISERROR(VLOOKUP(C44,일용직명단!$A$3:$I$1226,7,FALSE())),0,VLOOKUP(C44,일용직명단!$A$3:$I$1226,7,FALSE()))</f>
        <v>453060-52-207611</v>
      </c>
      <c r="AD45" s="127"/>
      <c r="AE45" s="141"/>
      <c r="AF45" s="169"/>
      <c r="AG45" s="169"/>
      <c r="AH45" s="130"/>
      <c r="AI45" s="130" t="n">
        <f aca="false">IF($W44*F45&gt;150000,($W44*F45-150000)*6%*45%,0)</f>
        <v>0</v>
      </c>
      <c r="AJ45" s="130" t="n">
        <f aca="false">IF($W44*G45&gt;150000,($W44*G45-150000)*6%*45%,0)</f>
        <v>0</v>
      </c>
      <c r="AK45" s="130" t="n">
        <f aca="false">IF($W44*H45&gt;150000,($W44*H45-150000)*6%*45%,0)</f>
        <v>0</v>
      </c>
      <c r="AL45" s="130" t="n">
        <f aca="false">IF($W44*I45&gt;150000,($W44*I45-150000)*6%*45%,0)</f>
        <v>0</v>
      </c>
      <c r="AM45" s="130" t="n">
        <f aca="false">IF($W44*J45&gt;150000,($W44*J45-150000)*6%*45%,0)</f>
        <v>0</v>
      </c>
      <c r="AN45" s="130" t="n">
        <f aca="false">IF($W44*K45&gt;150000,($W44*K45-150000)*6%*45%,0)</f>
        <v>0</v>
      </c>
      <c r="AO45" s="130" t="n">
        <f aca="false">IF($W44*L45&gt;150000,($W44*L45-150000)*6%*45%,0)</f>
        <v>0</v>
      </c>
      <c r="AP45" s="130" t="n">
        <f aca="false">IF($W44*M45&gt;150000,($W44*M45-150000)*6%*45%,0)</f>
        <v>0</v>
      </c>
      <c r="AQ45" s="130" t="n">
        <f aca="false">IF($W44*N45&gt;150000,($W44*N45-150000)*6%*45%,0)</f>
        <v>0</v>
      </c>
      <c r="AR45" s="130" t="n">
        <f aca="false">IF($W44*O45&gt;150000,($W44*O45-150000)*6%*45%,0)</f>
        <v>0</v>
      </c>
      <c r="AS45" s="130" t="n">
        <f aca="false">IF($W44*P45&gt;150000,($W44*P45-150000)*6%*45%,0)</f>
        <v>0</v>
      </c>
      <c r="AT45" s="130" t="n">
        <f aca="false">IF($W44*Q45&gt;150000,($W44*Q45-150000)*6%*45%,0)</f>
        <v>0</v>
      </c>
      <c r="AU45" s="130" t="n">
        <f aca="false">IF($W44*R45&gt;150000,($W44*R45-150000)*6%*45%,0)</f>
        <v>0</v>
      </c>
      <c r="AV45" s="130" t="n">
        <f aca="false">IF($W44*S45&gt;150000,($W44*S45-150000)*6%*45%,0)</f>
        <v>0</v>
      </c>
      <c r="AW45" s="130" t="n">
        <f aca="false">IF($W44*T45&gt;150000,($W44*T45-150000)*6%*45%,0)</f>
        <v>0</v>
      </c>
      <c r="AX45" s="130" t="n">
        <f aca="false">IF($W44*U45&gt;150000,($W44*U45-150000)*6%*45%,0)</f>
        <v>0</v>
      </c>
      <c r="AY45" s="131"/>
      <c r="AZ45" s="11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</row>
    <row r="46" customFormat="false" ht="12.6" hidden="false" customHeight="true" outlineLevel="0" collapsed="false">
      <c r="A46" s="108" t="n">
        <f aca="false">A44+1</f>
        <v>13</v>
      </c>
      <c r="B46" s="281" t="s">
        <v>103</v>
      </c>
      <c r="C46" s="275" t="s">
        <v>59</v>
      </c>
      <c r="D46" s="111" t="str">
        <f aca="false">IF(ISERROR(VLOOKUP(C46,일용직명단!$A$3:$K$1246,3,FALSE())),0,VLOOKUP(C46,일용직명단!$A$3:$K$1246,3,FALSE()))</f>
        <v>661110-2382929</v>
      </c>
      <c r="E46" s="112" t="str">
        <f aca="false">IF(ISERROR(VLOOKUP(C46,일용직명단!$A$3:$K$1246,4,FALSE())),0,VLOOKUP(C46,일용직명단!$A$3:$K$1246,4,FALSE()))</f>
        <v>대전광역시 동구 성동로7번길 58-11, 1동 107호 (자양동, 임광아파트)</v>
      </c>
      <c r="F46" s="192"/>
      <c r="G46" s="192"/>
      <c r="H46" s="192"/>
      <c r="I46" s="191"/>
      <c r="J46" s="192"/>
      <c r="K46" s="276" t="n">
        <v>1</v>
      </c>
      <c r="L46" s="277" t="n">
        <v>1</v>
      </c>
      <c r="M46" s="277" t="n">
        <v>1</v>
      </c>
      <c r="N46" s="193"/>
      <c r="O46" s="191"/>
      <c r="P46" s="277" t="n">
        <v>1</v>
      </c>
      <c r="Q46" s="278" t="n">
        <v>1</v>
      </c>
      <c r="R46" s="276" t="n">
        <v>1</v>
      </c>
      <c r="S46" s="278" t="n">
        <v>1</v>
      </c>
      <c r="T46" s="276" t="n">
        <v>1</v>
      </c>
      <c r="U46" s="194"/>
      <c r="V46" s="120" t="n">
        <f aca="false">SUM(F46:U47)</f>
        <v>12</v>
      </c>
      <c r="W46" s="121" t="n">
        <f aca="false">IF(ISERROR(VLOOKUP(C46,일용직명단!$A$3:$K$1246,8,FALSE())),0,VLOOKUP(C46,일용직명단!$A$3:$K$1246,8,FALSE()))</f>
        <v>150000</v>
      </c>
      <c r="X46" s="122" t="n">
        <f aca="false">IFERROR(IF(AG46&gt;=65,0,ROUNDDOWN(W47*$Z$4,-1)),0)</f>
        <v>16200</v>
      </c>
      <c r="Y46" s="122" t="n">
        <f aca="false">IF(AE46&gt;=8,ROUNDDOWN(W47*$M$4,-1),0)</f>
        <v>63810</v>
      </c>
      <c r="Z46" s="122" t="n">
        <f aca="false">IFERROR(IF(AND(COUNT(F46:U47)&gt;=8,$AG46&lt;60,W47&lt;=5530000),ROUNDDOWN(ROUNDDOWN(W47,-3)*4.5%,-1),IF(AND(COUNT(F46:U47)&gt;=8,AG46&lt;60,W47&gt;5530000),248850,0)),0)</f>
        <v>81000</v>
      </c>
      <c r="AA46" s="124" t="n">
        <f aca="false">+X46+Y46+X47+Y47+Z46+Z47</f>
        <v>165140</v>
      </c>
      <c r="AB46" s="125" t="n">
        <f aca="false">W47-AA46</f>
        <v>1634860</v>
      </c>
      <c r="AC46" s="126" t="str">
        <f aca="false">IF(ISERROR(VLOOKUP(C46,일용직명단!$A$3:$I$1226,5,FALSE())),0,VLOOKUP(C46,일용직명단!$A$3:$I$1226,5,FALSE()))</f>
        <v>농협</v>
      </c>
      <c r="AD46" s="127" t="str">
        <f aca="false">IF(ISERROR(VLOOKUP(C46,일용직명단!$A$3:$I$1226,6,FALSE())),0,VLOOKUP(C46,일용직명단!$A$3:$I$1226,6,FALSE()))</f>
        <v>최순옥</v>
      </c>
      <c r="AE46" s="150" t="n">
        <f aca="false">COUNT(F46:U47)</f>
        <v>12</v>
      </c>
      <c r="AF46" s="129" t="str">
        <f aca="false">IF(OR(MID(D46,8,1)="1",MID(D46,8,1)="2"),19&amp;LEFT(D46,2),20&amp;LEFT(D46,2))&amp;"-"&amp;MID(D46,3,2)&amp;"-"&amp;MID(D46,5,2)</f>
        <v>1966-11-10</v>
      </c>
      <c r="AG46" s="129" t="n">
        <f aca="true">INT((TODAY()-AF46)/365.25)</f>
        <v>59</v>
      </c>
      <c r="AH46" s="130" t="n">
        <f aca="false">ROUNDDOWN(SUM(AI46:AX47),-1)</f>
        <v>0</v>
      </c>
      <c r="AI46" s="130" t="n">
        <f aca="false">IF($W46*F46&gt;150000,($W46*F46-150000)*6%*45%,0)</f>
        <v>0</v>
      </c>
      <c r="AJ46" s="130" t="n">
        <f aca="false">IF($W46*G46&gt;150000,($W46*G46-150000)*6%*45%,0)</f>
        <v>0</v>
      </c>
      <c r="AK46" s="130" t="n">
        <f aca="false">IF($W46*H46&gt;150000,($W46*H46-150000)*6%*45%,0)</f>
        <v>0</v>
      </c>
      <c r="AL46" s="130" t="n">
        <f aca="false">IF($W46*I46&gt;150000,($W46*I46-150000)*6%*45%,0)</f>
        <v>0</v>
      </c>
      <c r="AM46" s="130" t="n">
        <f aca="false">IF($W46*J46&gt;150000,($W46*J46-150000)*6%*45%,0)</f>
        <v>0</v>
      </c>
      <c r="AN46" s="130" t="n">
        <f aca="false">IF($W46*K46&gt;150000,($W46*K46-150000)*6%*45%,0)</f>
        <v>0</v>
      </c>
      <c r="AO46" s="130" t="n">
        <f aca="false">IF($W46*L46&gt;150000,($W46*L46-150000)*6%*45%,0)</f>
        <v>0</v>
      </c>
      <c r="AP46" s="130" t="n">
        <f aca="false">IF($W46*M46&gt;150000,($W46*M46-150000)*6%*45%,0)</f>
        <v>0</v>
      </c>
      <c r="AQ46" s="130" t="n">
        <f aca="false">IF($W46*N46&gt;150000,($W46*N46-150000)*6%*45%,0)</f>
        <v>0</v>
      </c>
      <c r="AR46" s="130" t="n">
        <f aca="false">IF($W46*O46&gt;150000,($W46*O46-150000)*6%*45%,0)</f>
        <v>0</v>
      </c>
      <c r="AS46" s="130" t="n">
        <f aca="false">IF($W46*P46&gt;150000,($W46*P46-150000)*6%*45%,0)</f>
        <v>0</v>
      </c>
      <c r="AT46" s="130" t="n">
        <f aca="false">IF($W46*Q46&gt;150000,($W46*Q46-150000)*6%*45%,0)</f>
        <v>0</v>
      </c>
      <c r="AU46" s="130" t="n">
        <f aca="false">IF($W46*R46&gt;150000,($W46*R46-150000)*6%*45%,0)</f>
        <v>0</v>
      </c>
      <c r="AV46" s="130" t="n">
        <f aca="false">IF($W46*S46&gt;150000,($W46*S46-150000)*6%*45%,0)</f>
        <v>0</v>
      </c>
      <c r="AW46" s="130" t="n">
        <f aca="false">IF($W46*T46&gt;150000,($W46*T46-150000)*6%*45%,0)</f>
        <v>0</v>
      </c>
      <c r="AX46" s="130"/>
      <c r="AY46" s="151" t="str">
        <f aca="false">IF(ISERROR(VLOOKUP(C46,[26]일용직명단!$A$3:$M$1151,11,FALSE())),0,VLOOKUP(C46,[26]일용직명단!$A$3:$M$1151,11,FALSE()))</f>
        <v>34513</v>
      </c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</row>
    <row r="47" customFormat="false" ht="12.6" hidden="false" customHeight="true" outlineLevel="0" collapsed="false">
      <c r="A47" s="108"/>
      <c r="B47" s="281"/>
      <c r="C47" s="275"/>
      <c r="D47" s="111"/>
      <c r="E47" s="112" t="str">
        <f aca="false">IF(ISERROR(VLOOKUP(C46,일용직명단!$A$3:$K$1246,9,FALSE())),0,VLOOKUP(C46,일용직명단!$A$3:$K$1246,9,FALSE()))</f>
        <v>010-8770-7249</v>
      </c>
      <c r="F47" s="195"/>
      <c r="G47" s="279" t="n">
        <v>1</v>
      </c>
      <c r="H47" s="279" t="n">
        <v>1</v>
      </c>
      <c r="I47" s="278" t="n">
        <v>1</v>
      </c>
      <c r="J47" s="276" t="n">
        <v>1</v>
      </c>
      <c r="K47" s="193"/>
      <c r="L47" s="192"/>
      <c r="M47" s="192"/>
      <c r="N47" s="193"/>
      <c r="O47" s="191"/>
      <c r="P47" s="193"/>
      <c r="Q47" s="193"/>
      <c r="R47" s="192"/>
      <c r="S47" s="192"/>
      <c r="T47" s="192"/>
      <c r="U47" s="191"/>
      <c r="V47" s="120"/>
      <c r="W47" s="138" t="n">
        <f aca="false">W46*V46</f>
        <v>1800000</v>
      </c>
      <c r="X47" s="122" t="n">
        <f aca="false">IF(AH46&lt;1000,0,AH46)</f>
        <v>0</v>
      </c>
      <c r="Y47" s="122" t="n">
        <f aca="false">ROUNDDOWN(X47*10%,-1)</f>
        <v>0</v>
      </c>
      <c r="Z47" s="122" t="n">
        <f aca="false">IF(AE46&gt;=8,ROUNDDOWN(Y46*$Q$4,-1),0)</f>
        <v>4130</v>
      </c>
      <c r="AA47" s="124"/>
      <c r="AB47" s="125"/>
      <c r="AC47" s="127" t="str">
        <f aca="false">IF(ISERROR(VLOOKUP(C46,일용직명단!$A$3:$I$1226,7,FALSE())),0,VLOOKUP(C46,일용직명단!$A$3:$I$1226,7,FALSE()))</f>
        <v>352-2099-8874-83</v>
      </c>
      <c r="AD47" s="127"/>
      <c r="AE47" s="155"/>
      <c r="AF47" s="129"/>
      <c r="AG47" s="129"/>
      <c r="AH47" s="130"/>
      <c r="AI47" s="130" t="n">
        <f aca="false">IF($W46*F47&gt;150000,($W46*F47-150000)*6%*45%,0)</f>
        <v>0</v>
      </c>
      <c r="AJ47" s="130" t="n">
        <f aca="false">IF($W46*G47&gt;150000,($W46*G47-150000)*6%*45%,0)</f>
        <v>0</v>
      </c>
      <c r="AK47" s="130" t="n">
        <f aca="false">IF($W46*H47&gt;150000,($W46*H47-150000)*6%*45%,0)</f>
        <v>0</v>
      </c>
      <c r="AL47" s="130" t="n">
        <f aca="false">IF($W46*I47&gt;150000,($W46*I47-150000)*6%*45%,0)</f>
        <v>0</v>
      </c>
      <c r="AM47" s="130" t="n">
        <f aca="false">IF($W46*J47&gt;150000,($W46*J47-150000)*6%*45%,0)</f>
        <v>0</v>
      </c>
      <c r="AN47" s="130" t="n">
        <f aca="false">IF($W46*K47&gt;150000,($W46*K47-150000)*6%*45%,0)</f>
        <v>0</v>
      </c>
      <c r="AO47" s="130" t="n">
        <f aca="false">IF($W46*L47&gt;150000,($W46*L47-150000)*6%*45%,0)</f>
        <v>0</v>
      </c>
      <c r="AP47" s="130" t="n">
        <f aca="false">IF($W46*M47&gt;150000,($W46*M47-150000)*6%*45%,0)</f>
        <v>0</v>
      </c>
      <c r="AQ47" s="130" t="n">
        <f aca="false">IF($W46*N47&gt;150000,($W46*N47-150000)*6%*45%,0)</f>
        <v>0</v>
      </c>
      <c r="AR47" s="130" t="n">
        <f aca="false">IF($W46*O47&gt;150000,($W46*O47-150000)*6%*45%,0)</f>
        <v>0</v>
      </c>
      <c r="AS47" s="130" t="n">
        <f aca="false">IF($W46*P47&gt;150000,($W46*P47-150000)*6%*45%,0)</f>
        <v>0</v>
      </c>
      <c r="AT47" s="130" t="n">
        <f aca="false">IF($W46*Q47&gt;150000,($W46*Q47-150000)*6%*45%,0)</f>
        <v>0</v>
      </c>
      <c r="AU47" s="130" t="n">
        <f aca="false">IF($W46*R47&gt;150000,($W46*R47-150000)*6%*45%,0)</f>
        <v>0</v>
      </c>
      <c r="AV47" s="130" t="n">
        <f aca="false">IF($W46*S47&gt;150000,($W46*S47-150000)*6%*45%,0)</f>
        <v>0</v>
      </c>
      <c r="AW47" s="130" t="n">
        <f aca="false">IF($W46*T47&gt;150000,($W46*T47-150000)*6%*45%,0)</f>
        <v>0</v>
      </c>
      <c r="AX47" s="130" t="n">
        <f aca="false">IF($W46*U47&gt;150000,($W46*U47-150000)*6%*45%,0)</f>
        <v>0</v>
      </c>
      <c r="AY47" s="15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/>
    </row>
    <row r="48" customFormat="false" ht="12.6" hidden="false" customHeight="true" outlineLevel="0" collapsed="false">
      <c r="A48" s="108" t="n">
        <f aca="false">A46+1</f>
        <v>14</v>
      </c>
      <c r="B48" s="274"/>
      <c r="C48" s="275" t="s">
        <v>58</v>
      </c>
      <c r="D48" s="111" t="str">
        <f aca="false">IF(ISERROR(VLOOKUP(C48,일용직명단!$A$3:$K$1246,3,FALSE())),0,VLOOKUP(C48,일용직명단!$A$3:$K$1246,3,FALSE()))</f>
        <v>610604-2382923</v>
      </c>
      <c r="E48" s="173" t="str">
        <f aca="false">IF(ISERROR(VLOOKUP(C48,일용직명단!$A$3:$K$1246,4,FALSE())),0,VLOOKUP(C48,일용직명단!$A$3:$K$1246,4,FALSE()))</f>
        <v>대전광역시 동구 충정로 136, 1102동 2006호 (가양동, 대주파크빌)</v>
      </c>
      <c r="F48" s="192"/>
      <c r="G48" s="192"/>
      <c r="H48" s="192"/>
      <c r="I48" s="191"/>
      <c r="J48" s="192"/>
      <c r="K48" s="276" t="n">
        <v>1</v>
      </c>
      <c r="L48" s="277" t="n">
        <v>1</v>
      </c>
      <c r="M48" s="277" t="n">
        <v>1</v>
      </c>
      <c r="N48" s="193"/>
      <c r="O48" s="191"/>
      <c r="P48" s="277" t="n">
        <v>1</v>
      </c>
      <c r="Q48" s="278" t="n">
        <v>1</v>
      </c>
      <c r="R48" s="276" t="n">
        <v>1</v>
      </c>
      <c r="S48" s="278" t="n">
        <v>1</v>
      </c>
      <c r="T48" s="276" t="n">
        <v>1</v>
      </c>
      <c r="U48" s="194"/>
      <c r="V48" s="174" t="n">
        <f aca="false">SUM(F48:U49)</f>
        <v>12</v>
      </c>
      <c r="W48" s="121" t="n">
        <f aca="false">IF(ISERROR(VLOOKUP(C48,일용직명단!$A$3:$K$1246,8,FALSE())),0,VLOOKUP(C48,일용직명단!$A$3:$K$1246,8,FALSE()))</f>
        <v>150000</v>
      </c>
      <c r="X48" s="122" t="n">
        <f aca="false">IFERROR(IF(AG48&gt;=65,0,ROUNDDOWN(W49*$Z$4,-1)),0)</f>
        <v>16200</v>
      </c>
      <c r="Y48" s="122" t="n">
        <f aca="false">IF(AE48&gt;=8,ROUNDDOWN(W49*$M$4,-1),0)</f>
        <v>63810</v>
      </c>
      <c r="Z48" s="122" t="n">
        <f aca="false">IFERROR(IF(AND(COUNT(F48:U49)&gt;=8,$AG48&lt;60,W49&lt;=5530000),ROUNDDOWN(ROUNDDOWN(W49,-3)*4.5%,-1),IF(AND(COUNT(F48:U49)&gt;=8,AG48&lt;60,W49&gt;5530000),248850,0)),0)</f>
        <v>0</v>
      </c>
      <c r="AA48" s="124" t="n">
        <f aca="false">+X48+Y48+X49+Y49+Z48+Z49</f>
        <v>84140</v>
      </c>
      <c r="AB48" s="125" t="n">
        <f aca="false">W49-AA48</f>
        <v>1715860</v>
      </c>
      <c r="AC48" s="175" t="str">
        <f aca="false">IF(ISERROR(VLOOKUP(C48,일용직명단!$A$3:$I$1226,5,FALSE())),0,VLOOKUP(C48,일용직명단!$A$3:$I$1226,5,FALSE()))</f>
        <v>농협</v>
      </c>
      <c r="AD48" s="176" t="str">
        <f aca="false">IF(ISERROR(VLOOKUP(C48,일용직명단!$A$3:$I$1226,6,FALSE())),0,VLOOKUP(C48,일용직명단!$A$3:$I$1226,6,FALSE()))</f>
        <v>최순자</v>
      </c>
      <c r="AE48" s="141" t="n">
        <f aca="false">COUNT(F48:U49)</f>
        <v>12</v>
      </c>
      <c r="AF48" s="169" t="str">
        <f aca="false">IF(OR(MID(D48,8,1)="1",MID(D48,8,1)="2"),19&amp;LEFT(D48,2),20&amp;LEFT(D48,2))&amp;"-"&amp;MID(D48,3,2)&amp;"-"&amp;MID(D48,5,2)</f>
        <v>1961-06-04</v>
      </c>
      <c r="AG48" s="169" t="n">
        <f aca="true">INT((TODAY()-AF48)/365.25)</f>
        <v>64</v>
      </c>
      <c r="AH48" s="130" t="n">
        <f aca="false">ROUNDDOWN(SUM(AI48:AX49),-1)</f>
        <v>0</v>
      </c>
      <c r="AI48" s="130" t="n">
        <f aca="false">IF($W48*F48&gt;150000,($W48*F48-150000)*6%*45%,0)</f>
        <v>0</v>
      </c>
      <c r="AJ48" s="130" t="n">
        <f aca="false">IF($W48*G48&gt;150000,($W48*G48-150000)*6%*45%,0)</f>
        <v>0</v>
      </c>
      <c r="AK48" s="130" t="n">
        <f aca="false">IF($W48*H48&gt;150000,($W48*H48-150000)*6%*45%,0)</f>
        <v>0</v>
      </c>
      <c r="AL48" s="130" t="n">
        <f aca="false">IF($W48*I48&gt;150000,($W48*I48-150000)*6%*45%,0)</f>
        <v>0</v>
      </c>
      <c r="AM48" s="130" t="n">
        <f aca="false">IF($W48*J48&gt;150000,($W48*J48-150000)*6%*45%,0)</f>
        <v>0</v>
      </c>
      <c r="AN48" s="130" t="n">
        <f aca="false">IF($W48*K48&gt;150000,($W48*K48-150000)*6%*45%,0)</f>
        <v>0</v>
      </c>
      <c r="AO48" s="130" t="n">
        <f aca="false">IF($W48*L48&gt;150000,($W48*L48-150000)*6%*45%,0)</f>
        <v>0</v>
      </c>
      <c r="AP48" s="130" t="n">
        <f aca="false">IF($W48*M48&gt;150000,($W48*M48-150000)*6%*45%,0)</f>
        <v>0</v>
      </c>
      <c r="AQ48" s="130" t="n">
        <f aca="false">IF($W48*N48&gt;150000,($W48*N48-150000)*6%*45%,0)</f>
        <v>0</v>
      </c>
      <c r="AR48" s="130" t="n">
        <f aca="false">IF($W48*O48&gt;150000,($W48*O48-150000)*6%*45%,0)</f>
        <v>0</v>
      </c>
      <c r="AS48" s="130" t="n">
        <f aca="false">IF($W48*P48&gt;150000,($W48*P48-150000)*6%*45%,0)</f>
        <v>0</v>
      </c>
      <c r="AT48" s="130" t="n">
        <f aca="false">IF($W48*Q48&gt;150000,($W48*Q48-150000)*6%*45%,0)</f>
        <v>0</v>
      </c>
      <c r="AU48" s="130" t="n">
        <f aca="false">IF($W48*R48&gt;150000,($W48*R48-150000)*6%*45%,0)</f>
        <v>0</v>
      </c>
      <c r="AV48" s="130" t="n">
        <f aca="false">IF($W48*S48&gt;150000,($W48*S48-150000)*6%*45%,0)</f>
        <v>0</v>
      </c>
      <c r="AW48" s="130" t="n">
        <f aca="false">IF($W48*T48&gt;150000,($W48*T48-150000)*6%*45%,0)</f>
        <v>0</v>
      </c>
      <c r="AX48" s="130"/>
      <c r="AY48" s="131" t="str">
        <f aca="false">IF(ISERROR(VLOOKUP(C48,[26]일용직명단!$A$3:$M$1151,11,FALSE())),0,VLOOKUP(C48,[26]일용직명단!$A$3:$M$1151,11,FALSE()))</f>
        <v>34509</v>
      </c>
      <c r="AZ48" s="11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</row>
    <row r="49" customFormat="false" ht="12.6" hidden="false" customHeight="true" outlineLevel="0" collapsed="false">
      <c r="A49" s="108"/>
      <c r="B49" s="274"/>
      <c r="C49" s="275"/>
      <c r="D49" s="111"/>
      <c r="E49" s="173" t="str">
        <f aca="false">IF(ISERROR(VLOOKUP(C48,일용직명단!$A$3:$K$1246,9,FALSE())),0,VLOOKUP(C48,일용직명단!$A$3:$K$1246,9,FALSE()))</f>
        <v>010-5093-9072</v>
      </c>
      <c r="F49" s="195"/>
      <c r="G49" s="279" t="n">
        <v>1</v>
      </c>
      <c r="H49" s="279" t="n">
        <v>1</v>
      </c>
      <c r="I49" s="278" t="n">
        <v>1</v>
      </c>
      <c r="J49" s="276" t="n">
        <v>1</v>
      </c>
      <c r="K49" s="193"/>
      <c r="L49" s="192"/>
      <c r="M49" s="192"/>
      <c r="N49" s="193"/>
      <c r="O49" s="191"/>
      <c r="P49" s="193"/>
      <c r="Q49" s="193"/>
      <c r="R49" s="192"/>
      <c r="S49" s="192"/>
      <c r="T49" s="192"/>
      <c r="U49" s="191"/>
      <c r="V49" s="174"/>
      <c r="W49" s="138" t="n">
        <f aca="false">W48*V48</f>
        <v>1800000</v>
      </c>
      <c r="X49" s="122" t="n">
        <f aca="false">IF(AH48&lt;1000,0,AH48)</f>
        <v>0</v>
      </c>
      <c r="Y49" s="122" t="n">
        <f aca="false">ROUNDDOWN(X49*10%,-1)</f>
        <v>0</v>
      </c>
      <c r="Z49" s="122" t="n">
        <f aca="false">IF(AE48&gt;=8,ROUNDDOWN(Y48*$Q$4,-1),0)</f>
        <v>4130</v>
      </c>
      <c r="AA49" s="124"/>
      <c r="AB49" s="125"/>
      <c r="AC49" s="176" t="str">
        <f aca="false">IF(ISERROR(VLOOKUP(C48,일용직명단!$A$3:$I$1226,7,FALSE())),0,VLOOKUP(C48,일용직명단!$A$3:$I$1226,7,FALSE()))</f>
        <v>356-1585-3805-03</v>
      </c>
      <c r="AD49" s="176"/>
      <c r="AE49" s="141"/>
      <c r="AF49" s="169"/>
      <c r="AG49" s="169"/>
      <c r="AH49" s="130"/>
      <c r="AI49" s="130" t="n">
        <f aca="false">IF($W48*F49&gt;150000,($W48*F49-150000)*6%*45%,0)</f>
        <v>0</v>
      </c>
      <c r="AJ49" s="130" t="n">
        <f aca="false">IF($W48*G49&gt;150000,($W48*G49-150000)*6%*45%,0)</f>
        <v>0</v>
      </c>
      <c r="AK49" s="130" t="n">
        <f aca="false">IF($W48*H49&gt;150000,($W48*H49-150000)*6%*45%,0)</f>
        <v>0</v>
      </c>
      <c r="AL49" s="130" t="n">
        <f aca="false">IF($W48*I49&gt;150000,($W48*I49-150000)*6%*45%,0)</f>
        <v>0</v>
      </c>
      <c r="AM49" s="130" t="n">
        <f aca="false">IF($W48*J49&gt;150000,($W48*J49-150000)*6%*45%,0)</f>
        <v>0</v>
      </c>
      <c r="AN49" s="130" t="n">
        <f aca="false">IF($W48*K49&gt;150000,($W48*K49-150000)*6%*45%,0)</f>
        <v>0</v>
      </c>
      <c r="AO49" s="130" t="n">
        <f aca="false">IF($W48*L49&gt;150000,($W48*L49-150000)*6%*45%,0)</f>
        <v>0</v>
      </c>
      <c r="AP49" s="130" t="n">
        <f aca="false">IF($W48*M49&gt;150000,($W48*M49-150000)*6%*45%,0)</f>
        <v>0</v>
      </c>
      <c r="AQ49" s="130" t="n">
        <f aca="false">IF($W48*N49&gt;150000,($W48*N49-150000)*6%*45%,0)</f>
        <v>0</v>
      </c>
      <c r="AR49" s="130" t="n">
        <f aca="false">IF($W48*O49&gt;150000,($W48*O49-150000)*6%*45%,0)</f>
        <v>0</v>
      </c>
      <c r="AS49" s="130" t="n">
        <f aca="false">IF($W48*P49&gt;150000,($W48*P49-150000)*6%*45%,0)</f>
        <v>0</v>
      </c>
      <c r="AT49" s="130" t="n">
        <f aca="false">IF($W48*Q49&gt;150000,($W48*Q49-150000)*6%*45%,0)</f>
        <v>0</v>
      </c>
      <c r="AU49" s="130" t="n">
        <f aca="false">IF($W48*R49&gt;150000,($W48*R49-150000)*6%*45%,0)</f>
        <v>0</v>
      </c>
      <c r="AV49" s="130" t="n">
        <f aca="false">IF($W48*S49&gt;150000,($W48*S49-150000)*6%*45%,0)</f>
        <v>0</v>
      </c>
      <c r="AW49" s="130" t="n">
        <f aca="false">IF($W48*T49&gt;150000,($W48*T49-150000)*6%*45%,0)</f>
        <v>0</v>
      </c>
      <c r="AX49" s="130" t="n">
        <f aca="false">IF($W48*U49&gt;150000,($W48*U49-150000)*6%*45%,0)</f>
        <v>0</v>
      </c>
      <c r="AY49" s="131"/>
      <c r="AZ49" s="11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</row>
    <row r="50" customFormat="false" ht="12.6" hidden="false" customHeight="true" outlineLevel="0" collapsed="false">
      <c r="A50" s="108" t="n">
        <f aca="false">A48+1</f>
        <v>15</v>
      </c>
      <c r="B50" s="282" t="n">
        <f aca="false">IF(ISERROR(VLOOKUP(C50,일용직명단!$A$3:$I$104,2,FALSE())),0,VLOOKUP(C50,일용직명단!$A$3:$I$104,2,FALSE()))</f>
        <v>0</v>
      </c>
      <c r="C50" s="283" t="s">
        <v>57</v>
      </c>
      <c r="D50" s="111" t="str">
        <f aca="false">IF(ISERROR(VLOOKUP(C50,일용직명단!$A$3:$K$1246,3,FALSE())),0,VLOOKUP(C50,일용직명단!$A$3:$K$1246,3,FALSE()))</f>
        <v>491107-1448813</v>
      </c>
      <c r="E50" s="173" t="str">
        <f aca="false">IF(ISERROR(VLOOKUP(C50,일용직명단!$A$3:$K$1246,4,FALSE())),0,VLOOKUP(C50,일용직명단!$A$3:$K$1246,4,FALSE()))</f>
        <v>충북 영동군 양강면 국촌1길 6-6</v>
      </c>
      <c r="F50" s="192"/>
      <c r="G50" s="192"/>
      <c r="H50" s="192"/>
      <c r="I50" s="191"/>
      <c r="J50" s="192"/>
      <c r="K50" s="276" t="n">
        <v>1</v>
      </c>
      <c r="L50" s="277" t="n">
        <v>1</v>
      </c>
      <c r="M50" s="277" t="n">
        <v>1</v>
      </c>
      <c r="N50" s="193"/>
      <c r="O50" s="191"/>
      <c r="P50" s="277" t="n">
        <v>1</v>
      </c>
      <c r="Q50" s="278" t="n">
        <v>1</v>
      </c>
      <c r="R50" s="276" t="n">
        <v>1</v>
      </c>
      <c r="S50" s="278" t="n">
        <v>1</v>
      </c>
      <c r="T50" s="191"/>
      <c r="U50" s="194"/>
      <c r="V50" s="120" t="n">
        <f aca="false">SUM(F50:U51)</f>
        <v>7</v>
      </c>
      <c r="W50" s="121" t="n">
        <f aca="false">IF(ISERROR(VLOOKUP(C50,일용직명단!$A$3:$K$1246,8,FALSE())),0,VLOOKUP(C50,일용직명단!$A$3:$K$1246,8,FALSE()))</f>
        <v>150000</v>
      </c>
      <c r="X50" s="177" t="n">
        <f aca="false">IFERROR(IF(AG50&gt;=65,0,ROUNDDOWN(W51*$Z$4,-1)),0)</f>
        <v>0</v>
      </c>
      <c r="Y50" s="177" t="n">
        <f aca="false">IF(AE50&gt;=8,ROUNDDOWN(W51*$M$4,-1),0)</f>
        <v>0</v>
      </c>
      <c r="Z50" s="177" t="n">
        <f aca="false">IFERROR(IF(AND(COUNT(F50:U51)&gt;=8,$AG50&lt;60,W51&lt;=5530000),ROUNDDOWN(ROUNDDOWN(W51,-3)*4.5%,-1),IF(AND(COUNT(F50:U51)&gt;=8,AG50&lt;60,W51&gt;5530000),248850,0)),0)</f>
        <v>0</v>
      </c>
      <c r="AA50" s="124" t="n">
        <f aca="false">+X50+Y50+X51+Y51+Z50+Z51</f>
        <v>0</v>
      </c>
      <c r="AB50" s="125" t="n">
        <f aca="false">W51-AA50</f>
        <v>1050000</v>
      </c>
      <c r="AC50" s="178" t="str">
        <f aca="false">IF(ISERROR(VLOOKUP(C50,일용직명단!$A$3:$I$1226,5,FALSE())),0,VLOOKUP(C50,일용직명단!$A$3:$I$1226,5,FALSE()))</f>
        <v>농협</v>
      </c>
      <c r="AD50" s="179" t="str">
        <f aca="false">IF(ISERROR(VLOOKUP(C50,일용직명단!$A$3:$I$1226,6,FALSE())),0,VLOOKUP(C50,일용직명단!$A$3:$I$1226,6,FALSE()))</f>
        <v>전덕하</v>
      </c>
      <c r="AE50" s="149" t="n">
        <f aca="false">COUNT(F50:U51)</f>
        <v>7</v>
      </c>
      <c r="AF50" s="129" t="str">
        <f aca="false">IF(OR(MID(D50,8,1)="1",MID(D50,8,1)="2"),19&amp;LEFT(D50,2),20&amp;LEFT(D50,2))&amp;"-"&amp;MID(D50,3,2)&amp;"-"&amp;MID(D50,5,2)</f>
        <v>1949-11-07</v>
      </c>
      <c r="AG50" s="129" t="n">
        <f aca="true">INT((TODAY()-AF50)/365.25)</f>
        <v>76</v>
      </c>
      <c r="AH50" s="130" t="n">
        <f aca="false">ROUNDDOWN(SUM(AI50:AX51),-1)</f>
        <v>0</v>
      </c>
      <c r="AI50" s="130" t="n">
        <f aca="false">IF($W50*F50&gt;150000,($W50*F50-150000)*6%*45%,0)</f>
        <v>0</v>
      </c>
      <c r="AJ50" s="130" t="n">
        <f aca="false">IF($W50*G50&gt;150000,($W50*G50-150000)*6%*45%,0)</f>
        <v>0</v>
      </c>
      <c r="AK50" s="130" t="n">
        <f aca="false">IF($W50*H50&gt;150000,($W50*H50-150000)*6%*45%,0)</f>
        <v>0</v>
      </c>
      <c r="AL50" s="130" t="n">
        <f aca="false">IF($W50*I50&gt;150000,($W50*I50-150000)*6%*45%,0)</f>
        <v>0</v>
      </c>
      <c r="AM50" s="130" t="n">
        <f aca="false">IF($W50*J50&gt;150000,($W50*J50-150000)*6%*45%,0)</f>
        <v>0</v>
      </c>
      <c r="AN50" s="130" t="n">
        <f aca="false">IF($W50*K50&gt;150000,($W50*K50-150000)*6%*45%,0)</f>
        <v>0</v>
      </c>
      <c r="AO50" s="130" t="n">
        <f aca="false">IF($W50*L50&gt;150000,($W50*L50-150000)*6%*45%,0)</f>
        <v>0</v>
      </c>
      <c r="AP50" s="130" t="n">
        <f aca="false">IF($W50*M50&gt;150000,($W50*M50-150000)*6%*45%,0)</f>
        <v>0</v>
      </c>
      <c r="AQ50" s="130" t="n">
        <f aca="false">IF($W50*N50&gt;150000,($W50*N50-150000)*6%*45%,0)</f>
        <v>0</v>
      </c>
      <c r="AR50" s="130" t="n">
        <f aca="false">IF($W50*O50&gt;150000,($W50*O50-150000)*6%*45%,0)</f>
        <v>0</v>
      </c>
      <c r="AS50" s="130" t="n">
        <f aca="false">IF($W50*P50&gt;150000,($W50*P50-150000)*6%*45%,0)</f>
        <v>0</v>
      </c>
      <c r="AT50" s="130" t="n">
        <f aca="false">IF($W50*Q50&gt;150000,($W50*Q50-150000)*6%*45%,0)</f>
        <v>0</v>
      </c>
      <c r="AU50" s="130" t="n">
        <f aca="false">IF($W50*R50&gt;150000,($W50*R50-150000)*6%*45%,0)</f>
        <v>0</v>
      </c>
      <c r="AV50" s="130" t="n">
        <f aca="false">IF($W50*S50&gt;150000,($W50*S50-150000)*6%*45%,0)</f>
        <v>0</v>
      </c>
      <c r="AW50" s="130" t="n">
        <f aca="false">IF($W50*T50&gt;150000,($W50*T50-150000)*6%*45%,0)</f>
        <v>0</v>
      </c>
      <c r="AX50" s="130"/>
      <c r="AY50" s="131" t="str">
        <f aca="false">IF(ISERROR(VLOOKUP(C50,[26]일용직명단!$A$3:$M$1151,11,FALSE())),0,VLOOKUP(C50,[26]일용직명단!$A$3:$M$1151,11,FALSE()))</f>
        <v>29155</v>
      </c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/>
    </row>
    <row r="51" customFormat="false" ht="12" hidden="false" customHeight="true" outlineLevel="0" collapsed="false">
      <c r="A51" s="108"/>
      <c r="B51" s="282"/>
      <c r="C51" s="283"/>
      <c r="D51" s="111"/>
      <c r="E51" s="173" t="n">
        <f aca="false">IF(ISERROR(VLOOKUP(C50,일용직명단!$A$3:$K$1246,9,FALSE())),0,VLOOKUP(C50,일용직명단!$A$3:$K$1246,9,FALSE()))</f>
        <v>0</v>
      </c>
      <c r="F51" s="195"/>
      <c r="G51" s="196"/>
      <c r="H51" s="196"/>
      <c r="I51" s="193"/>
      <c r="J51" s="191"/>
      <c r="K51" s="193"/>
      <c r="L51" s="192"/>
      <c r="M51" s="192"/>
      <c r="N51" s="193"/>
      <c r="O51" s="191"/>
      <c r="P51" s="193"/>
      <c r="Q51" s="193"/>
      <c r="R51" s="192"/>
      <c r="S51" s="192"/>
      <c r="T51" s="192"/>
      <c r="U51" s="191"/>
      <c r="V51" s="120"/>
      <c r="W51" s="138" t="n">
        <f aca="false">W50*V50</f>
        <v>1050000</v>
      </c>
      <c r="X51" s="177" t="n">
        <f aca="false">IF(AH50&lt;1000,0,AH50)</f>
        <v>0</v>
      </c>
      <c r="Y51" s="177" t="n">
        <f aca="false">ROUNDDOWN(X51*10%,-1)</f>
        <v>0</v>
      </c>
      <c r="Z51" s="177" t="n">
        <f aca="false">IF(AE50&gt;=8,ROUNDDOWN(Y50*$Q$4,-1),0)</f>
        <v>0</v>
      </c>
      <c r="AA51" s="124"/>
      <c r="AB51" s="125"/>
      <c r="AC51" s="179" t="str">
        <f aca="false">IF(ISERROR(VLOOKUP(C50,일용직명단!$A$3:$I$1226,7,FALSE())),0,VLOOKUP(C50,일용직명단!$A$3:$I$1226,7,FALSE()))</f>
        <v>356-0791-8136-43</v>
      </c>
      <c r="AD51" s="179"/>
      <c r="AE51" s="149"/>
      <c r="AF51" s="129"/>
      <c r="AG51" s="129"/>
      <c r="AH51" s="130"/>
      <c r="AI51" s="130" t="n">
        <f aca="false">IF($W50*F51&gt;150000,($W50*F51-150000)*6%*45%,0)</f>
        <v>0</v>
      </c>
      <c r="AJ51" s="130" t="n">
        <f aca="false">IF($W50*G51&gt;150000,($W50*G51-150000)*6%*45%,0)</f>
        <v>0</v>
      </c>
      <c r="AK51" s="130" t="n">
        <f aca="false">IF($W50*H51&gt;150000,($W50*H51-150000)*6%*45%,0)</f>
        <v>0</v>
      </c>
      <c r="AL51" s="130" t="n">
        <f aca="false">IF($W50*I51&gt;150000,($W50*I51-150000)*6%*45%,0)</f>
        <v>0</v>
      </c>
      <c r="AM51" s="130" t="n">
        <f aca="false">IF($W50*J51&gt;150000,($W50*J51-150000)*6%*45%,0)</f>
        <v>0</v>
      </c>
      <c r="AN51" s="130" t="n">
        <f aca="false">IF($W50*K51&gt;150000,($W50*K51-150000)*6%*45%,0)</f>
        <v>0</v>
      </c>
      <c r="AO51" s="130" t="n">
        <f aca="false">IF($W50*L51&gt;150000,($W50*L51-150000)*6%*45%,0)</f>
        <v>0</v>
      </c>
      <c r="AP51" s="130" t="n">
        <f aca="false">IF($W50*M51&gt;150000,($W50*M51-150000)*6%*45%,0)</f>
        <v>0</v>
      </c>
      <c r="AQ51" s="130" t="n">
        <f aca="false">IF($W50*N51&gt;150000,($W50*N51-150000)*6%*45%,0)</f>
        <v>0</v>
      </c>
      <c r="AR51" s="130" t="n">
        <f aca="false">IF($W50*O51&gt;150000,($W50*O51-150000)*6%*45%,0)</f>
        <v>0</v>
      </c>
      <c r="AS51" s="130" t="n">
        <f aca="false">IF($W50*P51&gt;150000,($W50*P51-150000)*6%*45%,0)</f>
        <v>0</v>
      </c>
      <c r="AT51" s="130" t="n">
        <f aca="false">IF($W50*Q51&gt;150000,($W50*Q51-150000)*6%*45%,0)</f>
        <v>0</v>
      </c>
      <c r="AU51" s="130" t="n">
        <f aca="false">IF($W50*R51&gt;150000,($W50*R51-150000)*6%*45%,0)</f>
        <v>0</v>
      </c>
      <c r="AV51" s="130" t="n">
        <f aca="false">IF($W50*S51&gt;150000,($W50*S51-150000)*6%*45%,0)</f>
        <v>0</v>
      </c>
      <c r="AW51" s="130" t="n">
        <f aca="false">IF($W50*T51&gt;150000,($W50*T51-150000)*6%*45%,0)</f>
        <v>0</v>
      </c>
      <c r="AX51" s="130" t="n">
        <f aca="false">IF($W50*U51&gt;150000,($W50*U51-150000)*6%*45%,0)</f>
        <v>0</v>
      </c>
      <c r="AY51" s="13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</row>
    <row r="52" customFormat="false" ht="12.6" hidden="false" customHeight="true" outlineLevel="0" collapsed="false">
      <c r="A52" s="108" t="n">
        <f aca="false">A50+1</f>
        <v>16</v>
      </c>
      <c r="B52" s="284"/>
      <c r="C52" s="285" t="s">
        <v>60</v>
      </c>
      <c r="D52" s="111" t="str">
        <f aca="false">IF(ISERROR(VLOOKUP(C52,일용직명단!$A$3:$K$1246,3,FALSE())),0,VLOOKUP(C52,일용직명단!$A$3:$K$1246,3,FALSE()))</f>
        <v>640320-2386922</v>
      </c>
      <c r="E52" s="173" t="str">
        <f aca="false">IF(ISERROR(VLOOKUP(C52,일용직명단!$A$3:$K$1246,4,FALSE())),0,VLOOKUP(C52,일용직명단!$A$3:$K$1246,4,FALSE()))</f>
        <v>충북 영동군 양강면 양정리116-6</v>
      </c>
      <c r="F52" s="192"/>
      <c r="G52" s="192"/>
      <c r="H52" s="192"/>
      <c r="I52" s="191"/>
      <c r="J52" s="192"/>
      <c r="K52" s="118" t="n">
        <v>1</v>
      </c>
      <c r="L52" s="117" t="n">
        <v>1</v>
      </c>
      <c r="M52" s="117" t="n">
        <v>1</v>
      </c>
      <c r="N52" s="193"/>
      <c r="O52" s="191"/>
      <c r="P52" s="117" t="n">
        <v>1</v>
      </c>
      <c r="Q52" s="116" t="n">
        <v>1</v>
      </c>
      <c r="R52" s="118" t="n">
        <v>1</v>
      </c>
      <c r="S52" s="116" t="n">
        <v>1</v>
      </c>
      <c r="T52" s="118" t="n">
        <v>1</v>
      </c>
      <c r="U52" s="194"/>
      <c r="V52" s="120" t="n">
        <f aca="false">SUM(F52:U53)</f>
        <v>12</v>
      </c>
      <c r="W52" s="121" t="n">
        <f aca="false">IF(ISERROR(VLOOKUP(C52,일용직명단!$A$3:$K$1246,8,FALSE())),0,VLOOKUP(C52,일용직명단!$A$3:$K$1246,8,FALSE()))</f>
        <v>150000</v>
      </c>
      <c r="X52" s="177" t="n">
        <f aca="false">IFERROR(IF(AG52&gt;=65,0,ROUNDDOWN(W53*$Z$4,-1)),0)</f>
        <v>16200</v>
      </c>
      <c r="Y52" s="177" t="n">
        <f aca="false">IF(AE52&gt;=8,ROUNDDOWN(W53*$M$4,-1),0)</f>
        <v>63810</v>
      </c>
      <c r="Z52" s="177" t="n">
        <f aca="false">IFERROR(IF(AND(COUNT(F52:U53)&gt;=8,$AG52&lt;60,W53&lt;=5530000),ROUNDDOWN(ROUNDDOWN(W53,-3)*4.5%,-1),IF(AND(COUNT(F52:U53)&gt;=8,AG52&lt;60,W53&gt;5530000),248850,0)),0)</f>
        <v>0</v>
      </c>
      <c r="AA52" s="124" t="n">
        <f aca="false">+X52+Y52+X53+Y53+Z52+Z53</f>
        <v>84140</v>
      </c>
      <c r="AB52" s="125" t="n">
        <f aca="false">W53-AA52</f>
        <v>1715860</v>
      </c>
      <c r="AC52" s="178" t="str">
        <f aca="false">IF(ISERROR(VLOOKUP(C52,일용직명단!$A$3:$I$1226,5,FALSE())),0,VLOOKUP(C52,일용직명단!$A$3:$I$1226,5,FALSE()))</f>
        <v>농협</v>
      </c>
      <c r="AD52" s="179" t="str">
        <f aca="false">IF(ISERROR(VLOOKUP(C52,일용직명단!$A$3:$I$1226,6,FALSE())),0,VLOOKUP(C52,일용직명단!$A$3:$I$1226,6,FALSE()))</f>
        <v>양희옥</v>
      </c>
      <c r="AE52" s="149" t="n">
        <f aca="false">COUNT(F52:U53)</f>
        <v>12</v>
      </c>
      <c r="AF52" s="129" t="str">
        <f aca="false">IF(OR(MID(D52,8,1)="1",MID(D52,8,1)="2"),19&amp;LEFT(D52,2),20&amp;LEFT(D52,2))&amp;"-"&amp;MID(D52,3,2)&amp;"-"&amp;MID(D52,5,2)</f>
        <v>1964-03-20</v>
      </c>
      <c r="AG52" s="129" t="n">
        <f aca="true">INT((TODAY()-AF52)/365.25)</f>
        <v>62</v>
      </c>
      <c r="AH52" s="130" t="n">
        <f aca="false">ROUNDDOWN(SUM(AI52:AX53),-1)</f>
        <v>0</v>
      </c>
      <c r="AI52" s="130" t="n">
        <f aca="false">IF($W52*F52&gt;150000,($W52*F52-150000)*6%*45%,0)</f>
        <v>0</v>
      </c>
      <c r="AJ52" s="130" t="n">
        <f aca="false">IF($W52*G52&gt;150000,($W52*G52-150000)*6%*45%,0)</f>
        <v>0</v>
      </c>
      <c r="AK52" s="130" t="n">
        <f aca="false">IF($W52*H52&gt;150000,($W52*H52-150000)*6%*45%,0)</f>
        <v>0</v>
      </c>
      <c r="AL52" s="130" t="n">
        <f aca="false">IF($W52*I52&gt;150000,($W52*I52-150000)*6%*45%,0)</f>
        <v>0</v>
      </c>
      <c r="AM52" s="130" t="n">
        <f aca="false">IF($W52*J52&gt;150000,($W52*J52-150000)*6%*45%,0)</f>
        <v>0</v>
      </c>
      <c r="AN52" s="130" t="n">
        <f aca="false">IF($W52*K52&gt;150000,($W52*K52-150000)*6%*45%,0)</f>
        <v>0</v>
      </c>
      <c r="AO52" s="130" t="n">
        <f aca="false">IF($W52*L52&gt;150000,($W52*L52-150000)*6%*45%,0)</f>
        <v>0</v>
      </c>
      <c r="AP52" s="130" t="n">
        <f aca="false">IF($W52*M52&gt;150000,($W52*M52-150000)*6%*45%,0)</f>
        <v>0</v>
      </c>
      <c r="AQ52" s="130" t="n">
        <f aca="false">IF($W52*N52&gt;150000,($W52*N52-150000)*6%*45%,0)</f>
        <v>0</v>
      </c>
      <c r="AR52" s="130" t="n">
        <f aca="false">IF($W52*O52&gt;150000,($W52*O52-150000)*6%*45%,0)</f>
        <v>0</v>
      </c>
      <c r="AS52" s="130" t="n">
        <f aca="false">IF($W52*P52&gt;150000,($W52*P52-150000)*6%*45%,0)</f>
        <v>0</v>
      </c>
      <c r="AT52" s="130" t="n">
        <f aca="false">IF($W52*Q52&gt;150000,($W52*Q52-150000)*6%*45%,0)</f>
        <v>0</v>
      </c>
      <c r="AU52" s="130" t="n">
        <f aca="false">IF($W52*R52&gt;150000,($W52*R52-150000)*6%*45%,0)</f>
        <v>0</v>
      </c>
      <c r="AV52" s="130" t="n">
        <f aca="false">IF($W52*S52&gt;150000,($W52*S52-150000)*6%*45%,0)</f>
        <v>0</v>
      </c>
      <c r="AW52" s="130" t="n">
        <f aca="false">IF($W52*T52&gt;150000,($W52*T52-150000)*6%*45%,0)</f>
        <v>0</v>
      </c>
      <c r="AX52" s="130"/>
      <c r="AY52" s="131" t="str">
        <f aca="false">IF(ISERROR(VLOOKUP(C52,[26]일용직명단!$A$3:$M$1151,11,FALSE())),0,VLOOKUP(C52,[26]일용직명단!$A$3:$M$1151,11,FALSE()))</f>
        <v>29156</v>
      </c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  <c r="IW52" s="11"/>
    </row>
    <row r="53" customFormat="false" ht="12.6" hidden="false" customHeight="true" outlineLevel="0" collapsed="false">
      <c r="A53" s="108"/>
      <c r="B53" s="284"/>
      <c r="C53" s="285"/>
      <c r="D53" s="111"/>
      <c r="E53" s="173" t="str">
        <f aca="false">IF(ISERROR(VLOOKUP(C52,일용직명단!$A$3:$K$1246,9,FALSE())),0,VLOOKUP(C52,일용직명단!$A$3:$K$1246,9,FALSE()))</f>
        <v>010-8982-1150</v>
      </c>
      <c r="F53" s="195"/>
      <c r="G53" s="133" t="n">
        <v>1</v>
      </c>
      <c r="H53" s="133" t="n">
        <v>1</v>
      </c>
      <c r="I53" s="116" t="n">
        <v>1</v>
      </c>
      <c r="J53" s="118" t="n">
        <v>1</v>
      </c>
      <c r="K53" s="193"/>
      <c r="L53" s="192"/>
      <c r="M53" s="192"/>
      <c r="N53" s="193"/>
      <c r="O53" s="191"/>
      <c r="P53" s="193"/>
      <c r="Q53" s="193"/>
      <c r="R53" s="192"/>
      <c r="S53" s="192"/>
      <c r="T53" s="192"/>
      <c r="U53" s="191"/>
      <c r="V53" s="120"/>
      <c r="W53" s="138" t="n">
        <f aca="false">W52*V52</f>
        <v>1800000</v>
      </c>
      <c r="X53" s="177" t="n">
        <f aca="false">IF(AH52&lt;1000,0,AH52)</f>
        <v>0</v>
      </c>
      <c r="Y53" s="177" t="n">
        <f aca="false">ROUNDDOWN(X53*10%,-1)</f>
        <v>0</v>
      </c>
      <c r="Z53" s="177" t="n">
        <f aca="false">IF(AE52&gt;=8,ROUNDDOWN(Y52*$Q$4,-1),0)</f>
        <v>4130</v>
      </c>
      <c r="AA53" s="124"/>
      <c r="AB53" s="125"/>
      <c r="AC53" s="179" t="str">
        <f aca="false">IF(ISERROR(VLOOKUP(C52,일용직명단!$A$3:$I$1226,7,FALSE())),0,VLOOKUP(C52,일용직명단!$A$3:$I$1226,7,FALSE()))</f>
        <v>407023-56-010784</v>
      </c>
      <c r="AD53" s="179"/>
      <c r="AE53" s="149"/>
      <c r="AF53" s="129"/>
      <c r="AG53" s="129"/>
      <c r="AH53" s="130"/>
      <c r="AI53" s="130" t="n">
        <f aca="false">IF($W52*F53&gt;150000,($W52*F53-150000)*6%*45%,0)</f>
        <v>0</v>
      </c>
      <c r="AJ53" s="130" t="n">
        <f aca="false">IF($W52*G53&gt;150000,($W52*G53-150000)*6%*45%,0)</f>
        <v>0</v>
      </c>
      <c r="AK53" s="130" t="n">
        <f aca="false">IF($W52*H53&gt;150000,($W52*H53-150000)*6%*45%,0)</f>
        <v>0</v>
      </c>
      <c r="AL53" s="130" t="n">
        <f aca="false">IF($W52*I53&gt;150000,($W52*I53-150000)*6%*45%,0)</f>
        <v>0</v>
      </c>
      <c r="AM53" s="130" t="n">
        <f aca="false">IF($W52*J53&gt;150000,($W52*J53-150000)*6%*45%,0)</f>
        <v>0</v>
      </c>
      <c r="AN53" s="130" t="n">
        <f aca="false">IF($W52*K53&gt;150000,($W52*K53-150000)*6%*45%,0)</f>
        <v>0</v>
      </c>
      <c r="AO53" s="130" t="n">
        <f aca="false">IF($W52*L53&gt;150000,($W52*L53-150000)*6%*45%,0)</f>
        <v>0</v>
      </c>
      <c r="AP53" s="130" t="n">
        <f aca="false">IF($W52*M53&gt;150000,($W52*M53-150000)*6%*45%,0)</f>
        <v>0</v>
      </c>
      <c r="AQ53" s="130" t="n">
        <f aca="false">IF($W52*N53&gt;150000,($W52*N53-150000)*6%*45%,0)</f>
        <v>0</v>
      </c>
      <c r="AR53" s="130" t="n">
        <f aca="false">IF($W52*O53&gt;150000,($W52*O53-150000)*6%*45%,0)</f>
        <v>0</v>
      </c>
      <c r="AS53" s="130" t="n">
        <f aca="false">IF($W52*P53&gt;150000,($W52*P53-150000)*6%*45%,0)</f>
        <v>0</v>
      </c>
      <c r="AT53" s="130" t="n">
        <f aca="false">IF($W52*Q53&gt;150000,($W52*Q53-150000)*6%*45%,0)</f>
        <v>0</v>
      </c>
      <c r="AU53" s="130" t="n">
        <f aca="false">IF($W52*R53&gt;150000,($W52*R53-150000)*6%*45%,0)</f>
        <v>0</v>
      </c>
      <c r="AV53" s="130" t="n">
        <f aca="false">IF($W52*S53&gt;150000,($W52*S53-150000)*6%*45%,0)</f>
        <v>0</v>
      </c>
      <c r="AW53" s="130" t="n">
        <f aca="false">IF($W52*T53&gt;150000,($W52*T53-150000)*6%*45%,0)</f>
        <v>0</v>
      </c>
      <c r="AX53" s="130" t="n">
        <f aca="false">IF($W52*U53&gt;150000,($W52*U53-150000)*6%*45%,0)</f>
        <v>0</v>
      </c>
      <c r="AY53" s="13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/>
      <c r="IW53" s="11"/>
    </row>
    <row r="54" customFormat="false" ht="12.6" hidden="false" customHeight="true" outlineLevel="0" collapsed="false">
      <c r="A54" s="108" t="n">
        <f aca="false">A52+1</f>
        <v>17</v>
      </c>
      <c r="B54" s="286" t="s">
        <v>84</v>
      </c>
      <c r="C54" s="287" t="s">
        <v>95</v>
      </c>
      <c r="D54" s="111" t="str">
        <f aca="false">IF(ISERROR(VLOOKUP(C54,일용직명단!$A$3:$K$1246,3,FALSE())),0,VLOOKUP(C54,일용직명단!$A$3:$K$1246,3,FALSE()))</f>
        <v>651227-1384614</v>
      </c>
      <c r="E54" s="140" t="str">
        <f aca="false">IF(ISERROR(VLOOKUP(C54,일용직명단!$A$3:$K$1246,4,FALSE())),0,VLOOKUP(C54,일용직명단!$A$3:$K$1246,4,FALSE()))</f>
        <v>충북 옥천군 청산면 예곡2길8-10</v>
      </c>
      <c r="F54" s="192"/>
      <c r="G54" s="116"/>
      <c r="H54" s="118"/>
      <c r="I54" s="118"/>
      <c r="J54" s="117"/>
      <c r="K54" s="191"/>
      <c r="L54" s="192"/>
      <c r="M54" s="192"/>
      <c r="N54" s="193"/>
      <c r="O54" s="118" t="n">
        <v>1</v>
      </c>
      <c r="P54" s="117" t="n">
        <v>1</v>
      </c>
      <c r="Q54" s="116" t="n">
        <v>1</v>
      </c>
      <c r="R54" s="118" t="n">
        <v>1</v>
      </c>
      <c r="S54" s="116" t="n">
        <v>1</v>
      </c>
      <c r="T54" s="191"/>
      <c r="U54" s="194"/>
      <c r="V54" s="168" t="n">
        <f aca="false">SUM(F54:U55)</f>
        <v>8</v>
      </c>
      <c r="W54" s="121" t="n">
        <f aca="false">IF(ISERROR(VLOOKUP(C54,일용직명단!$A$3:$K$1246,8,FALSE())),0,VLOOKUP(C54,일용직명단!$A$3:$K$1246,8,FALSE()))</f>
        <v>200000</v>
      </c>
      <c r="X54" s="123" t="n">
        <f aca="false">IFERROR(IF(AG54&gt;=65,0,ROUNDDOWN(W55*$Z$4,-1)),0)</f>
        <v>14400</v>
      </c>
      <c r="Y54" s="123" t="n">
        <f aca="false">IF(AE54&gt;=8,ROUNDDOWN(W55*$M$4,-1),0)</f>
        <v>56720</v>
      </c>
      <c r="Z54" s="123" t="n">
        <f aca="false">IFERROR(IF(AND(COUNT(F54:U55)&gt;=8,$AG54&lt;60,W55&lt;=5530000),ROUNDDOWN(ROUNDDOWN(W55,-3)*4.5%,-1),IF(AND(COUNT(F54:U55)&gt;=8,AG54&lt;60,W55&gt;5530000),248850,0)),0)</f>
        <v>0</v>
      </c>
      <c r="AA54" s="145" t="n">
        <f aca="false">+X54+Y54+X55+Y55+Z54+Z55</f>
        <v>86670</v>
      </c>
      <c r="AB54" s="146" t="n">
        <f aca="false">W55-AA54</f>
        <v>1513330</v>
      </c>
      <c r="AC54" s="165" t="str">
        <f aca="false">IF(ISERROR(VLOOKUP(C54,일용직명단!$A$3:$I$1226,5,FALSE())),0,VLOOKUP(C54,일용직명단!$A$3:$I$1226,5,FALSE()))</f>
        <v>농협</v>
      </c>
      <c r="AD54" s="166" t="str">
        <f aca="false">IF(ISERROR(VLOOKUP(C54,일용직명단!$A$3:$I$1226,6,FALSE())),0,VLOOKUP(C54,일용직명단!$A$3:$I$1226,6,FALSE()))</f>
        <v>김운수</v>
      </c>
      <c r="AE54" s="141" t="n">
        <f aca="false">COUNT(F54:U55)</f>
        <v>8</v>
      </c>
      <c r="AF54" s="169" t="str">
        <f aca="false">IF(OR(MID(D54,8,1)="1",MID(D54,8,1)="2"),19&amp;LEFT(D54,2),20&amp;LEFT(D54,2))&amp;"-"&amp;MID(D54,3,2)&amp;"-"&amp;MID(D54,5,2)</f>
        <v>1965-12-27</v>
      </c>
      <c r="AG54" s="169" t="n">
        <f aca="true">INT((TODAY()-AF54)/365.25)</f>
        <v>60</v>
      </c>
      <c r="AH54" s="130" t="n">
        <f aca="false">ROUNDDOWN(SUM(AI54:AX55),-1)</f>
        <v>10800</v>
      </c>
      <c r="AI54" s="130" t="n">
        <f aca="false">IF($W54*F54&gt;150000,($W54*F54-150000)*6%*45%,0)</f>
        <v>0</v>
      </c>
      <c r="AJ54" s="130" t="n">
        <f aca="false">IF($W54*G54&gt;150000,($W54*G54-150000)*6%*45%,0)</f>
        <v>0</v>
      </c>
      <c r="AK54" s="130" t="n">
        <f aca="false">IF($W54*H54&gt;150000,($W54*H54-150000)*6%*45%,0)</f>
        <v>0</v>
      </c>
      <c r="AL54" s="130" t="n">
        <f aca="false">IF($W54*I54&gt;150000,($W54*I54-150000)*6%*45%,0)</f>
        <v>0</v>
      </c>
      <c r="AM54" s="130" t="n">
        <f aca="false">IF($W54*J54&gt;150000,($W54*J54-150000)*6%*45%,0)</f>
        <v>0</v>
      </c>
      <c r="AN54" s="130" t="n">
        <f aca="false">IF($W54*K54&gt;150000,($W54*K54-150000)*6%*45%,0)</f>
        <v>0</v>
      </c>
      <c r="AO54" s="130" t="n">
        <f aca="false">IF($W54*L54&gt;150000,($W54*L54-150000)*6%*45%,0)</f>
        <v>0</v>
      </c>
      <c r="AP54" s="130" t="n">
        <f aca="false">IF($W54*M54&gt;150000,($W54*M54-150000)*6%*45%,0)</f>
        <v>0</v>
      </c>
      <c r="AQ54" s="130" t="n">
        <f aca="false">IF($W54*N54&gt;150000,($W54*N54-150000)*6%*45%,0)</f>
        <v>0</v>
      </c>
      <c r="AR54" s="130" t="n">
        <f aca="false">IF($W54*O54&gt;150000,($W54*O54-150000)*6%*45%,0)</f>
        <v>1350</v>
      </c>
      <c r="AS54" s="130" t="n">
        <f aca="false">IF($W54*P54&gt;150000,($W54*P54-150000)*6%*45%,0)</f>
        <v>1350</v>
      </c>
      <c r="AT54" s="130" t="n">
        <f aca="false">IF($W54*Q54&gt;150000,($W54*Q54-150000)*6%*45%,0)</f>
        <v>1350</v>
      </c>
      <c r="AU54" s="130" t="n">
        <f aca="false">IF($W54*R54&gt;150000,($W54*R54-150000)*6%*45%,0)</f>
        <v>1350</v>
      </c>
      <c r="AV54" s="130" t="n">
        <f aca="false">IF($W54*S54&gt;150000,($W54*S54-150000)*6%*45%,0)</f>
        <v>1350</v>
      </c>
      <c r="AW54" s="130" t="n">
        <f aca="false">IF($W54*T54&gt;150000,($W54*T54-150000)*6%*45%,0)</f>
        <v>0</v>
      </c>
      <c r="AX54" s="130"/>
      <c r="AY54" s="131" t="n">
        <f aca="false">IF(ISERROR(VLOOKUP(C54,[26]일용직명단!$A$3:$M$1151,11,FALSE())),0,VLOOKUP(C54,[26]일용직명단!$A$3:$M$1151,11,FALSE()))</f>
        <v>0</v>
      </c>
      <c r="AZ54" s="11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</row>
    <row r="55" customFormat="false" ht="12" hidden="false" customHeight="true" outlineLevel="0" collapsed="false">
      <c r="A55" s="108"/>
      <c r="B55" s="286"/>
      <c r="C55" s="287"/>
      <c r="D55" s="111"/>
      <c r="E55" s="140" t="n">
        <f aca="false">IF(ISERROR(VLOOKUP(C54,일용직명단!$A$3:$K$1246,9,FALSE())),0,VLOOKUP(C54,일용직명단!$A$3:$K$1246,9,FALSE()))</f>
        <v>0</v>
      </c>
      <c r="F55" s="195"/>
      <c r="G55" s="133" t="n">
        <v>1</v>
      </c>
      <c r="H55" s="133" t="n">
        <v>1</v>
      </c>
      <c r="I55" s="116" t="n">
        <v>1</v>
      </c>
      <c r="J55" s="191"/>
      <c r="K55" s="191"/>
      <c r="L55" s="191"/>
      <c r="M55" s="191"/>
      <c r="N55" s="191"/>
      <c r="O55" s="191"/>
      <c r="P55" s="193"/>
      <c r="Q55" s="193"/>
      <c r="R55" s="192"/>
      <c r="S55" s="192"/>
      <c r="T55" s="192"/>
      <c r="U55" s="191"/>
      <c r="V55" s="168"/>
      <c r="W55" s="138" t="n">
        <f aca="false">W54*V54</f>
        <v>1600000</v>
      </c>
      <c r="X55" s="123" t="n">
        <f aca="false">IF(AH54&lt;1000,0,AH54)</f>
        <v>10800</v>
      </c>
      <c r="Y55" s="123" t="n">
        <f aca="false">ROUNDDOWN(X55*10%,-1)</f>
        <v>1080</v>
      </c>
      <c r="Z55" s="123" t="n">
        <f aca="false">IF(AE54&gt;=8,ROUNDDOWN(Y54*$Q$4,-1),0)</f>
        <v>3670</v>
      </c>
      <c r="AA55" s="145"/>
      <c r="AB55" s="146"/>
      <c r="AC55" s="166" t="str">
        <f aca="false">IF(ISERROR(VLOOKUP(C54,일용직명단!$A$3:$I$1226,7,FALSE())),0,VLOOKUP(C54,일용직명단!$A$3:$I$1226,7,FALSE()))</f>
        <v>405054-52-107347</v>
      </c>
      <c r="AD55" s="166"/>
      <c r="AE55" s="141"/>
      <c r="AF55" s="169"/>
      <c r="AG55" s="169"/>
      <c r="AH55" s="130"/>
      <c r="AI55" s="130" t="n">
        <f aca="false">IF($W54*F55&gt;150000,($W54*F55-150000)*6%*45%,0)</f>
        <v>0</v>
      </c>
      <c r="AJ55" s="130" t="n">
        <f aca="false">IF($W54*G55&gt;150000,($W54*G55-150000)*6%*45%,0)</f>
        <v>1350</v>
      </c>
      <c r="AK55" s="130" t="n">
        <f aca="false">IF($W54*H55&gt;150000,($W54*H55-150000)*6%*45%,0)</f>
        <v>1350</v>
      </c>
      <c r="AL55" s="130" t="n">
        <f aca="false">IF($W54*I55&gt;150000,($W54*I55-150000)*6%*45%,0)</f>
        <v>1350</v>
      </c>
      <c r="AM55" s="130" t="n">
        <f aca="false">IF($W54*J55&gt;150000,($W54*J55-150000)*6%*45%,0)</f>
        <v>0</v>
      </c>
      <c r="AN55" s="130" t="n">
        <f aca="false">IF($W54*K55&gt;150000,($W54*K55-150000)*6%*45%,0)</f>
        <v>0</v>
      </c>
      <c r="AO55" s="130" t="n">
        <f aca="false">IF($W54*L55&gt;150000,($W54*L55-150000)*6%*45%,0)</f>
        <v>0</v>
      </c>
      <c r="AP55" s="130" t="n">
        <f aca="false">IF($W54*M55&gt;150000,($W54*M55-150000)*6%*45%,0)</f>
        <v>0</v>
      </c>
      <c r="AQ55" s="130" t="n">
        <f aca="false">IF($W54*N55&gt;150000,($W54*N55-150000)*6%*45%,0)</f>
        <v>0</v>
      </c>
      <c r="AR55" s="130" t="n">
        <f aca="false">IF($W54*O55&gt;150000,($W54*O55-150000)*6%*45%,0)</f>
        <v>0</v>
      </c>
      <c r="AS55" s="130" t="n">
        <f aca="false">IF($W54*P55&gt;150000,($W54*P55-150000)*6%*45%,0)</f>
        <v>0</v>
      </c>
      <c r="AT55" s="130" t="n">
        <f aca="false">IF($W54*Q55&gt;150000,($W54*Q55-150000)*6%*45%,0)</f>
        <v>0</v>
      </c>
      <c r="AU55" s="130" t="n">
        <f aca="false">IF($W54*R55&gt;150000,($W54*R55-150000)*6%*45%,0)</f>
        <v>0</v>
      </c>
      <c r="AV55" s="130" t="n">
        <f aca="false">IF($W54*S55&gt;150000,($W54*S55-150000)*6%*45%,0)</f>
        <v>0</v>
      </c>
      <c r="AW55" s="130" t="n">
        <f aca="false">IF($W54*T55&gt;150000,($W54*T55-150000)*6%*45%,0)</f>
        <v>0</v>
      </c>
      <c r="AX55" s="130" t="n">
        <f aca="false">IF($W54*U55&gt;150000,($W54*U55-150000)*6%*45%,0)</f>
        <v>0</v>
      </c>
      <c r="AY55" s="131"/>
      <c r="AZ55" s="11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</row>
    <row r="56" customFormat="false" ht="12.6" hidden="false" customHeight="true" outlineLevel="0" collapsed="false">
      <c r="A56" s="108" t="n">
        <f aca="false">A54+1</f>
        <v>18</v>
      </c>
      <c r="B56" s="286" t="s">
        <v>104</v>
      </c>
      <c r="C56" s="285" t="s">
        <v>105</v>
      </c>
      <c r="D56" s="111" t="str">
        <f aca="false">IF(ISERROR(VLOOKUP(C56,일용직명단!$A$3:$K$1246,3,FALSE())),0,VLOOKUP(C56,일용직명단!$A$3:$K$1246,3,FALSE()))</f>
        <v>571020-1481929</v>
      </c>
      <c r="E56" s="140" t="str">
        <f aca="false">IF(ISERROR(VLOOKUP(C56,일용직명단!$A$3:$K$1246,4,FALSE())),0,VLOOKUP(C56,일용직명단!$A$3:$K$1246,4,FALSE()))</f>
        <v>충북 영동군 양강면 묘동3길 31-3</v>
      </c>
      <c r="F56" s="192"/>
      <c r="G56" s="196"/>
      <c r="H56" s="196"/>
      <c r="I56" s="191"/>
      <c r="J56" s="192"/>
      <c r="K56" s="118" t="n">
        <v>1</v>
      </c>
      <c r="L56" s="117" t="n">
        <v>1</v>
      </c>
      <c r="M56" s="117" t="n">
        <v>1</v>
      </c>
      <c r="N56" s="193"/>
      <c r="O56" s="118" t="n">
        <v>1</v>
      </c>
      <c r="P56" s="117" t="n">
        <v>1</v>
      </c>
      <c r="Q56" s="116" t="n">
        <v>1</v>
      </c>
      <c r="R56" s="118" t="n">
        <v>1</v>
      </c>
      <c r="S56" s="116" t="n">
        <v>1</v>
      </c>
      <c r="T56" s="118" t="n">
        <v>1</v>
      </c>
      <c r="U56" s="194"/>
      <c r="V56" s="168" t="n">
        <f aca="false">SUM(F56:U57)</f>
        <v>12</v>
      </c>
      <c r="W56" s="121" t="n">
        <f aca="false">IF(ISERROR(VLOOKUP(C56,일용직명단!$A$3:$K$1246,8,FALSE())),0,VLOOKUP(C56,일용직명단!$A$3:$K$1246,8,FALSE()))</f>
        <v>150000</v>
      </c>
      <c r="X56" s="123" t="n">
        <f aca="false">IFERROR(IF(AG56&gt;=65,0,ROUNDDOWN(W57*$Z$4,-1)),0)</f>
        <v>0</v>
      </c>
      <c r="Y56" s="123" t="n">
        <f aca="false">IF(AE56&gt;=8,ROUNDDOWN(W57*$M$4,-1),0)</f>
        <v>63810</v>
      </c>
      <c r="Z56" s="123" t="n">
        <f aca="false">IFERROR(IF(AND(COUNT(F56:U57)&gt;=8,$AG56&lt;60,W57&lt;=5530000),ROUNDDOWN(ROUNDDOWN(W57,-3)*4.5%,-1),IF(AND(COUNT(F56:U57)&gt;=8,AG56&lt;60,W57&gt;5530000),248850,0)),0)</f>
        <v>0</v>
      </c>
      <c r="AA56" s="145" t="n">
        <f aca="false">+X56+Y56+X57+Y57+Z56+Z57</f>
        <v>67940</v>
      </c>
      <c r="AB56" s="146" t="n">
        <f aca="false">W57-AA56</f>
        <v>1732060</v>
      </c>
      <c r="AC56" s="165" t="str">
        <f aca="false">IF(ISERROR(VLOOKUP(C56,일용직명단!$A$3:$I$1226,5,FALSE())),0,VLOOKUP(C56,일용직명단!$A$3:$I$1226,5,FALSE()))</f>
        <v>농협</v>
      </c>
      <c r="AD56" s="166" t="str">
        <f aca="false">IF(ISERROR(VLOOKUP(C56,일용직명단!$A$3:$I$1226,6,FALSE())),0,VLOOKUP(C56,일용직명단!$A$3:$I$1226,6,FALSE()))</f>
        <v>하재주</v>
      </c>
      <c r="AE56" s="141" t="n">
        <f aca="false">COUNT(F56:U57)</f>
        <v>12</v>
      </c>
      <c r="AF56" s="169" t="str">
        <f aca="false">IF(OR(MID(D56,8,1)="1",MID(D56,8,1)="2"),19&amp;LEFT(D56,2),20&amp;LEFT(D56,2))&amp;"-"&amp;MID(D56,3,2)&amp;"-"&amp;MID(D56,5,2)</f>
        <v>1957-10-20</v>
      </c>
      <c r="AG56" s="169" t="n">
        <f aca="true">INT((TODAY()-AF56)/365.25)</f>
        <v>68</v>
      </c>
      <c r="AH56" s="130" t="n">
        <f aca="false">ROUNDDOWN(SUM(AI56:AX57),-1)</f>
        <v>0</v>
      </c>
      <c r="AI56" s="130" t="n">
        <f aca="false">IF($W56*F56&gt;150000,($W56*F56-150000)*6%*45%,0)</f>
        <v>0</v>
      </c>
      <c r="AJ56" s="130" t="n">
        <f aca="false">IF($W56*G56&gt;150000,($W56*G56-150000)*6%*45%,0)</f>
        <v>0</v>
      </c>
      <c r="AK56" s="130" t="n">
        <f aca="false">IF($W56*H56&gt;150000,($W56*H56-150000)*6%*45%,0)</f>
        <v>0</v>
      </c>
      <c r="AL56" s="130" t="n">
        <f aca="false">IF($W56*I56&gt;150000,($W56*I56-150000)*6%*45%,0)</f>
        <v>0</v>
      </c>
      <c r="AM56" s="130" t="n">
        <f aca="false">IF($W56*J56&gt;150000,($W56*J56-150000)*6%*45%,0)</f>
        <v>0</v>
      </c>
      <c r="AN56" s="130" t="n">
        <f aca="false">IF($W56*K56&gt;150000,($W56*K56-150000)*6%*45%,0)</f>
        <v>0</v>
      </c>
      <c r="AO56" s="130" t="n">
        <f aca="false">IF($W56*L56&gt;150000,($W56*L56-150000)*6%*45%,0)</f>
        <v>0</v>
      </c>
      <c r="AP56" s="130" t="n">
        <f aca="false">IF($W56*M56&gt;150000,($W56*M56-150000)*6%*45%,0)</f>
        <v>0</v>
      </c>
      <c r="AQ56" s="130" t="n">
        <f aca="false">IF($W56*N56&gt;150000,($W56*N56-150000)*6%*45%,0)</f>
        <v>0</v>
      </c>
      <c r="AR56" s="130" t="n">
        <f aca="false">IF($W56*O56&gt;150000,($W56*O56-150000)*6%*45%,0)</f>
        <v>0</v>
      </c>
      <c r="AS56" s="130" t="n">
        <f aca="false">IF($W56*P56&gt;150000,($W56*P56-150000)*6%*45%,0)</f>
        <v>0</v>
      </c>
      <c r="AT56" s="130" t="n">
        <f aca="false">IF($W56*Q56&gt;150000,($W56*Q56-150000)*6%*45%,0)</f>
        <v>0</v>
      </c>
      <c r="AU56" s="130" t="n">
        <f aca="false">IF($W56*R56&gt;150000,($W56*R56-150000)*6%*45%,0)</f>
        <v>0</v>
      </c>
      <c r="AV56" s="130" t="n">
        <f aca="false">IF($W56*S56&gt;150000,($W56*S56-150000)*6%*45%,0)</f>
        <v>0</v>
      </c>
      <c r="AW56" s="130" t="n">
        <f aca="false">IF($W56*T56&gt;150000,($W56*T56-150000)*6%*45%,0)</f>
        <v>0</v>
      </c>
      <c r="AX56" s="130"/>
      <c r="AY56" s="131" t="str">
        <f aca="false">IF(ISERROR(VLOOKUP(C56,[26]일용직명단!$A$3:$M$1151,11,FALSE())),0,VLOOKUP(C56,[26]일용직명단!$A$3:$M$1151,11,FALSE()))</f>
        <v>03419</v>
      </c>
      <c r="AZ56" s="11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</row>
    <row r="57" customFormat="false" ht="12.6" hidden="false" customHeight="true" outlineLevel="0" collapsed="false">
      <c r="A57" s="108"/>
      <c r="B57" s="286"/>
      <c r="C57" s="285"/>
      <c r="D57" s="111"/>
      <c r="E57" s="140" t="str">
        <f aca="false">IF(ISERROR(VLOOKUP(C56,일용직명단!$A$3:$K$1246,9,FALSE())),0,VLOOKUP(C56,일용직명단!$A$3:$K$1246,9,FALSE()))</f>
        <v>010-8770-7249</v>
      </c>
      <c r="F57" s="195"/>
      <c r="G57" s="133" t="n">
        <v>1</v>
      </c>
      <c r="H57" s="133" t="n">
        <v>1</v>
      </c>
      <c r="I57" s="117" t="n">
        <v>1</v>
      </c>
      <c r="J57" s="191"/>
      <c r="K57" s="191"/>
      <c r="L57" s="191"/>
      <c r="M57" s="191"/>
      <c r="N57" s="191"/>
      <c r="O57" s="191"/>
      <c r="P57" s="193"/>
      <c r="Q57" s="193"/>
      <c r="R57" s="192"/>
      <c r="S57" s="192"/>
      <c r="T57" s="192"/>
      <c r="U57" s="191"/>
      <c r="V57" s="168"/>
      <c r="W57" s="138" t="n">
        <f aca="false">W56*V56</f>
        <v>1800000</v>
      </c>
      <c r="X57" s="123" t="n">
        <f aca="false">IF(AH56&lt;1000,0,AH56)</f>
        <v>0</v>
      </c>
      <c r="Y57" s="123" t="n">
        <f aca="false">ROUNDDOWN(X57*10%,-1)</f>
        <v>0</v>
      </c>
      <c r="Z57" s="123" t="n">
        <f aca="false">IF(AE56&gt;=8,ROUNDDOWN(Y56*$Q$4,-1),0)</f>
        <v>4130</v>
      </c>
      <c r="AA57" s="145"/>
      <c r="AB57" s="146"/>
      <c r="AC57" s="166" t="str">
        <f aca="false">IF(ISERROR(VLOOKUP(C56,일용직명단!$A$3:$I$1226,7,FALSE())),0,VLOOKUP(C56,일용직명단!$A$3:$I$1226,7,FALSE()))</f>
        <v>356-0367-2587-73</v>
      </c>
      <c r="AD57" s="166"/>
      <c r="AE57" s="141"/>
      <c r="AF57" s="169"/>
      <c r="AG57" s="169"/>
      <c r="AH57" s="130"/>
      <c r="AI57" s="130" t="n">
        <f aca="false">IF($W56*F57&gt;150000,($W56*F57-150000)*6%*45%,0)</f>
        <v>0</v>
      </c>
      <c r="AJ57" s="130" t="n">
        <f aca="false">IF($W56*G57&gt;150000,($W56*G57-150000)*6%*45%,0)</f>
        <v>0</v>
      </c>
      <c r="AK57" s="130" t="n">
        <f aca="false">IF($W56*H57&gt;150000,($W56*H57-150000)*6%*45%,0)</f>
        <v>0</v>
      </c>
      <c r="AL57" s="130" t="n">
        <f aca="false">IF($W56*I57&gt;150000,($W56*I57-150000)*6%*45%,0)</f>
        <v>0</v>
      </c>
      <c r="AM57" s="130" t="n">
        <f aca="false">IF($W56*J57&gt;150000,($W56*J57-150000)*6%*45%,0)</f>
        <v>0</v>
      </c>
      <c r="AN57" s="130" t="n">
        <f aca="false">IF($W56*K57&gt;150000,($W56*K57-150000)*6%*45%,0)</f>
        <v>0</v>
      </c>
      <c r="AO57" s="130" t="n">
        <f aca="false">IF($W56*L57&gt;150000,($W56*L57-150000)*6%*45%,0)</f>
        <v>0</v>
      </c>
      <c r="AP57" s="130" t="n">
        <f aca="false">IF($W56*M57&gt;150000,($W56*M57-150000)*6%*45%,0)</f>
        <v>0</v>
      </c>
      <c r="AQ57" s="130" t="n">
        <f aca="false">IF($W56*N57&gt;150000,($W56*N57-150000)*6%*45%,0)</f>
        <v>0</v>
      </c>
      <c r="AR57" s="130" t="n">
        <f aca="false">IF($W56*O57&gt;150000,($W56*O57-150000)*6%*45%,0)</f>
        <v>0</v>
      </c>
      <c r="AS57" s="130" t="n">
        <f aca="false">IF($W56*P57&gt;150000,($W56*P57-150000)*6%*45%,0)</f>
        <v>0</v>
      </c>
      <c r="AT57" s="130" t="n">
        <f aca="false">IF($W56*Q57&gt;150000,($W56*Q57-150000)*6%*45%,0)</f>
        <v>0</v>
      </c>
      <c r="AU57" s="130" t="n">
        <f aca="false">IF($W56*R57&gt;150000,($W56*R57-150000)*6%*45%,0)</f>
        <v>0</v>
      </c>
      <c r="AV57" s="130" t="n">
        <f aca="false">IF($W56*S57&gt;150000,($W56*S57-150000)*6%*45%,0)</f>
        <v>0</v>
      </c>
      <c r="AW57" s="130" t="n">
        <f aca="false">IF($W56*T57&gt;150000,($W56*T57-150000)*6%*45%,0)</f>
        <v>0</v>
      </c>
      <c r="AX57" s="130" t="n">
        <f aca="false">IF($W56*U57&gt;150000,($W56*U57-150000)*6%*45%,0)</f>
        <v>0</v>
      </c>
      <c r="AY57" s="131"/>
      <c r="AZ57" s="11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</row>
    <row r="58" customFormat="false" ht="12.6" hidden="false" customHeight="true" outlineLevel="0" collapsed="false">
      <c r="A58" s="108" t="n">
        <f aca="false">A56+1</f>
        <v>19</v>
      </c>
      <c r="B58" s="286"/>
      <c r="C58" s="287" t="s">
        <v>61</v>
      </c>
      <c r="D58" s="111" t="str">
        <f aca="false">IF(ISERROR(VLOOKUP(C58,일용직명단!$A$3:$K$1246,3,FALSE())),0,VLOOKUP(C58,일용직명단!$A$3:$K$1246,3,FALSE()))</f>
        <v>610205-2400329</v>
      </c>
      <c r="E58" s="140" t="str">
        <f aca="false">IF(ISERROR(VLOOKUP(C58,일용직명단!$A$3:$K$1246,4,FALSE())),0,VLOOKUP(C58,일용직명단!$A$3:$K$1246,4,FALSE()))</f>
        <v>충북 영동군 영동읍 회동로 156-20</v>
      </c>
      <c r="F58" s="192"/>
      <c r="G58" s="196"/>
      <c r="H58" s="196"/>
      <c r="I58" s="191"/>
      <c r="J58" s="192"/>
      <c r="K58" s="118" t="n">
        <v>1</v>
      </c>
      <c r="L58" s="117" t="n">
        <v>1</v>
      </c>
      <c r="M58" s="117" t="n">
        <v>1</v>
      </c>
      <c r="N58" s="193"/>
      <c r="O58" s="118" t="n">
        <v>1</v>
      </c>
      <c r="P58" s="117" t="n">
        <v>1</v>
      </c>
      <c r="Q58" s="116" t="n">
        <v>1</v>
      </c>
      <c r="R58" s="118" t="n">
        <v>1</v>
      </c>
      <c r="S58" s="116" t="n">
        <v>1</v>
      </c>
      <c r="T58" s="118" t="n">
        <v>1</v>
      </c>
      <c r="U58" s="194"/>
      <c r="V58" s="120" t="n">
        <f aca="false">SUM(F58:U59)</f>
        <v>12</v>
      </c>
      <c r="W58" s="121" t="n">
        <f aca="false">IF(ISERROR(VLOOKUP(C58,일용직명단!$A$3:$K$1246,8,FALSE())),0,VLOOKUP(C58,일용직명단!$A$3:$K$1246,8,FALSE()))</f>
        <v>150000</v>
      </c>
      <c r="X58" s="122" t="n">
        <f aca="false">IFERROR(IF(AG58&gt;=65,0,ROUNDDOWN(W59*$Z$4,-1)),0)</f>
        <v>0</v>
      </c>
      <c r="Y58" s="122" t="n">
        <f aca="false">IF(AE58&gt;=8,ROUNDDOWN(W59*$M$4,-1),0)</f>
        <v>63810</v>
      </c>
      <c r="Z58" s="123" t="n">
        <f aca="false">IFERROR(IF(AND(COUNT(F58:U59)&gt;=8,$AG58&lt;60,W59&lt;=5530000),ROUNDDOWN(ROUNDDOWN(W59,-3)*4.5%,-1),IF(AND(COUNT(F58:U59)&gt;=8,AG58&lt;60,W59&gt;5530000),248850,0)),0)</f>
        <v>0</v>
      </c>
      <c r="AA58" s="124" t="n">
        <f aca="false">+X58+Y58+X59+Y59+Z58+Z59</f>
        <v>67940</v>
      </c>
      <c r="AB58" s="125" t="n">
        <f aca="false">W59-AA58</f>
        <v>1732060</v>
      </c>
      <c r="AC58" s="126" t="str">
        <f aca="false">IF(ISERROR(VLOOKUP(C58,일용직명단!$A$3:$I$1226,5,FALSE())),0,VLOOKUP(C58,일용직명단!$A$3:$I$1226,5,FALSE()))</f>
        <v>농협</v>
      </c>
      <c r="AD58" s="127" t="str">
        <f aca="false">IF(ISERROR(VLOOKUP(C58,일용직명단!$A$3:$I$1226,6,FALSE())),0,VLOOKUP(C58,일용직명단!$A$3:$I$1226,6,FALSE()))</f>
        <v>김양수</v>
      </c>
      <c r="AE58" s="141" t="n">
        <f aca="false">COUNT(F58:U59)</f>
        <v>12</v>
      </c>
      <c r="AF58" s="129" t="str">
        <f aca="false">IF(OR(MID(D58,8,1)="1",MID(D58,8,1)="2"),19&amp;LEFT(D58,2),20&amp;LEFT(D58,2))&amp;"-"&amp;MID(D58,3,2)&amp;"-"&amp;MID(D58,5,2)</f>
        <v>1961-02-05</v>
      </c>
      <c r="AG58" s="129" t="n">
        <f aca="true">INT((TODAY()-AF58)/365.25)</f>
        <v>65</v>
      </c>
      <c r="AH58" s="130" t="n">
        <f aca="false">ROUNDDOWN(SUM(AI58:AX59),-1)</f>
        <v>0</v>
      </c>
      <c r="AI58" s="130" t="n">
        <f aca="false">IF($W58*F58&gt;150000,($W58*F58-150000)*6%*45%,0)</f>
        <v>0</v>
      </c>
      <c r="AJ58" s="130" t="n">
        <f aca="false">IF($W58*G58&gt;150000,($W58*G58-150000)*6%*45%,0)</f>
        <v>0</v>
      </c>
      <c r="AK58" s="130" t="n">
        <f aca="false">IF($W58*H58&gt;150000,($W58*H58-150000)*6%*45%,0)</f>
        <v>0</v>
      </c>
      <c r="AL58" s="130" t="n">
        <f aca="false">IF($W58*I58&gt;150000,($W58*I58-150000)*6%*45%,0)</f>
        <v>0</v>
      </c>
      <c r="AM58" s="130" t="n">
        <f aca="false">IF($W58*J58&gt;150000,($W58*J58-150000)*6%*45%,0)</f>
        <v>0</v>
      </c>
      <c r="AN58" s="130" t="n">
        <f aca="false">IF($W58*K58&gt;150000,($W58*K58-150000)*6%*45%,0)</f>
        <v>0</v>
      </c>
      <c r="AO58" s="130" t="n">
        <f aca="false">IF($W58*L58&gt;150000,($W58*L58-150000)*6%*45%,0)</f>
        <v>0</v>
      </c>
      <c r="AP58" s="130" t="n">
        <f aca="false">IF($W58*M58&gt;150000,($W58*M58-150000)*6%*45%,0)</f>
        <v>0</v>
      </c>
      <c r="AQ58" s="130" t="n">
        <f aca="false">IF($W58*N58&gt;150000,($W58*N58-150000)*6%*45%,0)</f>
        <v>0</v>
      </c>
      <c r="AR58" s="130" t="n">
        <f aca="false">IF($W58*O58&gt;150000,($W58*O58-150000)*6%*45%,0)</f>
        <v>0</v>
      </c>
      <c r="AS58" s="130" t="n">
        <f aca="false">IF($W58*P58&gt;150000,($W58*P58-150000)*6%*45%,0)</f>
        <v>0</v>
      </c>
      <c r="AT58" s="130" t="n">
        <f aca="false">IF($W58*Q58&gt;150000,($W58*Q58-150000)*6%*45%,0)</f>
        <v>0</v>
      </c>
      <c r="AU58" s="130" t="n">
        <f aca="false">IF($W58*R58&gt;150000,($W58*R58-150000)*6%*45%,0)</f>
        <v>0</v>
      </c>
      <c r="AV58" s="130" t="n">
        <f aca="false">IF($W58*S58&gt;150000,($W58*S58-150000)*6%*45%,0)</f>
        <v>0</v>
      </c>
      <c r="AW58" s="130" t="n">
        <f aca="false">IF($W58*T58&gt;150000,($W58*T58-150000)*6%*45%,0)</f>
        <v>0</v>
      </c>
      <c r="AX58" s="130"/>
      <c r="AY58" s="131" t="str">
        <f aca="false">IF(ISERROR(VLOOKUP(C58,[26]일용직명단!$A$3:$M$1151,11,FALSE())),0,VLOOKUP(C58,[26]일용직명단!$A$3:$M$1151,11,FALSE()))</f>
        <v>29141</v>
      </c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</row>
    <row r="59" customFormat="false" ht="12.75" hidden="false" customHeight="true" outlineLevel="0" collapsed="false">
      <c r="A59" s="108"/>
      <c r="B59" s="286"/>
      <c r="C59" s="287"/>
      <c r="D59" s="111"/>
      <c r="E59" s="140" t="str">
        <f aca="false">IF(ISERROR(VLOOKUP(C58,일용직명단!$A$3:$K$1246,9,FALSE())),0,VLOOKUP(C58,일용직명단!$A$3:$K$1246,9,FALSE()))</f>
        <v>010-4034-9739</v>
      </c>
      <c r="F59" s="195"/>
      <c r="G59" s="133" t="n">
        <v>1</v>
      </c>
      <c r="H59" s="133" t="n">
        <v>1</v>
      </c>
      <c r="I59" s="117" t="n">
        <v>1</v>
      </c>
      <c r="J59" s="191"/>
      <c r="K59" s="191"/>
      <c r="L59" s="191"/>
      <c r="M59" s="191"/>
      <c r="N59" s="191"/>
      <c r="O59" s="191"/>
      <c r="P59" s="193"/>
      <c r="Q59" s="193"/>
      <c r="R59" s="192"/>
      <c r="S59" s="192"/>
      <c r="T59" s="192"/>
      <c r="U59" s="191"/>
      <c r="V59" s="120"/>
      <c r="W59" s="138" t="n">
        <f aca="false">W58*V58</f>
        <v>1800000</v>
      </c>
      <c r="X59" s="122" t="n">
        <f aca="false">IF(AH58&lt;1000,0,AH58)</f>
        <v>0</v>
      </c>
      <c r="Y59" s="122" t="n">
        <f aca="false">ROUNDDOWN(X59*10%,-1)</f>
        <v>0</v>
      </c>
      <c r="Z59" s="123" t="n">
        <f aca="false">IF(AE58&gt;=8,ROUNDDOWN(Y58*$Q$4,-1),0)</f>
        <v>4130</v>
      </c>
      <c r="AA59" s="124"/>
      <c r="AB59" s="125"/>
      <c r="AC59" s="127" t="str">
        <f aca="false">IF(ISERROR(VLOOKUP(C58,일용직명단!$A$3:$I$1226,7,FALSE())),0,VLOOKUP(C58,일용직명단!$A$3:$I$1226,7,FALSE()))</f>
        <v>356-1603-8569-73</v>
      </c>
      <c r="AD59" s="127"/>
      <c r="AE59" s="141"/>
      <c r="AF59" s="129"/>
      <c r="AG59" s="129"/>
      <c r="AH59" s="130"/>
      <c r="AI59" s="130" t="n">
        <f aca="false">IF($W58*F59&gt;150000,($W58*F59-150000)*6%*45%,0)</f>
        <v>0</v>
      </c>
      <c r="AJ59" s="130" t="n">
        <f aca="false">IF($W58*G59&gt;150000,($W58*G59-150000)*6%*45%,0)</f>
        <v>0</v>
      </c>
      <c r="AK59" s="130" t="n">
        <f aca="false">IF($W58*H59&gt;150000,($W58*H59-150000)*6%*45%,0)</f>
        <v>0</v>
      </c>
      <c r="AL59" s="130" t="n">
        <f aca="false">IF($W58*I59&gt;150000,($W58*I59-150000)*6%*45%,0)</f>
        <v>0</v>
      </c>
      <c r="AM59" s="130" t="n">
        <f aca="false">IF($W58*J59&gt;150000,($W58*J59-150000)*6%*45%,0)</f>
        <v>0</v>
      </c>
      <c r="AN59" s="130" t="n">
        <f aca="false">IF($W58*K59&gt;150000,($W58*K59-150000)*6%*45%,0)</f>
        <v>0</v>
      </c>
      <c r="AO59" s="130" t="n">
        <f aca="false">IF($W58*L59&gt;150000,($W58*L59-150000)*6%*45%,0)</f>
        <v>0</v>
      </c>
      <c r="AP59" s="130" t="n">
        <f aca="false">IF($W58*M59&gt;150000,($W58*M59-150000)*6%*45%,0)</f>
        <v>0</v>
      </c>
      <c r="AQ59" s="130" t="n">
        <f aca="false">IF($W58*N59&gt;150000,($W58*N59-150000)*6%*45%,0)</f>
        <v>0</v>
      </c>
      <c r="AR59" s="130" t="n">
        <f aca="false">IF($W58*O59&gt;150000,($W58*O59-150000)*6%*45%,0)</f>
        <v>0</v>
      </c>
      <c r="AS59" s="130" t="n">
        <f aca="false">IF($W58*P59&gt;150000,($W58*P59-150000)*6%*45%,0)</f>
        <v>0</v>
      </c>
      <c r="AT59" s="130" t="n">
        <f aca="false">IF($W58*Q59&gt;150000,($W58*Q59-150000)*6%*45%,0)</f>
        <v>0</v>
      </c>
      <c r="AU59" s="130" t="n">
        <f aca="false">IF($W58*R59&gt;150000,($W58*R59-150000)*6%*45%,0)</f>
        <v>0</v>
      </c>
      <c r="AV59" s="130" t="n">
        <f aca="false">IF($W58*S59&gt;150000,($W58*S59-150000)*6%*45%,0)</f>
        <v>0</v>
      </c>
      <c r="AW59" s="130" t="n">
        <f aca="false">IF($W58*T59&gt;150000,($W58*T59-150000)*6%*45%,0)</f>
        <v>0</v>
      </c>
      <c r="AX59" s="130" t="n">
        <f aca="false">IF($W58*U59&gt;150000,($W58*U59-150000)*6%*45%,0)</f>
        <v>0</v>
      </c>
      <c r="AY59" s="13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</row>
    <row r="60" customFormat="false" ht="12.6" hidden="false" customHeight="true" outlineLevel="0" collapsed="false">
      <c r="A60" s="288" t="n">
        <f aca="false">A58+1</f>
        <v>20</v>
      </c>
      <c r="B60" s="289"/>
      <c r="C60" s="290" t="s">
        <v>106</v>
      </c>
      <c r="D60" s="111" t="n">
        <f aca="false">IF(ISERROR(VLOOKUP(C60,일용직명단!$A$3:$K$1246,3,FALSE())),0,VLOOKUP(C60,일용직명단!$A$3:$K$1246,3,FALSE()))</f>
        <v>0</v>
      </c>
      <c r="E60" s="112" t="n">
        <f aca="false">IF(ISERROR(VLOOKUP(C60,일용직명단!$A$3:$K$1246,4,FALSE())),0,VLOOKUP(C60,일용직명단!$A$3:$K$1246,4,FALSE()))</f>
        <v>0</v>
      </c>
      <c r="F60" s="192"/>
      <c r="G60" s="192"/>
      <c r="H60" s="192"/>
      <c r="I60" s="191"/>
      <c r="J60" s="192"/>
      <c r="K60" s="191"/>
      <c r="L60" s="192"/>
      <c r="M60" s="192"/>
      <c r="N60" s="193"/>
      <c r="O60" s="191"/>
      <c r="P60" s="192"/>
      <c r="Q60" s="193"/>
      <c r="R60" s="191"/>
      <c r="S60" s="193"/>
      <c r="T60" s="191"/>
      <c r="U60" s="194"/>
      <c r="V60" s="120" t="n">
        <f aca="false">SUM(F60:U61)</f>
        <v>8</v>
      </c>
      <c r="W60" s="121" t="n">
        <f aca="false">IF(ISERROR(VLOOKUP(C60,일용직명단!$A$3:$K$1246,8,FALSE())),0,VLOOKUP(C60,일용직명단!$A$3:$K$1246,8,FALSE()))</f>
        <v>0</v>
      </c>
      <c r="X60" s="122" t="n">
        <f aca="false">IFERROR(IF(AG60&gt;=65,0,ROUNDDOWN(W61*$Z$4,-1)),0)</f>
        <v>0</v>
      </c>
      <c r="Y60" s="122" t="n">
        <f aca="false">IF(AE60&gt;=8,ROUNDDOWN(W61*$M$4,-1),0)</f>
        <v>0</v>
      </c>
      <c r="Z60" s="123" t="n">
        <f aca="false">IFERROR(IF(AND(COUNT(F60:U61)&gt;=8,$AG60&lt;60,W61&lt;=5530000),ROUNDDOWN(ROUNDDOWN(W61,-3)*4.5%,-1),IF(AND(COUNT(F60:U61)&gt;=8,AG60&lt;60,W61&gt;5530000),248850,0)),0)</f>
        <v>0</v>
      </c>
      <c r="AA60" s="124" t="n">
        <f aca="false">+X60+Y60+X61+Y61+Z60+Z61</f>
        <v>0</v>
      </c>
      <c r="AB60" s="125" t="n">
        <f aca="false">W61-AA60</f>
        <v>0</v>
      </c>
      <c r="AC60" s="126" t="n">
        <f aca="false">IF(ISERROR(VLOOKUP(C60,일용직명단!$A$3:$I$1226,5,FALSE())),0,VLOOKUP(C60,일용직명단!$A$3:$I$1226,5,FALSE()))</f>
        <v>0</v>
      </c>
      <c r="AD60" s="127" t="n">
        <f aca="false">IF(ISERROR(VLOOKUP(C60,일용직명단!$A$3:$I$1226,6,FALSE())),0,VLOOKUP(C60,일용직명단!$A$3:$I$1226,6,FALSE()))</f>
        <v>0</v>
      </c>
      <c r="AE60" s="128" t="n">
        <f aca="false">COUNT(F60:U61)</f>
        <v>8</v>
      </c>
      <c r="AF60" s="129" t="str">
        <f aca="false">IF(OR(MID(D60,8,1)="1",MID(D60,8,1)="2"),19&amp;LEFT(D60,2),20&amp;LEFT(D60,2))&amp;"-"&amp;MID(D60,3,2)&amp;"-"&amp;MID(D60,5,2)</f>
        <v>200--</v>
      </c>
      <c r="AG60" s="129" t="e">
        <f aca="true">INT((TODAY()-AF60)/365.25)</f>
        <v>#VALUE!</v>
      </c>
      <c r="AH60" s="130" t="n">
        <f aca="false">ROUNDDOWN(SUM(AI60:AX61),-1)</f>
        <v>0</v>
      </c>
      <c r="AI60" s="130" t="n">
        <f aca="false">IF($W60*F60&gt;150000,($W60*F60-150000)*6%*45%,0)</f>
        <v>0</v>
      </c>
      <c r="AJ60" s="130" t="n">
        <f aca="false">IF($W60*G60&gt;150000,($W60*G60-150000)*6%*45%,0)</f>
        <v>0</v>
      </c>
      <c r="AK60" s="130" t="n">
        <f aca="false">IF($W60*H60&gt;150000,($W60*H60-150000)*6%*45%,0)</f>
        <v>0</v>
      </c>
      <c r="AL60" s="130" t="n">
        <f aca="false">IF($W60*I60&gt;150000,($W60*I60-150000)*6%*45%,0)</f>
        <v>0</v>
      </c>
      <c r="AM60" s="130" t="n">
        <f aca="false">IF($W60*J60&gt;150000,($W60*J60-150000)*6%*45%,0)</f>
        <v>0</v>
      </c>
      <c r="AN60" s="130" t="n">
        <f aca="false">IF($W60*K60&gt;150000,($W60*K60-150000)*6%*45%,0)</f>
        <v>0</v>
      </c>
      <c r="AO60" s="130" t="n">
        <f aca="false">IF($W60*L60&gt;150000,($W60*L60-150000)*6%*45%,0)</f>
        <v>0</v>
      </c>
      <c r="AP60" s="130" t="n">
        <f aca="false">IF($W60*M60&gt;150000,($W60*M60-150000)*6%*45%,0)</f>
        <v>0</v>
      </c>
      <c r="AQ60" s="130" t="n">
        <f aca="false">IF($W60*N60&gt;150000,($W60*N60-150000)*6%*45%,0)</f>
        <v>0</v>
      </c>
      <c r="AR60" s="130" t="n">
        <f aca="false">IF($W60*O60&gt;150000,($W60*O60-150000)*6%*45%,0)</f>
        <v>0</v>
      </c>
      <c r="AS60" s="130" t="n">
        <f aca="false">IF($W60*P60&gt;150000,($W60*P60-150000)*6%*45%,0)</f>
        <v>0</v>
      </c>
      <c r="AT60" s="130" t="n">
        <f aca="false">IF($W60*Q60&gt;150000,($W60*Q60-150000)*6%*45%,0)</f>
        <v>0</v>
      </c>
      <c r="AU60" s="130" t="n">
        <f aca="false">IF($W60*R60&gt;150000,($W60*R60-150000)*6%*45%,0)</f>
        <v>0</v>
      </c>
      <c r="AV60" s="130" t="n">
        <f aca="false">IF($W60*S60&gt;150000,($W60*S60-150000)*6%*45%,0)</f>
        <v>0</v>
      </c>
      <c r="AW60" s="130" t="n">
        <f aca="false">IF($W60*T60&gt;150000,($W60*T60-150000)*6%*45%,0)</f>
        <v>0</v>
      </c>
      <c r="AX60" s="130"/>
      <c r="AY60" s="131" t="n">
        <f aca="false">IF(ISERROR(VLOOKUP(C60,[26]일용직명단!$A$3:$M$1151,11,FALSE())),0,VLOOKUP(C60,[26]일용직명단!$A$3:$M$1151,11,FALSE()))</f>
        <v>0</v>
      </c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</row>
    <row r="61" customFormat="false" ht="12.6" hidden="false" customHeight="true" outlineLevel="0" collapsed="false">
      <c r="A61" s="288"/>
      <c r="B61" s="289"/>
      <c r="C61" s="290"/>
      <c r="D61" s="111"/>
      <c r="E61" s="112" t="n">
        <f aca="false">IF(ISERROR(VLOOKUP(C60,일용직명단!$A$3:$K$1246,9,FALSE())),0,VLOOKUP(C60,일용직명단!$A$3:$K$1246,9,FALSE()))</f>
        <v>0</v>
      </c>
      <c r="F61" s="195"/>
      <c r="G61" s="196"/>
      <c r="H61" s="196"/>
      <c r="I61" s="193"/>
      <c r="J61" s="191"/>
      <c r="K61" s="193" t="n">
        <v>1</v>
      </c>
      <c r="L61" s="192" t="n">
        <v>1</v>
      </c>
      <c r="M61" s="192"/>
      <c r="N61" s="193" t="n">
        <v>1</v>
      </c>
      <c r="O61" s="191" t="n">
        <v>1</v>
      </c>
      <c r="P61" s="193" t="n">
        <v>1</v>
      </c>
      <c r="Q61" s="193" t="n">
        <v>1</v>
      </c>
      <c r="R61" s="192" t="n">
        <v>1</v>
      </c>
      <c r="S61" s="192" t="n">
        <v>1</v>
      </c>
      <c r="T61" s="192"/>
      <c r="U61" s="191"/>
      <c r="V61" s="120"/>
      <c r="W61" s="138" t="n">
        <f aca="false">W60*V60</f>
        <v>0</v>
      </c>
      <c r="X61" s="122" t="n">
        <f aca="false">IF(AH60&lt;1000,0,AH60)</f>
        <v>0</v>
      </c>
      <c r="Y61" s="122" t="n">
        <f aca="false">ROUNDDOWN(X61*10%,-1)</f>
        <v>0</v>
      </c>
      <c r="Z61" s="123" t="n">
        <f aca="false">IF(AE60&gt;=8,ROUNDDOWN(Y60*$Q$4,-1),0)</f>
        <v>0</v>
      </c>
      <c r="AA61" s="124"/>
      <c r="AB61" s="125"/>
      <c r="AC61" s="127" t="n">
        <f aca="false">IF(ISERROR(VLOOKUP(C60,일용직명단!$A$3:$I$1226,7,FALSE())),0,VLOOKUP(C60,일용직명단!$A$3:$I$1226,7,FALSE()))</f>
        <v>0</v>
      </c>
      <c r="AD61" s="127"/>
      <c r="AE61" s="128"/>
      <c r="AF61" s="129"/>
      <c r="AG61" s="129"/>
      <c r="AH61" s="130"/>
      <c r="AI61" s="130" t="n">
        <f aca="false">IF($W60*F61&gt;150000,($W60*F61-150000)*6%*45%,0)</f>
        <v>0</v>
      </c>
      <c r="AJ61" s="130" t="n">
        <f aca="false">IF($W60*G61&gt;150000,($W60*G61-150000)*6%*45%,0)</f>
        <v>0</v>
      </c>
      <c r="AK61" s="130" t="n">
        <f aca="false">IF($W60*H61&gt;150000,($W60*H61-150000)*6%*45%,0)</f>
        <v>0</v>
      </c>
      <c r="AL61" s="130" t="n">
        <f aca="false">IF($W60*I61&gt;150000,($W60*I61-150000)*6%*45%,0)</f>
        <v>0</v>
      </c>
      <c r="AM61" s="130" t="n">
        <f aca="false">IF($W60*J61&gt;150000,($W60*J61-150000)*6%*45%,0)</f>
        <v>0</v>
      </c>
      <c r="AN61" s="130" t="n">
        <f aca="false">IF($W60*K61&gt;150000,($W60*K61-150000)*6%*45%,0)</f>
        <v>0</v>
      </c>
      <c r="AO61" s="130" t="n">
        <f aca="false">IF($W60*L61&gt;150000,($W60*L61-150000)*6%*45%,0)</f>
        <v>0</v>
      </c>
      <c r="AP61" s="130" t="n">
        <f aca="false">IF($W60*M61&gt;150000,($W60*M61-150000)*6%*45%,0)</f>
        <v>0</v>
      </c>
      <c r="AQ61" s="130" t="n">
        <f aca="false">IF($W60*N61&gt;150000,($W60*N61-150000)*6%*45%,0)</f>
        <v>0</v>
      </c>
      <c r="AR61" s="130" t="n">
        <f aca="false">IF($W60*O61&gt;150000,($W60*O61-150000)*6%*45%,0)</f>
        <v>0</v>
      </c>
      <c r="AS61" s="130" t="n">
        <f aca="false">IF($W60*P61&gt;150000,($W60*P61-150000)*6%*45%,0)</f>
        <v>0</v>
      </c>
      <c r="AT61" s="130" t="n">
        <f aca="false">IF($W60*Q61&gt;150000,($W60*Q61-150000)*6%*45%,0)</f>
        <v>0</v>
      </c>
      <c r="AU61" s="130" t="n">
        <f aca="false">IF($W60*R61&gt;150000,($W60*R61-150000)*6%*45%,0)</f>
        <v>0</v>
      </c>
      <c r="AV61" s="130" t="n">
        <f aca="false">IF($W60*S61&gt;150000,($W60*S61-150000)*6%*45%,0)</f>
        <v>0</v>
      </c>
      <c r="AW61" s="130" t="n">
        <f aca="false">IF($W60*T61&gt;150000,($W60*T61-150000)*6%*45%,0)</f>
        <v>0</v>
      </c>
      <c r="AX61" s="130" t="n">
        <f aca="false">IF($W60*U61&gt;150000,($W60*U61-150000)*6%*45%,0)</f>
        <v>0</v>
      </c>
      <c r="AY61" s="13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/>
    </row>
    <row r="62" customFormat="false" ht="12" hidden="false" customHeight="true" outlineLevel="0" collapsed="false">
      <c r="A62" s="108" t="n">
        <f aca="false">A58+1</f>
        <v>20</v>
      </c>
      <c r="B62" s="291" t="s">
        <v>107</v>
      </c>
      <c r="C62" s="287" t="s">
        <v>108</v>
      </c>
      <c r="D62" s="111" t="n">
        <f aca="false">IF(ISERROR(VLOOKUP(C62,일용직명단!$A$3:$K$1246,3,FALSE())),0,VLOOKUP(C62,일용직명단!$A$3:$K$1246,3,FALSE()))</f>
        <v>0</v>
      </c>
      <c r="E62" s="140" t="n">
        <f aca="false">IF(ISERROR(VLOOKUP(C62,일용직명단!$A$3:$K$1246,4,FALSE())),0,VLOOKUP(C62,일용직명단!$A$3:$K$1246,4,FALSE()))</f>
        <v>0</v>
      </c>
      <c r="F62" s="192"/>
      <c r="G62" s="193"/>
      <c r="H62" s="196"/>
      <c r="I62" s="191"/>
      <c r="J62" s="192"/>
      <c r="K62" s="191"/>
      <c r="L62" s="192"/>
      <c r="M62" s="192"/>
      <c r="N62" s="193"/>
      <c r="O62" s="191"/>
      <c r="P62" s="117" t="n">
        <v>1</v>
      </c>
      <c r="Q62" s="116" t="n">
        <v>1</v>
      </c>
      <c r="R62" s="118" t="n">
        <v>1</v>
      </c>
      <c r="S62" s="116" t="n">
        <v>1</v>
      </c>
      <c r="T62" s="118" t="n">
        <v>1</v>
      </c>
      <c r="U62" s="194"/>
      <c r="V62" s="120" t="n">
        <f aca="false">SUM(F62:U63)</f>
        <v>9</v>
      </c>
      <c r="W62" s="121" t="n">
        <f aca="false">IF(ISERROR(VLOOKUP(C62,일용직명단!$A$3:$K$1246,8,FALSE())),0,VLOOKUP(C62,일용직명단!$A$3:$K$1246,8,FALSE()))</f>
        <v>0</v>
      </c>
      <c r="X62" s="122" t="n">
        <f aca="false">IFERROR(IF(AG62&gt;=65,0,ROUNDDOWN(W63*$Z$4,-1)),0)</f>
        <v>0</v>
      </c>
      <c r="Y62" s="122" t="n">
        <f aca="false">IF(AE62&gt;=8,ROUNDDOWN(W63*$M$4,-1),0)</f>
        <v>0</v>
      </c>
      <c r="Z62" s="123" t="n">
        <f aca="false">IFERROR(IF(AND(COUNT(F62:U63)&gt;=8,$AG62&lt;60,W63&lt;=5530000),ROUNDDOWN(ROUNDDOWN(W63,-3)*4.5%,-1),IF(AND(COUNT(F62:U63)&gt;=8,AG62&lt;60,W63&gt;5530000),248850,0)),0)</f>
        <v>0</v>
      </c>
      <c r="AA62" s="124" t="n">
        <f aca="false">+X62+Y62+X63+Y63+Z62+Z63</f>
        <v>0</v>
      </c>
      <c r="AB62" s="125" t="n">
        <f aca="false">W63-AA62</f>
        <v>0</v>
      </c>
      <c r="AC62" s="126" t="n">
        <f aca="false">IF(ISERROR(VLOOKUP(C62,일용직명단!$A$3:$I$1226,5,FALSE())),0,VLOOKUP(C62,일용직명단!$A$3:$I$1226,5,FALSE()))</f>
        <v>0</v>
      </c>
      <c r="AD62" s="127" t="n">
        <f aca="false">IF(ISERROR(VLOOKUP(C62,일용직명단!$A$3:$I$1226,6,FALSE())),0,VLOOKUP(C62,일용직명단!$A$3:$I$1226,6,FALSE()))</f>
        <v>0</v>
      </c>
      <c r="AE62" s="141" t="n">
        <f aca="false">COUNT(F62:U63)</f>
        <v>9</v>
      </c>
      <c r="AF62" s="129" t="str">
        <f aca="false">IF(OR(MID(D62,8,1)="1",MID(D62,8,1)="2"),19&amp;LEFT(D62,2),20&amp;LEFT(D62,2))&amp;"-"&amp;MID(D62,3,2)&amp;"-"&amp;MID(D62,5,2)</f>
        <v>200--</v>
      </c>
      <c r="AG62" s="129" t="e">
        <f aca="true">INT((TODAY()-AF62)/365.25)</f>
        <v>#VALUE!</v>
      </c>
      <c r="AH62" s="130" t="n">
        <f aca="false">ROUNDDOWN(SUM(AI62:AX63),-1)</f>
        <v>0</v>
      </c>
      <c r="AI62" s="130" t="n">
        <f aca="false">IF($W62*F62&gt;150000,($W62*F62-150000)*6%*45%,0)</f>
        <v>0</v>
      </c>
      <c r="AJ62" s="130" t="n">
        <f aca="false">IF($W62*G62&gt;150000,($W62*G62-150000)*6%*45%,0)</f>
        <v>0</v>
      </c>
      <c r="AK62" s="130" t="n">
        <f aca="false">IF($W62*H62&gt;150000,($W62*H62-150000)*6%*45%,0)</f>
        <v>0</v>
      </c>
      <c r="AL62" s="130" t="n">
        <f aca="false">IF($W62*I62&gt;150000,($W62*I62-150000)*6%*45%,0)</f>
        <v>0</v>
      </c>
      <c r="AM62" s="130" t="n">
        <f aca="false">IF($W62*J62&gt;150000,($W62*J62-150000)*6%*45%,0)</f>
        <v>0</v>
      </c>
      <c r="AN62" s="130" t="n">
        <f aca="false">IF($W62*K62&gt;150000,($W62*K62-150000)*6%*45%,0)</f>
        <v>0</v>
      </c>
      <c r="AO62" s="130" t="n">
        <f aca="false">IF($W62*L62&gt;150000,($W62*L62-150000)*6%*45%,0)</f>
        <v>0</v>
      </c>
      <c r="AP62" s="130" t="n">
        <f aca="false">IF($W62*M62&gt;150000,($W62*M62-150000)*6%*45%,0)</f>
        <v>0</v>
      </c>
      <c r="AQ62" s="130" t="n">
        <f aca="false">IF($W62*N62&gt;150000,($W62*N62-150000)*6%*45%,0)</f>
        <v>0</v>
      </c>
      <c r="AR62" s="130" t="n">
        <f aca="false">IF($W62*O62&gt;150000,($W62*O62-150000)*6%*45%,0)</f>
        <v>0</v>
      </c>
      <c r="AS62" s="130" t="n">
        <f aca="false">IF($W62*P62&gt;150000,($W62*P62-150000)*6%*45%,0)</f>
        <v>0</v>
      </c>
      <c r="AT62" s="130" t="n">
        <f aca="false">IF($W62*Q62&gt;150000,($W62*Q62-150000)*6%*45%,0)</f>
        <v>0</v>
      </c>
      <c r="AU62" s="130" t="n">
        <f aca="false">IF($W62*R62&gt;150000,($W62*R62-150000)*6%*45%,0)</f>
        <v>0</v>
      </c>
      <c r="AV62" s="130" t="n">
        <f aca="false">IF($W62*S62&gt;150000,($W62*S62-150000)*6%*45%,0)</f>
        <v>0</v>
      </c>
      <c r="AW62" s="130" t="n">
        <f aca="false">IF($W62*T62&gt;150000,($W62*T62-150000)*6%*45%,0)</f>
        <v>0</v>
      </c>
      <c r="AX62" s="130"/>
      <c r="AY62" s="131" t="n">
        <f aca="false">IF(ISERROR(VLOOKUP(C62,[26]일용직명단!$A$3:$M$1151,11,FALSE())),0,VLOOKUP(C62,[26]일용직명단!$A$3:$M$1151,11,FALSE()))</f>
        <v>0</v>
      </c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  <c r="IW62" s="11"/>
    </row>
    <row r="63" customFormat="false" ht="11.25" hidden="false" customHeight="true" outlineLevel="0" collapsed="false">
      <c r="A63" s="108"/>
      <c r="B63" s="291"/>
      <c r="C63" s="287"/>
      <c r="D63" s="111"/>
      <c r="E63" s="140" t="n">
        <f aca="false">IF(ISERROR(VLOOKUP(C62,일용직명단!$A$3:$K$1246,9,FALSE())),0,VLOOKUP(C62,일용직명단!$A$3:$K$1246,9,FALSE()))</f>
        <v>0</v>
      </c>
      <c r="F63" s="195"/>
      <c r="G63" s="133" t="n">
        <v>1</v>
      </c>
      <c r="H63" s="133" t="n">
        <v>1</v>
      </c>
      <c r="I63" s="116" t="n">
        <v>1</v>
      </c>
      <c r="J63" s="118" t="n">
        <v>1</v>
      </c>
      <c r="K63" s="191"/>
      <c r="L63" s="191"/>
      <c r="M63" s="191"/>
      <c r="N63" s="191"/>
      <c r="O63" s="191"/>
      <c r="P63" s="193"/>
      <c r="Q63" s="193"/>
      <c r="R63" s="192"/>
      <c r="S63" s="192"/>
      <c r="T63" s="192"/>
      <c r="U63" s="191"/>
      <c r="V63" s="120"/>
      <c r="W63" s="138" t="n">
        <f aca="false">W62*V62</f>
        <v>0</v>
      </c>
      <c r="X63" s="122" t="n">
        <f aca="false">IF(AH62&lt;1000,0,AH62)</f>
        <v>0</v>
      </c>
      <c r="Y63" s="122" t="n">
        <f aca="false">ROUNDDOWN(X63*10%,-1)</f>
        <v>0</v>
      </c>
      <c r="Z63" s="123" t="n">
        <f aca="false">IF(AE62&gt;=8,ROUNDDOWN(Y62*$Q$4,-1),0)</f>
        <v>0</v>
      </c>
      <c r="AA63" s="124"/>
      <c r="AB63" s="125"/>
      <c r="AC63" s="127" t="n">
        <f aca="false">IF(ISERROR(VLOOKUP(C62,일용직명단!$A$3:$I$1226,7,FALSE())),0,VLOOKUP(C62,일용직명단!$A$3:$I$1226,7,FALSE()))</f>
        <v>0</v>
      </c>
      <c r="AD63" s="127"/>
      <c r="AE63" s="141"/>
      <c r="AF63" s="129"/>
      <c r="AG63" s="129"/>
      <c r="AH63" s="130"/>
      <c r="AI63" s="130" t="n">
        <f aca="false">IF($W62*F63&gt;150000,($W62*F63-150000)*6%*45%,0)</f>
        <v>0</v>
      </c>
      <c r="AJ63" s="130" t="n">
        <f aca="false">IF($W62*G63&gt;150000,($W62*G63-150000)*6%*45%,0)</f>
        <v>0</v>
      </c>
      <c r="AK63" s="130" t="n">
        <f aca="false">IF($W62*H63&gt;150000,($W62*H63-150000)*6%*45%,0)</f>
        <v>0</v>
      </c>
      <c r="AL63" s="130" t="n">
        <f aca="false">IF($W62*I63&gt;150000,($W62*I63-150000)*6%*45%,0)</f>
        <v>0</v>
      </c>
      <c r="AM63" s="130" t="n">
        <f aca="false">IF($W62*J63&gt;150000,($W62*J63-150000)*6%*45%,0)</f>
        <v>0</v>
      </c>
      <c r="AN63" s="130" t="n">
        <f aca="false">IF($W62*K63&gt;150000,($W62*K63-150000)*6%*45%,0)</f>
        <v>0</v>
      </c>
      <c r="AO63" s="130" t="n">
        <f aca="false">IF($W62*L63&gt;150000,($W62*L63-150000)*6%*45%,0)</f>
        <v>0</v>
      </c>
      <c r="AP63" s="130" t="n">
        <f aca="false">IF($W62*M63&gt;150000,($W62*M63-150000)*6%*45%,0)</f>
        <v>0</v>
      </c>
      <c r="AQ63" s="130" t="n">
        <f aca="false">IF($W62*N63&gt;150000,($W62*N63-150000)*6%*45%,0)</f>
        <v>0</v>
      </c>
      <c r="AR63" s="130" t="n">
        <f aca="false">IF($W62*O63&gt;150000,($W62*O63-150000)*6%*45%,0)</f>
        <v>0</v>
      </c>
      <c r="AS63" s="130" t="n">
        <f aca="false">IF($W62*P63&gt;150000,($W62*P63-150000)*6%*45%,0)</f>
        <v>0</v>
      </c>
      <c r="AT63" s="130" t="n">
        <f aca="false">IF($W62*Q63&gt;150000,($W62*Q63-150000)*6%*45%,0)</f>
        <v>0</v>
      </c>
      <c r="AU63" s="130" t="n">
        <f aca="false">IF($W62*R63&gt;150000,($W62*R63-150000)*6%*45%,0)</f>
        <v>0</v>
      </c>
      <c r="AV63" s="130" t="n">
        <f aca="false">IF($W62*S63&gt;150000,($W62*S63-150000)*6%*45%,0)</f>
        <v>0</v>
      </c>
      <c r="AW63" s="130" t="n">
        <f aca="false">IF($W62*T63&gt;150000,($W62*T63-150000)*6%*45%,0)</f>
        <v>0</v>
      </c>
      <c r="AX63" s="130" t="n">
        <f aca="false">IF($W62*U63&gt;150000,($W62*U63-150000)*6%*45%,0)</f>
        <v>0</v>
      </c>
      <c r="AY63" s="13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</row>
    <row r="64" customFormat="false" ht="12.6" hidden="false" customHeight="true" outlineLevel="0" collapsed="false">
      <c r="A64" s="108" t="n">
        <f aca="false">A44+1</f>
        <v>13</v>
      </c>
      <c r="B64" s="292"/>
      <c r="C64" s="293" t="s">
        <v>96</v>
      </c>
      <c r="D64" s="111" t="n">
        <f aca="false">IF(ISERROR(VLOOKUP(C64,일용직명단!$A$3:$K$1246,3,FALSE())),0,VLOOKUP(C64,일용직명단!$A$3:$K$1246,3,FALSE()))</f>
        <v>0</v>
      </c>
      <c r="E64" s="140" t="n">
        <f aca="false">IF(ISERROR(VLOOKUP(C64,일용직명단!$A$3:$K$1246,4,FALSE())),0,VLOOKUP(C64,일용직명단!$A$3:$K$1246,4,FALSE()))</f>
        <v>0</v>
      </c>
      <c r="F64" s="192"/>
      <c r="G64" s="192"/>
      <c r="H64" s="192"/>
      <c r="I64" s="191"/>
      <c r="J64" s="192"/>
      <c r="K64" s="191"/>
      <c r="L64" s="192"/>
      <c r="M64" s="192"/>
      <c r="N64" s="193"/>
      <c r="O64" s="191"/>
      <c r="P64" s="192"/>
      <c r="Q64" s="193"/>
      <c r="R64" s="191"/>
      <c r="S64" s="193"/>
      <c r="T64" s="191"/>
      <c r="U64" s="194"/>
      <c r="V64" s="168" t="n">
        <f aca="false">SUM(F64:U65)</f>
        <v>5</v>
      </c>
      <c r="W64" s="121" t="n">
        <f aca="false">IF(ISERROR(VLOOKUP(C64,일용직명단!$A$3:$K$1246,8,FALSE())),0,VLOOKUP(C64,일용직명단!$A$3:$K$1246,8,FALSE()))</f>
        <v>0</v>
      </c>
      <c r="X64" s="123" t="n">
        <f aca="false">IFERROR(IF(AG64&gt;=65,0,ROUNDDOWN(W65*$Z$4,-1)),0)</f>
        <v>0</v>
      </c>
      <c r="Y64" s="123" t="n">
        <f aca="false">IF(AE64&gt;=8,ROUNDDOWN(W65*$M$4,-1),0)</f>
        <v>0</v>
      </c>
      <c r="Z64" s="123" t="n">
        <f aca="false">IFERROR(IF(AND(COUNT(F64:U65)&gt;=8,$AG64&lt;60,W65&lt;=5530000),ROUNDDOWN(ROUNDDOWN(W65,-3)*4.5%,-1),IF(AND(COUNT(F64:U65)&gt;=8,AG64&lt;60,W65&gt;5530000),248850,0)),0)</f>
        <v>0</v>
      </c>
      <c r="AA64" s="145" t="n">
        <f aca="false">+X64+Y64+X65+Y65+Z64+Z65</f>
        <v>0</v>
      </c>
      <c r="AB64" s="146" t="n">
        <f aca="false">W65-AA64</f>
        <v>0</v>
      </c>
      <c r="AC64" s="165" t="n">
        <f aca="false">IF(ISERROR(VLOOKUP(C64,일용직명단!$A$3:$I$1226,5,FALSE())),0,VLOOKUP(C64,일용직명단!$A$3:$I$1226,5,FALSE()))</f>
        <v>0</v>
      </c>
      <c r="AD64" s="166" t="n">
        <f aca="false">IF(ISERROR(VLOOKUP(C64,일용직명단!$A$3:$I$1226,6,FALSE())),0,VLOOKUP(C64,일용직명단!$A$3:$I$1226,6,FALSE()))</f>
        <v>0</v>
      </c>
      <c r="AE64" s="141" t="n">
        <f aca="false">COUNT(F64:U65)</f>
        <v>5</v>
      </c>
      <c r="AF64" s="169" t="str">
        <f aca="false">IF(OR(MID(D64,8,1)="1",MID(D64,8,1)="2"),19&amp;LEFT(D64,2),20&amp;LEFT(D64,2))&amp;"-"&amp;MID(D64,3,2)&amp;"-"&amp;MID(D64,5,2)</f>
        <v>200--</v>
      </c>
      <c r="AG64" s="169" t="e">
        <f aca="true">INT((TODAY()-AF64)/365.25)</f>
        <v>#VALUE!</v>
      </c>
      <c r="AH64" s="130" t="n">
        <f aca="false">ROUNDDOWN(SUM(AI64:AX65),-1)</f>
        <v>0</v>
      </c>
      <c r="AI64" s="130" t="n">
        <f aca="false">IF($W64*F64&gt;150000,($W64*F64-150000)*6%*45%,0)</f>
        <v>0</v>
      </c>
      <c r="AJ64" s="130" t="n">
        <f aca="false">IF($W64*G64&gt;150000,($W64*G64-150000)*6%*45%,0)</f>
        <v>0</v>
      </c>
      <c r="AK64" s="130" t="n">
        <f aca="false">IF($W64*H64&gt;150000,($W64*H64-150000)*6%*45%,0)</f>
        <v>0</v>
      </c>
      <c r="AL64" s="130" t="n">
        <f aca="false">IF($W64*I64&gt;150000,($W64*I64-150000)*6%*45%,0)</f>
        <v>0</v>
      </c>
      <c r="AM64" s="130" t="n">
        <f aca="false">IF($W64*J64&gt;150000,($W64*J64-150000)*6%*45%,0)</f>
        <v>0</v>
      </c>
      <c r="AN64" s="130" t="n">
        <f aca="false">IF($W64*K64&gt;150000,($W64*K64-150000)*6%*45%,0)</f>
        <v>0</v>
      </c>
      <c r="AO64" s="130" t="n">
        <f aca="false">IF($W64*L64&gt;150000,($W64*L64-150000)*6%*45%,0)</f>
        <v>0</v>
      </c>
      <c r="AP64" s="130" t="n">
        <f aca="false">IF($W64*M64&gt;150000,($W64*M64-150000)*6%*45%,0)</f>
        <v>0</v>
      </c>
      <c r="AQ64" s="130" t="n">
        <f aca="false">IF($W64*N64&gt;150000,($W64*N64-150000)*6%*45%,0)</f>
        <v>0</v>
      </c>
      <c r="AR64" s="130" t="n">
        <f aca="false">IF($W64*O64&gt;150000,($W64*O64-150000)*6%*45%,0)</f>
        <v>0</v>
      </c>
      <c r="AS64" s="130" t="n">
        <f aca="false">IF($W64*P64&gt;150000,($W64*P64-150000)*6%*45%,0)</f>
        <v>0</v>
      </c>
      <c r="AT64" s="130" t="n">
        <f aca="false">IF($W64*Q64&gt;150000,($W64*Q64-150000)*6%*45%,0)</f>
        <v>0</v>
      </c>
      <c r="AU64" s="130" t="n">
        <f aca="false">IF($W64*R64&gt;150000,($W64*R64-150000)*6%*45%,0)</f>
        <v>0</v>
      </c>
      <c r="AV64" s="130" t="n">
        <f aca="false">IF($W64*S64&gt;150000,($W64*S64-150000)*6%*45%,0)</f>
        <v>0</v>
      </c>
      <c r="AW64" s="130" t="n">
        <f aca="false">IF($W64*T64&gt;150000,($W64*T64-150000)*6%*45%,0)</f>
        <v>0</v>
      </c>
      <c r="AX64" s="130"/>
      <c r="AY64" s="131" t="n">
        <f aca="false">IF(ISERROR(VLOOKUP(C64,[26]일용직명단!$A$3:$M$1151,11,FALSE())),0,VLOOKUP(C64,[26]일용직명단!$A$3:$M$1151,11,FALSE()))</f>
        <v>0</v>
      </c>
      <c r="AZ64" s="11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</row>
    <row r="65" customFormat="false" ht="12.6" hidden="false" customHeight="true" outlineLevel="0" collapsed="false">
      <c r="A65" s="108"/>
      <c r="B65" s="292"/>
      <c r="C65" s="293"/>
      <c r="D65" s="111"/>
      <c r="E65" s="140" t="n">
        <f aca="false">IF(ISERROR(VLOOKUP(C64,일용직명단!$A$3:$K$1246,9,FALSE())),0,VLOOKUP(C64,일용직명단!$A$3:$K$1246,9,FALSE()))</f>
        <v>0</v>
      </c>
      <c r="F65" s="195"/>
      <c r="G65" s="196"/>
      <c r="H65" s="196"/>
      <c r="I65" s="294" t="n">
        <v>1</v>
      </c>
      <c r="J65" s="295" t="n">
        <v>1</v>
      </c>
      <c r="K65" s="193"/>
      <c r="L65" s="192"/>
      <c r="M65" s="192"/>
      <c r="N65" s="193"/>
      <c r="O65" s="191"/>
      <c r="P65" s="294" t="n">
        <v>1</v>
      </c>
      <c r="Q65" s="294" t="n">
        <v>1</v>
      </c>
      <c r="R65" s="296" t="n">
        <v>1</v>
      </c>
      <c r="S65" s="192"/>
      <c r="T65" s="192"/>
      <c r="U65" s="191"/>
      <c r="V65" s="168"/>
      <c r="W65" s="138" t="n">
        <f aca="false">W64*V64</f>
        <v>0</v>
      </c>
      <c r="X65" s="123" t="n">
        <f aca="false">IF(AH64&lt;1000,0,AH64)</f>
        <v>0</v>
      </c>
      <c r="Y65" s="123" t="n">
        <f aca="false">ROUNDDOWN(X65*10%,-1)</f>
        <v>0</v>
      </c>
      <c r="Z65" s="123" t="n">
        <f aca="false">IF(AE64&gt;=8,ROUNDDOWN(Y64*$Q$4,-1),0)</f>
        <v>0</v>
      </c>
      <c r="AA65" s="145"/>
      <c r="AB65" s="146"/>
      <c r="AC65" s="166" t="n">
        <f aca="false">IF(ISERROR(VLOOKUP(C64,일용직명단!$A$3:$I$1226,7,FALSE())),0,VLOOKUP(C64,일용직명단!$A$3:$I$1226,7,FALSE()))</f>
        <v>0</v>
      </c>
      <c r="AD65" s="166"/>
      <c r="AE65" s="141"/>
      <c r="AF65" s="169"/>
      <c r="AG65" s="169"/>
      <c r="AH65" s="130"/>
      <c r="AI65" s="130" t="n">
        <f aca="false">IF($W64*F65&gt;150000,($W64*F65-150000)*6%*45%,0)</f>
        <v>0</v>
      </c>
      <c r="AJ65" s="130" t="n">
        <f aca="false">IF($W64*G65&gt;150000,($W64*G65-150000)*6%*45%,0)</f>
        <v>0</v>
      </c>
      <c r="AK65" s="130" t="n">
        <f aca="false">IF($W64*H65&gt;150000,($W64*H65-150000)*6%*45%,0)</f>
        <v>0</v>
      </c>
      <c r="AL65" s="130" t="n">
        <f aca="false">IF($W64*I65&gt;150000,($W64*I65-150000)*6%*45%,0)</f>
        <v>0</v>
      </c>
      <c r="AM65" s="130" t="n">
        <f aca="false">IF($W64*J65&gt;150000,($W64*J65-150000)*6%*45%,0)</f>
        <v>0</v>
      </c>
      <c r="AN65" s="130" t="n">
        <f aca="false">IF($W64*K65&gt;150000,($W64*K65-150000)*6%*45%,0)</f>
        <v>0</v>
      </c>
      <c r="AO65" s="130" t="n">
        <f aca="false">IF($W64*L65&gt;150000,($W64*L65-150000)*6%*45%,0)</f>
        <v>0</v>
      </c>
      <c r="AP65" s="130" t="n">
        <f aca="false">IF($W64*M65&gt;150000,($W64*M65-150000)*6%*45%,0)</f>
        <v>0</v>
      </c>
      <c r="AQ65" s="130" t="n">
        <f aca="false">IF($W64*N65&gt;150000,($W64*N65-150000)*6%*45%,0)</f>
        <v>0</v>
      </c>
      <c r="AR65" s="130" t="n">
        <f aca="false">IF($W64*O65&gt;150000,($W64*O65-150000)*6%*45%,0)</f>
        <v>0</v>
      </c>
      <c r="AS65" s="130" t="n">
        <f aca="false">IF($W64*P65&gt;150000,($W64*P65-150000)*6%*45%,0)</f>
        <v>0</v>
      </c>
      <c r="AT65" s="130" t="n">
        <f aca="false">IF($W64*Q65&gt;150000,($W64*Q65-150000)*6%*45%,0)</f>
        <v>0</v>
      </c>
      <c r="AU65" s="130" t="n">
        <f aca="false">IF($W64*R65&gt;150000,($W64*R65-150000)*6%*45%,0)</f>
        <v>0</v>
      </c>
      <c r="AV65" s="130" t="n">
        <f aca="false">IF($W64*S65&gt;150000,($W64*S65-150000)*6%*45%,0)</f>
        <v>0</v>
      </c>
      <c r="AW65" s="130" t="n">
        <f aca="false">IF($W64*T65&gt;150000,($W64*T65-150000)*6%*45%,0)</f>
        <v>0</v>
      </c>
      <c r="AX65" s="130" t="n">
        <f aca="false">IF($W64*U65&gt;150000,($W64*U65-150000)*6%*45%,0)</f>
        <v>0</v>
      </c>
      <c r="AY65" s="131"/>
      <c r="AZ65" s="11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</row>
    <row r="66" customFormat="false" ht="12.6" hidden="false" customHeight="true" outlineLevel="0" collapsed="false">
      <c r="A66" s="108" t="n">
        <f aca="false">A64+1</f>
        <v>14</v>
      </c>
      <c r="B66" s="297" t="s">
        <v>82</v>
      </c>
      <c r="C66" s="298" t="s">
        <v>97</v>
      </c>
      <c r="D66" s="111" t="n">
        <f aca="false">IF(ISERROR(VLOOKUP(C66,일용직명단!$A$3:$K$1246,3,FALSE())),0,VLOOKUP(C66,일용직명단!$A$3:$K$1246,3,FALSE()))</f>
        <v>0</v>
      </c>
      <c r="E66" s="112" t="n">
        <f aca="false">IF(ISERROR(VLOOKUP(C66,일용직명단!$A$3:$K$1246,4,FALSE())),0,VLOOKUP(C66,일용직명단!$A$3:$K$1246,4,FALSE()))</f>
        <v>0</v>
      </c>
      <c r="F66" s="192"/>
      <c r="G66" s="192"/>
      <c r="H66" s="192"/>
      <c r="I66" s="191"/>
      <c r="J66" s="192"/>
      <c r="K66" s="191"/>
      <c r="L66" s="192"/>
      <c r="M66" s="192"/>
      <c r="N66" s="193"/>
      <c r="O66" s="191"/>
      <c r="P66" s="192"/>
      <c r="Q66" s="193"/>
      <c r="R66" s="191"/>
      <c r="S66" s="193"/>
      <c r="T66" s="191"/>
      <c r="U66" s="194"/>
      <c r="V66" s="120" t="n">
        <f aca="false">SUM(F66:U67)</f>
        <v>5</v>
      </c>
      <c r="W66" s="121" t="n">
        <f aca="false">IF(ISERROR(VLOOKUP(C66,일용직명단!$A$3:$K$1246,8,FALSE())),0,VLOOKUP(C66,일용직명단!$A$3:$K$1246,8,FALSE()))</f>
        <v>0</v>
      </c>
      <c r="X66" s="122" t="n">
        <f aca="false">IFERROR(IF(AG66&gt;=65,0,ROUNDDOWN(W67*$Z$4,-1)),0)</f>
        <v>0</v>
      </c>
      <c r="Y66" s="122" t="n">
        <f aca="false">IF(AE66&gt;=8,ROUNDDOWN(W67*$M$4,-1),0)</f>
        <v>0</v>
      </c>
      <c r="Z66" s="123" t="n">
        <f aca="false">IFERROR(IF(AND(COUNT(F66:U67)&gt;=8,$AG66&lt;60,W67&lt;=5530000),ROUNDDOWN(ROUNDDOWN(W67,-3)*4.5%,-1),IF(AND(COUNT(F66:U67)&gt;=8,AG66&lt;60,W67&gt;5530000),248850,0)),0)</f>
        <v>0</v>
      </c>
      <c r="AA66" s="124" t="n">
        <f aca="false">+X66+Y66+X67+Y67+Z66+Z67</f>
        <v>0</v>
      </c>
      <c r="AB66" s="125" t="n">
        <f aca="false">W67-AA66</f>
        <v>0</v>
      </c>
      <c r="AC66" s="126" t="n">
        <f aca="false">IF(ISERROR(VLOOKUP(C66,일용직명단!$A$3:$I$1226,5,FALSE())),0,VLOOKUP(C66,일용직명단!$A$3:$I$1226,5,FALSE()))</f>
        <v>0</v>
      </c>
      <c r="AD66" s="127" t="n">
        <f aca="false">IF(ISERROR(VLOOKUP(C66,일용직명단!$A$3:$I$1226,6,FALSE())),0,VLOOKUP(C66,일용직명단!$A$3:$I$1226,6,FALSE()))</f>
        <v>0</v>
      </c>
      <c r="AE66" s="128" t="n">
        <f aca="false">COUNT(F66:U67)</f>
        <v>5</v>
      </c>
      <c r="AF66" s="129" t="str">
        <f aca="false">IF(OR(MID(D66,8,1)="1",MID(D66,8,1)="2"),19&amp;LEFT(D66,2),20&amp;LEFT(D66,2))&amp;"-"&amp;MID(D66,3,2)&amp;"-"&amp;MID(D66,5,2)</f>
        <v>200--</v>
      </c>
      <c r="AG66" s="129" t="e">
        <f aca="true">INT((TODAY()-AF66)/365.25)</f>
        <v>#VALUE!</v>
      </c>
      <c r="AH66" s="130" t="n">
        <f aca="false">ROUNDDOWN(SUM(AI66:AX67),-1)</f>
        <v>0</v>
      </c>
      <c r="AI66" s="130" t="n">
        <f aca="false">IF($W66*F66&gt;150000,($W66*F66-150000)*6%*45%,0)</f>
        <v>0</v>
      </c>
      <c r="AJ66" s="130" t="n">
        <f aca="false">IF($W66*G66&gt;150000,($W66*G66-150000)*6%*45%,0)</f>
        <v>0</v>
      </c>
      <c r="AK66" s="130" t="n">
        <f aca="false">IF($W66*H66&gt;150000,($W66*H66-150000)*6%*45%,0)</f>
        <v>0</v>
      </c>
      <c r="AL66" s="130" t="n">
        <f aca="false">IF($W66*I66&gt;150000,($W66*I66-150000)*6%*45%,0)</f>
        <v>0</v>
      </c>
      <c r="AM66" s="130" t="n">
        <f aca="false">IF($W66*J66&gt;150000,($W66*J66-150000)*6%*45%,0)</f>
        <v>0</v>
      </c>
      <c r="AN66" s="130" t="n">
        <f aca="false">IF($W66*K66&gt;150000,($W66*K66-150000)*6%*45%,0)</f>
        <v>0</v>
      </c>
      <c r="AO66" s="130" t="n">
        <f aca="false">IF($W66*L66&gt;150000,($W66*L66-150000)*6%*45%,0)</f>
        <v>0</v>
      </c>
      <c r="AP66" s="130" t="n">
        <f aca="false">IF($W66*M66&gt;150000,($W66*M66-150000)*6%*45%,0)</f>
        <v>0</v>
      </c>
      <c r="AQ66" s="130" t="n">
        <f aca="false">IF($W66*N66&gt;150000,($W66*N66-150000)*6%*45%,0)</f>
        <v>0</v>
      </c>
      <c r="AR66" s="130" t="n">
        <f aca="false">IF($W66*O66&gt;150000,($W66*O66-150000)*6%*45%,0)</f>
        <v>0</v>
      </c>
      <c r="AS66" s="130" t="n">
        <f aca="false">IF($W66*P66&gt;150000,($W66*P66-150000)*6%*45%,0)</f>
        <v>0</v>
      </c>
      <c r="AT66" s="130" t="n">
        <f aca="false">IF($W66*Q66&gt;150000,($W66*Q66-150000)*6%*45%,0)</f>
        <v>0</v>
      </c>
      <c r="AU66" s="130" t="n">
        <f aca="false">IF($W66*R66&gt;150000,($W66*R66-150000)*6%*45%,0)</f>
        <v>0</v>
      </c>
      <c r="AV66" s="130" t="n">
        <f aca="false">IF($W66*S66&gt;150000,($W66*S66-150000)*6%*45%,0)</f>
        <v>0</v>
      </c>
      <c r="AW66" s="130" t="n">
        <f aca="false">IF($W66*T66&gt;150000,($W66*T66-150000)*6%*45%,0)</f>
        <v>0</v>
      </c>
      <c r="AX66" s="130"/>
      <c r="AY66" s="131" t="n">
        <f aca="false">IF(ISERROR(VLOOKUP(C66,[26]일용직명단!$A$3:$M$1151,11,FALSE())),0,VLOOKUP(C66,[26]일용직명단!$A$3:$M$1151,11,FALSE()))</f>
        <v>0</v>
      </c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</row>
    <row r="67" customFormat="false" ht="12.6" hidden="false" customHeight="true" outlineLevel="0" collapsed="false">
      <c r="A67" s="108"/>
      <c r="B67" s="297"/>
      <c r="C67" s="298"/>
      <c r="D67" s="111"/>
      <c r="E67" s="112" t="n">
        <f aca="false">IF(ISERROR(VLOOKUP(C66,일용직명단!$A$3:$K$1246,9,FALSE())),0,VLOOKUP(C66,일용직명단!$A$3:$K$1246,9,FALSE()))</f>
        <v>0</v>
      </c>
      <c r="F67" s="195"/>
      <c r="G67" s="196"/>
      <c r="H67" s="196"/>
      <c r="I67" s="294" t="n">
        <v>1</v>
      </c>
      <c r="J67" s="295" t="n">
        <v>1</v>
      </c>
      <c r="K67" s="193"/>
      <c r="L67" s="192"/>
      <c r="M67" s="192"/>
      <c r="N67" s="193"/>
      <c r="O67" s="191"/>
      <c r="P67" s="294" t="n">
        <v>1</v>
      </c>
      <c r="Q67" s="294" t="n">
        <v>1</v>
      </c>
      <c r="R67" s="296" t="n">
        <v>1</v>
      </c>
      <c r="S67" s="192"/>
      <c r="T67" s="192"/>
      <c r="U67" s="191"/>
      <c r="V67" s="120"/>
      <c r="W67" s="138" t="n">
        <f aca="false">W66*V66</f>
        <v>0</v>
      </c>
      <c r="X67" s="122" t="n">
        <f aca="false">IF(AH66&lt;1000,0,AH66)</f>
        <v>0</v>
      </c>
      <c r="Y67" s="122" t="n">
        <f aca="false">ROUNDDOWN(X67*10%,-1)</f>
        <v>0</v>
      </c>
      <c r="Z67" s="123" t="n">
        <f aca="false">IF(AE66&gt;=8,ROUNDDOWN(Y66*$Q$4,-1),0)</f>
        <v>0</v>
      </c>
      <c r="AA67" s="124"/>
      <c r="AB67" s="125"/>
      <c r="AC67" s="127" t="n">
        <f aca="false">IF(ISERROR(VLOOKUP(C66,일용직명단!$A$3:$I$1226,7,FALSE())),0,VLOOKUP(C66,일용직명단!$A$3:$I$1226,7,FALSE()))</f>
        <v>0</v>
      </c>
      <c r="AD67" s="127"/>
      <c r="AE67" s="128"/>
      <c r="AF67" s="129"/>
      <c r="AG67" s="129"/>
      <c r="AH67" s="130"/>
      <c r="AI67" s="130" t="n">
        <f aca="false">IF($W66*F67&gt;150000,($W66*F67-150000)*6%*45%,0)</f>
        <v>0</v>
      </c>
      <c r="AJ67" s="130" t="n">
        <f aca="false">IF($W66*G67&gt;150000,($W66*G67-150000)*6%*45%,0)</f>
        <v>0</v>
      </c>
      <c r="AK67" s="130" t="n">
        <f aca="false">IF($W66*H67&gt;150000,($W66*H67-150000)*6%*45%,0)</f>
        <v>0</v>
      </c>
      <c r="AL67" s="130" t="n">
        <f aca="false">IF($W66*I67&gt;150000,($W66*I67-150000)*6%*45%,0)</f>
        <v>0</v>
      </c>
      <c r="AM67" s="130" t="n">
        <f aca="false">IF($W66*J67&gt;150000,($W66*J67-150000)*6%*45%,0)</f>
        <v>0</v>
      </c>
      <c r="AN67" s="130" t="n">
        <f aca="false">IF($W66*K67&gt;150000,($W66*K67-150000)*6%*45%,0)</f>
        <v>0</v>
      </c>
      <c r="AO67" s="130" t="n">
        <f aca="false">IF($W66*L67&gt;150000,($W66*L67-150000)*6%*45%,0)</f>
        <v>0</v>
      </c>
      <c r="AP67" s="130" t="n">
        <f aca="false">IF($W66*M67&gt;150000,($W66*M67-150000)*6%*45%,0)</f>
        <v>0</v>
      </c>
      <c r="AQ67" s="130" t="n">
        <f aca="false">IF($W66*N67&gt;150000,($W66*N67-150000)*6%*45%,0)</f>
        <v>0</v>
      </c>
      <c r="AR67" s="130" t="n">
        <f aca="false">IF($W66*O67&gt;150000,($W66*O67-150000)*6%*45%,0)</f>
        <v>0</v>
      </c>
      <c r="AS67" s="130" t="n">
        <f aca="false">IF($W66*P67&gt;150000,($W66*P67-150000)*6%*45%,0)</f>
        <v>0</v>
      </c>
      <c r="AT67" s="130" t="n">
        <f aca="false">IF($W66*Q67&gt;150000,($W66*Q67-150000)*6%*45%,0)</f>
        <v>0</v>
      </c>
      <c r="AU67" s="130" t="n">
        <f aca="false">IF($W66*R67&gt;150000,($W66*R67-150000)*6%*45%,0)</f>
        <v>0</v>
      </c>
      <c r="AV67" s="130" t="n">
        <f aca="false">IF($W66*S67&gt;150000,($W66*S67-150000)*6%*45%,0)</f>
        <v>0</v>
      </c>
      <c r="AW67" s="130" t="n">
        <f aca="false">IF($W66*T67&gt;150000,($W66*T67-150000)*6%*45%,0)</f>
        <v>0</v>
      </c>
      <c r="AX67" s="130" t="n">
        <f aca="false">IF($W66*U67&gt;150000,($W66*U67-150000)*6%*45%,0)</f>
        <v>0</v>
      </c>
      <c r="AY67" s="13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</row>
    <row r="68" customFormat="false" ht="12.6" hidden="false" customHeight="true" outlineLevel="0" collapsed="false">
      <c r="A68" s="108" t="n">
        <f aca="false">A66+1</f>
        <v>15</v>
      </c>
      <c r="B68" s="297" t="s">
        <v>89</v>
      </c>
      <c r="C68" s="298" t="s">
        <v>99</v>
      </c>
      <c r="D68" s="111" t="n">
        <f aca="false">IF(ISERROR(VLOOKUP(C68,일용직명단!$A$3:$K$1246,3,FALSE())),0,VLOOKUP(C68,일용직명단!$A$3:$K$1246,3,FALSE()))</f>
        <v>0</v>
      </c>
      <c r="E68" s="140" t="n">
        <f aca="false">IF(ISERROR(VLOOKUP(C68,일용직명단!$A$3:$K$1246,4,FALSE())),0,VLOOKUP(C68,일용직명단!$A$3:$K$1246,4,FALSE()))</f>
        <v>0</v>
      </c>
      <c r="F68" s="192"/>
      <c r="G68" s="193"/>
      <c r="H68" s="191"/>
      <c r="I68" s="191"/>
      <c r="J68" s="192"/>
      <c r="K68" s="191"/>
      <c r="L68" s="192"/>
      <c r="M68" s="192"/>
      <c r="N68" s="191"/>
      <c r="O68" s="193"/>
      <c r="P68" s="192"/>
      <c r="Q68" s="193"/>
      <c r="R68" s="191"/>
      <c r="S68" s="193"/>
      <c r="T68" s="191"/>
      <c r="U68" s="194"/>
      <c r="V68" s="144" t="n">
        <f aca="false">SUM(F68:U69)</f>
        <v>5</v>
      </c>
      <c r="W68" s="121" t="n">
        <f aca="false">IF(ISERROR(VLOOKUP(C68,일용직명단!$A$3:$K$1246,8,FALSE())),0,VLOOKUP(C68,일용직명단!$A$3:$K$1246,8,FALSE()))</f>
        <v>0</v>
      </c>
      <c r="X68" s="123" t="n">
        <f aca="false">IFERROR(IF(AG68&gt;=65,0,ROUNDDOWN(W69*$Z$4,-1)),0)</f>
        <v>0</v>
      </c>
      <c r="Y68" s="123" t="n">
        <f aca="false">IF(AE68&gt;=8,ROUNDDOWN(W69*$M$4,-1),0)</f>
        <v>0</v>
      </c>
      <c r="Z68" s="123" t="n">
        <f aca="false">IFERROR(IF(AND(COUNT(F68:U69)&gt;=8,$AG68&lt;60,W69&lt;=5530000),ROUNDDOWN(ROUNDDOWN(W69,-3)*4.5%,-1),IF(AND(COUNT(F68:U69)&gt;=8,AG68&lt;60,W69&gt;5530000),248850,0)),0)</f>
        <v>0</v>
      </c>
      <c r="AA68" s="145" t="n">
        <f aca="false">+X68+Y68+X69+Y69+Z68+Z69</f>
        <v>0</v>
      </c>
      <c r="AB68" s="146" t="n">
        <f aca="false">W69-AA68</f>
        <v>0</v>
      </c>
      <c r="AC68" s="147" t="n">
        <f aca="false">IF(ISERROR(VLOOKUP(C68,일용직명단!$A$3:$I$1226,5,FALSE())),0,VLOOKUP(C68,일용직명단!$A$3:$I$1226,5,FALSE()))</f>
        <v>0</v>
      </c>
      <c r="AD68" s="148" t="n">
        <f aca="false">IF(ISERROR(VLOOKUP(C68,일용직명단!$A$3:$I$1226,6,FALSE())),0,VLOOKUP(C68,일용직명단!$A$3:$I$1226,6,FALSE()))</f>
        <v>0</v>
      </c>
      <c r="AE68" s="141" t="n">
        <f aca="false">COUNT(F68:U69)</f>
        <v>5</v>
      </c>
      <c r="AF68" s="169" t="str">
        <f aca="false">IF(OR(MID(D68,8,1)="1",MID(D68,8,1)="2"),19&amp;LEFT(D68,2),20&amp;LEFT(D68,2))&amp;"-"&amp;MID(D68,3,2)&amp;"-"&amp;MID(D68,5,2)</f>
        <v>200--</v>
      </c>
      <c r="AG68" s="169" t="e">
        <f aca="true">INT((TODAY()-AF68)/365.25)</f>
        <v>#VALUE!</v>
      </c>
      <c r="AH68" s="130" t="n">
        <f aca="false">ROUNDDOWN(SUM(AI68:AX69),-1)</f>
        <v>0</v>
      </c>
      <c r="AI68" s="130" t="n">
        <f aca="false">IF($W68*F68&gt;150000,($W68*F68-150000)*6%*45%,0)</f>
        <v>0</v>
      </c>
      <c r="AJ68" s="130" t="n">
        <f aca="false">IF($W68*G68&gt;150000,($W68*G68-150000)*6%*45%,0)</f>
        <v>0</v>
      </c>
      <c r="AK68" s="130" t="n">
        <f aca="false">IF($W68*H68&gt;150000,($W68*H68-150000)*6%*45%,0)</f>
        <v>0</v>
      </c>
      <c r="AL68" s="130" t="n">
        <f aca="false">IF($W68*I68&gt;150000,($W68*I68-150000)*6%*45%,0)</f>
        <v>0</v>
      </c>
      <c r="AM68" s="130" t="n">
        <f aca="false">IF($W68*J68&gt;150000,($W68*J68-150000)*6%*45%,0)</f>
        <v>0</v>
      </c>
      <c r="AN68" s="130" t="n">
        <f aca="false">IF($W68*K68&gt;150000,($W68*K68-150000)*6%*45%,0)</f>
        <v>0</v>
      </c>
      <c r="AO68" s="130" t="n">
        <f aca="false">IF($W68*L68&gt;150000,($W68*L68-150000)*6%*45%,0)</f>
        <v>0</v>
      </c>
      <c r="AP68" s="130" t="n">
        <f aca="false">IF($W68*M68&gt;150000,($W68*M68-150000)*6%*45%,0)</f>
        <v>0</v>
      </c>
      <c r="AQ68" s="130" t="n">
        <f aca="false">IF($W68*N68&gt;150000,($W68*N68-150000)*6%*45%,0)</f>
        <v>0</v>
      </c>
      <c r="AR68" s="130" t="n">
        <f aca="false">IF($W68*O68&gt;150000,($W68*O68-150000)*6%*45%,0)</f>
        <v>0</v>
      </c>
      <c r="AS68" s="130" t="n">
        <f aca="false">IF($W68*P68&gt;150000,($W68*P68-150000)*6%*45%,0)</f>
        <v>0</v>
      </c>
      <c r="AT68" s="130" t="n">
        <f aca="false">IF($W68*Q68&gt;150000,($W68*Q68-150000)*6%*45%,0)</f>
        <v>0</v>
      </c>
      <c r="AU68" s="130" t="n">
        <f aca="false">IF($W68*R68&gt;150000,($W68*R68-150000)*6%*45%,0)</f>
        <v>0</v>
      </c>
      <c r="AV68" s="130" t="n">
        <f aca="false">IF($W68*S68&gt;150000,($W68*S68-150000)*6%*45%,0)</f>
        <v>0</v>
      </c>
      <c r="AW68" s="130" t="n">
        <f aca="false">IF($W68*T68&gt;150000,($W68*T68-150000)*6%*45%,0)</f>
        <v>0</v>
      </c>
      <c r="AX68" s="130"/>
      <c r="AY68" s="131" t="n">
        <f aca="false">IF(ISERROR(VLOOKUP(C68,[26]일용직명단!$A$3:$M$1151,11,FALSE())),0,VLOOKUP(C68,[26]일용직명단!$A$3:$M$1151,11,FALSE()))</f>
        <v>0</v>
      </c>
      <c r="AZ68" s="11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</row>
    <row r="69" customFormat="false" ht="12.6" hidden="false" customHeight="true" outlineLevel="0" collapsed="false">
      <c r="A69" s="108"/>
      <c r="B69" s="297"/>
      <c r="C69" s="298"/>
      <c r="D69" s="111"/>
      <c r="E69" s="140" t="n">
        <f aca="false">IF(ISERROR(VLOOKUP(C68,일용직명단!$A$3:$K$1246,9,FALSE())),0,VLOOKUP(C68,일용직명단!$A$3:$K$1246,9,FALSE()))</f>
        <v>0</v>
      </c>
      <c r="F69" s="195"/>
      <c r="G69" s="196"/>
      <c r="H69" s="196"/>
      <c r="I69" s="294" t="n">
        <v>1</v>
      </c>
      <c r="J69" s="295" t="n">
        <v>1</v>
      </c>
      <c r="K69" s="193"/>
      <c r="L69" s="192"/>
      <c r="M69" s="192"/>
      <c r="N69" s="193"/>
      <c r="O69" s="191"/>
      <c r="P69" s="299" t="n">
        <v>1</v>
      </c>
      <c r="Q69" s="300" t="n">
        <v>1</v>
      </c>
      <c r="R69" s="299" t="n">
        <v>1</v>
      </c>
      <c r="S69" s="192"/>
      <c r="T69" s="192"/>
      <c r="U69" s="191"/>
      <c r="V69" s="144"/>
      <c r="W69" s="138" t="n">
        <f aca="false">W68*V68</f>
        <v>0</v>
      </c>
      <c r="X69" s="123" t="n">
        <f aca="false">IF(AH68&lt;1000,0,AH68)</f>
        <v>0</v>
      </c>
      <c r="Y69" s="123" t="n">
        <f aca="false">ROUNDDOWN(X69*10%,-1)</f>
        <v>0</v>
      </c>
      <c r="Z69" s="123" t="n">
        <f aca="false">IF(AE68&gt;=8,ROUNDDOWN(Y68*$Q$4,-1),0)</f>
        <v>0</v>
      </c>
      <c r="AA69" s="145"/>
      <c r="AB69" s="146"/>
      <c r="AC69" s="148" t="n">
        <f aca="false">IF(ISERROR(VLOOKUP(C68,일용직명단!$A$3:$I$1226,7,FALSE())),0,VLOOKUP(C68,일용직명단!$A$3:$I$1226,7,FALSE()))</f>
        <v>0</v>
      </c>
      <c r="AD69" s="148"/>
      <c r="AE69" s="141"/>
      <c r="AF69" s="169"/>
      <c r="AG69" s="169"/>
      <c r="AH69" s="130"/>
      <c r="AI69" s="130" t="n">
        <f aca="false">IF($W68*F69&gt;150000,($W68*F69-150000)*6%*45%,0)</f>
        <v>0</v>
      </c>
      <c r="AJ69" s="130" t="n">
        <f aca="false">IF($W68*G69&gt;150000,($W68*G69-150000)*6%*45%,0)</f>
        <v>0</v>
      </c>
      <c r="AK69" s="130" t="n">
        <f aca="false">IF($W68*H69&gt;150000,($W68*H69-150000)*6%*45%,0)</f>
        <v>0</v>
      </c>
      <c r="AL69" s="130" t="n">
        <f aca="false">IF($W68*I69&gt;150000,($W68*I69-150000)*6%*45%,0)</f>
        <v>0</v>
      </c>
      <c r="AM69" s="130" t="n">
        <f aca="false">IF($W68*J69&gt;150000,($W68*J69-150000)*6%*45%,0)</f>
        <v>0</v>
      </c>
      <c r="AN69" s="130" t="n">
        <f aca="false">IF($W68*K69&gt;150000,($W68*K69-150000)*6%*45%,0)</f>
        <v>0</v>
      </c>
      <c r="AO69" s="130" t="n">
        <f aca="false">IF($W68*L69&gt;150000,($W68*L69-150000)*6%*45%,0)</f>
        <v>0</v>
      </c>
      <c r="AP69" s="130" t="n">
        <f aca="false">IF($W68*M69&gt;150000,($W68*M69-150000)*6%*45%,0)</f>
        <v>0</v>
      </c>
      <c r="AQ69" s="130" t="n">
        <f aca="false">IF($W68*N69&gt;150000,($W68*N69-150000)*6%*45%,0)</f>
        <v>0</v>
      </c>
      <c r="AR69" s="130" t="n">
        <f aca="false">IF($W68*O69&gt;150000,($W68*O69-150000)*6%*45%,0)</f>
        <v>0</v>
      </c>
      <c r="AS69" s="130" t="n">
        <f aca="false">IF($W68*P69&gt;150000,($W68*P69-150000)*6%*45%,0)</f>
        <v>0</v>
      </c>
      <c r="AT69" s="130" t="n">
        <f aca="false">IF($W68*Q69&gt;150000,($W68*Q69-150000)*6%*45%,0)</f>
        <v>0</v>
      </c>
      <c r="AU69" s="130" t="n">
        <f aca="false">IF($W68*R69&gt;150000,($W68*R69-150000)*6%*45%,0)</f>
        <v>0</v>
      </c>
      <c r="AV69" s="130" t="n">
        <f aca="false">IF($W68*S69&gt;150000,($W68*S69-150000)*6%*45%,0)</f>
        <v>0</v>
      </c>
      <c r="AW69" s="130" t="n">
        <f aca="false">IF($W68*T69&gt;150000,($W68*T69-150000)*6%*45%,0)</f>
        <v>0</v>
      </c>
      <c r="AX69" s="130" t="n">
        <f aca="false">IF($W68*U69&gt;150000,($W68*U69-150000)*6%*45%,0)</f>
        <v>0</v>
      </c>
      <c r="AY69" s="131"/>
      <c r="AZ69" s="11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</row>
    <row r="70" customFormat="false" ht="12.6" hidden="false" customHeight="true" outlineLevel="0" collapsed="false">
      <c r="A70" s="108" t="n">
        <f aca="false">A68+1</f>
        <v>16</v>
      </c>
      <c r="B70" s="301" t="s">
        <v>109</v>
      </c>
      <c r="C70" s="298" t="s">
        <v>100</v>
      </c>
      <c r="D70" s="111" t="n">
        <f aca="false">IF(ISERROR(VLOOKUP(C70,일용직명단!$A$3:$K$1246,3,FALSE())),0,VLOOKUP(C70,일용직명단!$A$3:$K$1246,3,FALSE()))</f>
        <v>0</v>
      </c>
      <c r="E70" s="140" t="n">
        <f aca="false">IF(ISERROR(VLOOKUP(C70,일용직명단!$A$3:$K$1246,4,FALSE())),0,VLOOKUP(C70,일용직명단!$A$3:$K$1246,4,FALSE()))</f>
        <v>0</v>
      </c>
      <c r="F70" s="192"/>
      <c r="G70" s="193"/>
      <c r="H70" s="191"/>
      <c r="I70" s="191"/>
      <c r="J70" s="192"/>
      <c r="K70" s="191"/>
      <c r="L70" s="192"/>
      <c r="M70" s="192"/>
      <c r="N70" s="193"/>
      <c r="O70" s="193"/>
      <c r="P70" s="192"/>
      <c r="Q70" s="193"/>
      <c r="R70" s="191"/>
      <c r="S70" s="193"/>
      <c r="T70" s="191"/>
      <c r="U70" s="194"/>
      <c r="V70" s="120" t="n">
        <f aca="false">SUM(F70:U71)</f>
        <v>5.5</v>
      </c>
      <c r="W70" s="121" t="n">
        <f aca="false">IF(ISERROR(VLOOKUP(C70,일용직명단!$A$3:$K$1246,8,FALSE())),0,VLOOKUP(C70,일용직명단!$A$3:$K$1246,8,FALSE()))</f>
        <v>0</v>
      </c>
      <c r="X70" s="122" t="n">
        <f aca="false">IFERROR(IF(AG70&gt;=65,0,ROUNDDOWN(W71*$Z$4,-1)),0)</f>
        <v>0</v>
      </c>
      <c r="Y70" s="122" t="n">
        <f aca="false">IF(AE70&gt;=8,ROUNDDOWN(W71*$M$4,-1),0)</f>
        <v>0</v>
      </c>
      <c r="Z70" s="123" t="n">
        <f aca="false">IFERROR(IF(AND(COUNT(F70:U71)&gt;=8,$AG70&lt;60,W71&lt;=5530000),ROUNDDOWN(ROUNDDOWN(W71,-3)*4.5%,-1),IF(AND(COUNT(F70:U71)&gt;=8,AG70&lt;60,W71&gt;5530000),248850,0)),0)</f>
        <v>0</v>
      </c>
      <c r="AA70" s="124" t="n">
        <f aca="false">+X70+Y70+X71+Y71+Z70+Z71</f>
        <v>0</v>
      </c>
      <c r="AB70" s="125" t="n">
        <f aca="false">W71-AA70</f>
        <v>0</v>
      </c>
      <c r="AC70" s="126" t="n">
        <f aca="false">IF(ISERROR(VLOOKUP(C70,일용직명단!$A$3:$I$1226,5,FALSE())),0,VLOOKUP(C70,일용직명단!$A$3:$I$1226,5,FALSE()))</f>
        <v>0</v>
      </c>
      <c r="AD70" s="127" t="n">
        <f aca="false">IF(ISERROR(VLOOKUP(C70,일용직명단!$A$3:$I$1226,6,FALSE())),0,VLOOKUP(C70,일용직명단!$A$3:$I$1226,6,FALSE()))</f>
        <v>0</v>
      </c>
      <c r="AE70" s="141" t="n">
        <f aca="false">COUNT(F70:U71)</f>
        <v>6</v>
      </c>
      <c r="AF70" s="129" t="str">
        <f aca="false">IF(OR(MID(D70,8,1)="1",MID(D70,8,1)="2"),19&amp;LEFT(D70,2),20&amp;LEFT(D70,2))&amp;"-"&amp;MID(D70,3,2)&amp;"-"&amp;MID(D70,5,2)</f>
        <v>200--</v>
      </c>
      <c r="AG70" s="129" t="e">
        <f aca="true">INT((TODAY()-AF70)/365.25)</f>
        <v>#VALUE!</v>
      </c>
      <c r="AH70" s="130" t="n">
        <f aca="false">ROUNDDOWN(SUM(AI70:AX71),-1)</f>
        <v>0</v>
      </c>
      <c r="AI70" s="130" t="n">
        <f aca="false">IF($W70*F70&gt;150000,($W70*F70-150000)*6%*45%,0)</f>
        <v>0</v>
      </c>
      <c r="AJ70" s="130" t="n">
        <f aca="false">IF($W70*G70&gt;150000,($W70*G70-150000)*6%*45%,0)</f>
        <v>0</v>
      </c>
      <c r="AK70" s="130" t="n">
        <f aca="false">IF($W70*H70&gt;150000,($W70*H70-150000)*6%*45%,0)</f>
        <v>0</v>
      </c>
      <c r="AL70" s="130" t="n">
        <f aca="false">IF($W70*I70&gt;150000,($W70*I70-150000)*6%*45%,0)</f>
        <v>0</v>
      </c>
      <c r="AM70" s="130" t="n">
        <f aca="false">IF($W70*J70&gt;150000,($W70*J70-150000)*6%*45%,0)</f>
        <v>0</v>
      </c>
      <c r="AN70" s="130" t="n">
        <f aca="false">IF($W70*K70&gt;150000,($W70*K70-150000)*6%*45%,0)</f>
        <v>0</v>
      </c>
      <c r="AO70" s="130" t="n">
        <f aca="false">IF($W70*L70&gt;150000,($W70*L70-150000)*6%*45%,0)</f>
        <v>0</v>
      </c>
      <c r="AP70" s="130" t="n">
        <f aca="false">IF($W70*M70&gt;150000,($W70*M70-150000)*6%*45%,0)</f>
        <v>0</v>
      </c>
      <c r="AQ70" s="130" t="n">
        <f aca="false">IF($W70*N70&gt;150000,($W70*N70-150000)*6%*45%,0)</f>
        <v>0</v>
      </c>
      <c r="AR70" s="130" t="n">
        <f aca="false">IF($W70*O70&gt;150000,($W70*O70-150000)*6%*45%,0)</f>
        <v>0</v>
      </c>
      <c r="AS70" s="130" t="n">
        <f aca="false">IF($W70*P70&gt;150000,($W70*P70-150000)*6%*45%,0)</f>
        <v>0</v>
      </c>
      <c r="AT70" s="130" t="n">
        <f aca="false">IF($W70*Q70&gt;150000,($W70*Q70-150000)*6%*45%,0)</f>
        <v>0</v>
      </c>
      <c r="AU70" s="130" t="n">
        <f aca="false">IF($W70*R70&gt;150000,($W70*R70-150000)*6%*45%,0)</f>
        <v>0</v>
      </c>
      <c r="AV70" s="130" t="n">
        <f aca="false">IF($W70*S70&gt;150000,($W70*S70-150000)*6%*45%,0)</f>
        <v>0</v>
      </c>
      <c r="AW70" s="130" t="n">
        <f aca="false">IF($W70*T70&gt;150000,($W70*T70-150000)*6%*45%,0)</f>
        <v>0</v>
      </c>
      <c r="AX70" s="130"/>
      <c r="AY70" s="131" t="n">
        <f aca="false">IF(ISERROR(VLOOKUP(C70,[26]일용직명단!$A$3:$M$1151,11,FALSE())),0,VLOOKUP(C70,[26]일용직명단!$A$3:$M$1151,11,FALSE()))</f>
        <v>0</v>
      </c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</row>
    <row r="71" customFormat="false" ht="12.6" hidden="false" customHeight="true" outlineLevel="0" collapsed="false">
      <c r="A71" s="108"/>
      <c r="B71" s="301"/>
      <c r="C71" s="298"/>
      <c r="D71" s="111"/>
      <c r="E71" s="140" t="n">
        <f aca="false">IF(ISERROR(VLOOKUP(C70,일용직명단!$A$3:$K$1246,9,FALSE())),0,VLOOKUP(C70,일용직명단!$A$3:$K$1246,9,FALSE()))</f>
        <v>0</v>
      </c>
      <c r="F71" s="195"/>
      <c r="G71" s="196"/>
      <c r="H71" s="196"/>
      <c r="I71" s="193"/>
      <c r="J71" s="295" t="n">
        <v>1</v>
      </c>
      <c r="K71" s="193"/>
      <c r="L71" s="192"/>
      <c r="M71" s="192"/>
      <c r="N71" s="294" t="n">
        <v>1</v>
      </c>
      <c r="O71" s="295" t="n">
        <v>0.5</v>
      </c>
      <c r="P71" s="294" t="n">
        <v>1</v>
      </c>
      <c r="Q71" s="294" t="n">
        <v>1</v>
      </c>
      <c r="R71" s="296" t="n">
        <v>1</v>
      </c>
      <c r="S71" s="192"/>
      <c r="T71" s="192"/>
      <c r="U71" s="191"/>
      <c r="V71" s="120"/>
      <c r="W71" s="138" t="n">
        <f aca="false">W70*V70</f>
        <v>0</v>
      </c>
      <c r="X71" s="122" t="n">
        <f aca="false">IF(AH70&lt;1000,0,AH70)</f>
        <v>0</v>
      </c>
      <c r="Y71" s="122" t="n">
        <f aca="false">ROUNDDOWN(X71*10%,-1)</f>
        <v>0</v>
      </c>
      <c r="Z71" s="123" t="n">
        <f aca="false">IF(AE70&gt;=8,ROUNDDOWN(Y70*$Q$4,-1),0)</f>
        <v>0</v>
      </c>
      <c r="AA71" s="124"/>
      <c r="AB71" s="125"/>
      <c r="AC71" s="127" t="n">
        <f aca="false">IF(ISERROR(VLOOKUP(C70,일용직명단!$A$3:$I$1226,7,FALSE())),0,VLOOKUP(C70,일용직명단!$A$3:$I$1226,7,FALSE()))</f>
        <v>0</v>
      </c>
      <c r="AD71" s="127"/>
      <c r="AE71" s="141"/>
      <c r="AF71" s="129"/>
      <c r="AG71" s="129"/>
      <c r="AH71" s="130"/>
      <c r="AI71" s="130" t="n">
        <f aca="false">IF($W70*F71&gt;150000,($W70*F71-150000)*6%*45%,0)</f>
        <v>0</v>
      </c>
      <c r="AJ71" s="130" t="n">
        <f aca="false">IF($W70*G71&gt;150000,($W70*G71-150000)*6%*45%,0)</f>
        <v>0</v>
      </c>
      <c r="AK71" s="130" t="n">
        <f aca="false">IF($W70*H71&gt;150000,($W70*H71-150000)*6%*45%,0)</f>
        <v>0</v>
      </c>
      <c r="AL71" s="130" t="n">
        <f aca="false">IF($W70*I71&gt;150000,($W70*I71-150000)*6%*45%,0)</f>
        <v>0</v>
      </c>
      <c r="AM71" s="130" t="n">
        <f aca="false">IF($W70*J71&gt;150000,($W70*J71-150000)*6%*45%,0)</f>
        <v>0</v>
      </c>
      <c r="AN71" s="130" t="n">
        <f aca="false">IF($W70*K71&gt;150000,($W70*K71-150000)*6%*45%,0)</f>
        <v>0</v>
      </c>
      <c r="AO71" s="130" t="n">
        <f aca="false">IF($W70*L71&gt;150000,($W70*L71-150000)*6%*45%,0)</f>
        <v>0</v>
      </c>
      <c r="AP71" s="130" t="n">
        <f aca="false">IF($W70*M71&gt;150000,($W70*M71-150000)*6%*45%,0)</f>
        <v>0</v>
      </c>
      <c r="AQ71" s="130" t="n">
        <f aca="false">IF($W70*N71&gt;150000,($W70*N71-150000)*6%*45%,0)</f>
        <v>0</v>
      </c>
      <c r="AR71" s="130" t="n">
        <f aca="false">IF($W70*O71&gt;150000,($W70*O71-150000)*6%*45%,0)</f>
        <v>0</v>
      </c>
      <c r="AS71" s="130" t="n">
        <f aca="false">IF($W70*P71&gt;150000,($W70*P71-150000)*6%*45%,0)</f>
        <v>0</v>
      </c>
      <c r="AT71" s="130" t="n">
        <f aca="false">IF($W70*Q71&gt;150000,($W70*Q71-150000)*6%*45%,0)</f>
        <v>0</v>
      </c>
      <c r="AU71" s="130" t="n">
        <f aca="false">IF($W70*R71&gt;150000,($W70*R71-150000)*6%*45%,0)</f>
        <v>0</v>
      </c>
      <c r="AV71" s="130" t="n">
        <f aca="false">IF($W70*S71&gt;150000,($W70*S71-150000)*6%*45%,0)</f>
        <v>0</v>
      </c>
      <c r="AW71" s="130" t="n">
        <f aca="false">IF($W70*T71&gt;150000,($W70*T71-150000)*6%*45%,0)</f>
        <v>0</v>
      </c>
      <c r="AX71" s="130" t="n">
        <f aca="false">IF($W70*U71&gt;150000,($W70*U71-150000)*6%*45%,0)</f>
        <v>0</v>
      </c>
      <c r="AY71" s="13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/>
    </row>
    <row r="72" customFormat="false" ht="12.6" hidden="false" customHeight="true" outlineLevel="0" collapsed="false">
      <c r="A72" s="108" t="n">
        <f aca="false">A70+1</f>
        <v>17</v>
      </c>
      <c r="B72" s="297" t="s">
        <v>98</v>
      </c>
      <c r="C72" s="293" t="s">
        <v>101</v>
      </c>
      <c r="D72" s="111" t="n">
        <f aca="false">IF(ISERROR(VLOOKUP(C72,일용직명단!$A$3:$K$1246,3,FALSE())),0,VLOOKUP(C72,일용직명단!$A$3:$K$1246,3,FALSE()))</f>
        <v>0</v>
      </c>
      <c r="E72" s="140" t="n">
        <f aca="false">IF(ISERROR(VLOOKUP(C72,일용직명단!$A$3:$K$1246,4,FALSE())),0,VLOOKUP(C72,일용직명단!$A$3:$K$1246,4,FALSE()))</f>
        <v>0</v>
      </c>
      <c r="F72" s="192"/>
      <c r="G72" s="193"/>
      <c r="H72" s="191"/>
      <c r="I72" s="191"/>
      <c r="J72" s="192"/>
      <c r="K72" s="191"/>
      <c r="L72" s="192"/>
      <c r="M72" s="192"/>
      <c r="N72" s="193"/>
      <c r="O72" s="193"/>
      <c r="P72" s="192"/>
      <c r="Q72" s="193"/>
      <c r="R72" s="191"/>
      <c r="S72" s="193"/>
      <c r="T72" s="191"/>
      <c r="U72" s="194"/>
      <c r="V72" s="120" t="n">
        <f aca="false">SUM(F72:U73)</f>
        <v>6.5</v>
      </c>
      <c r="W72" s="121" t="n">
        <f aca="false">IF(ISERROR(VLOOKUP(C72,일용직명단!$A$3:$K$1246,8,FALSE())),0,VLOOKUP(C72,일용직명단!$A$3:$K$1246,8,FALSE()))</f>
        <v>0</v>
      </c>
      <c r="X72" s="122" t="n">
        <f aca="false">IFERROR(IF(AG72&gt;=65,0,ROUNDDOWN(W73*$Z$4,-1)),0)</f>
        <v>0</v>
      </c>
      <c r="Y72" s="122" t="n">
        <f aca="false">IF(AE72&gt;=8,ROUNDDOWN(W73*$M$4,-1),0)</f>
        <v>0</v>
      </c>
      <c r="Z72" s="123" t="n">
        <f aca="false">IFERROR(IF(AND(COUNT(F72:U73)&gt;=8,$AG72&lt;60,W73&lt;=5530000),ROUNDDOWN(ROUNDDOWN(W73,-3)*4.5%,-1),IF(AND(COUNT(F72:U73)&gt;=8,AG72&lt;60,W73&gt;5530000),248850,0)),0)</f>
        <v>0</v>
      </c>
      <c r="AA72" s="124" t="n">
        <f aca="false">+X72+Y72+X73+Y73+Z72+Z73</f>
        <v>0</v>
      </c>
      <c r="AB72" s="125" t="n">
        <f aca="false">W73-AA72</f>
        <v>0</v>
      </c>
      <c r="AC72" s="126" t="n">
        <f aca="false">IF(ISERROR(VLOOKUP(C72,일용직명단!$A$3:$I$1226,5,FALSE())),0,VLOOKUP(C72,일용직명단!$A$3:$I$1226,5,FALSE()))</f>
        <v>0</v>
      </c>
      <c r="AD72" s="127" t="n">
        <f aca="false">IF(ISERROR(VLOOKUP(C72,일용직명단!$A$3:$I$1226,6,FALSE())),0,VLOOKUP(C72,일용직명단!$A$3:$I$1226,6,FALSE()))</f>
        <v>0</v>
      </c>
      <c r="AE72" s="141" t="n">
        <f aca="false">COUNT(F72:U73)</f>
        <v>7</v>
      </c>
      <c r="AF72" s="129" t="str">
        <f aca="false">IF(OR(MID(D72,8,1)="1",MID(D72,8,1)="2"),19&amp;LEFT(D72,2),20&amp;LEFT(D72,2))&amp;"-"&amp;MID(D72,3,2)&amp;"-"&amp;MID(D72,5,2)</f>
        <v>200--</v>
      </c>
      <c r="AG72" s="129" t="e">
        <f aca="true">INT((TODAY()-AF72)/365.25)</f>
        <v>#VALUE!</v>
      </c>
      <c r="AH72" s="130" t="n">
        <f aca="false">ROUNDDOWN(SUM(AI72:AX73),-1)</f>
        <v>0</v>
      </c>
      <c r="AI72" s="130" t="n">
        <f aca="false">IF($W72*F72&gt;150000,($W72*F72-150000)*6%*45%,0)</f>
        <v>0</v>
      </c>
      <c r="AJ72" s="130" t="n">
        <f aca="false">IF($W72*G72&gt;150000,($W72*G72-150000)*6%*45%,0)</f>
        <v>0</v>
      </c>
      <c r="AK72" s="130" t="n">
        <f aca="false">IF($W72*H72&gt;150000,($W72*H72-150000)*6%*45%,0)</f>
        <v>0</v>
      </c>
      <c r="AL72" s="130" t="n">
        <f aca="false">IF($W72*I72&gt;150000,($W72*I72-150000)*6%*45%,0)</f>
        <v>0</v>
      </c>
      <c r="AM72" s="130" t="n">
        <f aca="false">IF($W72*J72&gt;150000,($W72*J72-150000)*6%*45%,0)</f>
        <v>0</v>
      </c>
      <c r="AN72" s="130" t="n">
        <f aca="false">IF($W72*K72&gt;150000,($W72*K72-150000)*6%*45%,0)</f>
        <v>0</v>
      </c>
      <c r="AO72" s="130" t="n">
        <f aca="false">IF($W72*L72&gt;150000,($W72*L72-150000)*6%*45%,0)</f>
        <v>0</v>
      </c>
      <c r="AP72" s="130" t="n">
        <f aca="false">IF($W72*M72&gt;150000,($W72*M72-150000)*6%*45%,0)</f>
        <v>0</v>
      </c>
      <c r="AQ72" s="130" t="n">
        <f aca="false">IF($W72*N72&gt;150000,($W72*N72-150000)*6%*45%,0)</f>
        <v>0</v>
      </c>
      <c r="AR72" s="130" t="n">
        <f aca="false">IF($W72*O72&gt;150000,($W72*O72-150000)*6%*45%,0)</f>
        <v>0</v>
      </c>
      <c r="AS72" s="130" t="n">
        <f aca="false">IF($W72*P72&gt;150000,($W72*P72-150000)*6%*45%,0)</f>
        <v>0</v>
      </c>
      <c r="AT72" s="130" t="n">
        <f aca="false">IF($W72*Q72&gt;150000,($W72*Q72-150000)*6%*45%,0)</f>
        <v>0</v>
      </c>
      <c r="AU72" s="130" t="n">
        <f aca="false">IF($W72*R72&gt;150000,($W72*R72-150000)*6%*45%,0)</f>
        <v>0</v>
      </c>
      <c r="AV72" s="130" t="n">
        <f aca="false">IF($W72*S72&gt;150000,($W72*S72-150000)*6%*45%,0)</f>
        <v>0</v>
      </c>
      <c r="AW72" s="130" t="n">
        <f aca="false">IF($W72*T72&gt;150000,($W72*T72-150000)*6%*45%,0)</f>
        <v>0</v>
      </c>
      <c r="AX72" s="130"/>
      <c r="AY72" s="131" t="n">
        <f aca="false">IF(ISERROR(VLOOKUP(C72,[26]일용직명단!$A$3:$M$1151,11,FALSE())),0,VLOOKUP(C72,[26]일용직명단!$A$3:$M$1151,11,FALSE()))</f>
        <v>0</v>
      </c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</row>
    <row r="73" customFormat="false" ht="12.6" hidden="false" customHeight="true" outlineLevel="0" collapsed="false">
      <c r="A73" s="108"/>
      <c r="B73" s="297"/>
      <c r="C73" s="293"/>
      <c r="D73" s="111"/>
      <c r="E73" s="140" t="n">
        <f aca="false">IF(ISERROR(VLOOKUP(C72,일용직명단!$A$3:$K$1246,9,FALSE())),0,VLOOKUP(C72,일용직명단!$A$3:$K$1246,9,FALSE()))</f>
        <v>0</v>
      </c>
      <c r="F73" s="195"/>
      <c r="G73" s="196"/>
      <c r="H73" s="196"/>
      <c r="I73" s="294" t="n">
        <v>1</v>
      </c>
      <c r="J73" s="295" t="n">
        <v>1</v>
      </c>
      <c r="K73" s="193"/>
      <c r="L73" s="192"/>
      <c r="M73" s="192"/>
      <c r="N73" s="294" t="n">
        <v>1</v>
      </c>
      <c r="O73" s="295" t="n">
        <v>0.5</v>
      </c>
      <c r="P73" s="294" t="n">
        <v>1</v>
      </c>
      <c r="Q73" s="294" t="n">
        <v>1</v>
      </c>
      <c r="R73" s="296" t="n">
        <v>1</v>
      </c>
      <c r="S73" s="192"/>
      <c r="T73" s="192"/>
      <c r="U73" s="191"/>
      <c r="V73" s="120"/>
      <c r="W73" s="138" t="n">
        <f aca="false">W72*V72</f>
        <v>0</v>
      </c>
      <c r="X73" s="122" t="n">
        <f aca="false">IF(AH72&lt;1000,0,AH72)</f>
        <v>0</v>
      </c>
      <c r="Y73" s="122" t="n">
        <f aca="false">ROUNDDOWN(X73*10%,-1)</f>
        <v>0</v>
      </c>
      <c r="Z73" s="123" t="n">
        <f aca="false">IF(AE72&gt;=8,ROUNDDOWN(Y72*$Q$4,-1),0)</f>
        <v>0</v>
      </c>
      <c r="AA73" s="124"/>
      <c r="AB73" s="125"/>
      <c r="AC73" s="127" t="n">
        <f aca="false">IF(ISERROR(VLOOKUP(C72,일용직명단!$A$3:$I$1226,7,FALSE())),0,VLOOKUP(C72,일용직명단!$A$3:$I$1226,7,FALSE()))</f>
        <v>0</v>
      </c>
      <c r="AD73" s="127"/>
      <c r="AE73" s="141"/>
      <c r="AF73" s="129"/>
      <c r="AG73" s="129"/>
      <c r="AH73" s="130"/>
      <c r="AI73" s="130" t="n">
        <f aca="false">IF($W72*F73&gt;150000,($W72*F73-150000)*6%*45%,0)</f>
        <v>0</v>
      </c>
      <c r="AJ73" s="130" t="n">
        <f aca="false">IF($W72*G73&gt;150000,($W72*G73-150000)*6%*45%,0)</f>
        <v>0</v>
      </c>
      <c r="AK73" s="130" t="n">
        <f aca="false">IF($W72*H73&gt;150000,($W72*H73-150000)*6%*45%,0)</f>
        <v>0</v>
      </c>
      <c r="AL73" s="130" t="n">
        <f aca="false">IF($W72*I73&gt;150000,($W72*I73-150000)*6%*45%,0)</f>
        <v>0</v>
      </c>
      <c r="AM73" s="130" t="n">
        <f aca="false">IF($W72*J73&gt;150000,($W72*J73-150000)*6%*45%,0)</f>
        <v>0</v>
      </c>
      <c r="AN73" s="130" t="n">
        <f aca="false">IF($W72*K73&gt;150000,($W72*K73-150000)*6%*45%,0)</f>
        <v>0</v>
      </c>
      <c r="AO73" s="130" t="n">
        <f aca="false">IF($W72*L73&gt;150000,($W72*L73-150000)*6%*45%,0)</f>
        <v>0</v>
      </c>
      <c r="AP73" s="130" t="n">
        <f aca="false">IF($W72*M73&gt;150000,($W72*M73-150000)*6%*45%,0)</f>
        <v>0</v>
      </c>
      <c r="AQ73" s="130" t="n">
        <f aca="false">IF($W72*N73&gt;150000,($W72*N73-150000)*6%*45%,0)</f>
        <v>0</v>
      </c>
      <c r="AR73" s="130" t="n">
        <f aca="false">IF($W72*O73&gt;150000,($W72*O73-150000)*6%*45%,0)</f>
        <v>0</v>
      </c>
      <c r="AS73" s="130" t="n">
        <f aca="false">IF($W72*P73&gt;150000,($W72*P73-150000)*6%*45%,0)</f>
        <v>0</v>
      </c>
      <c r="AT73" s="130" t="n">
        <f aca="false">IF($W72*Q73&gt;150000,($W72*Q73-150000)*6%*45%,0)</f>
        <v>0</v>
      </c>
      <c r="AU73" s="130" t="n">
        <f aca="false">IF($W72*R73&gt;150000,($W72*R73-150000)*6%*45%,0)</f>
        <v>0</v>
      </c>
      <c r="AV73" s="130" t="n">
        <f aca="false">IF($W72*S73&gt;150000,($W72*S73-150000)*6%*45%,0)</f>
        <v>0</v>
      </c>
      <c r="AW73" s="130" t="n">
        <f aca="false">IF($W72*T73&gt;150000,($W72*T73-150000)*6%*45%,0)</f>
        <v>0</v>
      </c>
      <c r="AX73" s="130" t="n">
        <f aca="false">IF($W72*U73&gt;150000,($W72*U73-150000)*6%*45%,0)</f>
        <v>0</v>
      </c>
      <c r="AY73" s="13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</row>
    <row r="74" customFormat="false" ht="12.6" hidden="false" customHeight="true" outlineLevel="0" collapsed="false">
      <c r="A74" s="108" t="n">
        <f aca="false">A72+1</f>
        <v>18</v>
      </c>
      <c r="B74" s="302"/>
      <c r="C74" s="303" t="s">
        <v>110</v>
      </c>
      <c r="D74" s="111" t="n">
        <f aca="false">IF(ISERROR(VLOOKUP(C74,일용직명단!$A$3:$K$1246,3,FALSE())),0,VLOOKUP(C74,일용직명단!$A$3:$K$1246,3,FALSE()))</f>
        <v>0</v>
      </c>
      <c r="E74" s="140" t="n">
        <f aca="false">IF(ISERROR(VLOOKUP(C74,일용직명단!$A$3:$K$1246,4,FALSE())),0,VLOOKUP(C74,일용직명단!$A$3:$K$1246,4,FALSE()))</f>
        <v>0</v>
      </c>
      <c r="F74" s="192"/>
      <c r="G74" s="193"/>
      <c r="H74" s="304" t="n">
        <v>1</v>
      </c>
      <c r="I74" s="304" t="n">
        <v>1</v>
      </c>
      <c r="J74" s="305" t="n">
        <v>1</v>
      </c>
      <c r="K74" s="191"/>
      <c r="L74" s="192"/>
      <c r="M74" s="192"/>
      <c r="N74" s="193"/>
      <c r="O74" s="193"/>
      <c r="P74" s="192"/>
      <c r="Q74" s="193"/>
      <c r="R74" s="191"/>
      <c r="S74" s="193"/>
      <c r="T74" s="191"/>
      <c r="U74" s="194"/>
      <c r="V74" s="168" t="n">
        <f aca="false">SUM(F74:U75)</f>
        <v>3</v>
      </c>
      <c r="W74" s="121" t="n">
        <f aca="false">IF(ISERROR(VLOOKUP(C74,일용직명단!$A$3:$K$1246,8,FALSE())),0,VLOOKUP(C74,일용직명단!$A$3:$K$1246,8,FALSE()))</f>
        <v>0</v>
      </c>
      <c r="X74" s="123" t="n">
        <f aca="false">IFERROR(IF(AG74&gt;=65,0,ROUNDDOWN(W75*$Z$4,-1)),0)</f>
        <v>0</v>
      </c>
      <c r="Y74" s="123" t="n">
        <f aca="false">IF(AE74&gt;=8,ROUNDDOWN(W75*$M$4,-1),0)</f>
        <v>0</v>
      </c>
      <c r="Z74" s="123" t="n">
        <f aca="false">IFERROR(IF(AND(COUNT(F74:U75)&gt;=8,$AG74&lt;60,W75&lt;=5530000),ROUNDDOWN(ROUNDDOWN(W75,-3)*4.5%,-1),IF(AND(COUNT(F74:U75)&gt;=8,AG74&lt;60,W75&gt;5530000),248850,0)),0)</f>
        <v>0</v>
      </c>
      <c r="AA74" s="124" t="n">
        <f aca="false">+X74+Y74+X75+Y75+Z74+Z75</f>
        <v>0</v>
      </c>
      <c r="AB74" s="146" t="n">
        <f aca="false">W75-AA74</f>
        <v>0</v>
      </c>
      <c r="AC74" s="165" t="n">
        <f aca="false">IF(ISERROR(VLOOKUP(C74,일용직명단!$A$3:$I$1226,5,FALSE())),0,VLOOKUP(C74,일용직명단!$A$3:$I$1226,5,FALSE()))</f>
        <v>0</v>
      </c>
      <c r="AD74" s="166" t="n">
        <f aca="false">IF(ISERROR(VLOOKUP(C74,일용직명단!$A$3:$I$1226,6,FALSE())),0,VLOOKUP(C74,일용직명단!$A$3:$I$1226,6,FALSE()))</f>
        <v>0</v>
      </c>
      <c r="AE74" s="141" t="n">
        <f aca="false">COUNT(F74:U75)</f>
        <v>3</v>
      </c>
      <c r="AF74" s="169" t="str">
        <f aca="false">IF(OR(MID(D74,8,1)="1",MID(D74,8,1)="2"),19&amp;LEFT(D74,2),20&amp;LEFT(D74,2))&amp;"-"&amp;MID(D74,3,2)&amp;"-"&amp;MID(D74,5,2)</f>
        <v>200--</v>
      </c>
      <c r="AG74" s="169" t="e">
        <f aca="true">INT((TODAY()-AF74)/365.25)</f>
        <v>#VALUE!</v>
      </c>
      <c r="AH74" s="130" t="n">
        <f aca="false">ROUNDDOWN(SUM(AI74:AX75),-1)</f>
        <v>0</v>
      </c>
      <c r="AI74" s="130" t="n">
        <f aca="false">IF($W74*F74&gt;150000,($W74*F74-150000)*6%*45%,0)</f>
        <v>0</v>
      </c>
      <c r="AJ74" s="130" t="n">
        <f aca="false">IF($W74*G74&gt;150000,($W74*G74-150000)*6%*45%,0)</f>
        <v>0</v>
      </c>
      <c r="AK74" s="130" t="n">
        <f aca="false">IF($W74*H74&gt;150000,($W74*H74-150000)*6%*45%,0)</f>
        <v>0</v>
      </c>
      <c r="AL74" s="130" t="n">
        <f aca="false">IF($W74*I74&gt;150000,($W74*I74-150000)*6%*45%,0)</f>
        <v>0</v>
      </c>
      <c r="AM74" s="130" t="n">
        <f aca="false">IF($W74*J74&gt;150000,($W74*J74-150000)*6%*45%,0)</f>
        <v>0</v>
      </c>
      <c r="AN74" s="130" t="n">
        <f aca="false">IF($W74*K74&gt;150000,($W74*K74-150000)*6%*45%,0)</f>
        <v>0</v>
      </c>
      <c r="AO74" s="130" t="n">
        <f aca="false">IF($W74*L74&gt;150000,($W74*L74-150000)*6%*45%,0)</f>
        <v>0</v>
      </c>
      <c r="AP74" s="130" t="n">
        <f aca="false">IF($W74*M74&gt;150000,($W74*M74-150000)*6%*45%,0)</f>
        <v>0</v>
      </c>
      <c r="AQ74" s="130" t="n">
        <f aca="false">IF($W74*N74&gt;150000,($W74*N74-150000)*6%*45%,0)</f>
        <v>0</v>
      </c>
      <c r="AR74" s="130" t="n">
        <f aca="false">IF($W74*O74&gt;150000,($W74*O74-150000)*6%*45%,0)</f>
        <v>0</v>
      </c>
      <c r="AS74" s="130" t="n">
        <f aca="false">IF($W74*P74&gt;150000,($W74*P74-150000)*6%*45%,0)</f>
        <v>0</v>
      </c>
      <c r="AT74" s="130" t="n">
        <f aca="false">IF($W74*Q74&gt;150000,($W74*Q74-150000)*6%*45%,0)</f>
        <v>0</v>
      </c>
      <c r="AU74" s="130" t="n">
        <f aca="false">IF($W74*R74&gt;150000,($W74*R74-150000)*6%*45%,0)</f>
        <v>0</v>
      </c>
      <c r="AV74" s="130" t="n">
        <f aca="false">IF($W74*S74&gt;150000,($W74*S74-150000)*6%*45%,0)</f>
        <v>0</v>
      </c>
      <c r="AW74" s="130" t="n">
        <f aca="false">IF($W74*T74&gt;150000,($W74*T74-150000)*6%*45%,0)</f>
        <v>0</v>
      </c>
      <c r="AX74" s="130"/>
      <c r="AY74" s="131" t="n">
        <f aca="false">IF(ISERROR(VLOOKUP(C74,[26]일용직명단!$A$3:$M$1151,11,FALSE())),0,VLOOKUP(C74,[26]일용직명단!$A$3:$M$1151,11,FALSE()))</f>
        <v>0</v>
      </c>
      <c r="AZ74" s="11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</row>
    <row r="75" customFormat="false" ht="12.6" hidden="false" customHeight="true" outlineLevel="0" collapsed="false">
      <c r="A75" s="108"/>
      <c r="B75" s="302"/>
      <c r="C75" s="303"/>
      <c r="D75" s="111"/>
      <c r="E75" s="140" t="n">
        <f aca="false">IF(ISERROR(VLOOKUP(C74,일용직명단!$A$3:$K$1246,9,FALSE())),0,VLOOKUP(C74,일용직명단!$A$3:$K$1246,9,FALSE()))</f>
        <v>0</v>
      </c>
      <c r="F75" s="195"/>
      <c r="G75" s="196"/>
      <c r="H75" s="196"/>
      <c r="I75" s="193"/>
      <c r="J75" s="191"/>
      <c r="K75" s="193"/>
      <c r="L75" s="192"/>
      <c r="M75" s="197"/>
      <c r="N75" s="198"/>
      <c r="O75" s="199"/>
      <c r="P75" s="198"/>
      <c r="Q75" s="193"/>
      <c r="R75" s="192"/>
      <c r="S75" s="192"/>
      <c r="T75" s="192"/>
      <c r="U75" s="191"/>
      <c r="V75" s="168"/>
      <c r="W75" s="138" t="n">
        <f aca="false">W74*V74</f>
        <v>0</v>
      </c>
      <c r="X75" s="123" t="n">
        <f aca="false">IF(AH74&lt;1000,0,AH74)</f>
        <v>0</v>
      </c>
      <c r="Y75" s="123" t="n">
        <f aca="false">ROUNDDOWN(X75*10%,-1)</f>
        <v>0</v>
      </c>
      <c r="Z75" s="123" t="n">
        <f aca="false">IF(AE74&gt;=8,ROUNDDOWN(Y74*$Q$4,-1),0)</f>
        <v>0</v>
      </c>
      <c r="AA75" s="124"/>
      <c r="AB75" s="146"/>
      <c r="AC75" s="166" t="n">
        <f aca="false">IF(ISERROR(VLOOKUP(C74,일용직명단!$A$3:$I$1226,7,FALSE())),0,VLOOKUP(C74,일용직명단!$A$3:$I$1226,7,FALSE()))</f>
        <v>0</v>
      </c>
      <c r="AD75" s="166"/>
      <c r="AE75" s="141"/>
      <c r="AF75" s="169"/>
      <c r="AG75" s="169"/>
      <c r="AH75" s="130"/>
      <c r="AI75" s="130" t="n">
        <f aca="false">IF($W74*F75&gt;150000,($W74*F75-150000)*6%*45%,0)</f>
        <v>0</v>
      </c>
      <c r="AJ75" s="130" t="n">
        <f aca="false">IF($W74*G75&gt;150000,($W74*G75-150000)*6%*45%,0)</f>
        <v>0</v>
      </c>
      <c r="AK75" s="130" t="n">
        <f aca="false">IF($W74*H75&gt;150000,($W74*H75-150000)*6%*45%,0)</f>
        <v>0</v>
      </c>
      <c r="AL75" s="130" t="n">
        <f aca="false">IF($W74*I75&gt;150000,($W74*I75-150000)*6%*45%,0)</f>
        <v>0</v>
      </c>
      <c r="AM75" s="130" t="n">
        <f aca="false">IF($W74*J75&gt;150000,($W74*J75-150000)*6%*45%,0)</f>
        <v>0</v>
      </c>
      <c r="AN75" s="130" t="n">
        <f aca="false">IF($W74*K75&gt;150000,($W74*K75-150000)*6%*45%,0)</f>
        <v>0</v>
      </c>
      <c r="AO75" s="130" t="n">
        <f aca="false">IF($W74*L75&gt;150000,($W74*L75-150000)*6%*45%,0)</f>
        <v>0</v>
      </c>
      <c r="AP75" s="130" t="n">
        <f aca="false">IF($W74*M75&gt;150000,($W74*M75-150000)*6%*45%,0)</f>
        <v>0</v>
      </c>
      <c r="AQ75" s="130" t="n">
        <f aca="false">IF($W74*N75&gt;150000,($W74*N75-150000)*6%*45%,0)</f>
        <v>0</v>
      </c>
      <c r="AR75" s="130" t="n">
        <f aca="false">IF($W74*O75&gt;150000,($W74*O75-150000)*6%*45%,0)</f>
        <v>0</v>
      </c>
      <c r="AS75" s="130" t="n">
        <f aca="false">IF($W74*P75&gt;150000,($W74*P75-150000)*6%*45%,0)</f>
        <v>0</v>
      </c>
      <c r="AT75" s="130" t="n">
        <f aca="false">IF($W74*Q75&gt;150000,($W74*Q75-150000)*6%*45%,0)</f>
        <v>0</v>
      </c>
      <c r="AU75" s="130" t="n">
        <f aca="false">IF($W74*R75&gt;150000,($W74*R75-150000)*6%*45%,0)</f>
        <v>0</v>
      </c>
      <c r="AV75" s="130" t="n">
        <f aca="false">IF($W74*S75&gt;150000,($W74*S75-150000)*6%*45%,0)</f>
        <v>0</v>
      </c>
      <c r="AW75" s="130" t="n">
        <f aca="false">IF($W74*T75&gt;150000,($W74*T75-150000)*6%*45%,0)</f>
        <v>0</v>
      </c>
      <c r="AX75" s="130" t="n">
        <f aca="false">IF($W74*U75&gt;150000,($W74*U75-150000)*6%*45%,0)</f>
        <v>0</v>
      </c>
      <c r="AY75" s="131"/>
      <c r="AZ75" s="11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</row>
    <row r="76" customFormat="false" ht="12.6" hidden="false" customHeight="true" outlineLevel="0" collapsed="false">
      <c r="A76" s="108" t="n">
        <f aca="false">A74+1</f>
        <v>19</v>
      </c>
      <c r="B76" s="306" t="s">
        <v>84</v>
      </c>
      <c r="C76" s="303" t="s">
        <v>111</v>
      </c>
      <c r="D76" s="111" t="n">
        <f aca="false">IF(ISERROR(VLOOKUP(C76,일용직명단!$A$3:$K$1246,3,FALSE())),0,VLOOKUP(C76,일용직명단!$A$3:$K$1246,3,FALSE()))</f>
        <v>0</v>
      </c>
      <c r="E76" s="140" t="n">
        <f aca="false">IF(ISERROR(VLOOKUP(C76,일용직명단!$A$3:$K$1246,4,FALSE())),0,VLOOKUP(C76,일용직명단!$A$3:$K$1246,4,FALSE()))</f>
        <v>0</v>
      </c>
      <c r="F76" s="192"/>
      <c r="G76" s="193"/>
      <c r="H76" s="191"/>
      <c r="I76" s="191"/>
      <c r="J76" s="192"/>
      <c r="K76" s="191"/>
      <c r="L76" s="192"/>
      <c r="M76" s="192"/>
      <c r="N76" s="193"/>
      <c r="O76" s="193"/>
      <c r="P76" s="192"/>
      <c r="Q76" s="193"/>
      <c r="R76" s="191"/>
      <c r="S76" s="193"/>
      <c r="T76" s="191"/>
      <c r="U76" s="194"/>
      <c r="V76" s="120" t="n">
        <f aca="false">SUM(F76:U77)</f>
        <v>3</v>
      </c>
      <c r="W76" s="121" t="n">
        <f aca="false">IF(ISERROR(VLOOKUP(C76,일용직명단!$A$3:$K$1246,8,FALSE())),0,VLOOKUP(C76,일용직명단!$A$3:$K$1246,8,FALSE()))</f>
        <v>0</v>
      </c>
      <c r="X76" s="122" t="n">
        <f aca="false">IFERROR(IF(AG76&gt;=65,0,ROUNDDOWN(W77*$Z$4,-1)),0)</f>
        <v>0</v>
      </c>
      <c r="Y76" s="122" t="n">
        <f aca="false">IF(AE76&gt;=8,ROUNDDOWN(W77*$M$4,-1),0)</f>
        <v>0</v>
      </c>
      <c r="Z76" s="123" t="n">
        <f aca="false">IFERROR(IF(AND(COUNT(F76:U77)&gt;=8,$AG76&lt;60,W77&lt;=5530000),ROUNDDOWN(ROUNDDOWN(W77,-3)*4.5%,-1),IF(AND(COUNT(F76:U77)&gt;=8,AG76&lt;60,W77&gt;5530000),248850,0)),0)</f>
        <v>0</v>
      </c>
      <c r="AA76" s="124" t="n">
        <f aca="false">+X76+Y76+X77+Y77+Z76+Z77</f>
        <v>0</v>
      </c>
      <c r="AB76" s="125" t="n">
        <f aca="false">W77-AA76</f>
        <v>0</v>
      </c>
      <c r="AC76" s="126" t="n">
        <f aca="false">IF(ISERROR(VLOOKUP(C76,일용직명단!$A$3:$I$1226,5,FALSE())),0,VLOOKUP(C76,일용직명단!$A$3:$I$1226,5,FALSE()))</f>
        <v>0</v>
      </c>
      <c r="AD76" s="127" t="n">
        <f aca="false">IF(ISERROR(VLOOKUP(C76,일용직명단!$A$3:$I$1226,6,FALSE())),0,VLOOKUP(C76,일용직명단!$A$3:$I$1226,6,FALSE()))</f>
        <v>0</v>
      </c>
      <c r="AE76" s="141" t="n">
        <f aca="false">COUNT(F76:U77)</f>
        <v>3</v>
      </c>
      <c r="AF76" s="129" t="str">
        <f aca="false">IF(OR(MID(D76,8,1)="1",MID(D76,8,1)="2"),19&amp;LEFT(D76,2),20&amp;LEFT(D76,2))&amp;"-"&amp;MID(D76,3,2)&amp;"-"&amp;MID(D76,5,2)</f>
        <v>200--</v>
      </c>
      <c r="AG76" s="129" t="e">
        <f aca="true">INT((TODAY()-AF76)/365.25)</f>
        <v>#VALUE!</v>
      </c>
      <c r="AH76" s="130" t="n">
        <f aca="false">ROUNDDOWN(SUM(AI76:AX77),-1)</f>
        <v>0</v>
      </c>
      <c r="AI76" s="130" t="n">
        <f aca="false">IF($W76*F76&gt;150000,($W76*F76-150000)*6%*45%,0)</f>
        <v>0</v>
      </c>
      <c r="AJ76" s="130" t="n">
        <f aca="false">IF($W76*G76&gt;150000,($W76*G76-150000)*6%*45%,0)</f>
        <v>0</v>
      </c>
      <c r="AK76" s="130" t="n">
        <f aca="false">IF($W76*H76&gt;150000,($W76*H76-150000)*6%*45%,0)</f>
        <v>0</v>
      </c>
      <c r="AL76" s="130" t="n">
        <f aca="false">IF($W76*I76&gt;150000,($W76*I76-150000)*6%*45%,0)</f>
        <v>0</v>
      </c>
      <c r="AM76" s="130" t="n">
        <f aca="false">IF($W76*J76&gt;150000,($W76*J76-150000)*6%*45%,0)</f>
        <v>0</v>
      </c>
      <c r="AN76" s="130" t="n">
        <f aca="false">IF($W76*K76&gt;150000,($W76*K76-150000)*6%*45%,0)</f>
        <v>0</v>
      </c>
      <c r="AO76" s="130" t="n">
        <f aca="false">IF($W76*L76&gt;150000,($W76*L76-150000)*6%*45%,0)</f>
        <v>0</v>
      </c>
      <c r="AP76" s="130" t="n">
        <f aca="false">IF($W76*M76&gt;150000,($W76*M76-150000)*6%*45%,0)</f>
        <v>0</v>
      </c>
      <c r="AQ76" s="130" t="n">
        <f aca="false">IF($W76*N76&gt;150000,($W76*N76-150000)*6%*45%,0)</f>
        <v>0</v>
      </c>
      <c r="AR76" s="130" t="n">
        <f aca="false">IF($W76*O76&gt;150000,($W76*O76-150000)*6%*45%,0)</f>
        <v>0</v>
      </c>
      <c r="AS76" s="130" t="n">
        <f aca="false">IF($W76*P76&gt;150000,($W76*P76-150000)*6%*45%,0)</f>
        <v>0</v>
      </c>
      <c r="AT76" s="130" t="n">
        <f aca="false">IF($W76*Q76&gt;150000,($W76*Q76-150000)*6%*45%,0)</f>
        <v>0</v>
      </c>
      <c r="AU76" s="130" t="n">
        <f aca="false">IF($W76*R76&gt;150000,($W76*R76-150000)*6%*45%,0)</f>
        <v>0</v>
      </c>
      <c r="AV76" s="130" t="n">
        <f aca="false">IF($W76*S76&gt;150000,($W76*S76-150000)*6%*45%,0)</f>
        <v>0</v>
      </c>
      <c r="AW76" s="130" t="n">
        <f aca="false">IF($W76*T76&gt;150000,($W76*T76-150000)*6%*45%,0)</f>
        <v>0</v>
      </c>
      <c r="AX76" s="130"/>
      <c r="AY76" s="131" t="n">
        <f aca="false">IF(ISERROR(VLOOKUP(C76,[26]일용직명단!$A$3:$M$1151,11,FALSE())),0,VLOOKUP(C76,[26]일용직명단!$A$3:$M$1151,11,FALSE()))</f>
        <v>0</v>
      </c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/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/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/>
      <c r="IS76" s="11"/>
      <c r="IT76" s="11"/>
      <c r="IU76" s="11"/>
      <c r="IV76" s="11"/>
      <c r="IW76" s="11"/>
    </row>
    <row r="77" customFormat="false" ht="12.6" hidden="false" customHeight="true" outlineLevel="0" collapsed="false">
      <c r="A77" s="108"/>
      <c r="B77" s="306"/>
      <c r="C77" s="303"/>
      <c r="D77" s="111"/>
      <c r="E77" s="140" t="n">
        <f aca="false">IF(ISERROR(VLOOKUP(C76,일용직명단!$A$3:$K$1246,9,FALSE())),0,VLOOKUP(C76,일용직명단!$A$3:$K$1246,9,FALSE()))</f>
        <v>0</v>
      </c>
      <c r="F77" s="195"/>
      <c r="G77" s="196"/>
      <c r="H77" s="196"/>
      <c r="I77" s="193"/>
      <c r="J77" s="191"/>
      <c r="K77" s="193"/>
      <c r="L77" s="192"/>
      <c r="M77" s="192"/>
      <c r="N77" s="307" t="n">
        <v>1</v>
      </c>
      <c r="O77" s="191"/>
      <c r="P77" s="307" t="n">
        <v>1</v>
      </c>
      <c r="Q77" s="193"/>
      <c r="R77" s="305" t="n">
        <v>1</v>
      </c>
      <c r="S77" s="192"/>
      <c r="T77" s="192"/>
      <c r="U77" s="191"/>
      <c r="V77" s="120"/>
      <c r="W77" s="138" t="n">
        <f aca="false">W76*V76</f>
        <v>0</v>
      </c>
      <c r="X77" s="122" t="n">
        <f aca="false">IF(AH76&lt;1000,0,AH76)</f>
        <v>0</v>
      </c>
      <c r="Y77" s="122" t="n">
        <f aca="false">ROUNDDOWN(X77*10%,-1)</f>
        <v>0</v>
      </c>
      <c r="Z77" s="123" t="n">
        <f aca="false">IF(AE76&gt;=8,ROUNDDOWN(Y76*$Q$4,-1),0)</f>
        <v>0</v>
      </c>
      <c r="AA77" s="124"/>
      <c r="AB77" s="125"/>
      <c r="AC77" s="127" t="n">
        <f aca="false">IF(ISERROR(VLOOKUP(C76,일용직명단!$A$3:$I$1226,7,FALSE())),0,VLOOKUP(C76,일용직명단!$A$3:$I$1226,7,FALSE()))</f>
        <v>0</v>
      </c>
      <c r="AD77" s="127"/>
      <c r="AE77" s="141"/>
      <c r="AF77" s="129"/>
      <c r="AG77" s="129"/>
      <c r="AH77" s="130"/>
      <c r="AI77" s="130" t="n">
        <f aca="false">IF($W76*F77&gt;150000,($W76*F77-150000)*6%*45%,0)</f>
        <v>0</v>
      </c>
      <c r="AJ77" s="130" t="n">
        <f aca="false">IF($W76*G77&gt;150000,($W76*G77-150000)*6%*45%,0)</f>
        <v>0</v>
      </c>
      <c r="AK77" s="130" t="n">
        <f aca="false">IF($W76*H77&gt;150000,($W76*H77-150000)*6%*45%,0)</f>
        <v>0</v>
      </c>
      <c r="AL77" s="130" t="n">
        <f aca="false">IF($W76*I77&gt;150000,($W76*I77-150000)*6%*45%,0)</f>
        <v>0</v>
      </c>
      <c r="AM77" s="130" t="n">
        <f aca="false">IF($W76*J77&gt;150000,($W76*J77-150000)*6%*45%,0)</f>
        <v>0</v>
      </c>
      <c r="AN77" s="130" t="n">
        <f aca="false">IF($W76*K77&gt;150000,($W76*K77-150000)*6%*45%,0)</f>
        <v>0</v>
      </c>
      <c r="AO77" s="130" t="n">
        <f aca="false">IF($W76*L77&gt;150000,($W76*L77-150000)*6%*45%,0)</f>
        <v>0</v>
      </c>
      <c r="AP77" s="130" t="n">
        <f aca="false">IF($W76*M77&gt;150000,($W76*M77-150000)*6%*45%,0)</f>
        <v>0</v>
      </c>
      <c r="AQ77" s="130" t="n">
        <f aca="false">IF($W76*N77&gt;150000,($W76*N77-150000)*6%*45%,0)</f>
        <v>0</v>
      </c>
      <c r="AR77" s="130" t="n">
        <f aca="false">IF($W76*O77&gt;150000,($W76*O77-150000)*6%*45%,0)</f>
        <v>0</v>
      </c>
      <c r="AS77" s="130" t="n">
        <f aca="false">IF($W76*P77&gt;150000,($W76*P77-150000)*6%*45%,0)</f>
        <v>0</v>
      </c>
      <c r="AT77" s="130" t="n">
        <f aca="false">IF($W76*Q77&gt;150000,($W76*Q77-150000)*6%*45%,0)</f>
        <v>0</v>
      </c>
      <c r="AU77" s="130" t="n">
        <f aca="false">IF($W76*R77&gt;150000,($W76*R77-150000)*6%*45%,0)</f>
        <v>0</v>
      </c>
      <c r="AV77" s="130" t="n">
        <f aca="false">IF($W76*S77&gt;150000,($W76*S77-150000)*6%*45%,0)</f>
        <v>0</v>
      </c>
      <c r="AW77" s="130" t="n">
        <f aca="false">IF($W76*T77&gt;150000,($W76*T77-150000)*6%*45%,0)</f>
        <v>0</v>
      </c>
      <c r="AX77" s="130" t="n">
        <f aca="false">IF($W76*U77&gt;150000,($W76*U77-150000)*6%*45%,0)</f>
        <v>0</v>
      </c>
      <c r="AY77" s="13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</row>
    <row r="78" customFormat="false" ht="12.6" hidden="false" customHeight="true" outlineLevel="0" collapsed="false">
      <c r="A78" s="108" t="n">
        <f aca="false">A76+1</f>
        <v>20</v>
      </c>
      <c r="B78" s="308" t="s">
        <v>88</v>
      </c>
      <c r="C78" s="309" t="s">
        <v>112</v>
      </c>
      <c r="D78" s="111" t="n">
        <f aca="false">IF(ISERROR(VLOOKUP(C78,일용직명단!$A$3:$K$1246,3,FALSE())),0,VLOOKUP(C78,일용직명단!$A$3:$K$1246,3,FALSE()))</f>
        <v>0</v>
      </c>
      <c r="E78" s="200" t="n">
        <f aca="false">IF(ISERROR(VLOOKUP(C78,일용직명단!$A$3:$K$1246,4,FALSE())),0,VLOOKUP(C78,일용직명단!$A$3:$K$1246,4,FALSE()))</f>
        <v>0</v>
      </c>
      <c r="F78" s="192"/>
      <c r="G78" s="193"/>
      <c r="H78" s="191"/>
      <c r="I78" s="191"/>
      <c r="J78" s="192"/>
      <c r="K78" s="191"/>
      <c r="L78" s="192"/>
      <c r="M78" s="192"/>
      <c r="N78" s="193"/>
      <c r="O78" s="193"/>
      <c r="P78" s="192"/>
      <c r="Q78" s="193"/>
      <c r="R78" s="191"/>
      <c r="S78" s="193"/>
      <c r="T78" s="191"/>
      <c r="U78" s="194"/>
      <c r="V78" s="120" t="n">
        <f aca="false">SUM(F78:U79)</f>
        <v>2.5</v>
      </c>
      <c r="W78" s="121" t="n">
        <f aca="false">IF(ISERROR(VLOOKUP(C78,일용직명단!$A$3:$K$1246,8,FALSE())),0,VLOOKUP(C78,일용직명단!$A$3:$K$1246,8,FALSE()))</f>
        <v>0</v>
      </c>
      <c r="X78" s="177" t="n">
        <f aca="false">IFERROR(IF(AG78&gt;=65,0,ROUNDDOWN(W79*$Z$4,-1)),0)</f>
        <v>0</v>
      </c>
      <c r="Y78" s="177" t="n">
        <f aca="false">IF(AE78&gt;=8,ROUNDDOWN(W79*$M$4,-1),0)</f>
        <v>0</v>
      </c>
      <c r="Z78" s="177" t="n">
        <f aca="false">IFERROR(IF(AND(COUNT(F78:U79)&gt;=8,$AG78&lt;60,W79&lt;=5530000),ROUNDDOWN(ROUNDDOWN(W79,-3)*4.5%,-1),IF(AND(COUNT(F78:U79)&gt;=8,AG78&lt;60,W79&gt;5530000),248850,0)),0)</f>
        <v>0</v>
      </c>
      <c r="AA78" s="124" t="n">
        <f aca="false">+X78+Y78+X79+Y79+Z78+Z79</f>
        <v>0</v>
      </c>
      <c r="AB78" s="125" t="n">
        <f aca="false">W79-AA78</f>
        <v>0</v>
      </c>
      <c r="AC78" s="178" t="n">
        <f aca="false">IF(ISERROR(VLOOKUP(C78,일용직명단!$A$3:$I$1226,5,FALSE())),0,VLOOKUP(C78,일용직명단!$A$3:$I$1226,5,FALSE()))</f>
        <v>0</v>
      </c>
      <c r="AD78" s="179" t="n">
        <f aca="false">IF(ISERROR(VLOOKUP(C78,일용직명단!$A$3:$I$1226,6,FALSE())),0,VLOOKUP(C78,일용직명단!$A$3:$I$1226,6,FALSE()))</f>
        <v>0</v>
      </c>
      <c r="AE78" s="141" t="n">
        <f aca="false">COUNT(F78:U79)</f>
        <v>3</v>
      </c>
      <c r="AF78" s="129" t="str">
        <f aca="false">IF(OR(MID(D78,8,1)="1",MID(D78,8,1)="2"),19&amp;LEFT(D78,2),20&amp;LEFT(D78,2))&amp;"-"&amp;MID(D78,3,2)&amp;"-"&amp;MID(D78,5,2)</f>
        <v>200--</v>
      </c>
      <c r="AG78" s="129" t="e">
        <f aca="true">INT((TODAY()-AF78)/365.25)</f>
        <v>#VALUE!</v>
      </c>
      <c r="AH78" s="161" t="n">
        <f aca="false">ROUNDDOWN(SUM(AI78:AX79),-1)</f>
        <v>0</v>
      </c>
      <c r="AI78" s="130" t="n">
        <f aca="false">IF($W78*F78&gt;150000,($W78*F78-150000)*6%*45%,0)</f>
        <v>0</v>
      </c>
      <c r="AJ78" s="130" t="n">
        <f aca="false">IF($W78*G78&gt;150000,($W78*G78-150000)*6%*45%,0)</f>
        <v>0</v>
      </c>
      <c r="AK78" s="130" t="n">
        <f aca="false">IF($W78*H78&gt;150000,($W78*H78-150000)*6%*45%,0)</f>
        <v>0</v>
      </c>
      <c r="AL78" s="130" t="n">
        <f aca="false">IF($W78*I78&gt;150000,($W78*I78-150000)*6%*45%,0)</f>
        <v>0</v>
      </c>
      <c r="AM78" s="130" t="n">
        <f aca="false">IF($W78*J78&gt;150000,($W78*J78-150000)*6%*45%,0)</f>
        <v>0</v>
      </c>
      <c r="AN78" s="130" t="n">
        <f aca="false">IF($W78*K78&gt;150000,($W78*K78-150000)*6%*45%,0)</f>
        <v>0</v>
      </c>
      <c r="AO78" s="130" t="n">
        <f aca="false">IF($W78*L78&gt;150000,($W78*L78-150000)*6%*45%,0)</f>
        <v>0</v>
      </c>
      <c r="AP78" s="130" t="n">
        <f aca="false">IF($W78*M78&gt;150000,($W78*M78-150000)*6%*45%,0)</f>
        <v>0</v>
      </c>
      <c r="AQ78" s="130" t="n">
        <f aca="false">IF($W78*N78&gt;150000,($W78*N78-150000)*6%*45%,0)</f>
        <v>0</v>
      </c>
      <c r="AR78" s="130" t="n">
        <f aca="false">IF($W78*O78&gt;150000,($W78*O78-150000)*6%*45%,0)</f>
        <v>0</v>
      </c>
      <c r="AS78" s="130" t="n">
        <f aca="false">IF($W78*P78&gt;150000,($W78*P78-150000)*6%*45%,0)</f>
        <v>0</v>
      </c>
      <c r="AT78" s="130" t="n">
        <f aca="false">IF($W78*Q78&gt;150000,($W78*Q78-150000)*6%*45%,0)</f>
        <v>0</v>
      </c>
      <c r="AU78" s="130" t="n">
        <f aca="false">IF($W78*R78&gt;150000,($W78*R78-150000)*6%*45%,0)</f>
        <v>0</v>
      </c>
      <c r="AV78" s="130" t="n">
        <f aca="false">IF($W78*S78&gt;150000,($W78*S78-150000)*6%*45%,0)</f>
        <v>0</v>
      </c>
      <c r="AW78" s="130" t="n">
        <f aca="false">IF($W78*T78&gt;150000,($W78*T78-150000)*6%*45%,0)</f>
        <v>0</v>
      </c>
      <c r="AX78" s="130"/>
      <c r="AY78" s="162" t="n">
        <f aca="false">IF(ISERROR(VLOOKUP(C78,[27]일용직명단!$A$3:$M$1151,11,FALSE())),0,VLOOKUP(C78,[27]일용직명단!$A$3:$M$1151,11,FALSE()))</f>
        <v>0</v>
      </c>
      <c r="AZ78" s="163"/>
      <c r="BA78" s="163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</row>
    <row r="79" customFormat="false" ht="12.6" hidden="false" customHeight="true" outlineLevel="0" collapsed="false">
      <c r="A79" s="108"/>
      <c r="B79" s="308"/>
      <c r="C79" s="309"/>
      <c r="D79" s="111"/>
      <c r="E79" s="200" t="n">
        <f aca="false">IF(ISERROR(VLOOKUP(C78,일용직명단!$A$3:$K$1246,9,FALSE())),0,VLOOKUP(C78,일용직명단!$A$3:$K$1246,9,FALSE()))</f>
        <v>0</v>
      </c>
      <c r="F79" s="195"/>
      <c r="G79" s="196"/>
      <c r="H79" s="196"/>
      <c r="I79" s="193"/>
      <c r="J79" s="191"/>
      <c r="K79" s="193"/>
      <c r="L79" s="192"/>
      <c r="M79" s="192"/>
      <c r="N79" s="193"/>
      <c r="O79" s="304" t="n">
        <v>0.5</v>
      </c>
      <c r="P79" s="307" t="n">
        <v>1</v>
      </c>
      <c r="Q79" s="193"/>
      <c r="R79" s="305" t="n">
        <v>1</v>
      </c>
      <c r="S79" s="192"/>
      <c r="T79" s="192"/>
      <c r="U79" s="191"/>
      <c r="V79" s="120"/>
      <c r="W79" s="138" t="n">
        <f aca="false">W78*V78</f>
        <v>0</v>
      </c>
      <c r="X79" s="177" t="n">
        <f aca="false">IF(AH78&lt;1000,0,AH78)</f>
        <v>0</v>
      </c>
      <c r="Y79" s="177" t="n">
        <f aca="false">ROUNDDOWN(X79*10%,-1)</f>
        <v>0</v>
      </c>
      <c r="Z79" s="177" t="n">
        <f aca="false">IF(AE78&gt;=8,ROUNDDOWN(Y78*$Q$4,-1),0)</f>
        <v>0</v>
      </c>
      <c r="AA79" s="124"/>
      <c r="AB79" s="125"/>
      <c r="AC79" s="179" t="n">
        <f aca="false">IF(ISERROR(VLOOKUP(C78,일용직명단!$A$3:$I$1226,7,FALSE())),0,VLOOKUP(C78,일용직명단!$A$3:$I$1226,7,FALSE()))</f>
        <v>0</v>
      </c>
      <c r="AD79" s="179"/>
      <c r="AE79" s="141"/>
      <c r="AF79" s="129"/>
      <c r="AG79" s="129"/>
      <c r="AH79" s="161"/>
      <c r="AI79" s="130" t="n">
        <f aca="false">IF($W78*F79&gt;150000,($W78*F79-150000)*6%*45%,0)</f>
        <v>0</v>
      </c>
      <c r="AJ79" s="130" t="n">
        <f aca="false">IF($W78*G79&gt;150000,($W78*G79-150000)*6%*45%,0)</f>
        <v>0</v>
      </c>
      <c r="AK79" s="130" t="n">
        <f aca="false">IF($W78*H79&gt;150000,($W78*H79-150000)*6%*45%,0)</f>
        <v>0</v>
      </c>
      <c r="AL79" s="130" t="n">
        <f aca="false">IF($W78*I79&gt;150000,($W78*I79-150000)*6%*45%,0)</f>
        <v>0</v>
      </c>
      <c r="AM79" s="130" t="n">
        <f aca="false">IF($W78*J79&gt;150000,($W78*J79-150000)*6%*45%,0)</f>
        <v>0</v>
      </c>
      <c r="AN79" s="130" t="n">
        <f aca="false">IF($W78*K79&gt;150000,($W78*K79-150000)*6%*45%,0)</f>
        <v>0</v>
      </c>
      <c r="AO79" s="130" t="n">
        <f aca="false">IF($W78*L79&gt;150000,($W78*L79-150000)*6%*45%,0)</f>
        <v>0</v>
      </c>
      <c r="AP79" s="130" t="n">
        <f aca="false">IF($W78*M79&gt;150000,($W78*M79-150000)*6%*45%,0)</f>
        <v>0</v>
      </c>
      <c r="AQ79" s="130" t="n">
        <f aca="false">IF($W78*N79&gt;150000,($W78*N79-150000)*6%*45%,0)</f>
        <v>0</v>
      </c>
      <c r="AR79" s="130" t="n">
        <f aca="false">IF($W78*O79&gt;150000,($W78*O79-150000)*6%*45%,0)</f>
        <v>0</v>
      </c>
      <c r="AS79" s="130" t="n">
        <f aca="false">IF($W78*P79&gt;150000,($W78*P79-150000)*6%*45%,0)</f>
        <v>0</v>
      </c>
      <c r="AT79" s="130" t="n">
        <f aca="false">IF($W78*Q79&gt;150000,($W78*Q79-150000)*6%*45%,0)</f>
        <v>0</v>
      </c>
      <c r="AU79" s="130" t="n">
        <f aca="false">IF($W78*R79&gt;150000,($W78*R79-150000)*6%*45%,0)</f>
        <v>0</v>
      </c>
      <c r="AV79" s="130" t="n">
        <f aca="false">IF($W78*S79&gt;150000,($W78*S79-150000)*6%*45%,0)</f>
        <v>0</v>
      </c>
      <c r="AW79" s="130" t="n">
        <f aca="false">IF($W78*T79&gt;150000,($W78*T79-150000)*6%*45%,0)</f>
        <v>0</v>
      </c>
      <c r="AX79" s="130" t="n">
        <f aca="false">IF($W78*U79&gt;150000,($W78*U79-150000)*6%*45%,0)</f>
        <v>0</v>
      </c>
      <c r="AY79" s="162"/>
      <c r="AZ79" s="163"/>
      <c r="BA79" s="163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</row>
    <row r="80" customFormat="false" ht="12.6" hidden="false" customHeight="true" outlineLevel="0" collapsed="false">
      <c r="A80" s="108" t="n">
        <f aca="false">A62+1</f>
        <v>21</v>
      </c>
      <c r="B80" s="302"/>
      <c r="C80" s="309" t="s">
        <v>113</v>
      </c>
      <c r="D80" s="111" t="n">
        <f aca="false">IF(ISERROR(VLOOKUP(C80,일용직명단!$A$3:$K$1246,3,FALSE())),0,VLOOKUP(C80,일용직명단!$A$3:$K$1246,3,FALSE()))</f>
        <v>0</v>
      </c>
      <c r="E80" s="140" t="n">
        <f aca="false">IF(ISERROR(VLOOKUP(C80,일용직명단!$A$3:$K$1246,4,FALSE())),0,VLOOKUP(C80,일용직명단!$A$3:$K$1246,4,FALSE()))</f>
        <v>0</v>
      </c>
      <c r="F80" s="192"/>
      <c r="G80" s="192"/>
      <c r="H80" s="192"/>
      <c r="I80" s="304" t="n">
        <v>1</v>
      </c>
      <c r="J80" s="305" t="n">
        <v>1</v>
      </c>
      <c r="K80" s="191"/>
      <c r="L80" s="192"/>
      <c r="M80" s="192"/>
      <c r="N80" s="193"/>
      <c r="O80" s="191"/>
      <c r="P80" s="192"/>
      <c r="Q80" s="193"/>
      <c r="R80" s="191"/>
      <c r="S80" s="193"/>
      <c r="T80" s="191"/>
      <c r="U80" s="194"/>
      <c r="V80" s="168" t="n">
        <f aca="false">SUM(F80:U81)</f>
        <v>3</v>
      </c>
      <c r="W80" s="121" t="n">
        <f aca="false">IF(ISERROR(VLOOKUP(C80,일용직명단!$A$3:$K$1246,8,FALSE())),0,VLOOKUP(C80,일용직명단!$A$3:$K$1246,8,FALSE()))</f>
        <v>0</v>
      </c>
      <c r="X80" s="123" t="n">
        <f aca="false">IFERROR(IF(AG80&gt;=65,0,ROUNDDOWN(W81*$Z$4,-1)),0)</f>
        <v>0</v>
      </c>
      <c r="Y80" s="123" t="n">
        <f aca="false">IF(AE80&gt;=8,ROUNDDOWN(W81*$M$4,-1),0)</f>
        <v>0</v>
      </c>
      <c r="Z80" s="123" t="n">
        <f aca="false">IFERROR(IF(AND(COUNT(F80:U81)&gt;=8,$AG80&lt;60,W81&lt;=5530000),ROUNDDOWN(ROUNDDOWN(W81,-3)*4.5%,-1),IF(AND(COUNT(F80:U81)&gt;=8,AG80&lt;60,W81&gt;5530000),248850,0)),0)</f>
        <v>0</v>
      </c>
      <c r="AA80" s="145" t="n">
        <f aca="false">+X80+Y80+X81+Y81+Z80+Z81</f>
        <v>0</v>
      </c>
      <c r="AB80" s="146" t="n">
        <f aca="false">W81-AA80</f>
        <v>0</v>
      </c>
      <c r="AC80" s="165" t="n">
        <f aca="false">IF(ISERROR(VLOOKUP(C80,일용직명단!$A$3:$I$1226,5,FALSE())),0,VLOOKUP(C80,일용직명단!$A$3:$I$1226,5,FALSE()))</f>
        <v>0</v>
      </c>
      <c r="AD80" s="166" t="n">
        <f aca="false">IF(ISERROR(VLOOKUP(C80,일용직명단!$A$3:$I$1226,6,FALSE())),0,VLOOKUP(C80,일용직명단!$A$3:$I$1226,6,FALSE()))</f>
        <v>0</v>
      </c>
      <c r="AE80" s="141" t="n">
        <f aca="false">COUNT(F80:U81)</f>
        <v>3</v>
      </c>
      <c r="AF80" s="169" t="str">
        <f aca="false">IF(OR(MID(D80,8,1)="1",MID(D80,8,1)="2"),19&amp;LEFT(D80,2),20&amp;LEFT(D80,2))&amp;"-"&amp;MID(D80,3,2)&amp;"-"&amp;MID(D80,5,2)</f>
        <v>200--</v>
      </c>
      <c r="AG80" s="169" t="e">
        <f aca="true">INT((TODAY()-AF80)/365.25)</f>
        <v>#VALUE!</v>
      </c>
      <c r="AH80" s="130" t="n">
        <f aca="false">ROUNDDOWN(SUM(AI80:AX81),-1)</f>
        <v>0</v>
      </c>
      <c r="AI80" s="130" t="n">
        <f aca="false">IF($W80*F80&gt;150000,($W80*F80-150000)*6%*45%,0)</f>
        <v>0</v>
      </c>
      <c r="AJ80" s="130" t="n">
        <f aca="false">IF($W80*G80&gt;150000,($W80*G80-150000)*6%*45%,0)</f>
        <v>0</v>
      </c>
      <c r="AK80" s="130" t="n">
        <f aca="false">IF($W80*H80&gt;150000,($W80*H80-150000)*6%*45%,0)</f>
        <v>0</v>
      </c>
      <c r="AL80" s="130" t="n">
        <f aca="false">IF($W80*I80&gt;150000,($W80*I80-150000)*6%*45%,0)</f>
        <v>0</v>
      </c>
      <c r="AM80" s="130" t="n">
        <f aca="false">IF($W80*J80&gt;150000,($W80*J80-150000)*6%*45%,0)</f>
        <v>0</v>
      </c>
      <c r="AN80" s="130" t="n">
        <f aca="false">IF($W80*K80&gt;150000,($W80*K80-150000)*6%*45%,0)</f>
        <v>0</v>
      </c>
      <c r="AO80" s="130" t="n">
        <f aca="false">IF($W80*L80&gt;150000,($W80*L80-150000)*6%*45%,0)</f>
        <v>0</v>
      </c>
      <c r="AP80" s="130" t="n">
        <f aca="false">IF($W80*M80&gt;150000,($W80*M80-150000)*6%*45%,0)</f>
        <v>0</v>
      </c>
      <c r="AQ80" s="130" t="n">
        <f aca="false">IF($W80*N80&gt;150000,($W80*N80-150000)*6%*45%,0)</f>
        <v>0</v>
      </c>
      <c r="AR80" s="130" t="n">
        <f aca="false">IF($W80*O80&gt;150000,($W80*O80-150000)*6%*45%,0)</f>
        <v>0</v>
      </c>
      <c r="AS80" s="130" t="n">
        <f aca="false">IF($W80*P80&gt;150000,($W80*P80-150000)*6%*45%,0)</f>
        <v>0</v>
      </c>
      <c r="AT80" s="130" t="n">
        <f aca="false">IF($W80*Q80&gt;150000,($W80*Q80-150000)*6%*45%,0)</f>
        <v>0</v>
      </c>
      <c r="AU80" s="130" t="n">
        <f aca="false">IF($W80*R80&gt;150000,($W80*R80-150000)*6%*45%,0)</f>
        <v>0</v>
      </c>
      <c r="AV80" s="130" t="n">
        <f aca="false">IF($W80*S80&gt;150000,($W80*S80-150000)*6%*45%,0)</f>
        <v>0</v>
      </c>
      <c r="AW80" s="130" t="n">
        <f aca="false">IF($W80*T80&gt;150000,($W80*T80-150000)*6%*45%,0)</f>
        <v>0</v>
      </c>
      <c r="AX80" s="130"/>
      <c r="AY80" s="131" t="n">
        <f aca="false">IF(ISERROR(VLOOKUP(C80,[26]일용직명단!$A$3:$M$1151,11,FALSE())),0,VLOOKUP(C80,[26]일용직명단!$A$3:$M$1151,11,FALSE()))</f>
        <v>0</v>
      </c>
      <c r="AZ80" s="11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</row>
    <row r="81" customFormat="false" ht="12.6" hidden="false" customHeight="true" outlineLevel="0" collapsed="false">
      <c r="A81" s="108"/>
      <c r="B81" s="302"/>
      <c r="C81" s="309"/>
      <c r="D81" s="111"/>
      <c r="E81" s="140" t="n">
        <f aca="false">IF(ISERROR(VLOOKUP(C80,일용직명단!$A$3:$K$1246,9,FALSE())),0,VLOOKUP(C80,일용직명단!$A$3:$K$1246,9,FALSE()))</f>
        <v>0</v>
      </c>
      <c r="F81" s="195"/>
      <c r="G81" s="196"/>
      <c r="H81" s="196"/>
      <c r="I81" s="193"/>
      <c r="J81" s="191"/>
      <c r="K81" s="193"/>
      <c r="L81" s="192"/>
      <c r="M81" s="192"/>
      <c r="N81" s="193"/>
      <c r="O81" s="191"/>
      <c r="P81" s="193"/>
      <c r="Q81" s="193"/>
      <c r="R81" s="305" t="n">
        <v>1</v>
      </c>
      <c r="S81" s="192"/>
      <c r="T81" s="192"/>
      <c r="U81" s="191"/>
      <c r="V81" s="168"/>
      <c r="W81" s="138" t="n">
        <f aca="false">W80*V80</f>
        <v>0</v>
      </c>
      <c r="X81" s="123" t="n">
        <f aca="false">IF(AH80&lt;1000,0,AH80)</f>
        <v>0</v>
      </c>
      <c r="Y81" s="123" t="n">
        <f aca="false">ROUNDDOWN(X81*10%,-1)</f>
        <v>0</v>
      </c>
      <c r="Z81" s="123" t="n">
        <f aca="false">IF(AE80&gt;=8,ROUNDDOWN(Y80*$Q$4,-1),0)</f>
        <v>0</v>
      </c>
      <c r="AA81" s="145"/>
      <c r="AB81" s="146"/>
      <c r="AC81" s="166" t="n">
        <f aca="false">IF(ISERROR(VLOOKUP(C80,일용직명단!$A$3:$I$1226,7,FALSE())),0,VLOOKUP(C80,일용직명단!$A$3:$I$1226,7,FALSE()))</f>
        <v>0</v>
      </c>
      <c r="AD81" s="166"/>
      <c r="AE81" s="141"/>
      <c r="AF81" s="169"/>
      <c r="AG81" s="169"/>
      <c r="AH81" s="130"/>
      <c r="AI81" s="130" t="n">
        <f aca="false">IF($W80*F81&gt;150000,($W80*F81-150000)*6%*45%,0)</f>
        <v>0</v>
      </c>
      <c r="AJ81" s="130" t="n">
        <f aca="false">IF($W80*G81&gt;150000,($W80*G81-150000)*6%*45%,0)</f>
        <v>0</v>
      </c>
      <c r="AK81" s="130" t="n">
        <f aca="false">IF($W80*H81&gt;150000,($W80*H81-150000)*6%*45%,0)</f>
        <v>0</v>
      </c>
      <c r="AL81" s="130" t="n">
        <f aca="false">IF($W80*I81&gt;150000,($W80*I81-150000)*6%*45%,0)</f>
        <v>0</v>
      </c>
      <c r="AM81" s="130" t="n">
        <f aca="false">IF($W80*J81&gt;150000,($W80*J81-150000)*6%*45%,0)</f>
        <v>0</v>
      </c>
      <c r="AN81" s="130" t="n">
        <f aca="false">IF($W80*K81&gt;150000,($W80*K81-150000)*6%*45%,0)</f>
        <v>0</v>
      </c>
      <c r="AO81" s="130" t="n">
        <f aca="false">IF($W80*L81&gt;150000,($W80*L81-150000)*6%*45%,0)</f>
        <v>0</v>
      </c>
      <c r="AP81" s="130" t="n">
        <f aca="false">IF($W80*M81&gt;150000,($W80*M81-150000)*6%*45%,0)</f>
        <v>0</v>
      </c>
      <c r="AQ81" s="130" t="n">
        <f aca="false">IF($W80*N81&gt;150000,($W80*N81-150000)*6%*45%,0)</f>
        <v>0</v>
      </c>
      <c r="AR81" s="130" t="n">
        <f aca="false">IF($W80*O81&gt;150000,($W80*O81-150000)*6%*45%,0)</f>
        <v>0</v>
      </c>
      <c r="AS81" s="130" t="n">
        <f aca="false">IF($W80*P81&gt;150000,($W80*P81-150000)*6%*45%,0)</f>
        <v>0</v>
      </c>
      <c r="AT81" s="130" t="n">
        <f aca="false">IF($W80*Q81&gt;150000,($W80*Q81-150000)*6%*45%,0)</f>
        <v>0</v>
      </c>
      <c r="AU81" s="130" t="n">
        <f aca="false">IF($W80*R81&gt;150000,($W80*R81-150000)*6%*45%,0)</f>
        <v>0</v>
      </c>
      <c r="AV81" s="130" t="n">
        <f aca="false">IF($W80*S81&gt;150000,($W80*S81-150000)*6%*45%,0)</f>
        <v>0</v>
      </c>
      <c r="AW81" s="130" t="n">
        <f aca="false">IF($W80*T81&gt;150000,($W80*T81-150000)*6%*45%,0)</f>
        <v>0</v>
      </c>
      <c r="AX81" s="130" t="n">
        <f aca="false">IF($W80*U81&gt;150000,($W80*U81-150000)*6%*45%,0)</f>
        <v>0</v>
      </c>
      <c r="AY81" s="131"/>
      <c r="AZ81" s="11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</row>
    <row r="82" customFormat="false" ht="12.6" hidden="false" customHeight="true" outlineLevel="0" collapsed="false">
      <c r="A82" s="108" t="n">
        <f aca="false">A80+1</f>
        <v>22</v>
      </c>
      <c r="B82" s="109"/>
      <c r="C82" s="290"/>
      <c r="D82" s="111" t="n">
        <f aca="false">IF(ISERROR(VLOOKUP(C82,일용직명단!$A$3:$K$1246,3,FALSE())),0,VLOOKUP(C82,일용직명단!$A$3:$K$1246,3,FALSE()))</f>
        <v>0</v>
      </c>
      <c r="E82" s="112" t="n">
        <f aca="false">IF(ISERROR(VLOOKUP(C82,일용직명단!$A$3:$K$1246,4,FALSE())),0,VLOOKUP(C82,일용직명단!$A$3:$K$1246,4,FALSE()))</f>
        <v>0</v>
      </c>
      <c r="F82" s="192"/>
      <c r="G82" s="192"/>
      <c r="H82" s="192"/>
      <c r="I82" s="191"/>
      <c r="J82" s="192"/>
      <c r="K82" s="191"/>
      <c r="L82" s="192"/>
      <c r="M82" s="192"/>
      <c r="N82" s="193"/>
      <c r="O82" s="191"/>
      <c r="P82" s="192"/>
      <c r="Q82" s="193"/>
      <c r="R82" s="191"/>
      <c r="S82" s="193"/>
      <c r="T82" s="191"/>
      <c r="U82" s="194"/>
      <c r="V82" s="120" t="n">
        <f aca="false">SUM(F82:U83)</f>
        <v>0</v>
      </c>
      <c r="W82" s="121" t="n">
        <f aca="false">IF(ISERROR(VLOOKUP(C82,일용직명단!$A$3:$K$1246,8,FALSE())),0,VLOOKUP(C82,일용직명단!$A$3:$K$1246,8,FALSE()))</f>
        <v>0</v>
      </c>
      <c r="X82" s="122" t="n">
        <f aca="false">IFERROR(IF(AG82&gt;=65,0,ROUNDDOWN(W83*$Z$4,-1)),0)</f>
        <v>0</v>
      </c>
      <c r="Y82" s="122" t="n">
        <f aca="false">IF(AE82&gt;=8,ROUNDDOWN(W83*$M$4,-1),0)</f>
        <v>0</v>
      </c>
      <c r="Z82" s="123" t="n">
        <f aca="false">IFERROR(IF(AND(COUNT(F82:U83)&gt;=8,$AG82&lt;60,W83&lt;=5530000),ROUNDDOWN(ROUNDDOWN(W83,-3)*4.5%,-1),IF(AND(COUNT(F82:U83)&gt;=8,AG82&lt;60,W83&gt;5530000),248850,0)),0)</f>
        <v>0</v>
      </c>
      <c r="AA82" s="124" t="n">
        <f aca="false">+X82+Y82+X83+Y83+Z82+Z83</f>
        <v>0</v>
      </c>
      <c r="AB82" s="125" t="n">
        <f aca="false">W83-AA82</f>
        <v>0</v>
      </c>
      <c r="AC82" s="126" t="n">
        <f aca="false">IF(ISERROR(VLOOKUP(C82,일용직명단!$A$3:$I$1226,5,FALSE())),0,VLOOKUP(C82,일용직명단!$A$3:$I$1226,5,FALSE()))</f>
        <v>0</v>
      </c>
      <c r="AD82" s="127" t="n">
        <f aca="false">IF(ISERROR(VLOOKUP(C82,일용직명단!$A$3:$I$1226,6,FALSE())),0,VLOOKUP(C82,일용직명단!$A$3:$I$1226,6,FALSE()))</f>
        <v>0</v>
      </c>
      <c r="AE82" s="128" t="n">
        <f aca="false">COUNT(F82:U83)</f>
        <v>0</v>
      </c>
      <c r="AF82" s="129" t="str">
        <f aca="false">IF(OR(MID(D82,8,1)="1",MID(D82,8,1)="2"),19&amp;LEFT(D82,2),20&amp;LEFT(D82,2))&amp;"-"&amp;MID(D82,3,2)&amp;"-"&amp;MID(D82,5,2)</f>
        <v>200--</v>
      </c>
      <c r="AG82" s="129" t="e">
        <f aca="true">INT((TODAY()-AF82)/365.25)</f>
        <v>#VALUE!</v>
      </c>
      <c r="AH82" s="130" t="n">
        <f aca="false">ROUNDDOWN(SUM(AI82:AX83),-1)</f>
        <v>0</v>
      </c>
      <c r="AI82" s="130" t="n">
        <f aca="false">IF($W82*F82&gt;150000,($W82*F82-150000)*6%*45%,0)</f>
        <v>0</v>
      </c>
      <c r="AJ82" s="130" t="n">
        <f aca="false">IF($W82*G82&gt;150000,($W82*G82-150000)*6%*45%,0)</f>
        <v>0</v>
      </c>
      <c r="AK82" s="130" t="n">
        <f aca="false">IF($W82*H82&gt;150000,($W82*H82-150000)*6%*45%,0)</f>
        <v>0</v>
      </c>
      <c r="AL82" s="130" t="n">
        <f aca="false">IF($W82*I82&gt;150000,($W82*I82-150000)*6%*45%,0)</f>
        <v>0</v>
      </c>
      <c r="AM82" s="130" t="n">
        <f aca="false">IF($W82*J82&gt;150000,($W82*J82-150000)*6%*45%,0)</f>
        <v>0</v>
      </c>
      <c r="AN82" s="130" t="n">
        <f aca="false">IF($W82*K82&gt;150000,($W82*K82-150000)*6%*45%,0)</f>
        <v>0</v>
      </c>
      <c r="AO82" s="130" t="n">
        <f aca="false">IF($W82*L82&gt;150000,($W82*L82-150000)*6%*45%,0)</f>
        <v>0</v>
      </c>
      <c r="AP82" s="130" t="n">
        <f aca="false">IF($W82*M82&gt;150000,($W82*M82-150000)*6%*45%,0)</f>
        <v>0</v>
      </c>
      <c r="AQ82" s="130" t="n">
        <f aca="false">IF($W82*N82&gt;150000,($W82*N82-150000)*6%*45%,0)</f>
        <v>0</v>
      </c>
      <c r="AR82" s="130" t="n">
        <f aca="false">IF($W82*O82&gt;150000,($W82*O82-150000)*6%*45%,0)</f>
        <v>0</v>
      </c>
      <c r="AS82" s="130" t="n">
        <f aca="false">IF($W82*P82&gt;150000,($W82*P82-150000)*6%*45%,0)</f>
        <v>0</v>
      </c>
      <c r="AT82" s="130" t="n">
        <f aca="false">IF($W82*Q82&gt;150000,($W82*Q82-150000)*6%*45%,0)</f>
        <v>0</v>
      </c>
      <c r="AU82" s="130" t="n">
        <f aca="false">IF($W82*R82&gt;150000,($W82*R82-150000)*6%*45%,0)</f>
        <v>0</v>
      </c>
      <c r="AV82" s="130" t="n">
        <f aca="false">IF($W82*S82&gt;150000,($W82*S82-150000)*6%*45%,0)</f>
        <v>0</v>
      </c>
      <c r="AW82" s="130" t="n">
        <f aca="false">IF($W82*T82&gt;150000,($W82*T82-150000)*6%*45%,0)</f>
        <v>0</v>
      </c>
      <c r="AX82" s="130"/>
      <c r="AY82" s="131" t="n">
        <f aca="false">IF(ISERROR(VLOOKUP(C82,[26]일용직명단!$A$3:$M$1151,11,FALSE())),0,VLOOKUP(C82,[26]일용직명단!$A$3:$M$1151,11,FALSE()))</f>
        <v>0</v>
      </c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/>
    </row>
    <row r="83" customFormat="false" ht="12.6" hidden="false" customHeight="true" outlineLevel="0" collapsed="false">
      <c r="A83" s="108"/>
      <c r="B83" s="109"/>
      <c r="C83" s="290"/>
      <c r="D83" s="111"/>
      <c r="E83" s="112" t="n">
        <f aca="false">IF(ISERROR(VLOOKUP(C82,일용직명단!$A$3:$K$1246,9,FALSE())),0,VLOOKUP(C82,일용직명단!$A$3:$K$1246,9,FALSE()))</f>
        <v>0</v>
      </c>
      <c r="F83" s="195"/>
      <c r="G83" s="196"/>
      <c r="H83" s="196"/>
      <c r="I83" s="193"/>
      <c r="J83" s="191"/>
      <c r="K83" s="193"/>
      <c r="L83" s="192"/>
      <c r="M83" s="192"/>
      <c r="N83" s="193"/>
      <c r="O83" s="191"/>
      <c r="P83" s="193"/>
      <c r="Q83" s="193"/>
      <c r="R83" s="192"/>
      <c r="S83" s="192"/>
      <c r="T83" s="192"/>
      <c r="U83" s="191"/>
      <c r="V83" s="120"/>
      <c r="W83" s="138" t="n">
        <f aca="false">W82*V82</f>
        <v>0</v>
      </c>
      <c r="X83" s="122" t="n">
        <f aca="false">IF(AH82&lt;1000,0,AH82)</f>
        <v>0</v>
      </c>
      <c r="Y83" s="122" t="n">
        <f aca="false">ROUNDDOWN(X83*10%,-1)</f>
        <v>0</v>
      </c>
      <c r="Z83" s="123" t="n">
        <f aca="false">IF(AE82&gt;=8,ROUNDDOWN(Y82*$Q$4,-1),0)</f>
        <v>0</v>
      </c>
      <c r="AA83" s="124"/>
      <c r="AB83" s="125"/>
      <c r="AC83" s="127" t="n">
        <f aca="false">IF(ISERROR(VLOOKUP(C82,일용직명단!$A$3:$I$1226,7,FALSE())),0,VLOOKUP(C82,일용직명단!$A$3:$I$1226,7,FALSE()))</f>
        <v>0</v>
      </c>
      <c r="AD83" s="127"/>
      <c r="AE83" s="128"/>
      <c r="AF83" s="129"/>
      <c r="AG83" s="129"/>
      <c r="AH83" s="130"/>
      <c r="AI83" s="130" t="n">
        <f aca="false">IF($W82*F83&gt;150000,($W82*F83-150000)*6%*45%,0)</f>
        <v>0</v>
      </c>
      <c r="AJ83" s="130" t="n">
        <f aca="false">IF($W82*G83&gt;150000,($W82*G83-150000)*6%*45%,0)</f>
        <v>0</v>
      </c>
      <c r="AK83" s="130" t="n">
        <f aca="false">IF($W82*H83&gt;150000,($W82*H83-150000)*6%*45%,0)</f>
        <v>0</v>
      </c>
      <c r="AL83" s="130" t="n">
        <f aca="false">IF($W82*I83&gt;150000,($W82*I83-150000)*6%*45%,0)</f>
        <v>0</v>
      </c>
      <c r="AM83" s="130" t="n">
        <f aca="false">IF($W82*J83&gt;150000,($W82*J83-150000)*6%*45%,0)</f>
        <v>0</v>
      </c>
      <c r="AN83" s="130" t="n">
        <f aca="false">IF($W82*K83&gt;150000,($W82*K83-150000)*6%*45%,0)</f>
        <v>0</v>
      </c>
      <c r="AO83" s="130" t="n">
        <f aca="false">IF($W82*L83&gt;150000,($W82*L83-150000)*6%*45%,0)</f>
        <v>0</v>
      </c>
      <c r="AP83" s="130" t="n">
        <f aca="false">IF($W82*M83&gt;150000,($W82*M83-150000)*6%*45%,0)</f>
        <v>0</v>
      </c>
      <c r="AQ83" s="130" t="n">
        <f aca="false">IF($W82*N83&gt;150000,($W82*N83-150000)*6%*45%,0)</f>
        <v>0</v>
      </c>
      <c r="AR83" s="130" t="n">
        <f aca="false">IF($W82*O83&gt;150000,($W82*O83-150000)*6%*45%,0)</f>
        <v>0</v>
      </c>
      <c r="AS83" s="130" t="n">
        <f aca="false">IF($W82*P83&gt;150000,($W82*P83-150000)*6%*45%,0)</f>
        <v>0</v>
      </c>
      <c r="AT83" s="130" t="n">
        <f aca="false">IF($W82*Q83&gt;150000,($W82*Q83-150000)*6%*45%,0)</f>
        <v>0</v>
      </c>
      <c r="AU83" s="130" t="n">
        <f aca="false">IF($W82*R83&gt;150000,($W82*R83-150000)*6%*45%,0)</f>
        <v>0</v>
      </c>
      <c r="AV83" s="130" t="n">
        <f aca="false">IF($W82*S83&gt;150000,($W82*S83-150000)*6%*45%,0)</f>
        <v>0</v>
      </c>
      <c r="AW83" s="130" t="n">
        <f aca="false">IF($W82*T83&gt;150000,($W82*T83-150000)*6%*45%,0)</f>
        <v>0</v>
      </c>
      <c r="AX83" s="130" t="n">
        <f aca="false">IF($W82*U83&gt;150000,($W82*U83-150000)*6%*45%,0)</f>
        <v>0</v>
      </c>
      <c r="AY83" s="13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/>
      <c r="FW83" s="11"/>
      <c r="FX83" s="11"/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1"/>
      <c r="GW83" s="11"/>
      <c r="GX83" s="11"/>
      <c r="GY83" s="11"/>
      <c r="GZ83" s="11"/>
      <c r="HA83" s="11"/>
      <c r="HB83" s="11"/>
      <c r="HC83" s="11"/>
      <c r="HD83" s="11"/>
      <c r="HE83" s="11"/>
      <c r="HF83" s="11"/>
      <c r="HG83" s="11"/>
      <c r="HH83" s="11"/>
      <c r="HI83" s="11"/>
      <c r="HJ83" s="11"/>
      <c r="HK83" s="11"/>
      <c r="HL83" s="11"/>
      <c r="HM83" s="11"/>
      <c r="HN83" s="11"/>
      <c r="HO83" s="11"/>
      <c r="HP83" s="11"/>
      <c r="HQ83" s="11"/>
      <c r="HR83" s="11"/>
      <c r="HS83" s="11"/>
      <c r="HT83" s="11"/>
      <c r="HU83" s="11"/>
      <c r="HV83" s="11"/>
      <c r="HW83" s="11"/>
      <c r="HX83" s="11"/>
      <c r="HY83" s="11"/>
      <c r="HZ83" s="11"/>
      <c r="IA83" s="11"/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1"/>
      <c r="IM83" s="11"/>
      <c r="IN83" s="11"/>
      <c r="IO83" s="11"/>
      <c r="IP83" s="11"/>
      <c r="IQ83" s="11"/>
      <c r="IR83" s="11"/>
      <c r="IS83" s="11"/>
      <c r="IT83" s="11"/>
      <c r="IU83" s="11"/>
      <c r="IV83" s="11"/>
      <c r="IW83" s="11"/>
    </row>
    <row r="84" customFormat="false" ht="12.6" hidden="false" customHeight="true" outlineLevel="0" collapsed="false">
      <c r="A84" s="108" t="n">
        <f aca="false">A82+1</f>
        <v>23</v>
      </c>
      <c r="B84" s="310" t="s">
        <v>84</v>
      </c>
      <c r="C84" s="290" t="s">
        <v>92</v>
      </c>
      <c r="D84" s="311" t="s">
        <v>114</v>
      </c>
      <c r="E84" s="140" t="n">
        <f aca="false">IF(ISERROR(VLOOKUP(C84,일용직명단!$A$3:$K$1246,4,FALSE())),0,VLOOKUP(C84,일용직명단!$A$3:$K$1246,4,FALSE()))</f>
        <v>0</v>
      </c>
      <c r="F84" s="192"/>
      <c r="G84" s="193"/>
      <c r="H84" s="191"/>
      <c r="I84" s="191"/>
      <c r="J84" s="192"/>
      <c r="K84" s="191"/>
      <c r="L84" s="192"/>
      <c r="M84" s="192"/>
      <c r="N84" s="191"/>
      <c r="O84" s="193"/>
      <c r="P84" s="192"/>
      <c r="Q84" s="193"/>
      <c r="R84" s="191"/>
      <c r="S84" s="193"/>
      <c r="T84" s="191"/>
      <c r="U84" s="194"/>
      <c r="V84" s="144" t="n">
        <f aca="false">SUM(F84:U85)</f>
        <v>0</v>
      </c>
      <c r="W84" s="121" t="n">
        <f aca="false">IF(ISERROR(VLOOKUP(C84,일용직명단!$A$3:$K$1246,8,FALSE())),0,VLOOKUP(C84,일용직명단!$A$3:$K$1246,8,FALSE()))</f>
        <v>0</v>
      </c>
      <c r="X84" s="123" t="n">
        <f aca="false">IFERROR(IF(AG84&gt;=65,0,ROUNDDOWN(W85*$Z$4,-1)),0)</f>
        <v>0</v>
      </c>
      <c r="Y84" s="123" t="n">
        <f aca="false">IF(AE84&gt;=8,ROUNDDOWN(W85*$M$4,-1),0)</f>
        <v>0</v>
      </c>
      <c r="Z84" s="123" t="n">
        <f aca="false">IFERROR(IF(AND(COUNT(F84:U85)&gt;=8,$AG84&lt;60,W85&lt;=5530000),ROUNDDOWN(ROUNDDOWN(W85,-3)*4.5%,-1),IF(AND(COUNT(F84:U85)&gt;=8,AG84&lt;60,W85&gt;5530000),248850,0)),0)</f>
        <v>0</v>
      </c>
      <c r="AA84" s="145" t="n">
        <f aca="false">+X84+Y84+X85+Y85+Z84+Z85</f>
        <v>0</v>
      </c>
      <c r="AB84" s="146" t="n">
        <f aca="false">W85-AA84</f>
        <v>0</v>
      </c>
      <c r="AC84" s="147" t="n">
        <f aca="false">IF(ISERROR(VLOOKUP(C84,일용직명단!$A$3:$I$1226,5,FALSE())),0,VLOOKUP(C84,일용직명단!$A$3:$I$1226,5,FALSE()))</f>
        <v>0</v>
      </c>
      <c r="AD84" s="148" t="n">
        <f aca="false">IF(ISERROR(VLOOKUP(C84,일용직명단!$A$3:$I$1226,6,FALSE())),0,VLOOKUP(C84,일용직명단!$A$3:$I$1226,6,FALSE()))</f>
        <v>0</v>
      </c>
      <c r="AE84" s="141" t="n">
        <f aca="false">COUNT(F84:U85)</f>
        <v>0</v>
      </c>
      <c r="AF84" s="169" t="str">
        <f aca="false">IF(OR(MID(D84,8,1)="1",MID(D84,8,1)="2"),19&amp;LEFT(D84,2),20&amp;LEFT(D84,2))&amp;"-"&amp;MID(D84,3,2)&amp;"-"&amp;MID(D84,5,2)</f>
        <v>20황인-호외-7명</v>
      </c>
      <c r="AG84" s="169" t="e">
        <f aca="true">INT((TODAY()-AF84)/365.25)</f>
        <v>#VALUE!</v>
      </c>
      <c r="AH84" s="130" t="n">
        <f aca="false">ROUNDDOWN(SUM(AI84:AX85),-1)</f>
        <v>0</v>
      </c>
      <c r="AI84" s="130" t="n">
        <f aca="false">IF($W84*F84&gt;150000,($W84*F84-150000)*6%*45%,0)</f>
        <v>0</v>
      </c>
      <c r="AJ84" s="130" t="n">
        <f aca="false">IF($W84*G84&gt;150000,($W84*G84-150000)*6%*45%,0)</f>
        <v>0</v>
      </c>
      <c r="AK84" s="130" t="n">
        <f aca="false">IF($W84*H84&gt;150000,($W84*H84-150000)*6%*45%,0)</f>
        <v>0</v>
      </c>
      <c r="AL84" s="130" t="n">
        <f aca="false">IF($W84*I84&gt;150000,($W84*I84-150000)*6%*45%,0)</f>
        <v>0</v>
      </c>
      <c r="AM84" s="130" t="n">
        <f aca="false">IF($W84*J84&gt;150000,($W84*J84-150000)*6%*45%,0)</f>
        <v>0</v>
      </c>
      <c r="AN84" s="130" t="n">
        <f aca="false">IF($W84*K84&gt;150000,($W84*K84-150000)*6%*45%,0)</f>
        <v>0</v>
      </c>
      <c r="AO84" s="130" t="n">
        <f aca="false">IF($W84*L84&gt;150000,($W84*L84-150000)*6%*45%,0)</f>
        <v>0</v>
      </c>
      <c r="AP84" s="130" t="n">
        <f aca="false">IF($W84*M84&gt;150000,($W84*M84-150000)*6%*45%,0)</f>
        <v>0</v>
      </c>
      <c r="AQ84" s="130" t="n">
        <f aca="false">IF($W84*N84&gt;150000,($W84*N84-150000)*6%*45%,0)</f>
        <v>0</v>
      </c>
      <c r="AR84" s="130" t="n">
        <f aca="false">IF($W84*O84&gt;150000,($W84*O84-150000)*6%*45%,0)</f>
        <v>0</v>
      </c>
      <c r="AS84" s="130" t="n">
        <f aca="false">IF($W84*P84&gt;150000,($W84*P84-150000)*6%*45%,0)</f>
        <v>0</v>
      </c>
      <c r="AT84" s="130" t="n">
        <f aca="false">IF($W84*Q84&gt;150000,($W84*Q84-150000)*6%*45%,0)</f>
        <v>0</v>
      </c>
      <c r="AU84" s="130" t="n">
        <f aca="false">IF($W84*R84&gt;150000,($W84*R84-150000)*6%*45%,0)</f>
        <v>0</v>
      </c>
      <c r="AV84" s="130" t="n">
        <f aca="false">IF($W84*S84&gt;150000,($W84*S84-150000)*6%*45%,0)</f>
        <v>0</v>
      </c>
      <c r="AW84" s="130" t="n">
        <f aca="false">IF($W84*T84&gt;150000,($W84*T84-150000)*6%*45%,0)</f>
        <v>0</v>
      </c>
      <c r="AX84" s="130"/>
      <c r="AY84" s="131" t="n">
        <f aca="false">IF(ISERROR(VLOOKUP(C84,[26]일용직명단!$A$3:$M$1151,11,FALSE())),0,VLOOKUP(C84,[26]일용직명단!$A$3:$M$1151,11,FALSE()))</f>
        <v>0</v>
      </c>
      <c r="AZ84" s="11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</row>
    <row r="85" customFormat="false" ht="12.6" hidden="false" customHeight="true" outlineLevel="0" collapsed="false">
      <c r="A85" s="108"/>
      <c r="B85" s="310"/>
      <c r="C85" s="290"/>
      <c r="D85" s="311"/>
      <c r="E85" s="140" t="n">
        <f aca="false">IF(ISERROR(VLOOKUP(C84,일용직명단!$A$3:$K$1246,9,FALSE())),0,VLOOKUP(C84,일용직명단!$A$3:$K$1246,9,FALSE()))</f>
        <v>0</v>
      </c>
      <c r="F85" s="195"/>
      <c r="G85" s="196"/>
      <c r="H85" s="196"/>
      <c r="I85" s="193"/>
      <c r="J85" s="191"/>
      <c r="K85" s="193"/>
      <c r="L85" s="192"/>
      <c r="M85" s="192"/>
      <c r="N85" s="193"/>
      <c r="O85" s="191"/>
      <c r="P85" s="192"/>
      <c r="Q85" s="193"/>
      <c r="R85" s="192"/>
      <c r="S85" s="192"/>
      <c r="T85" s="192"/>
      <c r="U85" s="191"/>
      <c r="V85" s="144"/>
      <c r="W85" s="138" t="n">
        <f aca="false">W84*V84</f>
        <v>0</v>
      </c>
      <c r="X85" s="123" t="n">
        <f aca="false">IF(AH84&lt;1000,0,AH84)</f>
        <v>0</v>
      </c>
      <c r="Y85" s="123" t="n">
        <f aca="false">ROUNDDOWN(X85*10%,-1)</f>
        <v>0</v>
      </c>
      <c r="Z85" s="123" t="n">
        <f aca="false">IF(AE84&gt;=8,ROUNDDOWN(Y84*$Q$4,-1),0)</f>
        <v>0</v>
      </c>
      <c r="AA85" s="145"/>
      <c r="AB85" s="146"/>
      <c r="AC85" s="148" t="n">
        <f aca="false">IF(ISERROR(VLOOKUP(C84,일용직명단!$A$3:$I$1226,7,FALSE())),0,VLOOKUP(C84,일용직명단!$A$3:$I$1226,7,FALSE()))</f>
        <v>0</v>
      </c>
      <c r="AD85" s="148"/>
      <c r="AE85" s="141"/>
      <c r="AF85" s="169"/>
      <c r="AG85" s="169"/>
      <c r="AH85" s="130"/>
      <c r="AI85" s="130" t="n">
        <f aca="false">IF($W84*F85&gt;150000,($W84*F85-150000)*6%*45%,0)</f>
        <v>0</v>
      </c>
      <c r="AJ85" s="130" t="n">
        <f aca="false">IF($W84*G85&gt;150000,($W84*G85-150000)*6%*45%,0)</f>
        <v>0</v>
      </c>
      <c r="AK85" s="130" t="n">
        <f aca="false">IF($W84*H85&gt;150000,($W84*H85-150000)*6%*45%,0)</f>
        <v>0</v>
      </c>
      <c r="AL85" s="130" t="n">
        <f aca="false">IF($W84*I85&gt;150000,($W84*I85-150000)*6%*45%,0)</f>
        <v>0</v>
      </c>
      <c r="AM85" s="130" t="n">
        <f aca="false">IF($W84*J85&gt;150000,($W84*J85-150000)*6%*45%,0)</f>
        <v>0</v>
      </c>
      <c r="AN85" s="130" t="n">
        <f aca="false">IF($W84*K85&gt;150000,($W84*K85-150000)*6%*45%,0)</f>
        <v>0</v>
      </c>
      <c r="AO85" s="130" t="n">
        <f aca="false">IF($W84*L85&gt;150000,($W84*L85-150000)*6%*45%,0)</f>
        <v>0</v>
      </c>
      <c r="AP85" s="130" t="n">
        <f aca="false">IF($W84*M85&gt;150000,($W84*M85-150000)*6%*45%,0)</f>
        <v>0</v>
      </c>
      <c r="AQ85" s="130" t="n">
        <f aca="false">IF($W84*N85&gt;150000,($W84*N85-150000)*6%*45%,0)</f>
        <v>0</v>
      </c>
      <c r="AR85" s="130" t="n">
        <f aca="false">IF($W84*O85&gt;150000,($W84*O85-150000)*6%*45%,0)</f>
        <v>0</v>
      </c>
      <c r="AS85" s="130" t="n">
        <f aca="false">IF($W84*P85&gt;150000,($W84*P85-150000)*6%*45%,0)</f>
        <v>0</v>
      </c>
      <c r="AT85" s="130" t="n">
        <f aca="false">IF($W84*Q85&gt;150000,($W84*Q85-150000)*6%*45%,0)</f>
        <v>0</v>
      </c>
      <c r="AU85" s="130" t="n">
        <f aca="false">IF($W84*R85&gt;150000,($W84*R85-150000)*6%*45%,0)</f>
        <v>0</v>
      </c>
      <c r="AV85" s="130" t="n">
        <f aca="false">IF($W84*S85&gt;150000,($W84*S85-150000)*6%*45%,0)</f>
        <v>0</v>
      </c>
      <c r="AW85" s="130" t="n">
        <f aca="false">IF($W84*T85&gt;150000,($W84*T85-150000)*6%*45%,0)</f>
        <v>0</v>
      </c>
      <c r="AX85" s="130" t="n">
        <f aca="false">IF($W84*U85&gt;150000,($W84*U85-150000)*6%*45%,0)</f>
        <v>0</v>
      </c>
      <c r="AY85" s="131"/>
      <c r="AZ85" s="11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</row>
    <row r="86" customFormat="false" ht="12.6" hidden="false" customHeight="true" outlineLevel="0" collapsed="false">
      <c r="A86" s="108" t="n">
        <f aca="false">A84+1</f>
        <v>24</v>
      </c>
      <c r="B86" s="310" t="n">
        <f aca="false">IF(ISERROR(VLOOKUP(C86,일용직명단!$A$3:$I$104,2,FALSE())),0,VLOOKUP(C86,일용직명단!$A$3:$I$104,2,FALSE()))</f>
        <v>0</v>
      </c>
      <c r="C86" s="143"/>
      <c r="D86" s="311" t="n">
        <f aca="false">IF(ISERROR(VLOOKUP(C86,일용직명단!$A$3:$K$1246,3,FALSE())),0,VLOOKUP(C86,일용직명단!$A$3:$K$1246,3,FALSE()))</f>
        <v>0</v>
      </c>
      <c r="E86" s="140" t="n">
        <f aca="false">IF(ISERROR(VLOOKUP(C86,일용직명단!$A$3:$K$1246,4,FALSE())),0,VLOOKUP(C86,일용직명단!$A$3:$K$1246,4,FALSE()))</f>
        <v>0</v>
      </c>
      <c r="F86" s="192"/>
      <c r="G86" s="193"/>
      <c r="H86" s="191"/>
      <c r="I86" s="191"/>
      <c r="J86" s="192"/>
      <c r="K86" s="191"/>
      <c r="L86" s="192"/>
      <c r="M86" s="192"/>
      <c r="N86" s="193"/>
      <c r="O86" s="193"/>
      <c r="P86" s="192"/>
      <c r="Q86" s="193"/>
      <c r="R86" s="191"/>
      <c r="S86" s="193"/>
      <c r="T86" s="191"/>
      <c r="U86" s="194"/>
      <c r="V86" s="120" t="n">
        <f aca="false">SUM(F86:U87)</f>
        <v>0</v>
      </c>
      <c r="W86" s="121" t="n">
        <f aca="false">IF(ISERROR(VLOOKUP(C86,일용직명단!$A$3:$K$1246,8,FALSE())),0,VLOOKUP(C86,일용직명단!$A$3:$K$1246,8,FALSE()))</f>
        <v>0</v>
      </c>
      <c r="X86" s="122" t="n">
        <f aca="false">IFERROR(IF(AG86&gt;=65,0,ROUNDDOWN(W87*$Z$4,-1)),0)</f>
        <v>0</v>
      </c>
      <c r="Y86" s="122" t="n">
        <f aca="false">IF(AE86&gt;=8,ROUNDDOWN(W87*$M$4,-1),0)</f>
        <v>0</v>
      </c>
      <c r="Z86" s="123" t="n">
        <f aca="false">IFERROR(IF(AND(COUNT(F86:U87)&gt;=8,$AG86&lt;60,W87&lt;=5530000),ROUNDDOWN(ROUNDDOWN(W87,-3)*4.5%,-1),IF(AND(COUNT(F86:U87)&gt;=8,AG86&lt;60,W87&gt;5530000),248850,0)),0)</f>
        <v>0</v>
      </c>
      <c r="AA86" s="124" t="n">
        <f aca="false">+X86+Y86+X87+Y87+Z86+Z87</f>
        <v>0</v>
      </c>
      <c r="AB86" s="125" t="n">
        <f aca="false">W87-AA86</f>
        <v>0</v>
      </c>
      <c r="AC86" s="126" t="n">
        <f aca="false">IF(ISERROR(VLOOKUP(C86,일용직명단!$A$3:$I$1226,5,FALSE())),0,VLOOKUP(C86,일용직명단!$A$3:$I$1226,5,FALSE()))</f>
        <v>0</v>
      </c>
      <c r="AD86" s="127" t="n">
        <f aca="false">IF(ISERROR(VLOOKUP(C86,일용직명단!$A$3:$I$1226,6,FALSE())),0,VLOOKUP(C86,일용직명단!$A$3:$I$1226,6,FALSE()))</f>
        <v>0</v>
      </c>
      <c r="AE86" s="141" t="n">
        <f aca="false">COUNT(F86:U87)</f>
        <v>0</v>
      </c>
      <c r="AF86" s="129" t="str">
        <f aca="false">IF(OR(MID(D86,8,1)="1",MID(D86,8,1)="2"),19&amp;LEFT(D86,2),20&amp;LEFT(D86,2))&amp;"-"&amp;MID(D86,3,2)&amp;"-"&amp;MID(D86,5,2)</f>
        <v>200--</v>
      </c>
      <c r="AG86" s="129" t="e">
        <f aca="true">INT((TODAY()-AF86)/365.25)</f>
        <v>#VALUE!</v>
      </c>
      <c r="AH86" s="130" t="n">
        <f aca="false">ROUNDDOWN(SUM(AI86:AX87),-1)</f>
        <v>0</v>
      </c>
      <c r="AI86" s="130" t="n">
        <f aca="false">IF($W86*F86&gt;150000,($W86*F86-150000)*6%*45%,0)</f>
        <v>0</v>
      </c>
      <c r="AJ86" s="130" t="n">
        <f aca="false">IF($W86*G86&gt;150000,($W86*G86-150000)*6%*45%,0)</f>
        <v>0</v>
      </c>
      <c r="AK86" s="130" t="n">
        <f aca="false">IF($W86*H86&gt;150000,($W86*H86-150000)*6%*45%,0)</f>
        <v>0</v>
      </c>
      <c r="AL86" s="130" t="n">
        <f aca="false">IF($W86*I86&gt;150000,($W86*I86-150000)*6%*45%,0)</f>
        <v>0</v>
      </c>
      <c r="AM86" s="130" t="n">
        <f aca="false">IF($W86*J86&gt;150000,($W86*J86-150000)*6%*45%,0)</f>
        <v>0</v>
      </c>
      <c r="AN86" s="130" t="n">
        <f aca="false">IF($W86*K86&gt;150000,($W86*K86-150000)*6%*45%,0)</f>
        <v>0</v>
      </c>
      <c r="AO86" s="130" t="n">
        <f aca="false">IF($W86*L86&gt;150000,($W86*L86-150000)*6%*45%,0)</f>
        <v>0</v>
      </c>
      <c r="AP86" s="130" t="n">
        <f aca="false">IF($W86*M86&gt;150000,($W86*M86-150000)*6%*45%,0)</f>
        <v>0</v>
      </c>
      <c r="AQ86" s="130" t="n">
        <f aca="false">IF($W86*N86&gt;150000,($W86*N86-150000)*6%*45%,0)</f>
        <v>0</v>
      </c>
      <c r="AR86" s="130" t="n">
        <f aca="false">IF($W86*O86&gt;150000,($W86*O86-150000)*6%*45%,0)</f>
        <v>0</v>
      </c>
      <c r="AS86" s="130" t="n">
        <f aca="false">IF($W86*P86&gt;150000,($W86*P86-150000)*6%*45%,0)</f>
        <v>0</v>
      </c>
      <c r="AT86" s="130" t="n">
        <f aca="false">IF($W86*Q86&gt;150000,($W86*Q86-150000)*6%*45%,0)</f>
        <v>0</v>
      </c>
      <c r="AU86" s="130" t="n">
        <f aca="false">IF($W86*R86&gt;150000,($W86*R86-150000)*6%*45%,0)</f>
        <v>0</v>
      </c>
      <c r="AV86" s="130" t="n">
        <f aca="false">IF($W86*S86&gt;150000,($W86*S86-150000)*6%*45%,0)</f>
        <v>0</v>
      </c>
      <c r="AW86" s="130" t="n">
        <f aca="false">IF($W86*T86&gt;150000,($W86*T86-150000)*6%*45%,0)</f>
        <v>0</v>
      </c>
      <c r="AX86" s="130"/>
      <c r="AY86" s="131" t="n">
        <f aca="false">IF(ISERROR(VLOOKUP(C86,[26]일용직명단!$A$3:$M$1151,11,FALSE())),0,VLOOKUP(C86,[26]일용직명단!$A$3:$M$1151,11,FALSE()))</f>
        <v>0</v>
      </c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J86" s="11"/>
      <c r="GK86" s="11"/>
      <c r="GL86" s="11"/>
      <c r="GM86" s="11"/>
      <c r="GN86" s="11"/>
      <c r="GO86" s="11"/>
      <c r="GP86" s="11"/>
      <c r="GQ86" s="11"/>
      <c r="GR86" s="11"/>
      <c r="GS86" s="11"/>
      <c r="GT86" s="11"/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/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  <c r="IV86" s="11"/>
      <c r="IW86" s="11"/>
    </row>
    <row r="87" customFormat="false" ht="12.6" hidden="false" customHeight="true" outlineLevel="0" collapsed="false">
      <c r="A87" s="108"/>
      <c r="B87" s="310"/>
      <c r="C87" s="143"/>
      <c r="D87" s="311"/>
      <c r="E87" s="140" t="n">
        <f aca="false">IF(ISERROR(VLOOKUP(C86,일용직명단!$A$3:$K$1246,9,FALSE())),0,VLOOKUP(C86,일용직명단!$A$3:$K$1246,9,FALSE()))</f>
        <v>0</v>
      </c>
      <c r="F87" s="195"/>
      <c r="G87" s="196"/>
      <c r="H87" s="196"/>
      <c r="I87" s="193"/>
      <c r="J87" s="191"/>
      <c r="K87" s="193"/>
      <c r="L87" s="192"/>
      <c r="M87" s="192"/>
      <c r="N87" s="193"/>
      <c r="O87" s="191"/>
      <c r="P87" s="198"/>
      <c r="Q87" s="193"/>
      <c r="R87" s="192"/>
      <c r="S87" s="192"/>
      <c r="T87" s="192"/>
      <c r="U87" s="191"/>
      <c r="V87" s="120"/>
      <c r="W87" s="138" t="n">
        <f aca="false">W86*V86</f>
        <v>0</v>
      </c>
      <c r="X87" s="122" t="n">
        <f aca="false">IF(AH86&lt;1000,0,AH86)</f>
        <v>0</v>
      </c>
      <c r="Y87" s="122" t="n">
        <f aca="false">ROUNDDOWN(X87*10%,-1)</f>
        <v>0</v>
      </c>
      <c r="Z87" s="123" t="n">
        <f aca="false">IF(AE86&gt;=8,ROUNDDOWN(Y86*$Q$4,-1),0)</f>
        <v>0</v>
      </c>
      <c r="AA87" s="124"/>
      <c r="AB87" s="125"/>
      <c r="AC87" s="127" t="n">
        <f aca="false">IF(ISERROR(VLOOKUP(C86,일용직명단!$A$3:$I$1226,7,FALSE())),0,VLOOKUP(C86,일용직명단!$A$3:$I$1226,7,FALSE()))</f>
        <v>0</v>
      </c>
      <c r="AD87" s="127"/>
      <c r="AE87" s="141"/>
      <c r="AF87" s="129"/>
      <c r="AG87" s="129"/>
      <c r="AH87" s="130"/>
      <c r="AI87" s="130" t="n">
        <f aca="false">IF($W86*F87&gt;150000,($W86*F87-150000)*6%*45%,0)</f>
        <v>0</v>
      </c>
      <c r="AJ87" s="130" t="n">
        <f aca="false">IF($W86*G87&gt;150000,($W86*G87-150000)*6%*45%,0)</f>
        <v>0</v>
      </c>
      <c r="AK87" s="130" t="n">
        <f aca="false">IF($W86*H87&gt;150000,($W86*H87-150000)*6%*45%,0)</f>
        <v>0</v>
      </c>
      <c r="AL87" s="130" t="n">
        <f aca="false">IF($W86*I87&gt;150000,($W86*I87-150000)*6%*45%,0)</f>
        <v>0</v>
      </c>
      <c r="AM87" s="130" t="n">
        <f aca="false">IF($W86*J87&gt;150000,($W86*J87-150000)*6%*45%,0)</f>
        <v>0</v>
      </c>
      <c r="AN87" s="130" t="n">
        <f aca="false">IF($W86*K87&gt;150000,($W86*K87-150000)*6%*45%,0)</f>
        <v>0</v>
      </c>
      <c r="AO87" s="130" t="n">
        <f aca="false">IF($W86*L87&gt;150000,($W86*L87-150000)*6%*45%,0)</f>
        <v>0</v>
      </c>
      <c r="AP87" s="130" t="n">
        <f aca="false">IF($W86*M87&gt;150000,($W86*M87-150000)*6%*45%,0)</f>
        <v>0</v>
      </c>
      <c r="AQ87" s="130" t="n">
        <f aca="false">IF($W86*N87&gt;150000,($W86*N87-150000)*6%*45%,0)</f>
        <v>0</v>
      </c>
      <c r="AR87" s="130" t="n">
        <f aca="false">IF($W86*O87&gt;150000,($W86*O87-150000)*6%*45%,0)</f>
        <v>0</v>
      </c>
      <c r="AS87" s="130" t="n">
        <f aca="false">IF($W86*P87&gt;150000,($W86*P87-150000)*6%*45%,0)</f>
        <v>0</v>
      </c>
      <c r="AT87" s="130" t="n">
        <f aca="false">IF($W86*Q87&gt;150000,($W86*Q87-150000)*6%*45%,0)</f>
        <v>0</v>
      </c>
      <c r="AU87" s="130" t="n">
        <f aca="false">IF($W86*R87&gt;150000,($W86*R87-150000)*6%*45%,0)</f>
        <v>0</v>
      </c>
      <c r="AV87" s="130" t="n">
        <f aca="false">IF($W86*S87&gt;150000,($W86*S87-150000)*6%*45%,0)</f>
        <v>0</v>
      </c>
      <c r="AW87" s="130" t="n">
        <f aca="false">IF($W86*T87&gt;150000,($W86*T87-150000)*6%*45%,0)</f>
        <v>0</v>
      </c>
      <c r="AX87" s="130" t="n">
        <f aca="false">IF($W86*U87&gt;150000,($W86*U87-150000)*6%*45%,0)</f>
        <v>0</v>
      </c>
      <c r="AY87" s="13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/>
      <c r="GF87" s="11"/>
      <c r="GG87" s="11"/>
      <c r="GH87" s="11"/>
      <c r="GI87" s="11"/>
      <c r="GJ87" s="11"/>
      <c r="GK87" s="11"/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/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/>
      <c r="IS87" s="11"/>
      <c r="IT87" s="11"/>
      <c r="IU87" s="11"/>
      <c r="IV87" s="11"/>
      <c r="IW87" s="11"/>
    </row>
    <row r="88" customFormat="false" ht="12.6" hidden="false" customHeight="true" outlineLevel="0" collapsed="false">
      <c r="A88" s="108" t="n">
        <f aca="false">A86+1</f>
        <v>25</v>
      </c>
      <c r="B88" s="310" t="s">
        <v>82</v>
      </c>
      <c r="C88" s="139" t="s">
        <v>115</v>
      </c>
      <c r="D88" s="311" t="s">
        <v>116</v>
      </c>
      <c r="E88" s="140" t="n">
        <f aca="false">IF(ISERROR(VLOOKUP(C88,일용직명단!$A$3:$K$1246,4,FALSE())),0,VLOOKUP(C88,일용직명단!$A$3:$K$1246,4,FALSE()))</f>
        <v>0</v>
      </c>
      <c r="F88" s="192"/>
      <c r="G88" s="193"/>
      <c r="H88" s="191"/>
      <c r="I88" s="191"/>
      <c r="J88" s="192"/>
      <c r="K88" s="191"/>
      <c r="L88" s="192"/>
      <c r="M88" s="192"/>
      <c r="N88" s="193"/>
      <c r="O88" s="193"/>
      <c r="P88" s="192"/>
      <c r="Q88" s="193"/>
      <c r="R88" s="191"/>
      <c r="S88" s="193"/>
      <c r="T88" s="191"/>
      <c r="U88" s="194"/>
      <c r="V88" s="120" t="n">
        <f aca="false">SUM(F88:U89)</f>
        <v>0</v>
      </c>
      <c r="W88" s="121" t="n">
        <f aca="false">IF(ISERROR(VLOOKUP(C88,일용직명단!$A$3:$K$1246,8,FALSE())),0,VLOOKUP(C88,일용직명단!$A$3:$K$1246,8,FALSE()))</f>
        <v>0</v>
      </c>
      <c r="X88" s="122" t="n">
        <f aca="false">IFERROR(IF(AG88&gt;=65,0,ROUNDDOWN(W89*$Z$4,-1)),0)</f>
        <v>0</v>
      </c>
      <c r="Y88" s="122" t="n">
        <f aca="false">IF(AE88&gt;=8,ROUNDDOWN(W89*$M$4,-1),0)</f>
        <v>0</v>
      </c>
      <c r="Z88" s="123" t="n">
        <f aca="false">IFERROR(IF(AND(COUNT(F88:U89)&gt;=8,$AG88&lt;60,W89&lt;=5530000),ROUNDDOWN(ROUNDDOWN(W89,-3)*4.5%,-1),IF(AND(COUNT(F88:U89)&gt;=8,AG88&lt;60,W89&gt;5530000),248850,0)),0)</f>
        <v>0</v>
      </c>
      <c r="AA88" s="124" t="n">
        <f aca="false">+X88+Y88+X89+Y89+Z88+Z89</f>
        <v>0</v>
      </c>
      <c r="AB88" s="125" t="n">
        <f aca="false">W89-AA88</f>
        <v>0</v>
      </c>
      <c r="AC88" s="126" t="n">
        <f aca="false">IF(ISERROR(VLOOKUP(C88,일용직명단!$A$3:$I$1226,5,FALSE())),0,VLOOKUP(C88,일용직명단!$A$3:$I$1226,5,FALSE()))</f>
        <v>0</v>
      </c>
      <c r="AD88" s="127" t="n">
        <f aca="false">IF(ISERROR(VLOOKUP(C88,일용직명단!$A$3:$I$1226,6,FALSE())),0,VLOOKUP(C88,일용직명단!$A$3:$I$1226,6,FALSE()))</f>
        <v>0</v>
      </c>
      <c r="AE88" s="141" t="n">
        <f aca="false">COUNT(F88:U89)</f>
        <v>0</v>
      </c>
      <c r="AF88" s="129" t="str">
        <f aca="false">IF(OR(MID(D88,8,1)="1",MID(D88,8,1)="2"),19&amp;LEFT(D88,2),20&amp;LEFT(D88,2))&amp;"-"&amp;MID(D88,3,2)&amp;"-"&amp;MID(D88,5,2)</f>
        <v>20박충-열외-3명</v>
      </c>
      <c r="AG88" s="129" t="e">
        <f aca="true">INT((TODAY()-AF88)/365.25)</f>
        <v>#VALUE!</v>
      </c>
      <c r="AH88" s="130" t="n">
        <f aca="false">ROUNDDOWN(SUM(AI88:AX89),-1)</f>
        <v>0</v>
      </c>
      <c r="AI88" s="130" t="n">
        <f aca="false">IF($W88*F88&gt;150000,($W88*F88-150000)*6%*45%,0)</f>
        <v>0</v>
      </c>
      <c r="AJ88" s="130" t="n">
        <f aca="false">IF($W88*G88&gt;150000,($W88*G88-150000)*6%*45%,0)</f>
        <v>0</v>
      </c>
      <c r="AK88" s="130" t="n">
        <f aca="false">IF($W88*H88&gt;150000,($W88*H88-150000)*6%*45%,0)</f>
        <v>0</v>
      </c>
      <c r="AL88" s="130" t="n">
        <f aca="false">IF($W88*I88&gt;150000,($W88*I88-150000)*6%*45%,0)</f>
        <v>0</v>
      </c>
      <c r="AM88" s="130" t="n">
        <f aca="false">IF($W88*J88&gt;150000,($W88*J88-150000)*6%*45%,0)</f>
        <v>0</v>
      </c>
      <c r="AN88" s="130" t="n">
        <f aca="false">IF($W88*K88&gt;150000,($W88*K88-150000)*6%*45%,0)</f>
        <v>0</v>
      </c>
      <c r="AO88" s="130" t="n">
        <f aca="false">IF($W88*L88&gt;150000,($W88*L88-150000)*6%*45%,0)</f>
        <v>0</v>
      </c>
      <c r="AP88" s="130" t="n">
        <f aca="false">IF($W88*M88&gt;150000,($W88*M88-150000)*6%*45%,0)</f>
        <v>0</v>
      </c>
      <c r="AQ88" s="130" t="n">
        <f aca="false">IF($W88*N88&gt;150000,($W88*N88-150000)*6%*45%,0)</f>
        <v>0</v>
      </c>
      <c r="AR88" s="130" t="n">
        <f aca="false">IF($W88*O88&gt;150000,($W88*O88-150000)*6%*45%,0)</f>
        <v>0</v>
      </c>
      <c r="AS88" s="130" t="n">
        <f aca="false">IF($W88*P88&gt;150000,($W88*P88-150000)*6%*45%,0)</f>
        <v>0</v>
      </c>
      <c r="AT88" s="130" t="n">
        <f aca="false">IF($W88*Q88&gt;150000,($W88*Q88-150000)*6%*45%,0)</f>
        <v>0</v>
      </c>
      <c r="AU88" s="130" t="n">
        <f aca="false">IF($W88*R88&gt;150000,($W88*R88-150000)*6%*45%,0)</f>
        <v>0</v>
      </c>
      <c r="AV88" s="130" t="n">
        <f aca="false">IF($W88*S88&gt;150000,($W88*S88-150000)*6%*45%,0)</f>
        <v>0</v>
      </c>
      <c r="AW88" s="130" t="n">
        <f aca="false">IF($W88*T88&gt;150000,($W88*T88-150000)*6%*45%,0)</f>
        <v>0</v>
      </c>
      <c r="AX88" s="130"/>
      <c r="AY88" s="131" t="n">
        <f aca="false">IF(ISERROR(VLOOKUP(C88,[26]일용직명단!$A$3:$M$1151,11,FALSE())),0,VLOOKUP(C88,[26]일용직명단!$A$3:$M$1151,11,FALSE()))</f>
        <v>0</v>
      </c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/>
      <c r="GC88" s="11"/>
      <c r="GD88" s="11"/>
      <c r="GE88" s="11"/>
      <c r="GF88" s="11"/>
      <c r="GG88" s="11"/>
      <c r="GH88" s="11"/>
      <c r="GI88" s="11"/>
      <c r="GJ88" s="11"/>
      <c r="GK88" s="11"/>
      <c r="GL88" s="11"/>
      <c r="GM88" s="11"/>
      <c r="GN88" s="11"/>
      <c r="GO88" s="11"/>
      <c r="GP88" s="11"/>
      <c r="GQ88" s="11"/>
      <c r="GR88" s="11"/>
      <c r="GS88" s="11"/>
      <c r="GT88" s="11"/>
      <c r="GU88" s="11"/>
      <c r="GV88" s="11"/>
      <c r="GW88" s="11"/>
      <c r="GX88" s="11"/>
      <c r="GY88" s="11"/>
      <c r="GZ88" s="11"/>
      <c r="HA88" s="11"/>
      <c r="HB88" s="11"/>
      <c r="HC88" s="11"/>
      <c r="HD88" s="11"/>
      <c r="HE88" s="11"/>
      <c r="HF88" s="11"/>
      <c r="HG88" s="11"/>
      <c r="HH88" s="11"/>
      <c r="HI88" s="11"/>
      <c r="HJ88" s="11"/>
      <c r="HK88" s="11"/>
      <c r="HL88" s="11"/>
      <c r="HM88" s="11"/>
      <c r="HN88" s="11"/>
      <c r="HO88" s="11"/>
      <c r="HP88" s="11"/>
      <c r="HQ88" s="11"/>
      <c r="HR88" s="11"/>
      <c r="HS88" s="11"/>
      <c r="HT88" s="11"/>
      <c r="HU88" s="11"/>
      <c r="HV88" s="11"/>
      <c r="HW88" s="11"/>
      <c r="HX88" s="11"/>
      <c r="HY88" s="11"/>
      <c r="HZ88" s="11"/>
      <c r="IA88" s="11"/>
      <c r="IB88" s="11"/>
      <c r="IC88" s="11"/>
      <c r="ID88" s="11"/>
      <c r="IE88" s="11"/>
      <c r="IF88" s="11"/>
      <c r="IG88" s="11"/>
      <c r="IH88" s="11"/>
      <c r="II88" s="11"/>
      <c r="IJ88" s="11"/>
      <c r="IK88" s="11"/>
      <c r="IL88" s="11"/>
      <c r="IM88" s="11"/>
      <c r="IN88" s="11"/>
      <c r="IO88" s="11"/>
      <c r="IP88" s="11"/>
      <c r="IQ88" s="11"/>
      <c r="IR88" s="11"/>
      <c r="IS88" s="11"/>
      <c r="IT88" s="11"/>
      <c r="IU88" s="11"/>
      <c r="IV88" s="11"/>
      <c r="IW88" s="11"/>
    </row>
    <row r="89" customFormat="false" ht="12.6" hidden="false" customHeight="true" outlineLevel="0" collapsed="false">
      <c r="A89" s="108"/>
      <c r="B89" s="310"/>
      <c r="C89" s="139"/>
      <c r="D89" s="311"/>
      <c r="E89" s="140" t="n">
        <f aca="false">IF(ISERROR(VLOOKUP(C88,일용직명단!$A$3:$K$1246,9,FALSE())),0,VLOOKUP(C88,일용직명단!$A$3:$K$1246,9,FALSE()))</f>
        <v>0</v>
      </c>
      <c r="F89" s="195"/>
      <c r="G89" s="196"/>
      <c r="H89" s="196"/>
      <c r="I89" s="193"/>
      <c r="J89" s="191"/>
      <c r="K89" s="193"/>
      <c r="L89" s="192"/>
      <c r="M89" s="192"/>
      <c r="N89" s="193"/>
      <c r="O89" s="191"/>
      <c r="P89" s="193"/>
      <c r="Q89" s="193"/>
      <c r="R89" s="192"/>
      <c r="S89" s="192"/>
      <c r="T89" s="192"/>
      <c r="U89" s="191"/>
      <c r="V89" s="120"/>
      <c r="W89" s="138" t="n">
        <f aca="false">W88*V88</f>
        <v>0</v>
      </c>
      <c r="X89" s="122" t="n">
        <f aca="false">IF(AH88&lt;1000,0,AH88)</f>
        <v>0</v>
      </c>
      <c r="Y89" s="122" t="n">
        <f aca="false">ROUNDDOWN(X89*10%,-1)</f>
        <v>0</v>
      </c>
      <c r="Z89" s="123" t="n">
        <f aca="false">IF(AE88&gt;=8,ROUNDDOWN(Y88*$Q$4,-1),0)</f>
        <v>0</v>
      </c>
      <c r="AA89" s="124"/>
      <c r="AB89" s="125"/>
      <c r="AC89" s="127" t="n">
        <f aca="false">IF(ISERROR(VLOOKUP(C88,일용직명단!$A$3:$I$1226,7,FALSE())),0,VLOOKUP(C88,일용직명단!$A$3:$I$1226,7,FALSE()))</f>
        <v>0</v>
      </c>
      <c r="AD89" s="127"/>
      <c r="AE89" s="141"/>
      <c r="AF89" s="129"/>
      <c r="AG89" s="129"/>
      <c r="AH89" s="130"/>
      <c r="AI89" s="130" t="n">
        <f aca="false">IF($W88*F89&gt;150000,($W88*F89-150000)*6%*45%,0)</f>
        <v>0</v>
      </c>
      <c r="AJ89" s="130" t="n">
        <f aca="false">IF($W88*G89&gt;150000,($W88*G89-150000)*6%*45%,0)</f>
        <v>0</v>
      </c>
      <c r="AK89" s="130" t="n">
        <f aca="false">IF($W88*H89&gt;150000,($W88*H89-150000)*6%*45%,0)</f>
        <v>0</v>
      </c>
      <c r="AL89" s="130" t="n">
        <f aca="false">IF($W88*I89&gt;150000,($W88*I89-150000)*6%*45%,0)</f>
        <v>0</v>
      </c>
      <c r="AM89" s="130" t="n">
        <f aca="false">IF($W88*J89&gt;150000,($W88*J89-150000)*6%*45%,0)</f>
        <v>0</v>
      </c>
      <c r="AN89" s="130" t="n">
        <f aca="false">IF($W88*K89&gt;150000,($W88*K89-150000)*6%*45%,0)</f>
        <v>0</v>
      </c>
      <c r="AO89" s="130" t="n">
        <f aca="false">IF($W88*L89&gt;150000,($W88*L89-150000)*6%*45%,0)</f>
        <v>0</v>
      </c>
      <c r="AP89" s="130" t="n">
        <f aca="false">IF($W88*M89&gt;150000,($W88*M89-150000)*6%*45%,0)</f>
        <v>0</v>
      </c>
      <c r="AQ89" s="130" t="n">
        <f aca="false">IF($W88*N89&gt;150000,($W88*N89-150000)*6%*45%,0)</f>
        <v>0</v>
      </c>
      <c r="AR89" s="130" t="n">
        <f aca="false">IF($W88*O89&gt;150000,($W88*O89-150000)*6%*45%,0)</f>
        <v>0</v>
      </c>
      <c r="AS89" s="130" t="n">
        <f aca="false">IF($W88*P89&gt;150000,($W88*P89-150000)*6%*45%,0)</f>
        <v>0</v>
      </c>
      <c r="AT89" s="130" t="n">
        <f aca="false">IF($W88*Q89&gt;150000,($W88*Q89-150000)*6%*45%,0)</f>
        <v>0</v>
      </c>
      <c r="AU89" s="130" t="n">
        <f aca="false">IF($W88*R89&gt;150000,($W88*R89-150000)*6%*45%,0)</f>
        <v>0</v>
      </c>
      <c r="AV89" s="130" t="n">
        <f aca="false">IF($W88*S89&gt;150000,($W88*S89-150000)*6%*45%,0)</f>
        <v>0</v>
      </c>
      <c r="AW89" s="130" t="n">
        <f aca="false">IF($W88*T89&gt;150000,($W88*T89-150000)*6%*45%,0)</f>
        <v>0</v>
      </c>
      <c r="AX89" s="130" t="n">
        <f aca="false">IF($W88*U89&gt;150000,($W88*U89-150000)*6%*45%,0)</f>
        <v>0</v>
      </c>
      <c r="AY89" s="13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/>
      <c r="GD89" s="11"/>
      <c r="GE89" s="11"/>
      <c r="GF89" s="11"/>
      <c r="GG89" s="11"/>
      <c r="GH89" s="11"/>
      <c r="GI89" s="11"/>
      <c r="GJ89" s="11"/>
      <c r="GK89" s="11"/>
      <c r="GL89" s="11"/>
      <c r="GM89" s="11"/>
      <c r="GN89" s="11"/>
      <c r="GO89" s="11"/>
      <c r="GP89" s="11"/>
      <c r="GQ89" s="11"/>
      <c r="GR89" s="11"/>
      <c r="GS89" s="11"/>
      <c r="GT89" s="11"/>
      <c r="GU89" s="11"/>
      <c r="GV89" s="11"/>
      <c r="GW89" s="11"/>
      <c r="GX89" s="11"/>
      <c r="GY89" s="11"/>
      <c r="GZ89" s="11"/>
      <c r="HA89" s="11"/>
      <c r="HB89" s="11"/>
      <c r="HC89" s="11"/>
      <c r="HD89" s="11"/>
      <c r="HE89" s="11"/>
      <c r="HF89" s="11"/>
      <c r="HG89" s="11"/>
      <c r="HH89" s="11"/>
      <c r="HI89" s="11"/>
      <c r="HJ89" s="11"/>
      <c r="HK89" s="11"/>
      <c r="HL89" s="11"/>
      <c r="HM89" s="11"/>
      <c r="HN89" s="11"/>
      <c r="HO89" s="11"/>
      <c r="HP89" s="11"/>
      <c r="HQ89" s="11"/>
      <c r="HR89" s="11"/>
      <c r="HS89" s="11"/>
      <c r="HT89" s="11"/>
      <c r="HU89" s="11"/>
      <c r="HV89" s="11"/>
      <c r="HW89" s="11"/>
      <c r="HX89" s="11"/>
      <c r="HY89" s="11"/>
      <c r="HZ89" s="11"/>
      <c r="IA89" s="11"/>
      <c r="IB89" s="11"/>
      <c r="IC89" s="11"/>
      <c r="ID89" s="11"/>
      <c r="IE89" s="11"/>
      <c r="IF89" s="11"/>
      <c r="IG89" s="11"/>
      <c r="IH89" s="11"/>
      <c r="II89" s="11"/>
      <c r="IJ89" s="11"/>
      <c r="IK89" s="11"/>
      <c r="IL89" s="11"/>
      <c r="IM89" s="11"/>
      <c r="IN89" s="11"/>
      <c r="IO89" s="11"/>
      <c r="IP89" s="11"/>
      <c r="IQ89" s="11"/>
      <c r="IR89" s="11"/>
      <c r="IS89" s="11"/>
      <c r="IT89" s="11"/>
      <c r="IU89" s="11"/>
      <c r="IV89" s="11"/>
      <c r="IW89" s="11"/>
    </row>
    <row r="90" customFormat="false" ht="12.6" hidden="false" customHeight="true" outlineLevel="0" collapsed="false">
      <c r="A90" s="108" t="n">
        <f aca="false">A88+1</f>
        <v>26</v>
      </c>
      <c r="B90" s="142"/>
      <c r="C90" s="143"/>
      <c r="D90" s="311" t="n">
        <f aca="false">IF(ISERROR(VLOOKUP(C90,일용직명단!$A$3:$K$1246,3,FALSE())),0,VLOOKUP(C90,일용직명단!$A$3:$K$1246,3,FALSE()))</f>
        <v>0</v>
      </c>
      <c r="E90" s="140" t="n">
        <f aca="false">IF(ISERROR(VLOOKUP(C90,일용직명단!$A$3:$K$1246,4,FALSE())),0,VLOOKUP(C90,일용직명단!$A$3:$K$1246,4,FALSE()))</f>
        <v>0</v>
      </c>
      <c r="F90" s="192"/>
      <c r="G90" s="193"/>
      <c r="H90" s="191"/>
      <c r="I90" s="191"/>
      <c r="J90" s="192"/>
      <c r="K90" s="191"/>
      <c r="L90" s="192"/>
      <c r="M90" s="192"/>
      <c r="N90" s="193"/>
      <c r="O90" s="193"/>
      <c r="P90" s="192"/>
      <c r="Q90" s="193"/>
      <c r="R90" s="191"/>
      <c r="S90" s="193"/>
      <c r="T90" s="191"/>
      <c r="U90" s="194"/>
      <c r="V90" s="168" t="n">
        <f aca="false">SUM(F90:U91)</f>
        <v>0</v>
      </c>
      <c r="W90" s="121" t="n">
        <f aca="false">IF(ISERROR(VLOOKUP(C90,일용직명단!$A$3:$K$1246,8,FALSE())),0,VLOOKUP(C90,일용직명단!$A$3:$K$1246,8,FALSE()))</f>
        <v>0</v>
      </c>
      <c r="X90" s="123" t="n">
        <f aca="false">IFERROR(IF(AG90&gt;=65,0,ROUNDDOWN(W91*$Z$4,-1)),0)</f>
        <v>0</v>
      </c>
      <c r="Y90" s="123" t="n">
        <f aca="false">IF(AE90&gt;=8,ROUNDDOWN(W91*$M$4,-1),0)</f>
        <v>0</v>
      </c>
      <c r="Z90" s="123" t="n">
        <f aca="false">IFERROR(IF(AND(COUNT(F90:U91)&gt;=8,$AG90&lt;60,W91&lt;=5530000),ROUNDDOWN(ROUNDDOWN(W91,-3)*4.5%,-1),IF(AND(COUNT(F90:U91)&gt;=8,AG90&lt;60,W91&gt;5530000),248850,0)),0)</f>
        <v>0</v>
      </c>
      <c r="AA90" s="124" t="n">
        <f aca="false">+X90+Y90+X91+Y91+Z90+Z91</f>
        <v>0</v>
      </c>
      <c r="AB90" s="146" t="n">
        <f aca="false">W91-AA90</f>
        <v>0</v>
      </c>
      <c r="AC90" s="165" t="n">
        <f aca="false">IF(ISERROR(VLOOKUP(C90,일용직명단!$A$3:$I$1226,5,FALSE())),0,VLOOKUP(C90,일용직명단!$A$3:$I$1226,5,FALSE()))</f>
        <v>0</v>
      </c>
      <c r="AD90" s="166" t="n">
        <f aca="false">IF(ISERROR(VLOOKUP(C90,일용직명단!$A$3:$I$1226,6,FALSE())),0,VLOOKUP(C90,일용직명단!$A$3:$I$1226,6,FALSE()))</f>
        <v>0</v>
      </c>
      <c r="AE90" s="141" t="n">
        <f aca="false">COUNT(F90:U91)</f>
        <v>0</v>
      </c>
      <c r="AF90" s="169" t="str">
        <f aca="false">IF(OR(MID(D90,8,1)="1",MID(D90,8,1)="2"),19&amp;LEFT(D90,2),20&amp;LEFT(D90,2))&amp;"-"&amp;MID(D90,3,2)&amp;"-"&amp;MID(D90,5,2)</f>
        <v>200--</v>
      </c>
      <c r="AG90" s="169" t="e">
        <f aca="true">INT((TODAY()-AF90)/365.25)</f>
        <v>#VALUE!</v>
      </c>
      <c r="AH90" s="130" t="n">
        <f aca="false">ROUNDDOWN(SUM(AI90:AX91),-1)</f>
        <v>0</v>
      </c>
      <c r="AI90" s="130" t="n">
        <f aca="false">IF($W90*F90&gt;150000,($W90*F90-150000)*6%*45%,0)</f>
        <v>0</v>
      </c>
      <c r="AJ90" s="130" t="n">
        <f aca="false">IF($W90*G90&gt;150000,($W90*G90-150000)*6%*45%,0)</f>
        <v>0</v>
      </c>
      <c r="AK90" s="130" t="n">
        <f aca="false">IF($W90*H90&gt;150000,($W90*H90-150000)*6%*45%,0)</f>
        <v>0</v>
      </c>
      <c r="AL90" s="130" t="n">
        <f aca="false">IF($W90*I90&gt;150000,($W90*I90-150000)*6%*45%,0)</f>
        <v>0</v>
      </c>
      <c r="AM90" s="130" t="n">
        <f aca="false">IF($W90*J90&gt;150000,($W90*J90-150000)*6%*45%,0)</f>
        <v>0</v>
      </c>
      <c r="AN90" s="130" t="n">
        <f aca="false">IF($W90*K90&gt;150000,($W90*K90-150000)*6%*45%,0)</f>
        <v>0</v>
      </c>
      <c r="AO90" s="130" t="n">
        <f aca="false">IF($W90*L90&gt;150000,($W90*L90-150000)*6%*45%,0)</f>
        <v>0</v>
      </c>
      <c r="AP90" s="130" t="n">
        <f aca="false">IF($W90*M90&gt;150000,($W90*M90-150000)*6%*45%,0)</f>
        <v>0</v>
      </c>
      <c r="AQ90" s="130" t="n">
        <f aca="false">IF($W90*N90&gt;150000,($W90*N90-150000)*6%*45%,0)</f>
        <v>0</v>
      </c>
      <c r="AR90" s="130" t="n">
        <f aca="false">IF($W90*O90&gt;150000,($W90*O90-150000)*6%*45%,0)</f>
        <v>0</v>
      </c>
      <c r="AS90" s="130" t="n">
        <f aca="false">IF($W90*P90&gt;150000,($W90*P90-150000)*6%*45%,0)</f>
        <v>0</v>
      </c>
      <c r="AT90" s="130" t="n">
        <f aca="false">IF($W90*Q90&gt;150000,($W90*Q90-150000)*6%*45%,0)</f>
        <v>0</v>
      </c>
      <c r="AU90" s="130" t="n">
        <f aca="false">IF($W90*R90&gt;150000,($W90*R90-150000)*6%*45%,0)</f>
        <v>0</v>
      </c>
      <c r="AV90" s="130" t="n">
        <f aca="false">IF($W90*S90&gt;150000,($W90*S90-150000)*6%*45%,0)</f>
        <v>0</v>
      </c>
      <c r="AW90" s="130" t="n">
        <f aca="false">IF($W90*T90&gt;150000,($W90*T90-150000)*6%*45%,0)</f>
        <v>0</v>
      </c>
      <c r="AX90" s="130"/>
      <c r="AY90" s="131" t="n">
        <f aca="false">IF(ISERROR(VLOOKUP(C90,[26]일용직명단!$A$3:$M$1151,11,FALSE())),0,VLOOKUP(C90,[26]일용직명단!$A$3:$M$1151,11,FALSE()))</f>
        <v>0</v>
      </c>
      <c r="AZ90" s="11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</row>
    <row r="91" customFormat="false" ht="12.6" hidden="false" customHeight="true" outlineLevel="0" collapsed="false">
      <c r="A91" s="108"/>
      <c r="B91" s="142"/>
      <c r="C91" s="143"/>
      <c r="D91" s="311"/>
      <c r="E91" s="140" t="n">
        <f aca="false">IF(ISERROR(VLOOKUP(C90,일용직명단!$A$3:$K$1246,9,FALSE())),0,VLOOKUP(C90,일용직명단!$A$3:$K$1246,9,FALSE()))</f>
        <v>0</v>
      </c>
      <c r="F91" s="195"/>
      <c r="G91" s="196"/>
      <c r="H91" s="196"/>
      <c r="I91" s="193"/>
      <c r="J91" s="191"/>
      <c r="K91" s="193"/>
      <c r="L91" s="192"/>
      <c r="M91" s="197"/>
      <c r="N91" s="198"/>
      <c r="O91" s="199"/>
      <c r="P91" s="198"/>
      <c r="Q91" s="193"/>
      <c r="R91" s="192"/>
      <c r="S91" s="192"/>
      <c r="T91" s="192"/>
      <c r="U91" s="191"/>
      <c r="V91" s="168"/>
      <c r="W91" s="138" t="n">
        <f aca="false">W90*V90</f>
        <v>0</v>
      </c>
      <c r="X91" s="123" t="n">
        <f aca="false">IF(AH90&lt;1000,0,AH90)</f>
        <v>0</v>
      </c>
      <c r="Y91" s="123" t="n">
        <f aca="false">ROUNDDOWN(X91*10%,-1)</f>
        <v>0</v>
      </c>
      <c r="Z91" s="123" t="n">
        <f aca="false">IF(AE90&gt;=8,ROUNDDOWN(Y90*$Q$4,-1),0)</f>
        <v>0</v>
      </c>
      <c r="AA91" s="124"/>
      <c r="AB91" s="146"/>
      <c r="AC91" s="166" t="n">
        <f aca="false">IF(ISERROR(VLOOKUP(C90,일용직명단!$A$3:$I$1226,7,FALSE())),0,VLOOKUP(C90,일용직명단!$A$3:$I$1226,7,FALSE()))</f>
        <v>0</v>
      </c>
      <c r="AD91" s="166"/>
      <c r="AE91" s="141"/>
      <c r="AF91" s="169"/>
      <c r="AG91" s="169"/>
      <c r="AH91" s="130"/>
      <c r="AI91" s="130" t="n">
        <f aca="false">IF($W90*F91&gt;150000,($W90*F91-150000)*6%*45%,0)</f>
        <v>0</v>
      </c>
      <c r="AJ91" s="130" t="n">
        <f aca="false">IF($W90*G91&gt;150000,($W90*G91-150000)*6%*45%,0)</f>
        <v>0</v>
      </c>
      <c r="AK91" s="130" t="n">
        <f aca="false">IF($W90*H91&gt;150000,($W90*H91-150000)*6%*45%,0)</f>
        <v>0</v>
      </c>
      <c r="AL91" s="130" t="n">
        <f aca="false">IF($W90*I91&gt;150000,($W90*I91-150000)*6%*45%,0)</f>
        <v>0</v>
      </c>
      <c r="AM91" s="130" t="n">
        <f aca="false">IF($W90*J91&gt;150000,($W90*J91-150000)*6%*45%,0)</f>
        <v>0</v>
      </c>
      <c r="AN91" s="130" t="n">
        <f aca="false">IF($W90*K91&gt;150000,($W90*K91-150000)*6%*45%,0)</f>
        <v>0</v>
      </c>
      <c r="AO91" s="130" t="n">
        <f aca="false">IF($W90*L91&gt;150000,($W90*L91-150000)*6%*45%,0)</f>
        <v>0</v>
      </c>
      <c r="AP91" s="130" t="n">
        <f aca="false">IF($W90*M91&gt;150000,($W90*M91-150000)*6%*45%,0)</f>
        <v>0</v>
      </c>
      <c r="AQ91" s="130" t="n">
        <f aca="false">IF($W90*N91&gt;150000,($W90*N91-150000)*6%*45%,0)</f>
        <v>0</v>
      </c>
      <c r="AR91" s="130" t="n">
        <f aca="false">IF($W90*O91&gt;150000,($W90*O91-150000)*6%*45%,0)</f>
        <v>0</v>
      </c>
      <c r="AS91" s="130" t="n">
        <f aca="false">IF($W90*P91&gt;150000,($W90*P91-150000)*6%*45%,0)</f>
        <v>0</v>
      </c>
      <c r="AT91" s="130" t="n">
        <f aca="false">IF($W90*Q91&gt;150000,($W90*Q91-150000)*6%*45%,0)</f>
        <v>0</v>
      </c>
      <c r="AU91" s="130" t="n">
        <f aca="false">IF($W90*R91&gt;150000,($W90*R91-150000)*6%*45%,0)</f>
        <v>0</v>
      </c>
      <c r="AV91" s="130" t="n">
        <f aca="false">IF($W90*S91&gt;150000,($W90*S91-150000)*6%*45%,0)</f>
        <v>0</v>
      </c>
      <c r="AW91" s="130" t="n">
        <f aca="false">IF($W90*T91&gt;150000,($W90*T91-150000)*6%*45%,0)</f>
        <v>0</v>
      </c>
      <c r="AX91" s="130" t="n">
        <f aca="false">IF($W90*U91&gt;150000,($W90*U91-150000)*6%*45%,0)</f>
        <v>0</v>
      </c>
      <c r="AY91" s="131"/>
      <c r="AZ91" s="11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</row>
    <row r="92" customFormat="false" ht="12.6" hidden="false" customHeight="true" outlineLevel="0" collapsed="false">
      <c r="A92" s="108" t="n">
        <f aca="false">A90+1</f>
        <v>27</v>
      </c>
      <c r="B92" s="310" t="s">
        <v>93</v>
      </c>
      <c r="C92" s="143" t="s">
        <v>117</v>
      </c>
      <c r="D92" s="311" t="s">
        <v>118</v>
      </c>
      <c r="E92" s="140" t="n">
        <f aca="false">IF(ISERROR(VLOOKUP(C92,일용직명단!$A$3:$K$1246,4,FALSE())),0,VLOOKUP(C92,일용직명단!$A$3:$K$1246,4,FALSE()))</f>
        <v>0</v>
      </c>
      <c r="F92" s="192"/>
      <c r="G92" s="193"/>
      <c r="H92" s="191"/>
      <c r="I92" s="191"/>
      <c r="J92" s="192"/>
      <c r="K92" s="191"/>
      <c r="L92" s="192"/>
      <c r="M92" s="192"/>
      <c r="N92" s="193"/>
      <c r="O92" s="193"/>
      <c r="P92" s="192"/>
      <c r="Q92" s="193"/>
      <c r="R92" s="191"/>
      <c r="S92" s="193"/>
      <c r="T92" s="191"/>
      <c r="U92" s="194"/>
      <c r="V92" s="120" t="n">
        <f aca="false">SUM(F92:U93)</f>
        <v>0</v>
      </c>
      <c r="W92" s="121" t="n">
        <f aca="false">IF(ISERROR(VLOOKUP(C92,일용직명단!$A$3:$K$1246,8,FALSE())),0,VLOOKUP(C92,일용직명단!$A$3:$K$1246,8,FALSE()))</f>
        <v>0</v>
      </c>
      <c r="X92" s="122" t="n">
        <f aca="false">IFERROR(IF(AG92&gt;=65,0,ROUNDDOWN(W93*$Z$4,-1)),0)</f>
        <v>0</v>
      </c>
      <c r="Y92" s="122" t="n">
        <f aca="false">IF(AE92&gt;=8,ROUNDDOWN(W93*$M$4,-1),0)</f>
        <v>0</v>
      </c>
      <c r="Z92" s="123" t="n">
        <f aca="false">IFERROR(IF(AND(COUNT(F92:U93)&gt;=8,$AG92&lt;60,W93&lt;=5530000),ROUNDDOWN(ROUNDDOWN(W93,-3)*4.5%,-1),IF(AND(COUNT(F92:U93)&gt;=8,AG92&lt;60,W93&gt;5530000),248850,0)),0)</f>
        <v>0</v>
      </c>
      <c r="AA92" s="124" t="n">
        <f aca="false">+X92+Y92+X93+Y93+Z92+Z93</f>
        <v>0</v>
      </c>
      <c r="AB92" s="125" t="n">
        <f aca="false">W93-AA92</f>
        <v>0</v>
      </c>
      <c r="AC92" s="126" t="n">
        <f aca="false">IF(ISERROR(VLOOKUP(C92,일용직명단!$A$3:$I$1226,5,FALSE())),0,VLOOKUP(C92,일용직명단!$A$3:$I$1226,5,FALSE()))</f>
        <v>0</v>
      </c>
      <c r="AD92" s="127" t="n">
        <f aca="false">IF(ISERROR(VLOOKUP(C92,일용직명단!$A$3:$I$1226,6,FALSE())),0,VLOOKUP(C92,일용직명단!$A$3:$I$1226,6,FALSE()))</f>
        <v>0</v>
      </c>
      <c r="AE92" s="141" t="n">
        <f aca="false">COUNT(F92:U93)</f>
        <v>0</v>
      </c>
      <c r="AF92" s="129" t="str">
        <f aca="false">IF(OR(MID(D92,8,1)="1",MID(D92,8,1)="2"),19&amp;LEFT(D92,2),20&amp;LEFT(D92,2))&amp;"-"&amp;MID(D92,3,2)&amp;"-"&amp;MID(D92,5,2)</f>
        <v>20확인-요망-</v>
      </c>
      <c r="AG92" s="129" t="e">
        <f aca="true">INT((TODAY()-AF92)/365.25)</f>
        <v>#VALUE!</v>
      </c>
      <c r="AH92" s="130" t="n">
        <f aca="false">ROUNDDOWN(SUM(AI92:AX93),-1)</f>
        <v>0</v>
      </c>
      <c r="AI92" s="130" t="n">
        <f aca="false">IF($W92*F92&gt;150000,($W92*F92-150000)*6%*45%,0)</f>
        <v>0</v>
      </c>
      <c r="AJ92" s="130" t="n">
        <f aca="false">IF($W92*G92&gt;150000,($W92*G92-150000)*6%*45%,0)</f>
        <v>0</v>
      </c>
      <c r="AK92" s="130" t="n">
        <f aca="false">IF($W92*H92&gt;150000,($W92*H92-150000)*6%*45%,0)</f>
        <v>0</v>
      </c>
      <c r="AL92" s="130" t="n">
        <f aca="false">IF($W92*I92&gt;150000,($W92*I92-150000)*6%*45%,0)</f>
        <v>0</v>
      </c>
      <c r="AM92" s="130" t="n">
        <f aca="false">IF($W92*J92&gt;150000,($W92*J92-150000)*6%*45%,0)</f>
        <v>0</v>
      </c>
      <c r="AN92" s="130" t="n">
        <f aca="false">IF($W92*K92&gt;150000,($W92*K92-150000)*6%*45%,0)</f>
        <v>0</v>
      </c>
      <c r="AO92" s="130" t="n">
        <f aca="false">IF($W92*L92&gt;150000,($W92*L92-150000)*6%*45%,0)</f>
        <v>0</v>
      </c>
      <c r="AP92" s="130" t="n">
        <f aca="false">IF($W92*M92&gt;150000,($W92*M92-150000)*6%*45%,0)</f>
        <v>0</v>
      </c>
      <c r="AQ92" s="130" t="n">
        <f aca="false">IF($W92*N92&gt;150000,($W92*N92-150000)*6%*45%,0)</f>
        <v>0</v>
      </c>
      <c r="AR92" s="130" t="n">
        <f aca="false">IF($W92*O92&gt;150000,($W92*O92-150000)*6%*45%,0)</f>
        <v>0</v>
      </c>
      <c r="AS92" s="130" t="n">
        <f aca="false">IF($W92*P92&gt;150000,($W92*P92-150000)*6%*45%,0)</f>
        <v>0</v>
      </c>
      <c r="AT92" s="130" t="n">
        <f aca="false">IF($W92*Q92&gt;150000,($W92*Q92-150000)*6%*45%,0)</f>
        <v>0</v>
      </c>
      <c r="AU92" s="130" t="n">
        <f aca="false">IF($W92*R92&gt;150000,($W92*R92-150000)*6%*45%,0)</f>
        <v>0</v>
      </c>
      <c r="AV92" s="130" t="n">
        <f aca="false">IF($W92*S92&gt;150000,($W92*S92-150000)*6%*45%,0)</f>
        <v>0</v>
      </c>
      <c r="AW92" s="130" t="n">
        <f aca="false">IF($W92*T92&gt;150000,($W92*T92-150000)*6%*45%,0)</f>
        <v>0</v>
      </c>
      <c r="AX92" s="130"/>
      <c r="AY92" s="131" t="n">
        <f aca="false">IF(ISERROR(VLOOKUP(C92,[26]일용직명단!$A$3:$M$1151,11,FALSE())),0,VLOOKUP(C92,[26]일용직명단!$A$3:$M$1151,11,FALSE()))</f>
        <v>0</v>
      </c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A92" s="11"/>
      <c r="HB92" s="11"/>
      <c r="HC92" s="11"/>
      <c r="HD92" s="11"/>
      <c r="HE92" s="11"/>
      <c r="HF92" s="11"/>
      <c r="HG92" s="11"/>
      <c r="HH92" s="11"/>
      <c r="HI92" s="11"/>
      <c r="HJ92" s="11"/>
      <c r="HK92" s="11"/>
      <c r="HL92" s="11"/>
      <c r="HM92" s="11"/>
      <c r="HN92" s="11"/>
      <c r="HO92" s="11"/>
      <c r="HP92" s="11"/>
      <c r="HQ92" s="11"/>
      <c r="HR92" s="11"/>
      <c r="HS92" s="11"/>
      <c r="HT92" s="11"/>
      <c r="HU92" s="11"/>
      <c r="HV92" s="11"/>
      <c r="HW92" s="11"/>
      <c r="HX92" s="11"/>
      <c r="HY92" s="11"/>
      <c r="HZ92" s="11"/>
      <c r="IA92" s="11"/>
      <c r="IB92" s="11"/>
      <c r="IC92" s="11"/>
      <c r="ID92" s="11"/>
      <c r="IE92" s="11"/>
      <c r="IF92" s="11"/>
      <c r="IG92" s="11"/>
      <c r="IH92" s="11"/>
      <c r="II92" s="11"/>
      <c r="IJ92" s="11"/>
      <c r="IK92" s="11"/>
      <c r="IL92" s="11"/>
      <c r="IM92" s="11"/>
      <c r="IN92" s="11"/>
      <c r="IO92" s="11"/>
      <c r="IP92" s="11"/>
      <c r="IQ92" s="11"/>
      <c r="IR92" s="11"/>
      <c r="IS92" s="11"/>
      <c r="IT92" s="11"/>
      <c r="IU92" s="11"/>
      <c r="IV92" s="11"/>
      <c r="IW92" s="11"/>
    </row>
    <row r="93" customFormat="false" ht="12.6" hidden="false" customHeight="true" outlineLevel="0" collapsed="false">
      <c r="A93" s="108"/>
      <c r="B93" s="310"/>
      <c r="C93" s="143"/>
      <c r="D93" s="311"/>
      <c r="E93" s="140" t="n">
        <f aca="false">IF(ISERROR(VLOOKUP(C92,일용직명단!$A$3:$K$1246,9,FALSE())),0,VLOOKUP(C92,일용직명단!$A$3:$K$1246,9,FALSE()))</f>
        <v>0</v>
      </c>
      <c r="F93" s="195"/>
      <c r="G93" s="196"/>
      <c r="H93" s="196"/>
      <c r="I93" s="193"/>
      <c r="J93" s="191"/>
      <c r="K93" s="193"/>
      <c r="L93" s="192"/>
      <c r="M93" s="192"/>
      <c r="N93" s="193"/>
      <c r="O93" s="191"/>
      <c r="P93" s="193"/>
      <c r="Q93" s="193"/>
      <c r="R93" s="192"/>
      <c r="S93" s="192"/>
      <c r="T93" s="192"/>
      <c r="U93" s="191"/>
      <c r="V93" s="120"/>
      <c r="W93" s="138" t="n">
        <f aca="false">W92*V92</f>
        <v>0</v>
      </c>
      <c r="X93" s="122" t="n">
        <f aca="false">IF(AH92&lt;1000,0,AH92)</f>
        <v>0</v>
      </c>
      <c r="Y93" s="122" t="n">
        <f aca="false">ROUNDDOWN(X93*10%,-1)</f>
        <v>0</v>
      </c>
      <c r="Z93" s="123" t="n">
        <f aca="false">IF(AE92&gt;=8,ROUNDDOWN(Y92*$Q$4,-1),0)</f>
        <v>0</v>
      </c>
      <c r="AA93" s="124"/>
      <c r="AB93" s="125"/>
      <c r="AC93" s="127" t="n">
        <f aca="false">IF(ISERROR(VLOOKUP(C92,일용직명단!$A$3:$I$1226,7,FALSE())),0,VLOOKUP(C92,일용직명단!$A$3:$I$1226,7,FALSE()))</f>
        <v>0</v>
      </c>
      <c r="AD93" s="127"/>
      <c r="AE93" s="141"/>
      <c r="AF93" s="129"/>
      <c r="AG93" s="129"/>
      <c r="AH93" s="130"/>
      <c r="AI93" s="130" t="n">
        <f aca="false">IF($W92*F93&gt;150000,($W92*F93-150000)*6%*45%,0)</f>
        <v>0</v>
      </c>
      <c r="AJ93" s="130" t="n">
        <f aca="false">IF($W92*G93&gt;150000,($W92*G93-150000)*6%*45%,0)</f>
        <v>0</v>
      </c>
      <c r="AK93" s="130" t="n">
        <f aca="false">IF($W92*H93&gt;150000,($W92*H93-150000)*6%*45%,0)</f>
        <v>0</v>
      </c>
      <c r="AL93" s="130" t="n">
        <f aca="false">IF($W92*I93&gt;150000,($W92*I93-150000)*6%*45%,0)</f>
        <v>0</v>
      </c>
      <c r="AM93" s="130" t="n">
        <f aca="false">IF($W92*J93&gt;150000,($W92*J93-150000)*6%*45%,0)</f>
        <v>0</v>
      </c>
      <c r="AN93" s="130" t="n">
        <f aca="false">IF($W92*K93&gt;150000,($W92*K93-150000)*6%*45%,0)</f>
        <v>0</v>
      </c>
      <c r="AO93" s="130" t="n">
        <f aca="false">IF($W92*L93&gt;150000,($W92*L93-150000)*6%*45%,0)</f>
        <v>0</v>
      </c>
      <c r="AP93" s="130" t="n">
        <f aca="false">IF($W92*M93&gt;150000,($W92*M93-150000)*6%*45%,0)</f>
        <v>0</v>
      </c>
      <c r="AQ93" s="130" t="n">
        <f aca="false">IF($W92*N93&gt;150000,($W92*N93-150000)*6%*45%,0)</f>
        <v>0</v>
      </c>
      <c r="AR93" s="130" t="n">
        <f aca="false">IF($W92*O93&gt;150000,($W92*O93-150000)*6%*45%,0)</f>
        <v>0</v>
      </c>
      <c r="AS93" s="130" t="n">
        <f aca="false">IF($W92*P93&gt;150000,($W92*P93-150000)*6%*45%,0)</f>
        <v>0</v>
      </c>
      <c r="AT93" s="130" t="n">
        <f aca="false">IF($W92*Q93&gt;150000,($W92*Q93-150000)*6%*45%,0)</f>
        <v>0</v>
      </c>
      <c r="AU93" s="130" t="n">
        <f aca="false">IF($W92*R93&gt;150000,($W92*R93-150000)*6%*45%,0)</f>
        <v>0</v>
      </c>
      <c r="AV93" s="130" t="n">
        <f aca="false">IF($W92*S93&gt;150000,($W92*S93-150000)*6%*45%,0)</f>
        <v>0</v>
      </c>
      <c r="AW93" s="130" t="n">
        <f aca="false">IF($W92*T93&gt;150000,($W92*T93-150000)*6%*45%,0)</f>
        <v>0</v>
      </c>
      <c r="AX93" s="130" t="n">
        <f aca="false">IF($W92*U93&gt;150000,($W92*U93-150000)*6%*45%,0)</f>
        <v>0</v>
      </c>
      <c r="AY93" s="13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  <c r="IV93" s="11"/>
      <c r="IW93" s="11"/>
    </row>
    <row r="94" customFormat="false" ht="12.6" hidden="false" customHeight="true" outlineLevel="0" collapsed="false">
      <c r="A94" s="108" t="n">
        <f aca="false">A92+1</f>
        <v>28</v>
      </c>
      <c r="B94" s="159"/>
      <c r="C94" s="139"/>
      <c r="D94" s="311" t="n">
        <f aca="false">IF(ISERROR(VLOOKUP(C94,일용직명단!$A$3:$K$1246,3,FALSE())),0,VLOOKUP(C94,일용직명단!$A$3:$K$1246,3,FALSE()))</f>
        <v>0</v>
      </c>
      <c r="E94" s="200" t="n">
        <f aca="false">IF(ISERROR(VLOOKUP(C94,일용직명단!$A$3:$K$1246,4,FALSE())),0,VLOOKUP(C94,일용직명단!$A$3:$K$1246,4,FALSE()))</f>
        <v>0</v>
      </c>
      <c r="F94" s="192"/>
      <c r="G94" s="193"/>
      <c r="H94" s="191"/>
      <c r="I94" s="191"/>
      <c r="J94" s="192"/>
      <c r="K94" s="191"/>
      <c r="L94" s="192"/>
      <c r="M94" s="192"/>
      <c r="N94" s="193"/>
      <c r="O94" s="193"/>
      <c r="P94" s="192"/>
      <c r="Q94" s="193"/>
      <c r="R94" s="191"/>
      <c r="S94" s="193"/>
      <c r="T94" s="191"/>
      <c r="U94" s="194"/>
      <c r="V94" s="120" t="n">
        <f aca="false">SUM(F94:U95)</f>
        <v>0</v>
      </c>
      <c r="W94" s="121" t="n">
        <f aca="false">IF(ISERROR(VLOOKUP(C94,일용직명단!$A$3:$K$1246,8,FALSE())),0,VLOOKUP(C94,일용직명단!$A$3:$K$1246,8,FALSE()))</f>
        <v>0</v>
      </c>
      <c r="X94" s="177" t="n">
        <f aca="false">IFERROR(IF(AG94&gt;=65,0,ROUNDDOWN(W95*$Z$4,-1)),0)</f>
        <v>0</v>
      </c>
      <c r="Y94" s="177" t="n">
        <f aca="false">IF(AE94&gt;=8,ROUNDDOWN(W95*$M$4,-1),0)</f>
        <v>0</v>
      </c>
      <c r="Z94" s="177" t="n">
        <f aca="false">IFERROR(IF(AND(COUNT(F94:U95)&gt;=8,$AG94&lt;60,W95&lt;=5530000),ROUNDDOWN(ROUNDDOWN(W95,-3)*4.5%,-1),IF(AND(COUNT(F94:U95)&gt;=8,AG94&lt;60,W95&gt;5530000),248850,0)),0)</f>
        <v>0</v>
      </c>
      <c r="AA94" s="124" t="n">
        <f aca="false">+X94+Y94+X95+Y95+Z94+Z95</f>
        <v>0</v>
      </c>
      <c r="AB94" s="125" t="n">
        <f aca="false">W95-AA94</f>
        <v>0</v>
      </c>
      <c r="AC94" s="178" t="n">
        <f aca="false">IF(ISERROR(VLOOKUP(C94,일용직명단!$A$3:$I$1226,5,FALSE())),0,VLOOKUP(C94,일용직명단!$A$3:$I$1226,5,FALSE()))</f>
        <v>0</v>
      </c>
      <c r="AD94" s="179" t="n">
        <f aca="false">IF(ISERROR(VLOOKUP(C94,일용직명단!$A$3:$I$1226,6,FALSE())),0,VLOOKUP(C94,일용직명단!$A$3:$I$1226,6,FALSE()))</f>
        <v>0</v>
      </c>
      <c r="AE94" s="141" t="n">
        <f aca="false">COUNT(F94:U95)</f>
        <v>0</v>
      </c>
      <c r="AF94" s="129" t="str">
        <f aca="false">IF(OR(MID(D94,8,1)="1",MID(D94,8,1)="2"),19&amp;LEFT(D94,2),20&amp;LEFT(D94,2))&amp;"-"&amp;MID(D94,3,2)&amp;"-"&amp;MID(D94,5,2)</f>
        <v>200--</v>
      </c>
      <c r="AG94" s="129" t="e">
        <f aca="true">INT((TODAY()-AF94)/365.25)</f>
        <v>#VALUE!</v>
      </c>
      <c r="AH94" s="161" t="n">
        <f aca="false">ROUNDDOWN(SUM(AI94:AX95),-1)</f>
        <v>0</v>
      </c>
      <c r="AI94" s="130" t="n">
        <f aca="false">IF($W94*F94&gt;150000,($W94*F94-150000)*6%*45%,0)</f>
        <v>0</v>
      </c>
      <c r="AJ94" s="130" t="n">
        <f aca="false">IF($W94*G94&gt;150000,($W94*G94-150000)*6%*45%,0)</f>
        <v>0</v>
      </c>
      <c r="AK94" s="130" t="n">
        <f aca="false">IF($W94*H94&gt;150000,($W94*H94-150000)*6%*45%,0)</f>
        <v>0</v>
      </c>
      <c r="AL94" s="130" t="n">
        <f aca="false">IF($W94*I94&gt;150000,($W94*I94-150000)*6%*45%,0)</f>
        <v>0</v>
      </c>
      <c r="AM94" s="130" t="n">
        <f aca="false">IF($W94*J94&gt;150000,($W94*J94-150000)*6%*45%,0)</f>
        <v>0</v>
      </c>
      <c r="AN94" s="130" t="n">
        <f aca="false">IF($W94*K94&gt;150000,($W94*K94-150000)*6%*45%,0)</f>
        <v>0</v>
      </c>
      <c r="AO94" s="130" t="n">
        <f aca="false">IF($W94*L94&gt;150000,($W94*L94-150000)*6%*45%,0)</f>
        <v>0</v>
      </c>
      <c r="AP94" s="130" t="n">
        <f aca="false">IF($W94*M94&gt;150000,($W94*M94-150000)*6%*45%,0)</f>
        <v>0</v>
      </c>
      <c r="AQ94" s="130" t="n">
        <f aca="false">IF($W94*N94&gt;150000,($W94*N94-150000)*6%*45%,0)</f>
        <v>0</v>
      </c>
      <c r="AR94" s="130" t="n">
        <f aca="false">IF($W94*O94&gt;150000,($W94*O94-150000)*6%*45%,0)</f>
        <v>0</v>
      </c>
      <c r="AS94" s="130" t="n">
        <f aca="false">IF($W94*P94&gt;150000,($W94*P94-150000)*6%*45%,0)</f>
        <v>0</v>
      </c>
      <c r="AT94" s="130" t="n">
        <f aca="false">IF($W94*Q94&gt;150000,($W94*Q94-150000)*6%*45%,0)</f>
        <v>0</v>
      </c>
      <c r="AU94" s="130" t="n">
        <f aca="false">IF($W94*R94&gt;150000,($W94*R94-150000)*6%*45%,0)</f>
        <v>0</v>
      </c>
      <c r="AV94" s="130" t="n">
        <f aca="false">IF($W94*S94&gt;150000,($W94*S94-150000)*6%*45%,0)</f>
        <v>0</v>
      </c>
      <c r="AW94" s="130" t="n">
        <f aca="false">IF($W94*T94&gt;150000,($W94*T94-150000)*6%*45%,0)</f>
        <v>0</v>
      </c>
      <c r="AX94" s="130"/>
      <c r="AY94" s="162" t="n">
        <f aca="false">IF(ISERROR(VLOOKUP(C94,[27]일용직명단!$A$3:$M$1151,11,FALSE())),0,VLOOKUP(C94,[27]일용직명단!$A$3:$M$1151,11,FALSE()))</f>
        <v>0</v>
      </c>
      <c r="AZ94" s="163"/>
      <c r="BA94" s="163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</row>
    <row r="95" customFormat="false" ht="12.6" hidden="false" customHeight="true" outlineLevel="0" collapsed="false">
      <c r="A95" s="108"/>
      <c r="B95" s="159"/>
      <c r="C95" s="139"/>
      <c r="D95" s="311"/>
      <c r="E95" s="200" t="n">
        <f aca="false">IF(ISERROR(VLOOKUP(C94,일용직명단!$A$3:$K$1246,9,FALSE())),0,VLOOKUP(C94,일용직명단!$A$3:$K$1246,9,FALSE()))</f>
        <v>0</v>
      </c>
      <c r="F95" s="195"/>
      <c r="G95" s="196"/>
      <c r="H95" s="196"/>
      <c r="I95" s="193"/>
      <c r="J95" s="191"/>
      <c r="K95" s="193"/>
      <c r="L95" s="192"/>
      <c r="M95" s="192"/>
      <c r="N95" s="193"/>
      <c r="O95" s="191"/>
      <c r="P95" s="193"/>
      <c r="Q95" s="193"/>
      <c r="R95" s="192"/>
      <c r="S95" s="192"/>
      <c r="T95" s="192"/>
      <c r="U95" s="191"/>
      <c r="V95" s="120"/>
      <c r="W95" s="138" t="n">
        <f aca="false">W94*V94</f>
        <v>0</v>
      </c>
      <c r="X95" s="177" t="n">
        <f aca="false">IF(AH94&lt;1000,0,AH94)</f>
        <v>0</v>
      </c>
      <c r="Y95" s="177" t="n">
        <f aca="false">ROUNDDOWN(X95*10%,-1)</f>
        <v>0</v>
      </c>
      <c r="Z95" s="177" t="n">
        <f aca="false">IF(AE94&gt;=8,ROUNDDOWN(Y94*$Q$4,-1),0)</f>
        <v>0</v>
      </c>
      <c r="AA95" s="124"/>
      <c r="AB95" s="125"/>
      <c r="AC95" s="179" t="n">
        <f aca="false">IF(ISERROR(VLOOKUP(C94,일용직명단!$A$3:$I$1226,7,FALSE())),0,VLOOKUP(C94,일용직명단!$A$3:$I$1226,7,FALSE()))</f>
        <v>0</v>
      </c>
      <c r="AD95" s="179"/>
      <c r="AE95" s="141"/>
      <c r="AF95" s="129"/>
      <c r="AG95" s="129"/>
      <c r="AH95" s="161"/>
      <c r="AI95" s="130" t="n">
        <f aca="false">IF($W94*F95&gt;150000,($W94*F95-150000)*6%*45%,0)</f>
        <v>0</v>
      </c>
      <c r="AJ95" s="130" t="n">
        <f aca="false">IF($W94*G95&gt;150000,($W94*G95-150000)*6%*45%,0)</f>
        <v>0</v>
      </c>
      <c r="AK95" s="130" t="n">
        <f aca="false">IF($W94*H95&gt;150000,($W94*H95-150000)*6%*45%,0)</f>
        <v>0</v>
      </c>
      <c r="AL95" s="130" t="n">
        <f aca="false">IF($W94*I95&gt;150000,($W94*I95-150000)*6%*45%,0)</f>
        <v>0</v>
      </c>
      <c r="AM95" s="130" t="n">
        <f aca="false">IF($W94*J95&gt;150000,($W94*J95-150000)*6%*45%,0)</f>
        <v>0</v>
      </c>
      <c r="AN95" s="130" t="n">
        <f aca="false">IF($W94*K95&gt;150000,($W94*K95-150000)*6%*45%,0)</f>
        <v>0</v>
      </c>
      <c r="AO95" s="130" t="n">
        <f aca="false">IF($W94*L95&gt;150000,($W94*L95-150000)*6%*45%,0)</f>
        <v>0</v>
      </c>
      <c r="AP95" s="130" t="n">
        <f aca="false">IF($W94*M95&gt;150000,($W94*M95-150000)*6%*45%,0)</f>
        <v>0</v>
      </c>
      <c r="AQ95" s="130" t="n">
        <f aca="false">IF($W94*N95&gt;150000,($W94*N95-150000)*6%*45%,0)</f>
        <v>0</v>
      </c>
      <c r="AR95" s="130" t="n">
        <f aca="false">IF($W94*O95&gt;150000,($W94*O95-150000)*6%*45%,0)</f>
        <v>0</v>
      </c>
      <c r="AS95" s="130" t="n">
        <f aca="false">IF($W94*P95&gt;150000,($W94*P95-150000)*6%*45%,0)</f>
        <v>0</v>
      </c>
      <c r="AT95" s="130" t="n">
        <f aca="false">IF($W94*Q95&gt;150000,($W94*Q95-150000)*6%*45%,0)</f>
        <v>0</v>
      </c>
      <c r="AU95" s="130" t="n">
        <f aca="false">IF($W94*R95&gt;150000,($W94*R95-150000)*6%*45%,0)</f>
        <v>0</v>
      </c>
      <c r="AV95" s="130" t="n">
        <f aca="false">IF($W94*S95&gt;150000,($W94*S95-150000)*6%*45%,0)</f>
        <v>0</v>
      </c>
      <c r="AW95" s="130" t="n">
        <f aca="false">IF($W94*T95&gt;150000,($W94*T95-150000)*6%*45%,0)</f>
        <v>0</v>
      </c>
      <c r="AX95" s="130" t="n">
        <f aca="false">IF($W94*U95&gt;150000,($W94*U95-150000)*6%*45%,0)</f>
        <v>0</v>
      </c>
      <c r="AY95" s="162"/>
      <c r="AZ95" s="163"/>
      <c r="BA95" s="163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</row>
    <row r="96" customFormat="false" ht="11.25" hidden="true" customHeight="true" outlineLevel="0" collapsed="false">
      <c r="A96" s="108" t="n">
        <f aca="false">A94+1</f>
        <v>29</v>
      </c>
      <c r="B96" s="142" t="n">
        <f aca="false">IF(ISERROR(VLOOKUP(C96,일용직명단!$A$3:$I$104,2,FALSE())),0,VLOOKUP(C96,일용직명단!$A$3:$I$104,2,FALSE()))</f>
        <v>0</v>
      </c>
      <c r="C96" s="143"/>
      <c r="D96" s="311" t="n">
        <f aca="false">IF(ISERROR(VLOOKUP(C96,일용직명단!$A$3:$K$1246,3,FALSE())),0,VLOOKUP(C96,일용직명단!$A$3:$K$1246,3,FALSE()))</f>
        <v>0</v>
      </c>
      <c r="E96" s="112" t="n">
        <f aca="false">IF(ISERROR(VLOOKUP(C96,일용직명단!$A$3:$K$1246,4,FALSE())),0,VLOOKUP(C96,일용직명단!$A$3:$K$1246,4,FALSE()))</f>
        <v>0</v>
      </c>
      <c r="F96" s="192"/>
      <c r="G96" s="193"/>
      <c r="H96" s="191"/>
      <c r="I96" s="191"/>
      <c r="J96" s="192"/>
      <c r="K96" s="191"/>
      <c r="L96" s="192"/>
      <c r="M96" s="192"/>
      <c r="N96" s="193"/>
      <c r="O96" s="193"/>
      <c r="P96" s="192"/>
      <c r="Q96" s="193"/>
      <c r="R96" s="191"/>
      <c r="S96" s="193"/>
      <c r="T96" s="191"/>
      <c r="U96" s="194"/>
      <c r="V96" s="120" t="n">
        <f aca="false">SUM(F96:U97)</f>
        <v>0</v>
      </c>
      <c r="W96" s="201" t="n">
        <f aca="false">IF(ISERROR(VLOOKUP(C96,일용직명단!$A$3:$K$1246,8,FALSE())),0,VLOOKUP(C96,일용직명단!$A$3:$K$1246,8,FALSE()))</f>
        <v>0</v>
      </c>
      <c r="X96" s="122" t="n">
        <f aca="false">IFERROR(IF(AG96&gt;=65,0,ROUNDDOWN(W97*$Z$4,-1)),0)</f>
        <v>0</v>
      </c>
      <c r="Y96" s="122" t="n">
        <f aca="false">IF(AE96&gt;=8,ROUNDDOWN(W97*$M$4,-1),0)</f>
        <v>0</v>
      </c>
      <c r="Z96" s="122" t="n">
        <f aca="false">IFERROR(IF(AND(COUNT(F96:U97)&gt;=8,$AG96&lt;60,W97&lt;=5530000),ROUNDDOWN(ROUNDDOWN(W97,-3)*4.5%,-1),IF(AND(COUNT(F96:U97)&gt;=8,AG96&lt;60,W97&gt;5530000),248850,0)),0)</f>
        <v>0</v>
      </c>
      <c r="AA96" s="124" t="n">
        <f aca="false">+X96+Y96+X97+Y97+Z96+Z97</f>
        <v>0</v>
      </c>
      <c r="AB96" s="125" t="n">
        <f aca="false">W97-AA96</f>
        <v>0</v>
      </c>
      <c r="AC96" s="175" t="n">
        <f aca="false">IF(ISERROR(VLOOKUP(C96,일용직명단!$A$3:$I$1226,5,FALSE())),0,VLOOKUP(C96,일용직명단!$A$3:$I$1226,5,FALSE()))</f>
        <v>0</v>
      </c>
      <c r="AD96" s="176" t="n">
        <f aca="false">IF(ISERROR(VLOOKUP(C96,일용직명단!$A$3:$I$1226,6,FALSE())),0,VLOOKUP(C96,일용직명단!$A$3:$I$1226,6,FALSE()))</f>
        <v>0</v>
      </c>
      <c r="AE96" s="128" t="n">
        <f aca="false">COUNT(F96:U97)</f>
        <v>0</v>
      </c>
      <c r="AF96" s="129" t="str">
        <f aca="false">IF(OR(MID(D96,8,1)="1",MID(D96,8,1)="2"),19&amp;LEFT(D96,2),20&amp;LEFT(D96,2))&amp;"-"&amp;MID(D96,3,2)&amp;"-"&amp;MID(D96,5,2)</f>
        <v>200--</v>
      </c>
      <c r="AG96" s="129" t="e">
        <f aca="true">INT((TODAY()-AF96)/365.25)</f>
        <v>#VALUE!</v>
      </c>
      <c r="AH96" s="130" t="n">
        <f aca="false">ROUNDDOWN(SUM(AI96:AX97),-1)</f>
        <v>0</v>
      </c>
      <c r="AI96" s="130" t="n">
        <f aca="false">IF($W96*F96&gt;150000,($W96*F96-150000)*6%*45%,0)</f>
        <v>0</v>
      </c>
      <c r="AJ96" s="130" t="n">
        <f aca="false">IF($W96*G96&gt;150000,($W96*G96-150000)*6%*45%,0)</f>
        <v>0</v>
      </c>
      <c r="AK96" s="130" t="n">
        <f aca="false">IF($W96*H96&gt;150000,($W96*H96-150000)*6%*45%,0)</f>
        <v>0</v>
      </c>
      <c r="AL96" s="130" t="n">
        <f aca="false">IF($W96*I96&gt;150000,($W96*I96-150000)*6%*45%,0)</f>
        <v>0</v>
      </c>
      <c r="AM96" s="130" t="n">
        <f aca="false">IF($W96*J96&gt;150000,($W96*J96-150000)*6%*45%,0)</f>
        <v>0</v>
      </c>
      <c r="AN96" s="130" t="n">
        <f aca="false">IF($W96*K96&gt;150000,($W96*K96-150000)*6%*45%,0)</f>
        <v>0</v>
      </c>
      <c r="AO96" s="130" t="n">
        <f aca="false">IF($W96*L96&gt;150000,($W96*L96-150000)*6%*45%,0)</f>
        <v>0</v>
      </c>
      <c r="AP96" s="130" t="n">
        <f aca="false">IF($W96*M96&gt;150000,($W96*M96-150000)*6%*45%,0)</f>
        <v>0</v>
      </c>
      <c r="AQ96" s="130" t="n">
        <f aca="false">IF($W96*N96&gt;150000,($W96*N96-150000)*6%*45%,0)</f>
        <v>0</v>
      </c>
      <c r="AR96" s="130" t="n">
        <f aca="false">IF($W96*O96&gt;150000,($W96*O96-150000)*6%*45%,0)</f>
        <v>0</v>
      </c>
      <c r="AS96" s="130" t="n">
        <f aca="false">IF($W96*P96&gt;150000,($W96*P96-150000)*6%*45%,0)</f>
        <v>0</v>
      </c>
      <c r="AT96" s="130" t="n">
        <f aca="false">IF($W96*Q96&gt;150000,($W96*Q96-150000)*6%*45%,0)</f>
        <v>0</v>
      </c>
      <c r="AU96" s="130" t="n">
        <f aca="false">IF($W96*R96&gt;150000,($W96*R96-150000)*6%*45%,0)</f>
        <v>0</v>
      </c>
      <c r="AV96" s="130" t="n">
        <f aca="false">IF($W96*S96&gt;150000,($W96*S96-150000)*6%*45%,0)</f>
        <v>0</v>
      </c>
      <c r="AW96" s="130" t="n">
        <f aca="false">IF($W96*T96&gt;150000,($W96*T96-150000)*6%*45%,0)</f>
        <v>0</v>
      </c>
      <c r="AX96" s="130"/>
      <c r="AY96" s="131" t="n">
        <f aca="false">IF(ISERROR(VLOOKUP(C96,[26]일용직명단!$A$3:$M$1151,11,FALSE())),0,VLOOKUP(C96,[26]일용직명단!$A$3:$M$1151,11,FALSE()))</f>
        <v>0</v>
      </c>
      <c r="AZ96" s="11"/>
      <c r="BA96" s="167"/>
      <c r="BB96" s="167"/>
      <c r="BC96" s="167"/>
      <c r="BD96" s="167"/>
      <c r="BE96" s="167"/>
      <c r="BF96" s="167"/>
      <c r="BG96" s="167"/>
      <c r="BH96" s="167"/>
      <c r="BI96" s="167"/>
      <c r="BJ96" s="167"/>
      <c r="BK96" s="167"/>
      <c r="BL96" s="167"/>
      <c r="BM96" s="167"/>
      <c r="BN96" s="167"/>
      <c r="BO96" s="167"/>
      <c r="BP96" s="167"/>
      <c r="BQ96" s="167"/>
      <c r="BR96" s="167"/>
      <c r="BS96" s="167"/>
      <c r="BT96" s="167"/>
      <c r="BU96" s="167"/>
      <c r="BV96" s="167"/>
      <c r="BW96" s="167"/>
      <c r="BX96" s="167"/>
      <c r="BY96" s="167"/>
      <c r="BZ96" s="167"/>
      <c r="CA96" s="167"/>
      <c r="CB96" s="167"/>
      <c r="CC96" s="167"/>
      <c r="CD96" s="167"/>
      <c r="CE96" s="167"/>
      <c r="CF96" s="167"/>
      <c r="CG96" s="167"/>
      <c r="CH96" s="167"/>
      <c r="CI96" s="167"/>
      <c r="CJ96" s="167"/>
      <c r="CK96" s="167"/>
      <c r="CL96" s="167"/>
      <c r="CM96" s="167"/>
      <c r="CN96" s="167"/>
      <c r="CO96" s="167"/>
      <c r="CP96" s="167"/>
      <c r="CQ96" s="167"/>
      <c r="CR96" s="167"/>
      <c r="CS96" s="167"/>
      <c r="CT96" s="167"/>
      <c r="CU96" s="167"/>
      <c r="CV96" s="167"/>
      <c r="CW96" s="167"/>
      <c r="CX96" s="167"/>
      <c r="CY96" s="167"/>
      <c r="CZ96" s="167"/>
      <c r="DA96" s="167"/>
      <c r="DB96" s="167"/>
      <c r="DC96" s="167"/>
      <c r="DD96" s="167"/>
      <c r="DE96" s="167"/>
      <c r="DF96" s="167"/>
      <c r="DG96" s="167"/>
      <c r="DH96" s="167"/>
      <c r="DI96" s="167"/>
      <c r="DJ96" s="167"/>
      <c r="DK96" s="167"/>
      <c r="DL96" s="167"/>
      <c r="DM96" s="167"/>
      <c r="DN96" s="167"/>
      <c r="DO96" s="167"/>
      <c r="DP96" s="167"/>
      <c r="DQ96" s="167"/>
      <c r="DR96" s="167"/>
      <c r="DS96" s="167"/>
      <c r="DT96" s="167"/>
      <c r="DU96" s="167"/>
      <c r="DV96" s="167"/>
      <c r="DW96" s="167"/>
      <c r="DX96" s="167"/>
      <c r="DY96" s="167"/>
      <c r="DZ96" s="167"/>
      <c r="EA96" s="167"/>
      <c r="EB96" s="167"/>
      <c r="EC96" s="167"/>
      <c r="ED96" s="167"/>
      <c r="EE96" s="167"/>
      <c r="EF96" s="167"/>
      <c r="EG96" s="167"/>
      <c r="EH96" s="167"/>
      <c r="EI96" s="167"/>
      <c r="EJ96" s="167"/>
      <c r="EK96" s="167"/>
      <c r="EL96" s="167"/>
      <c r="EM96" s="167"/>
      <c r="EN96" s="167"/>
      <c r="EO96" s="167"/>
      <c r="EP96" s="167"/>
      <c r="EQ96" s="167"/>
      <c r="ER96" s="167"/>
      <c r="ES96" s="167"/>
      <c r="ET96" s="167"/>
      <c r="EU96" s="167"/>
      <c r="EV96" s="167"/>
      <c r="EW96" s="167"/>
      <c r="EX96" s="167"/>
      <c r="EY96" s="167"/>
      <c r="EZ96" s="167"/>
      <c r="FA96" s="167"/>
      <c r="FB96" s="167"/>
      <c r="FC96" s="167"/>
      <c r="FD96" s="167"/>
      <c r="FE96" s="167"/>
      <c r="FF96" s="167"/>
      <c r="FG96" s="167"/>
      <c r="FH96" s="167"/>
      <c r="FI96" s="167"/>
      <c r="FJ96" s="167"/>
      <c r="FK96" s="167"/>
      <c r="FL96" s="167"/>
      <c r="FM96" s="167"/>
      <c r="FN96" s="167"/>
      <c r="FO96" s="167"/>
      <c r="FP96" s="167"/>
      <c r="FQ96" s="167"/>
      <c r="FR96" s="167"/>
      <c r="FS96" s="167"/>
      <c r="FT96" s="167"/>
      <c r="FU96" s="167"/>
      <c r="FV96" s="167"/>
      <c r="FW96" s="167"/>
      <c r="FX96" s="167"/>
      <c r="FY96" s="167"/>
      <c r="FZ96" s="167"/>
      <c r="GA96" s="167"/>
      <c r="GB96" s="167"/>
      <c r="GC96" s="167"/>
      <c r="GD96" s="167"/>
      <c r="GE96" s="167"/>
      <c r="GF96" s="167"/>
      <c r="GG96" s="167"/>
      <c r="GH96" s="167"/>
      <c r="GI96" s="167"/>
      <c r="GJ96" s="167"/>
      <c r="GK96" s="167"/>
      <c r="GL96" s="167"/>
      <c r="GM96" s="167"/>
      <c r="GN96" s="167"/>
      <c r="GO96" s="167"/>
      <c r="GP96" s="167"/>
      <c r="GQ96" s="167"/>
      <c r="GR96" s="167"/>
      <c r="GS96" s="167"/>
      <c r="GT96" s="167"/>
      <c r="GU96" s="167"/>
      <c r="GV96" s="167"/>
      <c r="GW96" s="167"/>
      <c r="GX96" s="167"/>
      <c r="GY96" s="167"/>
      <c r="GZ96" s="167"/>
      <c r="HA96" s="167"/>
      <c r="HB96" s="167"/>
      <c r="HC96" s="167"/>
      <c r="HD96" s="167"/>
      <c r="HE96" s="167"/>
      <c r="HF96" s="167"/>
      <c r="HG96" s="167"/>
      <c r="HH96" s="167"/>
      <c r="HI96" s="167"/>
      <c r="HJ96" s="167"/>
      <c r="HK96" s="167"/>
      <c r="HL96" s="167"/>
      <c r="HM96" s="167"/>
      <c r="HN96" s="167"/>
      <c r="HO96" s="167"/>
      <c r="HP96" s="167"/>
      <c r="HQ96" s="167"/>
      <c r="HR96" s="167"/>
      <c r="HS96" s="167"/>
      <c r="HT96" s="167"/>
      <c r="HU96" s="167"/>
      <c r="HV96" s="167"/>
      <c r="HW96" s="167"/>
      <c r="HX96" s="167"/>
      <c r="HY96" s="167"/>
      <c r="HZ96" s="167"/>
      <c r="IA96" s="167"/>
      <c r="IB96" s="167"/>
      <c r="IC96" s="167"/>
      <c r="ID96" s="167"/>
      <c r="IE96" s="167"/>
      <c r="IF96" s="167"/>
      <c r="IG96" s="167"/>
      <c r="IH96" s="167"/>
      <c r="II96" s="167"/>
      <c r="IJ96" s="167"/>
      <c r="IK96" s="167"/>
      <c r="IL96" s="167"/>
      <c r="IM96" s="167"/>
      <c r="IN96" s="167"/>
      <c r="IO96" s="167"/>
      <c r="IP96" s="167"/>
      <c r="IQ96" s="167"/>
      <c r="IR96" s="167"/>
      <c r="IS96" s="167"/>
      <c r="IT96" s="167"/>
      <c r="IU96" s="167"/>
      <c r="IV96" s="167"/>
      <c r="IW96" s="167"/>
    </row>
    <row r="97" customFormat="false" ht="11.25" hidden="true" customHeight="true" outlineLevel="0" collapsed="false">
      <c r="A97" s="108"/>
      <c r="B97" s="142"/>
      <c r="C97" s="143"/>
      <c r="D97" s="311"/>
      <c r="E97" s="112" t="n">
        <f aca="false">IF(ISERROR(VLOOKUP(C96,일용직명단!$A$3:$K$1246,9,FALSE())),0,VLOOKUP(C96,일용직명단!$A$3:$K$1246,9,FALSE()))</f>
        <v>0</v>
      </c>
      <c r="F97" s="195"/>
      <c r="G97" s="196"/>
      <c r="H97" s="196"/>
      <c r="I97" s="193"/>
      <c r="J97" s="191"/>
      <c r="K97" s="193"/>
      <c r="L97" s="192"/>
      <c r="M97" s="192"/>
      <c r="N97" s="193"/>
      <c r="O97" s="191"/>
      <c r="P97" s="193"/>
      <c r="Q97" s="193"/>
      <c r="R97" s="192"/>
      <c r="S97" s="192"/>
      <c r="T97" s="192"/>
      <c r="U97" s="191"/>
      <c r="V97" s="120"/>
      <c r="W97" s="202" t="n">
        <f aca="false">W96*V96</f>
        <v>0</v>
      </c>
      <c r="X97" s="122" t="n">
        <f aca="false">IF(AH96&lt;1000,0,AH96)</f>
        <v>0</v>
      </c>
      <c r="Y97" s="122" t="n">
        <f aca="false">ROUNDDOWN(X97*10%,-1)</f>
        <v>0</v>
      </c>
      <c r="Z97" s="122" t="n">
        <f aca="false">IF(AE96&gt;=8,ROUNDDOWN(Y96*$Q$4,-1),0)</f>
        <v>0</v>
      </c>
      <c r="AA97" s="124"/>
      <c r="AB97" s="125"/>
      <c r="AC97" s="176" t="n">
        <f aca="false">IF(ISERROR(VLOOKUP(C96,일용직명단!$A$3:$I$1226,7,FALSE())),0,VLOOKUP(C96,일용직명단!$A$3:$I$1226,7,FALSE()))</f>
        <v>0</v>
      </c>
      <c r="AD97" s="176"/>
      <c r="AE97" s="128"/>
      <c r="AF97" s="129"/>
      <c r="AG97" s="129"/>
      <c r="AH97" s="130"/>
      <c r="AI97" s="130" t="n">
        <f aca="false">IF($W96*F97&gt;150000,($W96*F97-150000)*6%*45%,0)</f>
        <v>0</v>
      </c>
      <c r="AJ97" s="130" t="n">
        <f aca="false">IF($W96*G97&gt;150000,($W96*G97-150000)*6%*45%,0)</f>
        <v>0</v>
      </c>
      <c r="AK97" s="130" t="n">
        <f aca="false">IF($W96*H97&gt;150000,($W96*H97-150000)*6%*45%,0)</f>
        <v>0</v>
      </c>
      <c r="AL97" s="130" t="n">
        <f aca="false">IF($W96*I97&gt;150000,($W96*I97-150000)*6%*45%,0)</f>
        <v>0</v>
      </c>
      <c r="AM97" s="130" t="n">
        <f aca="false">IF($W96*J97&gt;150000,($W96*J97-150000)*6%*45%,0)</f>
        <v>0</v>
      </c>
      <c r="AN97" s="130" t="n">
        <f aca="false">IF($W96*K97&gt;150000,($W96*K97-150000)*6%*45%,0)</f>
        <v>0</v>
      </c>
      <c r="AO97" s="130" t="n">
        <f aca="false">IF($W96*L97&gt;150000,($W96*L97-150000)*6%*45%,0)</f>
        <v>0</v>
      </c>
      <c r="AP97" s="130" t="n">
        <f aca="false">IF($W96*M97&gt;150000,($W96*M97-150000)*6%*45%,0)</f>
        <v>0</v>
      </c>
      <c r="AQ97" s="130" t="n">
        <f aca="false">IF($W96*N97&gt;150000,($W96*N97-150000)*6%*45%,0)</f>
        <v>0</v>
      </c>
      <c r="AR97" s="130" t="n">
        <f aca="false">IF($W96*O97&gt;150000,($W96*O97-150000)*6%*45%,0)</f>
        <v>0</v>
      </c>
      <c r="AS97" s="130" t="n">
        <f aca="false">IF($W96*P97&gt;150000,($W96*P97-150000)*6%*45%,0)</f>
        <v>0</v>
      </c>
      <c r="AT97" s="130" t="n">
        <f aca="false">IF($W96*Q97&gt;150000,($W96*Q97-150000)*6%*45%,0)</f>
        <v>0</v>
      </c>
      <c r="AU97" s="130" t="n">
        <f aca="false">IF($W96*R97&gt;150000,($W96*R97-150000)*6%*45%,0)</f>
        <v>0</v>
      </c>
      <c r="AV97" s="130" t="n">
        <f aca="false">IF($W96*S97&gt;150000,($W96*S97-150000)*6%*45%,0)</f>
        <v>0</v>
      </c>
      <c r="AW97" s="130" t="n">
        <f aca="false">IF($W96*T97&gt;150000,($W96*T97-150000)*6%*45%,0)</f>
        <v>0</v>
      </c>
      <c r="AX97" s="130" t="n">
        <f aca="false">IF($W96*U97&gt;150000,($W96*U97-150000)*6%*45%,0)</f>
        <v>0</v>
      </c>
      <c r="AY97" s="131"/>
      <c r="AZ97" s="11"/>
      <c r="BA97" s="167"/>
      <c r="BB97" s="167"/>
      <c r="BC97" s="167"/>
      <c r="BD97" s="167"/>
      <c r="BE97" s="167"/>
      <c r="BF97" s="167"/>
      <c r="BG97" s="167"/>
      <c r="BH97" s="167"/>
      <c r="BI97" s="167"/>
      <c r="BJ97" s="167"/>
      <c r="BK97" s="167"/>
      <c r="BL97" s="167"/>
      <c r="BM97" s="167"/>
      <c r="BN97" s="167"/>
      <c r="BO97" s="167"/>
      <c r="BP97" s="167"/>
      <c r="BQ97" s="167"/>
      <c r="BR97" s="167"/>
      <c r="BS97" s="167"/>
      <c r="BT97" s="167"/>
      <c r="BU97" s="167"/>
      <c r="BV97" s="167"/>
      <c r="BW97" s="167"/>
      <c r="BX97" s="167"/>
      <c r="BY97" s="167"/>
      <c r="BZ97" s="167"/>
      <c r="CA97" s="167"/>
      <c r="CB97" s="167"/>
      <c r="CC97" s="167"/>
      <c r="CD97" s="167"/>
      <c r="CE97" s="167"/>
      <c r="CF97" s="167"/>
      <c r="CG97" s="167"/>
      <c r="CH97" s="167"/>
      <c r="CI97" s="167"/>
      <c r="CJ97" s="167"/>
      <c r="CK97" s="167"/>
      <c r="CL97" s="167"/>
      <c r="CM97" s="167"/>
      <c r="CN97" s="167"/>
      <c r="CO97" s="167"/>
      <c r="CP97" s="167"/>
      <c r="CQ97" s="167"/>
      <c r="CR97" s="167"/>
      <c r="CS97" s="167"/>
      <c r="CT97" s="167"/>
      <c r="CU97" s="167"/>
      <c r="CV97" s="167"/>
      <c r="CW97" s="167"/>
      <c r="CX97" s="167"/>
      <c r="CY97" s="167"/>
      <c r="CZ97" s="167"/>
      <c r="DA97" s="167"/>
      <c r="DB97" s="167"/>
      <c r="DC97" s="167"/>
      <c r="DD97" s="167"/>
      <c r="DE97" s="167"/>
      <c r="DF97" s="167"/>
      <c r="DG97" s="167"/>
      <c r="DH97" s="167"/>
      <c r="DI97" s="167"/>
      <c r="DJ97" s="167"/>
      <c r="DK97" s="167"/>
      <c r="DL97" s="167"/>
      <c r="DM97" s="167"/>
      <c r="DN97" s="167"/>
      <c r="DO97" s="167"/>
      <c r="DP97" s="167"/>
      <c r="DQ97" s="167"/>
      <c r="DR97" s="167"/>
      <c r="DS97" s="167"/>
      <c r="DT97" s="167"/>
      <c r="DU97" s="167"/>
      <c r="DV97" s="167"/>
      <c r="DW97" s="167"/>
      <c r="DX97" s="167"/>
      <c r="DY97" s="167"/>
      <c r="DZ97" s="167"/>
      <c r="EA97" s="167"/>
      <c r="EB97" s="167"/>
      <c r="EC97" s="167"/>
      <c r="ED97" s="167"/>
      <c r="EE97" s="167"/>
      <c r="EF97" s="167"/>
      <c r="EG97" s="167"/>
      <c r="EH97" s="167"/>
      <c r="EI97" s="167"/>
      <c r="EJ97" s="167"/>
      <c r="EK97" s="167"/>
      <c r="EL97" s="167"/>
      <c r="EM97" s="167"/>
      <c r="EN97" s="167"/>
      <c r="EO97" s="167"/>
      <c r="EP97" s="167"/>
      <c r="EQ97" s="167"/>
      <c r="ER97" s="167"/>
      <c r="ES97" s="167"/>
      <c r="ET97" s="167"/>
      <c r="EU97" s="167"/>
      <c r="EV97" s="167"/>
      <c r="EW97" s="167"/>
      <c r="EX97" s="167"/>
      <c r="EY97" s="167"/>
      <c r="EZ97" s="167"/>
      <c r="FA97" s="167"/>
      <c r="FB97" s="167"/>
      <c r="FC97" s="167"/>
      <c r="FD97" s="167"/>
      <c r="FE97" s="167"/>
      <c r="FF97" s="167"/>
      <c r="FG97" s="167"/>
      <c r="FH97" s="167"/>
      <c r="FI97" s="167"/>
      <c r="FJ97" s="167"/>
      <c r="FK97" s="167"/>
      <c r="FL97" s="167"/>
      <c r="FM97" s="167"/>
      <c r="FN97" s="167"/>
      <c r="FO97" s="167"/>
      <c r="FP97" s="167"/>
      <c r="FQ97" s="167"/>
      <c r="FR97" s="167"/>
      <c r="FS97" s="167"/>
      <c r="FT97" s="167"/>
      <c r="FU97" s="167"/>
      <c r="FV97" s="167"/>
      <c r="FW97" s="167"/>
      <c r="FX97" s="167"/>
      <c r="FY97" s="167"/>
      <c r="FZ97" s="167"/>
      <c r="GA97" s="167"/>
      <c r="GB97" s="167"/>
      <c r="GC97" s="167"/>
      <c r="GD97" s="167"/>
      <c r="GE97" s="167"/>
      <c r="GF97" s="167"/>
      <c r="GG97" s="167"/>
      <c r="GH97" s="167"/>
      <c r="GI97" s="167"/>
      <c r="GJ97" s="167"/>
      <c r="GK97" s="167"/>
      <c r="GL97" s="167"/>
      <c r="GM97" s="167"/>
      <c r="GN97" s="167"/>
      <c r="GO97" s="167"/>
      <c r="GP97" s="167"/>
      <c r="GQ97" s="167"/>
      <c r="GR97" s="167"/>
      <c r="GS97" s="167"/>
      <c r="GT97" s="167"/>
      <c r="GU97" s="167"/>
      <c r="GV97" s="167"/>
      <c r="GW97" s="167"/>
      <c r="GX97" s="167"/>
      <c r="GY97" s="167"/>
      <c r="GZ97" s="167"/>
      <c r="HA97" s="167"/>
      <c r="HB97" s="167"/>
      <c r="HC97" s="167"/>
      <c r="HD97" s="167"/>
      <c r="HE97" s="167"/>
      <c r="HF97" s="167"/>
      <c r="HG97" s="167"/>
      <c r="HH97" s="167"/>
      <c r="HI97" s="167"/>
      <c r="HJ97" s="167"/>
      <c r="HK97" s="167"/>
      <c r="HL97" s="167"/>
      <c r="HM97" s="167"/>
      <c r="HN97" s="167"/>
      <c r="HO97" s="167"/>
      <c r="HP97" s="167"/>
      <c r="HQ97" s="167"/>
      <c r="HR97" s="167"/>
      <c r="HS97" s="167"/>
      <c r="HT97" s="167"/>
      <c r="HU97" s="167"/>
      <c r="HV97" s="167"/>
      <c r="HW97" s="167"/>
      <c r="HX97" s="167"/>
      <c r="HY97" s="167"/>
      <c r="HZ97" s="167"/>
      <c r="IA97" s="167"/>
      <c r="IB97" s="167"/>
      <c r="IC97" s="167"/>
      <c r="ID97" s="167"/>
      <c r="IE97" s="167"/>
      <c r="IF97" s="167"/>
      <c r="IG97" s="167"/>
      <c r="IH97" s="167"/>
      <c r="II97" s="167"/>
      <c r="IJ97" s="167"/>
      <c r="IK97" s="167"/>
      <c r="IL97" s="167"/>
      <c r="IM97" s="167"/>
      <c r="IN97" s="167"/>
      <c r="IO97" s="167"/>
      <c r="IP97" s="167"/>
      <c r="IQ97" s="167"/>
      <c r="IR97" s="167"/>
      <c r="IS97" s="167"/>
      <c r="IT97" s="167"/>
      <c r="IU97" s="167"/>
      <c r="IV97" s="167"/>
      <c r="IW97" s="167"/>
    </row>
    <row r="98" customFormat="false" ht="13.5" hidden="true" customHeight="true" outlineLevel="0" collapsed="false">
      <c r="A98" s="108" t="n">
        <f aca="false">A96+1</f>
        <v>30</v>
      </c>
      <c r="B98" s="310" t="n">
        <f aca="false">IF(ISERROR(VLOOKUP(C98,일용직명단!$A$3:$I$104,2,FALSE())),0,VLOOKUP(C98,일용직명단!$A$3:$I$104,2,FALSE()))</f>
        <v>0</v>
      </c>
      <c r="C98" s="203"/>
      <c r="D98" s="311" t="n">
        <f aca="false">IF(ISERROR(VLOOKUP(C98,일용직명단!$A$3:$K$1246,3,FALSE())),0,VLOOKUP(C98,일용직명단!$A$3:$K$1246,3,FALSE()))</f>
        <v>0</v>
      </c>
      <c r="E98" s="140" t="n">
        <f aca="false">IF(ISERROR(VLOOKUP(C98,일용직명단!$A$3:$K$1246,4,FALSE())),0,VLOOKUP(C98,일용직명단!$A$3:$K$1246,4,FALSE()))</f>
        <v>0</v>
      </c>
      <c r="F98" s="192"/>
      <c r="G98" s="193"/>
      <c r="H98" s="191"/>
      <c r="I98" s="191"/>
      <c r="J98" s="192"/>
      <c r="K98" s="191"/>
      <c r="L98" s="192"/>
      <c r="M98" s="192"/>
      <c r="N98" s="193"/>
      <c r="O98" s="193"/>
      <c r="P98" s="192"/>
      <c r="Q98" s="193"/>
      <c r="R98" s="191"/>
      <c r="S98" s="193"/>
      <c r="T98" s="191"/>
      <c r="U98" s="194"/>
      <c r="V98" s="144" t="n">
        <f aca="false">SUM(F98:U99)</f>
        <v>0</v>
      </c>
      <c r="W98" s="121" t="n">
        <f aca="false">IF(ISERROR(VLOOKUP(C98,일용직명단!$A$3:$K$1246,8,FALSE())),0,VLOOKUP(C98,일용직명단!$A$3:$K$1246,8,FALSE()))</f>
        <v>0</v>
      </c>
      <c r="X98" s="123" t="n">
        <f aca="false">IFERROR(IF(AG98&gt;=65,0,ROUNDDOWN(W99*$Z$4,-1)),0)</f>
        <v>0</v>
      </c>
      <c r="Y98" s="123" t="n">
        <f aca="false">IF(AE98&gt;=8,ROUNDDOWN(W99*$M$4,-1),0)</f>
        <v>0</v>
      </c>
      <c r="Z98" s="123" t="n">
        <f aca="false">IFERROR(IF(AND(COUNT(F98:U99)&gt;=8,$AG98&lt;60,W99&lt;=5530000),ROUNDDOWN(ROUNDDOWN(W99,-3)*4.5%,-1),IF(AND(COUNT(F98:U99)&gt;=8,AG98&lt;60,W99&gt;5530000),248850,0)),0)</f>
        <v>0</v>
      </c>
      <c r="AA98" s="145" t="n">
        <f aca="false">+X98+Y98+X99+Y99+Z98+Z99</f>
        <v>0</v>
      </c>
      <c r="AB98" s="146" t="n">
        <f aca="false">W99-AA98</f>
        <v>0</v>
      </c>
      <c r="AC98" s="147" t="n">
        <f aca="false">IF(ISERROR(VLOOKUP(C98,일용직명단!$A$3:$I$1226,5,FALSE())),0,VLOOKUP(C98,일용직명단!$A$3:$I$1226,5,FALSE()))</f>
        <v>0</v>
      </c>
      <c r="AD98" s="148" t="n">
        <f aca="false">IF(ISERROR(VLOOKUP(C98,일용직명단!$A$3:$I$1226,6,FALSE())),0,VLOOKUP(C98,일용직명단!$A$3:$I$1226,6,FALSE()))</f>
        <v>0</v>
      </c>
      <c r="AE98" s="149" t="n">
        <f aca="false">COUNT(F98:U99)</f>
        <v>0</v>
      </c>
      <c r="AF98" s="129" t="str">
        <f aca="false">IF(OR(MID(D98,8,1)="1",MID(D98,8,1)="2"),19&amp;LEFT(D98,2),20&amp;LEFT(D98,2))&amp;"-"&amp;MID(D98,3,2)&amp;"-"&amp;MID(D98,5,2)</f>
        <v>200--</v>
      </c>
      <c r="AG98" s="129" t="e">
        <f aca="true">INT((TODAY()-AF98)/365.25)</f>
        <v>#VALUE!</v>
      </c>
      <c r="AH98" s="130" t="n">
        <f aca="false">ROUNDDOWN(SUM(AI98:AX99),-1)</f>
        <v>0</v>
      </c>
      <c r="AI98" s="130" t="n">
        <f aca="false">IF($W98*F98&gt;150000,($W98*F98-150000)*6%*45%,0)</f>
        <v>0</v>
      </c>
      <c r="AJ98" s="130" t="n">
        <f aca="false">IF($W98*G98&gt;150000,($W98*G98-150000)*6%*45%,0)</f>
        <v>0</v>
      </c>
      <c r="AK98" s="130" t="n">
        <f aca="false">IF($W98*H98&gt;150000,($W98*H98-150000)*6%*45%,0)</f>
        <v>0</v>
      </c>
      <c r="AL98" s="130" t="n">
        <f aca="false">IF($W98*I98&gt;150000,($W98*I98-150000)*6%*45%,0)</f>
        <v>0</v>
      </c>
      <c r="AM98" s="130" t="n">
        <f aca="false">IF($W98*J98&gt;150000,($W98*J98-150000)*6%*45%,0)</f>
        <v>0</v>
      </c>
      <c r="AN98" s="130" t="n">
        <f aca="false">IF($W98*K98&gt;150000,($W98*K98-150000)*6%*45%,0)</f>
        <v>0</v>
      </c>
      <c r="AO98" s="130" t="n">
        <f aca="false">IF($W98*L98&gt;150000,($W98*L98-150000)*6%*45%,0)</f>
        <v>0</v>
      </c>
      <c r="AP98" s="130" t="n">
        <f aca="false">IF($W98*M98&gt;150000,($W98*M98-150000)*6%*45%,0)</f>
        <v>0</v>
      </c>
      <c r="AQ98" s="130" t="n">
        <f aca="false">IF($W98*N98&gt;150000,($W98*N98-150000)*6%*45%,0)</f>
        <v>0</v>
      </c>
      <c r="AR98" s="130" t="n">
        <f aca="false">IF($W98*O98&gt;150000,($W98*O98-150000)*6%*45%,0)</f>
        <v>0</v>
      </c>
      <c r="AS98" s="130" t="n">
        <f aca="false">IF($W98*P98&gt;150000,($W98*P98-150000)*6%*45%,0)</f>
        <v>0</v>
      </c>
      <c r="AT98" s="130" t="n">
        <f aca="false">IF($W98*Q98&gt;150000,($W98*Q98-150000)*6%*45%,0)</f>
        <v>0</v>
      </c>
      <c r="AU98" s="130" t="n">
        <f aca="false">IF($W98*R98&gt;150000,($W98*R98-150000)*6%*45%,0)</f>
        <v>0</v>
      </c>
      <c r="AV98" s="130" t="n">
        <f aca="false">IF($W98*S98&gt;150000,($W98*S98-150000)*6%*45%,0)</f>
        <v>0</v>
      </c>
      <c r="AW98" s="130" t="n">
        <f aca="false">IF($W98*T98&gt;150000,($W98*T98-150000)*6%*45%,0)</f>
        <v>0</v>
      </c>
      <c r="AX98" s="130"/>
      <c r="AY98" s="131" t="n">
        <f aca="false">IF(ISERROR(VLOOKUP(C98,[26]일용직명단!$A$3:$M$1151,11,FALSE())),0,VLOOKUP(C98,[26]일용직명단!$A$3:$M$1151,11,FALSE()))</f>
        <v>0</v>
      </c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  <c r="GM98" s="11"/>
      <c r="GN98" s="11"/>
      <c r="GO98" s="11"/>
      <c r="GP98" s="11"/>
      <c r="GQ98" s="11"/>
      <c r="GR98" s="11"/>
      <c r="GS98" s="11"/>
      <c r="GT98" s="11"/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/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/>
      <c r="IS98" s="11"/>
      <c r="IT98" s="11"/>
      <c r="IU98" s="11"/>
      <c r="IV98" s="11"/>
      <c r="IW98" s="11"/>
    </row>
    <row r="99" customFormat="false" ht="13.5" hidden="true" customHeight="true" outlineLevel="0" collapsed="false">
      <c r="A99" s="108"/>
      <c r="B99" s="310"/>
      <c r="C99" s="203"/>
      <c r="D99" s="311"/>
      <c r="E99" s="140" t="n">
        <f aca="false">IF(ISERROR(VLOOKUP(C98,일용직명단!$A$3:$K$1246,9,FALSE())),0,VLOOKUP(C98,일용직명단!$A$3:$K$1246,9,FALSE()))</f>
        <v>0</v>
      </c>
      <c r="F99" s="195"/>
      <c r="G99" s="196"/>
      <c r="H99" s="196"/>
      <c r="I99" s="193"/>
      <c r="J99" s="191"/>
      <c r="K99" s="193"/>
      <c r="L99" s="192"/>
      <c r="M99" s="192"/>
      <c r="N99" s="193"/>
      <c r="O99" s="191"/>
      <c r="P99" s="193"/>
      <c r="Q99" s="193"/>
      <c r="R99" s="192"/>
      <c r="S99" s="192"/>
      <c r="T99" s="192"/>
      <c r="U99" s="191"/>
      <c r="V99" s="144"/>
      <c r="W99" s="138" t="n">
        <f aca="false">W98*V98</f>
        <v>0</v>
      </c>
      <c r="X99" s="123" t="n">
        <f aca="false">IF(AH98&lt;1000,0,AH98)</f>
        <v>0</v>
      </c>
      <c r="Y99" s="123" t="n">
        <f aca="false">ROUNDDOWN(X99*10%,-1)</f>
        <v>0</v>
      </c>
      <c r="Z99" s="123" t="n">
        <f aca="false">IF(AE98&gt;=8,ROUNDDOWN(Y98*$Q$4,-1),0)</f>
        <v>0</v>
      </c>
      <c r="AA99" s="145"/>
      <c r="AB99" s="146"/>
      <c r="AC99" s="148" t="n">
        <f aca="false">IF(ISERROR(VLOOKUP(C98,일용직명단!$A$3:$I$1226,7,FALSE())),0,VLOOKUP(C98,일용직명단!$A$3:$I$1226,7,FALSE()))</f>
        <v>0</v>
      </c>
      <c r="AD99" s="148"/>
      <c r="AE99" s="149"/>
      <c r="AF99" s="129"/>
      <c r="AG99" s="129"/>
      <c r="AH99" s="130"/>
      <c r="AI99" s="130" t="n">
        <f aca="false">IF($W98*F99&gt;150000,($W98*F99-150000)*6%*45%,0)</f>
        <v>0</v>
      </c>
      <c r="AJ99" s="130" t="n">
        <f aca="false">IF($W98*G99&gt;150000,($W98*G99-150000)*6%*45%,0)</f>
        <v>0</v>
      </c>
      <c r="AK99" s="130" t="n">
        <f aca="false">IF($W98*H99&gt;150000,($W98*H99-150000)*6%*45%,0)</f>
        <v>0</v>
      </c>
      <c r="AL99" s="130" t="n">
        <f aca="false">IF($W98*I99&gt;150000,($W98*I99-150000)*6%*45%,0)</f>
        <v>0</v>
      </c>
      <c r="AM99" s="130" t="n">
        <f aca="false">IF($W98*J99&gt;150000,($W98*J99-150000)*6%*45%,0)</f>
        <v>0</v>
      </c>
      <c r="AN99" s="130" t="n">
        <f aca="false">IF($W98*K99&gt;150000,($W98*K99-150000)*6%*45%,0)</f>
        <v>0</v>
      </c>
      <c r="AO99" s="130" t="n">
        <f aca="false">IF($W98*L99&gt;150000,($W98*L99-150000)*6%*45%,0)</f>
        <v>0</v>
      </c>
      <c r="AP99" s="130" t="n">
        <f aca="false">IF($W98*M99&gt;150000,($W98*M99-150000)*6%*45%,0)</f>
        <v>0</v>
      </c>
      <c r="AQ99" s="130" t="n">
        <f aca="false">IF($W98*N99&gt;150000,($W98*N99-150000)*6%*45%,0)</f>
        <v>0</v>
      </c>
      <c r="AR99" s="130" t="n">
        <f aca="false">IF($W98*O99&gt;150000,($W98*O99-150000)*6%*45%,0)</f>
        <v>0</v>
      </c>
      <c r="AS99" s="130" t="n">
        <f aca="false">IF($W98*P99&gt;150000,($W98*P99-150000)*6%*45%,0)</f>
        <v>0</v>
      </c>
      <c r="AT99" s="130" t="n">
        <f aca="false">IF($W98*Q99&gt;150000,($W98*Q99-150000)*6%*45%,0)</f>
        <v>0</v>
      </c>
      <c r="AU99" s="130" t="n">
        <f aca="false">IF($W98*R99&gt;150000,($W98*R99-150000)*6%*45%,0)</f>
        <v>0</v>
      </c>
      <c r="AV99" s="130" t="n">
        <f aca="false">IF($W98*S99&gt;150000,($W98*S99-150000)*6%*45%,0)</f>
        <v>0</v>
      </c>
      <c r="AW99" s="130" t="n">
        <f aca="false">IF($W98*T99&gt;150000,($W98*T99-150000)*6%*45%,0)</f>
        <v>0</v>
      </c>
      <c r="AX99" s="130" t="n">
        <f aca="false">IF($W98*U99&gt;150000,($W98*U99-150000)*6%*45%,0)</f>
        <v>0</v>
      </c>
      <c r="AY99" s="13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</row>
    <row r="100" customFormat="false" ht="13.5" hidden="true" customHeight="true" outlineLevel="0" collapsed="false">
      <c r="A100" s="108" t="n">
        <f aca="false">A98+1</f>
        <v>31</v>
      </c>
      <c r="B100" s="310" t="n">
        <f aca="false">IF(ISERROR(VLOOKUP(C100,일용직명단!$A$3:$I$104,2,FALSE())),0,VLOOKUP(C100,일용직명단!$A$3:$I$104,2,FALSE()))</f>
        <v>0</v>
      </c>
      <c r="C100" s="290"/>
      <c r="D100" s="311" t="n">
        <f aca="false">IF(ISERROR(VLOOKUP(C100,일용직명단!$A$3:$K$1246,3,FALSE())),0,VLOOKUP(C100,일용직명단!$A$3:$K$1246,3,FALSE()))</f>
        <v>0</v>
      </c>
      <c r="E100" s="112" t="n">
        <f aca="false">IF(ISERROR(VLOOKUP(C100,일용직명단!$A$3:$K$1246,4,FALSE())),0,VLOOKUP(C100,일용직명단!$A$3:$K$1246,4,FALSE()))</f>
        <v>0</v>
      </c>
      <c r="F100" s="192"/>
      <c r="G100" s="193"/>
      <c r="H100" s="191"/>
      <c r="I100" s="191"/>
      <c r="J100" s="192"/>
      <c r="K100" s="191"/>
      <c r="L100" s="192"/>
      <c r="M100" s="192"/>
      <c r="N100" s="193"/>
      <c r="O100" s="193"/>
      <c r="P100" s="192"/>
      <c r="Q100" s="193"/>
      <c r="R100" s="191"/>
      <c r="S100" s="193"/>
      <c r="T100" s="191"/>
      <c r="U100" s="194"/>
      <c r="V100" s="120" t="n">
        <f aca="false">SUM(F100:U101)</f>
        <v>0</v>
      </c>
      <c r="W100" s="121" t="n">
        <f aca="false">IF(ISERROR(VLOOKUP(C100,일용직명단!$A$3:$K$1246,8,FALSE())),0,VLOOKUP(C100,일용직명단!$A$3:$K$1246,8,FALSE()))</f>
        <v>0</v>
      </c>
      <c r="X100" s="122" t="n">
        <f aca="false">IFERROR(IF(AG100&gt;=65,0,ROUNDDOWN(W101*$Z$4,-1)),0)</f>
        <v>0</v>
      </c>
      <c r="Y100" s="122" t="n">
        <f aca="false">IF(AE100&gt;=8,ROUNDDOWN(W101*$M$4,-1),0)</f>
        <v>0</v>
      </c>
      <c r="Z100" s="123" t="n">
        <f aca="false">IFERROR(IF(AND(COUNT(F100:U101)&gt;=8,$AG100&lt;60,W101&lt;=5530000),ROUNDDOWN(ROUNDDOWN(W101,-3)*4.5%,-1),IF(AND(COUNT(F100:U101)&gt;=8,AG100&lt;60,W101&gt;5530000),248850,0)),0)</f>
        <v>0</v>
      </c>
      <c r="AA100" s="124" t="n">
        <f aca="false">+X100+Y100+X101+Y101+Z100+Z101</f>
        <v>0</v>
      </c>
      <c r="AB100" s="125" t="n">
        <f aca="false">W101-AA100</f>
        <v>0</v>
      </c>
      <c r="AC100" s="126" t="n">
        <f aca="false">IF(ISERROR(VLOOKUP(C100,일용직명단!$A$3:$I$1226,5,FALSE())),0,VLOOKUP(C100,일용직명단!$A$3:$I$1226,5,FALSE()))</f>
        <v>0</v>
      </c>
      <c r="AD100" s="127" t="n">
        <f aca="false">IF(ISERROR(VLOOKUP(C100,일용직명단!$A$3:$I$1226,6,FALSE())),0,VLOOKUP(C100,일용직명단!$A$3:$I$1226,6,FALSE()))</f>
        <v>0</v>
      </c>
      <c r="AE100" s="128" t="n">
        <f aca="false">COUNT(F100:U101)</f>
        <v>0</v>
      </c>
      <c r="AF100" s="129" t="str">
        <f aca="false">IF(OR(MID(D100,8,1)="1",MID(D100,8,1)="2"),19&amp;LEFT(D100,2),20&amp;LEFT(D100,2))&amp;"-"&amp;MID(D100,3,2)&amp;"-"&amp;MID(D100,5,2)</f>
        <v>200--</v>
      </c>
      <c r="AG100" s="129" t="e">
        <f aca="true">INT((TODAY()-AF100)/365.25)</f>
        <v>#VALUE!</v>
      </c>
      <c r="AH100" s="130" t="n">
        <f aca="false">ROUNDDOWN(SUM(AI100:AX101),-1)</f>
        <v>0</v>
      </c>
      <c r="AI100" s="130" t="n">
        <f aca="false">IF($W100*F100&gt;150000,($W100*F100-150000)*6%*45%,0)</f>
        <v>0</v>
      </c>
      <c r="AJ100" s="130" t="n">
        <f aca="false">IF($W100*G100&gt;150000,($W100*G100-150000)*6%*45%,0)</f>
        <v>0</v>
      </c>
      <c r="AK100" s="130" t="n">
        <f aca="false">IF($W100*H100&gt;150000,($W100*H100-150000)*6%*45%,0)</f>
        <v>0</v>
      </c>
      <c r="AL100" s="130" t="n">
        <f aca="false">IF($W100*I100&gt;150000,($W100*I100-150000)*6%*45%,0)</f>
        <v>0</v>
      </c>
      <c r="AM100" s="130" t="n">
        <f aca="false">IF($W100*J100&gt;150000,($W100*J100-150000)*6%*45%,0)</f>
        <v>0</v>
      </c>
      <c r="AN100" s="130" t="n">
        <f aca="false">IF($W100*K100&gt;150000,($W100*K100-150000)*6%*45%,0)</f>
        <v>0</v>
      </c>
      <c r="AO100" s="130" t="n">
        <f aca="false">IF($W100*L100&gt;150000,($W100*L100-150000)*6%*45%,0)</f>
        <v>0</v>
      </c>
      <c r="AP100" s="130" t="n">
        <f aca="false">IF($W100*M100&gt;150000,($W100*M100-150000)*6%*45%,0)</f>
        <v>0</v>
      </c>
      <c r="AQ100" s="130" t="n">
        <f aca="false">IF($W100*N100&gt;150000,($W100*N100-150000)*6%*45%,0)</f>
        <v>0</v>
      </c>
      <c r="AR100" s="130" t="n">
        <f aca="false">IF($W100*O100&gt;150000,($W100*O100-150000)*6%*45%,0)</f>
        <v>0</v>
      </c>
      <c r="AS100" s="130" t="n">
        <f aca="false">IF($W100*P100&gt;150000,($W100*P100-150000)*6%*45%,0)</f>
        <v>0</v>
      </c>
      <c r="AT100" s="130" t="n">
        <f aca="false">IF($W100*Q100&gt;150000,($W100*Q100-150000)*6%*45%,0)</f>
        <v>0</v>
      </c>
      <c r="AU100" s="130" t="n">
        <f aca="false">IF($W100*R100&gt;150000,($W100*R100-150000)*6%*45%,0)</f>
        <v>0</v>
      </c>
      <c r="AV100" s="130" t="n">
        <f aca="false">IF($W100*S100&gt;150000,($W100*S100-150000)*6%*45%,0)</f>
        <v>0</v>
      </c>
      <c r="AW100" s="130" t="n">
        <f aca="false">IF($W100*T100&gt;150000,($W100*T100-150000)*6%*45%,0)</f>
        <v>0</v>
      </c>
      <c r="AX100" s="130"/>
      <c r="AY100" s="131" t="n">
        <f aca="false">IF(ISERROR(VLOOKUP(C100,[26]일용직명단!$A$3:$M$1151,11,FALSE())),0,VLOOKUP(C100,[26]일용직명단!$A$3:$M$1151,11,FALSE()))</f>
        <v>0</v>
      </c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/>
    </row>
    <row r="101" customFormat="false" ht="13.5" hidden="true" customHeight="true" outlineLevel="0" collapsed="false">
      <c r="A101" s="108"/>
      <c r="B101" s="310"/>
      <c r="C101" s="290"/>
      <c r="D101" s="311"/>
      <c r="E101" s="112" t="n">
        <f aca="false">IF(ISERROR(VLOOKUP(C100,일용직명단!$A$3:$K$1246,9,FALSE())),0,VLOOKUP(C100,일용직명단!$A$3:$K$1246,9,FALSE()))</f>
        <v>0</v>
      </c>
      <c r="F101" s="195"/>
      <c r="G101" s="196"/>
      <c r="H101" s="196"/>
      <c r="I101" s="193"/>
      <c r="J101" s="191"/>
      <c r="K101" s="193"/>
      <c r="L101" s="192"/>
      <c r="M101" s="192"/>
      <c r="N101" s="193"/>
      <c r="O101" s="191"/>
      <c r="P101" s="193"/>
      <c r="Q101" s="193"/>
      <c r="R101" s="192"/>
      <c r="S101" s="192"/>
      <c r="T101" s="192"/>
      <c r="U101" s="191"/>
      <c r="V101" s="120"/>
      <c r="W101" s="138" t="n">
        <f aca="false">W100*V100</f>
        <v>0</v>
      </c>
      <c r="X101" s="122" t="n">
        <f aca="false">IF(AH100&lt;1000,0,AH100)</f>
        <v>0</v>
      </c>
      <c r="Y101" s="122" t="n">
        <f aca="false">ROUNDDOWN(X101*10%,-1)</f>
        <v>0</v>
      </c>
      <c r="Z101" s="123" t="n">
        <f aca="false">IF(AE100&gt;=8,ROUNDDOWN(Y100*$Q$4,-1),0)</f>
        <v>0</v>
      </c>
      <c r="AA101" s="124"/>
      <c r="AB101" s="125"/>
      <c r="AC101" s="127" t="n">
        <f aca="false">IF(ISERROR(VLOOKUP(C100,일용직명단!$A$3:$I$1226,7,FALSE())),0,VLOOKUP(C100,일용직명단!$A$3:$I$1226,7,FALSE()))</f>
        <v>0</v>
      </c>
      <c r="AD101" s="127"/>
      <c r="AE101" s="128"/>
      <c r="AF101" s="129"/>
      <c r="AG101" s="129"/>
      <c r="AH101" s="130"/>
      <c r="AI101" s="130" t="n">
        <f aca="false">IF($W100*F101&gt;150000,($W100*F101-150000)*6%*45%,0)</f>
        <v>0</v>
      </c>
      <c r="AJ101" s="130" t="n">
        <f aca="false">IF($W100*G101&gt;150000,($W100*G101-150000)*6%*45%,0)</f>
        <v>0</v>
      </c>
      <c r="AK101" s="130" t="n">
        <f aca="false">IF($W100*H101&gt;150000,($W100*H101-150000)*6%*45%,0)</f>
        <v>0</v>
      </c>
      <c r="AL101" s="130" t="n">
        <f aca="false">IF($W100*I101&gt;150000,($W100*I101-150000)*6%*45%,0)</f>
        <v>0</v>
      </c>
      <c r="AM101" s="130" t="n">
        <f aca="false">IF($W100*J101&gt;150000,($W100*J101-150000)*6%*45%,0)</f>
        <v>0</v>
      </c>
      <c r="AN101" s="130" t="n">
        <f aca="false">IF($W100*K101&gt;150000,($W100*K101-150000)*6%*45%,0)</f>
        <v>0</v>
      </c>
      <c r="AO101" s="130" t="n">
        <f aca="false">IF($W100*L101&gt;150000,($W100*L101-150000)*6%*45%,0)</f>
        <v>0</v>
      </c>
      <c r="AP101" s="130" t="n">
        <f aca="false">IF($W100*M101&gt;150000,($W100*M101-150000)*6%*45%,0)</f>
        <v>0</v>
      </c>
      <c r="AQ101" s="130" t="n">
        <f aca="false">IF($W100*N101&gt;150000,($W100*N101-150000)*6%*45%,0)</f>
        <v>0</v>
      </c>
      <c r="AR101" s="130" t="n">
        <f aca="false">IF($W100*O101&gt;150000,($W100*O101-150000)*6%*45%,0)</f>
        <v>0</v>
      </c>
      <c r="AS101" s="130" t="n">
        <f aca="false">IF($W100*P101&gt;150000,($W100*P101-150000)*6%*45%,0)</f>
        <v>0</v>
      </c>
      <c r="AT101" s="130" t="n">
        <f aca="false">IF($W100*Q101&gt;150000,($W100*Q101-150000)*6%*45%,0)</f>
        <v>0</v>
      </c>
      <c r="AU101" s="130" t="n">
        <f aca="false">IF($W100*R101&gt;150000,($W100*R101-150000)*6%*45%,0)</f>
        <v>0</v>
      </c>
      <c r="AV101" s="130" t="n">
        <f aca="false">IF($W100*S101&gt;150000,($W100*S101-150000)*6%*45%,0)</f>
        <v>0</v>
      </c>
      <c r="AW101" s="130" t="n">
        <f aca="false">IF($W100*T101&gt;150000,($W100*T101-150000)*6%*45%,0)</f>
        <v>0</v>
      </c>
      <c r="AX101" s="130" t="n">
        <f aca="false">IF($W100*U101&gt;150000,($W100*U101-150000)*6%*45%,0)</f>
        <v>0</v>
      </c>
      <c r="AY101" s="13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/>
      <c r="GA101" s="11"/>
      <c r="GB101" s="11"/>
      <c r="GC101" s="11"/>
      <c r="GD101" s="11"/>
      <c r="GE101" s="11"/>
      <c r="GF101" s="11"/>
      <c r="GG101" s="11"/>
      <c r="GH101" s="11"/>
      <c r="GI101" s="11"/>
      <c r="GJ101" s="11"/>
      <c r="GK101" s="11"/>
      <c r="GL101" s="11"/>
      <c r="GM101" s="11"/>
      <c r="GN101" s="11"/>
      <c r="GO101" s="11"/>
      <c r="GP101" s="11"/>
      <c r="GQ101" s="11"/>
      <c r="GR101" s="11"/>
      <c r="GS101" s="11"/>
      <c r="GT101" s="11"/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P101" s="11"/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  <c r="IM101" s="11"/>
      <c r="IN101" s="11"/>
      <c r="IO101" s="11"/>
      <c r="IP101" s="11"/>
      <c r="IQ101" s="11"/>
      <c r="IR101" s="11"/>
      <c r="IS101" s="11"/>
      <c r="IT101" s="11"/>
      <c r="IU101" s="11"/>
      <c r="IV101" s="11"/>
      <c r="IW101" s="11"/>
    </row>
    <row r="102" customFormat="false" ht="13.5" hidden="true" customHeight="true" outlineLevel="0" collapsed="false">
      <c r="A102" s="108" t="n">
        <f aca="false">A100+1</f>
        <v>32</v>
      </c>
      <c r="B102" s="310" t="n">
        <f aca="false">IF(ISERROR(VLOOKUP(C102,일용직명단!$A$3:$I$104,2,FALSE())),0,VLOOKUP(C102,일용직명단!$A$3:$I$104,2,FALSE()))</f>
        <v>0</v>
      </c>
      <c r="C102" s="290"/>
      <c r="D102" s="311" t="n">
        <f aca="false">IF(ISERROR(VLOOKUP(C102,일용직명단!$A$3:$K$1246,3,FALSE())),0,VLOOKUP(C102,일용직명단!$A$3:$K$1246,3,FALSE()))</f>
        <v>0</v>
      </c>
      <c r="E102" s="112" t="n">
        <f aca="false">IF(ISERROR(VLOOKUP(C102,일용직명단!$A$3:$K$1246,4,FALSE())),0,VLOOKUP(C102,일용직명단!$A$3:$K$1246,4,FALSE()))</f>
        <v>0</v>
      </c>
      <c r="F102" s="192"/>
      <c r="G102" s="193"/>
      <c r="H102" s="191"/>
      <c r="I102" s="191"/>
      <c r="J102" s="192"/>
      <c r="K102" s="191"/>
      <c r="L102" s="192"/>
      <c r="M102" s="192"/>
      <c r="N102" s="193"/>
      <c r="O102" s="193"/>
      <c r="P102" s="192"/>
      <c r="Q102" s="193"/>
      <c r="R102" s="191"/>
      <c r="S102" s="193"/>
      <c r="T102" s="191"/>
      <c r="U102" s="194"/>
      <c r="V102" s="120" t="n">
        <f aca="false">SUM(F102:U103)</f>
        <v>0</v>
      </c>
      <c r="W102" s="121" t="n">
        <f aca="false">IF(ISERROR(VLOOKUP(C102,일용직명단!$A$3:$K$1246,8,FALSE())),0,VLOOKUP(C102,일용직명단!$A$3:$K$1246,8,FALSE()))</f>
        <v>0</v>
      </c>
      <c r="X102" s="122" t="n">
        <f aca="false">IFERROR(IF(AG102&gt;=65,0,ROUNDDOWN(W103*$Z$4,-1)),0)</f>
        <v>0</v>
      </c>
      <c r="Y102" s="122" t="n">
        <f aca="false">IF(AE102&gt;=8,ROUNDDOWN(W103*$M$4,-1),0)</f>
        <v>0</v>
      </c>
      <c r="Z102" s="123" t="n">
        <f aca="false">IFERROR(IF(AND(COUNT(F102:U103)&gt;=8,$AG102&lt;60,W103&lt;=5530000),ROUNDDOWN(ROUNDDOWN(W103,-3)*4.5%,-1),IF(AND(COUNT(F102:U103)&gt;=8,AG102&lt;60,W103&gt;5530000),248850,0)),0)</f>
        <v>0</v>
      </c>
      <c r="AA102" s="124" t="n">
        <f aca="false">+X102+Y102+X103+Y103+Z102+Z103</f>
        <v>0</v>
      </c>
      <c r="AB102" s="125" t="n">
        <f aca="false">W103-AA102</f>
        <v>0</v>
      </c>
      <c r="AC102" s="126" t="n">
        <f aca="false">IF(ISERROR(VLOOKUP(C102,일용직명단!$A$3:$I$1226,5,FALSE())),0,VLOOKUP(C102,일용직명단!$A$3:$I$1226,5,FALSE()))</f>
        <v>0</v>
      </c>
      <c r="AD102" s="127" t="n">
        <f aca="false">IF(ISERROR(VLOOKUP(C102,일용직명단!$A$3:$I$1226,6,FALSE())),0,VLOOKUP(C102,일용직명단!$A$3:$I$1226,6,FALSE()))</f>
        <v>0</v>
      </c>
      <c r="AE102" s="128" t="n">
        <f aca="false">COUNT(F102:U103)</f>
        <v>0</v>
      </c>
      <c r="AF102" s="129" t="str">
        <f aca="false">IF(OR(MID(D102,8,1)="1",MID(D102,8,1)="2"),19&amp;LEFT(D102,2),20&amp;LEFT(D102,2))&amp;"-"&amp;MID(D102,3,2)&amp;"-"&amp;MID(D102,5,2)</f>
        <v>200--</v>
      </c>
      <c r="AG102" s="129" t="e">
        <f aca="true">INT((TODAY()-AF102)/365.25)</f>
        <v>#VALUE!</v>
      </c>
      <c r="AH102" s="130" t="n">
        <f aca="false">ROUNDDOWN(SUM(AI102:AX103),-1)</f>
        <v>0</v>
      </c>
      <c r="AI102" s="130" t="n">
        <f aca="false">IF($W102*F102&gt;150000,($W102*F102-150000)*6%*45%,0)</f>
        <v>0</v>
      </c>
      <c r="AJ102" s="130" t="n">
        <f aca="false">IF($W102*G102&gt;150000,($W102*G102-150000)*6%*45%,0)</f>
        <v>0</v>
      </c>
      <c r="AK102" s="130" t="n">
        <f aca="false">IF($W102*H102&gt;150000,($W102*H102-150000)*6%*45%,0)</f>
        <v>0</v>
      </c>
      <c r="AL102" s="130" t="n">
        <f aca="false">IF($W102*I102&gt;150000,($W102*I102-150000)*6%*45%,0)</f>
        <v>0</v>
      </c>
      <c r="AM102" s="130" t="n">
        <f aca="false">IF($W102*J102&gt;150000,($W102*J102-150000)*6%*45%,0)</f>
        <v>0</v>
      </c>
      <c r="AN102" s="130" t="n">
        <f aca="false">IF($W102*K102&gt;150000,($W102*K102-150000)*6%*45%,0)</f>
        <v>0</v>
      </c>
      <c r="AO102" s="130" t="n">
        <f aca="false">IF($W102*L102&gt;150000,($W102*L102-150000)*6%*45%,0)</f>
        <v>0</v>
      </c>
      <c r="AP102" s="130" t="n">
        <f aca="false">IF($W102*M102&gt;150000,($W102*M102-150000)*6%*45%,0)</f>
        <v>0</v>
      </c>
      <c r="AQ102" s="130" t="n">
        <f aca="false">IF($W102*N102&gt;150000,($W102*N102-150000)*6%*45%,0)</f>
        <v>0</v>
      </c>
      <c r="AR102" s="130" t="n">
        <f aca="false">IF($W102*O102&gt;150000,($W102*O102-150000)*6%*45%,0)</f>
        <v>0</v>
      </c>
      <c r="AS102" s="130" t="n">
        <f aca="false">IF($W102*P102&gt;150000,($W102*P102-150000)*6%*45%,0)</f>
        <v>0</v>
      </c>
      <c r="AT102" s="130" t="n">
        <f aca="false">IF($W102*Q102&gt;150000,($W102*Q102-150000)*6%*45%,0)</f>
        <v>0</v>
      </c>
      <c r="AU102" s="130" t="n">
        <f aca="false">IF($W102*R102&gt;150000,($W102*R102-150000)*6%*45%,0)</f>
        <v>0</v>
      </c>
      <c r="AV102" s="130" t="n">
        <f aca="false">IF($W102*S102&gt;150000,($W102*S102-150000)*6%*45%,0)</f>
        <v>0</v>
      </c>
      <c r="AW102" s="130" t="n">
        <f aca="false">IF($W102*T102&gt;150000,($W102*T102-150000)*6%*45%,0)</f>
        <v>0</v>
      </c>
      <c r="AX102" s="130"/>
      <c r="AY102" s="131" t="n">
        <f aca="false">IF(ISERROR(VLOOKUP(C102,[26]일용직명단!$A$3:$M$1151,11,FALSE())),0,VLOOKUP(C102,[26]일용직명단!$A$3:$M$1151,11,FALSE()))</f>
        <v>0</v>
      </c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  <c r="GM102" s="11"/>
      <c r="GN102" s="11"/>
      <c r="GO102" s="11"/>
      <c r="GP102" s="11"/>
      <c r="GQ102" s="11"/>
      <c r="GR102" s="11"/>
      <c r="GS102" s="11"/>
      <c r="GT102" s="11"/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  <c r="IV102" s="11"/>
      <c r="IW102" s="11"/>
    </row>
    <row r="103" customFormat="false" ht="13.5" hidden="true" customHeight="true" outlineLevel="0" collapsed="false">
      <c r="A103" s="108"/>
      <c r="B103" s="310"/>
      <c r="C103" s="290"/>
      <c r="D103" s="311"/>
      <c r="E103" s="112" t="n">
        <f aca="false">IF(ISERROR(VLOOKUP(C102,일용직명단!$A$3:$K$1246,9,FALSE())),0,VLOOKUP(C102,일용직명단!$A$3:$K$1246,9,FALSE()))</f>
        <v>0</v>
      </c>
      <c r="F103" s="195"/>
      <c r="G103" s="196"/>
      <c r="H103" s="196"/>
      <c r="I103" s="193"/>
      <c r="J103" s="191"/>
      <c r="K103" s="193"/>
      <c r="L103" s="192"/>
      <c r="M103" s="192"/>
      <c r="N103" s="193"/>
      <c r="O103" s="191"/>
      <c r="P103" s="193"/>
      <c r="Q103" s="193"/>
      <c r="R103" s="192"/>
      <c r="S103" s="192"/>
      <c r="T103" s="192"/>
      <c r="U103" s="191"/>
      <c r="V103" s="120"/>
      <c r="W103" s="138" t="n">
        <f aca="false">W102*V102</f>
        <v>0</v>
      </c>
      <c r="X103" s="122" t="n">
        <f aca="false">IF(AH102&lt;1000,0,AH102)</f>
        <v>0</v>
      </c>
      <c r="Y103" s="122" t="n">
        <f aca="false">ROUNDDOWN(X103*10%,-1)</f>
        <v>0</v>
      </c>
      <c r="Z103" s="123" t="n">
        <f aca="false">IF(AE102&gt;=8,ROUNDDOWN(Y102*$Q$4,-1),0)</f>
        <v>0</v>
      </c>
      <c r="AA103" s="124"/>
      <c r="AB103" s="125"/>
      <c r="AC103" s="127" t="n">
        <f aca="false">IF(ISERROR(VLOOKUP(C102,일용직명단!$A$3:$I$1226,7,FALSE())),0,VLOOKUP(C102,일용직명단!$A$3:$I$1226,7,FALSE()))</f>
        <v>0</v>
      </c>
      <c r="AD103" s="127"/>
      <c r="AE103" s="128"/>
      <c r="AF103" s="129"/>
      <c r="AG103" s="129"/>
      <c r="AH103" s="130"/>
      <c r="AI103" s="130" t="n">
        <f aca="false">IF($W102*F103&gt;150000,($W102*F103-150000)*6%*45%,0)</f>
        <v>0</v>
      </c>
      <c r="AJ103" s="130" t="n">
        <f aca="false">IF($W102*G103&gt;150000,($W102*G103-150000)*6%*45%,0)</f>
        <v>0</v>
      </c>
      <c r="AK103" s="130" t="n">
        <f aca="false">IF($W102*H103&gt;150000,($W102*H103-150000)*6%*45%,0)</f>
        <v>0</v>
      </c>
      <c r="AL103" s="130" t="n">
        <f aca="false">IF($W102*I103&gt;150000,($W102*I103-150000)*6%*45%,0)</f>
        <v>0</v>
      </c>
      <c r="AM103" s="130" t="n">
        <f aca="false">IF($W102*J103&gt;150000,($W102*J103-150000)*6%*45%,0)</f>
        <v>0</v>
      </c>
      <c r="AN103" s="130" t="n">
        <f aca="false">IF($W102*K103&gt;150000,($W102*K103-150000)*6%*45%,0)</f>
        <v>0</v>
      </c>
      <c r="AO103" s="130" t="n">
        <f aca="false">IF($W102*L103&gt;150000,($W102*L103-150000)*6%*45%,0)</f>
        <v>0</v>
      </c>
      <c r="AP103" s="130" t="n">
        <f aca="false">IF($W102*M103&gt;150000,($W102*M103-150000)*6%*45%,0)</f>
        <v>0</v>
      </c>
      <c r="AQ103" s="130" t="n">
        <f aca="false">IF($W102*N103&gt;150000,($W102*N103-150000)*6%*45%,0)</f>
        <v>0</v>
      </c>
      <c r="AR103" s="130" t="n">
        <f aca="false">IF($W102*O103&gt;150000,($W102*O103-150000)*6%*45%,0)</f>
        <v>0</v>
      </c>
      <c r="AS103" s="130" t="n">
        <f aca="false">IF($W102*P103&gt;150000,($W102*P103-150000)*6%*45%,0)</f>
        <v>0</v>
      </c>
      <c r="AT103" s="130" t="n">
        <f aca="false">IF($W102*Q103&gt;150000,($W102*Q103-150000)*6%*45%,0)</f>
        <v>0</v>
      </c>
      <c r="AU103" s="130" t="n">
        <f aca="false">IF($W102*R103&gt;150000,($W102*R103-150000)*6%*45%,0)</f>
        <v>0</v>
      </c>
      <c r="AV103" s="130" t="n">
        <f aca="false">IF($W102*S103&gt;150000,($W102*S103-150000)*6%*45%,0)</f>
        <v>0</v>
      </c>
      <c r="AW103" s="130" t="n">
        <f aca="false">IF($W102*T103&gt;150000,($W102*T103-150000)*6%*45%,0)</f>
        <v>0</v>
      </c>
      <c r="AX103" s="130" t="n">
        <f aca="false">IF($W102*U103&gt;150000,($W102*U103-150000)*6%*45%,0)</f>
        <v>0</v>
      </c>
      <c r="AY103" s="13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/>
      <c r="GR103" s="11"/>
      <c r="GS103" s="11"/>
      <c r="GT103" s="11"/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  <c r="IV103" s="11"/>
      <c r="IW103" s="11"/>
    </row>
    <row r="104" customFormat="false" ht="13.5" hidden="true" customHeight="true" outlineLevel="0" collapsed="false">
      <c r="A104" s="108" t="n">
        <f aca="false">A102+1</f>
        <v>33</v>
      </c>
      <c r="B104" s="310" t="n">
        <f aca="false">IF(ISERROR(VLOOKUP(C104,일용직명단!$A$3:$I$104,2,FALSE())),0,VLOOKUP(C104,일용직명단!$A$3:$I$104,2,FALSE()))</f>
        <v>0</v>
      </c>
      <c r="C104" s="110"/>
      <c r="D104" s="311" t="n">
        <f aca="false">IF(ISERROR(VLOOKUP(C104,일용직명단!$A$3:$K$1246,3,FALSE())),0,VLOOKUP(C104,일용직명단!$A$3:$K$1246,3,FALSE()))</f>
        <v>0</v>
      </c>
      <c r="E104" s="112" t="n">
        <f aca="false">IF(ISERROR(VLOOKUP(C104,일용직명단!$A$3:$K$1246,4,FALSE())),0,VLOOKUP(C104,일용직명단!$A$3:$K$1246,4,FALSE()))</f>
        <v>0</v>
      </c>
      <c r="F104" s="192"/>
      <c r="G104" s="193"/>
      <c r="H104" s="191"/>
      <c r="I104" s="191"/>
      <c r="J104" s="192"/>
      <c r="K104" s="191"/>
      <c r="L104" s="192"/>
      <c r="M104" s="192"/>
      <c r="N104" s="193"/>
      <c r="O104" s="193"/>
      <c r="P104" s="192"/>
      <c r="Q104" s="193"/>
      <c r="R104" s="191"/>
      <c r="S104" s="193"/>
      <c r="T104" s="191"/>
      <c r="U104" s="194"/>
      <c r="V104" s="120" t="n">
        <f aca="false">SUM(F104:U105)</f>
        <v>0</v>
      </c>
      <c r="W104" s="121" t="n">
        <f aca="false">IF(ISERROR(VLOOKUP(C104,일용직명단!$A$3:$K$1246,8,FALSE())),0,VLOOKUP(C104,일용직명단!$A$3:$K$1246,8,FALSE()))</f>
        <v>0</v>
      </c>
      <c r="X104" s="122" t="n">
        <f aca="false">IFERROR(IF(AG104&gt;=65,0,ROUNDDOWN(W105*$Z$4,-1)),0)</f>
        <v>0</v>
      </c>
      <c r="Y104" s="122" t="n">
        <f aca="false">IF(AE104&gt;=8,ROUNDDOWN(W105*$M$4,-1),0)</f>
        <v>0</v>
      </c>
      <c r="Z104" s="123" t="n">
        <f aca="false">IFERROR(IF(AND(COUNT(F104:U105)&gt;=8,$AG104&lt;60,W105&lt;=5530000),ROUNDDOWN(ROUNDDOWN(W105,-3)*4.5%,-1),IF(AND(COUNT(F104:U105)&gt;=8,AG104&lt;60,W105&gt;5530000),248850,0)),0)</f>
        <v>0</v>
      </c>
      <c r="AA104" s="124" t="n">
        <f aca="false">+X104+Y104+X105+Y105+Z104+Z105</f>
        <v>0</v>
      </c>
      <c r="AB104" s="125" t="n">
        <f aca="false">W105-AA104</f>
        <v>0</v>
      </c>
      <c r="AC104" s="126" t="n">
        <f aca="false">IF(ISERROR(VLOOKUP(C104,일용직명단!$A$3:$I$1226,5,FALSE())),0,VLOOKUP(C104,일용직명단!$A$3:$I$1226,5,FALSE()))</f>
        <v>0</v>
      </c>
      <c r="AD104" s="127" t="n">
        <f aca="false">IF(ISERROR(VLOOKUP(C104,일용직명단!$A$3:$I$1226,6,FALSE())),0,VLOOKUP(C104,일용직명단!$A$3:$I$1226,6,FALSE()))</f>
        <v>0</v>
      </c>
      <c r="AE104" s="128" t="n">
        <f aca="false">COUNT(F104:U105)</f>
        <v>0</v>
      </c>
      <c r="AF104" s="129" t="str">
        <f aca="false">IF(OR(MID(D104,8,1)="1",MID(D104,8,1)="2"),19&amp;LEFT(D104,2),20&amp;LEFT(D104,2))&amp;"-"&amp;MID(D104,3,2)&amp;"-"&amp;MID(D104,5,2)</f>
        <v>200--</v>
      </c>
      <c r="AG104" s="129" t="e">
        <f aca="true">INT((TODAY()-AF104)/365.25)</f>
        <v>#VALUE!</v>
      </c>
      <c r="AH104" s="130" t="n">
        <f aca="false">ROUNDDOWN(SUM(AI104:AX105),-1)</f>
        <v>0</v>
      </c>
      <c r="AI104" s="130" t="n">
        <f aca="false">IF($W104*F104&gt;150000,($W104*F104-150000)*6%*45%,0)</f>
        <v>0</v>
      </c>
      <c r="AJ104" s="130" t="n">
        <f aca="false">IF($W104*G104&gt;150000,($W104*G104-150000)*6%*45%,0)</f>
        <v>0</v>
      </c>
      <c r="AK104" s="130" t="n">
        <f aca="false">IF($W104*H104&gt;150000,($W104*H104-150000)*6%*45%,0)</f>
        <v>0</v>
      </c>
      <c r="AL104" s="130" t="n">
        <f aca="false">IF($W104*I104&gt;150000,($W104*I104-150000)*6%*45%,0)</f>
        <v>0</v>
      </c>
      <c r="AM104" s="130" t="n">
        <f aca="false">IF($W104*J104&gt;150000,($W104*J104-150000)*6%*45%,0)</f>
        <v>0</v>
      </c>
      <c r="AN104" s="130" t="n">
        <f aca="false">IF($W104*K104&gt;150000,($W104*K104-150000)*6%*45%,0)</f>
        <v>0</v>
      </c>
      <c r="AO104" s="130" t="n">
        <f aca="false">IF($W104*L104&gt;150000,($W104*L104-150000)*6%*45%,0)</f>
        <v>0</v>
      </c>
      <c r="AP104" s="130" t="n">
        <f aca="false">IF($W104*M104&gt;150000,($W104*M104-150000)*6%*45%,0)</f>
        <v>0</v>
      </c>
      <c r="AQ104" s="130" t="n">
        <f aca="false">IF($W104*N104&gt;150000,($W104*N104-150000)*6%*45%,0)</f>
        <v>0</v>
      </c>
      <c r="AR104" s="130" t="n">
        <f aca="false">IF($W104*O104&gt;150000,($W104*O104-150000)*6%*45%,0)</f>
        <v>0</v>
      </c>
      <c r="AS104" s="130" t="n">
        <f aca="false">IF($W104*P104&gt;150000,($W104*P104-150000)*6%*45%,0)</f>
        <v>0</v>
      </c>
      <c r="AT104" s="130" t="n">
        <f aca="false">IF($W104*Q104&gt;150000,($W104*Q104-150000)*6%*45%,0)</f>
        <v>0</v>
      </c>
      <c r="AU104" s="130" t="n">
        <f aca="false">IF($W104*R104&gt;150000,($W104*R104-150000)*6%*45%,0)</f>
        <v>0</v>
      </c>
      <c r="AV104" s="130" t="n">
        <f aca="false">IF($W104*S104&gt;150000,($W104*S104-150000)*6%*45%,0)</f>
        <v>0</v>
      </c>
      <c r="AW104" s="130" t="n">
        <f aca="false">IF($W104*T104&gt;150000,($W104*T104-150000)*6%*45%,0)</f>
        <v>0</v>
      </c>
      <c r="AX104" s="130"/>
      <c r="AY104" s="131" t="n">
        <f aca="false">IF(ISERROR(VLOOKUP(C104,[26]일용직명단!$A$3:$M$1151,11,FALSE())),0,VLOOKUP(C104,[26]일용직명단!$A$3:$M$1151,11,FALSE()))</f>
        <v>0</v>
      </c>
      <c r="AZ104" s="11"/>
      <c r="BA104" s="167"/>
      <c r="BB104" s="167"/>
      <c r="BC104" s="167"/>
      <c r="BD104" s="167"/>
      <c r="BE104" s="167"/>
      <c r="BF104" s="167"/>
      <c r="BG104" s="167"/>
      <c r="BH104" s="167"/>
      <c r="BI104" s="167"/>
      <c r="BJ104" s="167"/>
      <c r="BK104" s="167"/>
      <c r="BL104" s="167"/>
      <c r="BM104" s="167"/>
      <c r="BN104" s="167"/>
      <c r="BO104" s="167"/>
      <c r="BP104" s="167"/>
      <c r="BQ104" s="167"/>
      <c r="BR104" s="167"/>
      <c r="BS104" s="167"/>
      <c r="BT104" s="167"/>
      <c r="BU104" s="167"/>
      <c r="BV104" s="167"/>
      <c r="BW104" s="167"/>
      <c r="BX104" s="167"/>
      <c r="BY104" s="167"/>
      <c r="BZ104" s="167"/>
      <c r="CA104" s="167"/>
      <c r="CB104" s="167"/>
      <c r="CC104" s="167"/>
      <c r="CD104" s="167"/>
      <c r="CE104" s="167"/>
      <c r="CF104" s="167"/>
      <c r="CG104" s="167"/>
      <c r="CH104" s="167"/>
      <c r="CI104" s="167"/>
      <c r="CJ104" s="167"/>
      <c r="CK104" s="167"/>
      <c r="CL104" s="167"/>
      <c r="CM104" s="167"/>
      <c r="CN104" s="167"/>
      <c r="CO104" s="167"/>
      <c r="CP104" s="167"/>
      <c r="CQ104" s="167"/>
      <c r="CR104" s="167"/>
      <c r="CS104" s="167"/>
      <c r="CT104" s="167"/>
      <c r="CU104" s="167"/>
      <c r="CV104" s="167"/>
      <c r="CW104" s="167"/>
      <c r="CX104" s="167"/>
      <c r="CY104" s="167"/>
      <c r="CZ104" s="167"/>
      <c r="DA104" s="167"/>
      <c r="DB104" s="167"/>
      <c r="DC104" s="167"/>
      <c r="DD104" s="167"/>
      <c r="DE104" s="167"/>
      <c r="DF104" s="167"/>
      <c r="DG104" s="167"/>
      <c r="DH104" s="167"/>
      <c r="DI104" s="167"/>
      <c r="DJ104" s="167"/>
      <c r="DK104" s="167"/>
      <c r="DL104" s="167"/>
      <c r="DM104" s="167"/>
      <c r="DN104" s="167"/>
      <c r="DO104" s="167"/>
      <c r="DP104" s="167"/>
      <c r="DQ104" s="167"/>
      <c r="DR104" s="167"/>
      <c r="DS104" s="167"/>
      <c r="DT104" s="167"/>
      <c r="DU104" s="167"/>
      <c r="DV104" s="167"/>
      <c r="DW104" s="167"/>
      <c r="DX104" s="167"/>
      <c r="DY104" s="167"/>
      <c r="DZ104" s="167"/>
      <c r="EA104" s="167"/>
      <c r="EB104" s="167"/>
      <c r="EC104" s="167"/>
      <c r="ED104" s="167"/>
      <c r="EE104" s="167"/>
      <c r="EF104" s="167"/>
      <c r="EG104" s="167"/>
      <c r="EH104" s="167"/>
      <c r="EI104" s="167"/>
      <c r="EJ104" s="167"/>
      <c r="EK104" s="167"/>
      <c r="EL104" s="167"/>
      <c r="EM104" s="167"/>
      <c r="EN104" s="167"/>
      <c r="EO104" s="167"/>
      <c r="EP104" s="167"/>
      <c r="EQ104" s="167"/>
      <c r="ER104" s="167"/>
      <c r="ES104" s="167"/>
      <c r="ET104" s="167"/>
      <c r="EU104" s="167"/>
      <c r="EV104" s="167"/>
      <c r="EW104" s="167"/>
      <c r="EX104" s="167"/>
      <c r="EY104" s="167"/>
      <c r="EZ104" s="167"/>
      <c r="FA104" s="167"/>
      <c r="FB104" s="167"/>
      <c r="FC104" s="167"/>
      <c r="FD104" s="167"/>
      <c r="FE104" s="167"/>
      <c r="FF104" s="167"/>
      <c r="FG104" s="167"/>
      <c r="FH104" s="167"/>
      <c r="FI104" s="167"/>
      <c r="FJ104" s="167"/>
      <c r="FK104" s="167"/>
      <c r="FL104" s="167"/>
      <c r="FM104" s="167"/>
      <c r="FN104" s="167"/>
      <c r="FO104" s="167"/>
      <c r="FP104" s="167"/>
      <c r="FQ104" s="167"/>
      <c r="FR104" s="167"/>
      <c r="FS104" s="167"/>
      <c r="FT104" s="167"/>
      <c r="FU104" s="167"/>
      <c r="FV104" s="167"/>
      <c r="FW104" s="167"/>
      <c r="FX104" s="167"/>
      <c r="FY104" s="167"/>
      <c r="FZ104" s="167"/>
      <c r="GA104" s="167"/>
      <c r="GB104" s="167"/>
      <c r="GC104" s="167"/>
      <c r="GD104" s="167"/>
      <c r="GE104" s="167"/>
      <c r="GF104" s="167"/>
      <c r="GG104" s="167"/>
      <c r="GH104" s="167"/>
      <c r="GI104" s="167"/>
      <c r="GJ104" s="167"/>
      <c r="GK104" s="167"/>
      <c r="GL104" s="167"/>
      <c r="GM104" s="167"/>
      <c r="GN104" s="167"/>
      <c r="GO104" s="167"/>
      <c r="GP104" s="167"/>
      <c r="GQ104" s="167"/>
      <c r="GR104" s="167"/>
      <c r="GS104" s="167"/>
      <c r="GT104" s="167"/>
      <c r="GU104" s="167"/>
      <c r="GV104" s="167"/>
      <c r="GW104" s="167"/>
      <c r="GX104" s="167"/>
      <c r="GY104" s="167"/>
      <c r="GZ104" s="167"/>
      <c r="HA104" s="167"/>
      <c r="HB104" s="167"/>
      <c r="HC104" s="167"/>
      <c r="HD104" s="167"/>
      <c r="HE104" s="167"/>
      <c r="HF104" s="167"/>
      <c r="HG104" s="167"/>
      <c r="HH104" s="167"/>
      <c r="HI104" s="167"/>
      <c r="HJ104" s="167"/>
      <c r="HK104" s="167"/>
      <c r="HL104" s="167"/>
      <c r="HM104" s="167"/>
      <c r="HN104" s="167"/>
      <c r="HO104" s="167"/>
      <c r="HP104" s="167"/>
      <c r="HQ104" s="167"/>
      <c r="HR104" s="167"/>
      <c r="HS104" s="167"/>
      <c r="HT104" s="167"/>
      <c r="HU104" s="167"/>
      <c r="HV104" s="167"/>
      <c r="HW104" s="167"/>
      <c r="HX104" s="167"/>
      <c r="HY104" s="167"/>
      <c r="HZ104" s="167"/>
      <c r="IA104" s="167"/>
      <c r="IB104" s="167"/>
      <c r="IC104" s="167"/>
      <c r="ID104" s="167"/>
      <c r="IE104" s="167"/>
      <c r="IF104" s="167"/>
      <c r="IG104" s="167"/>
      <c r="IH104" s="167"/>
      <c r="II104" s="167"/>
      <c r="IJ104" s="167"/>
      <c r="IK104" s="167"/>
      <c r="IL104" s="167"/>
      <c r="IM104" s="167"/>
      <c r="IN104" s="167"/>
      <c r="IO104" s="167"/>
      <c r="IP104" s="167"/>
      <c r="IQ104" s="167"/>
      <c r="IR104" s="167"/>
      <c r="IS104" s="167"/>
      <c r="IT104" s="167"/>
      <c r="IU104" s="167"/>
      <c r="IV104" s="167"/>
      <c r="IW104" s="167"/>
    </row>
    <row r="105" customFormat="false" ht="13.5" hidden="true" customHeight="true" outlineLevel="0" collapsed="false">
      <c r="A105" s="108"/>
      <c r="B105" s="310"/>
      <c r="C105" s="110"/>
      <c r="D105" s="311"/>
      <c r="E105" s="112" t="n">
        <f aca="false">IF(ISERROR(VLOOKUP(C104,일용직명단!$A$3:$K$1246,9,FALSE())),0,VLOOKUP(C104,일용직명단!$A$3:$K$1246,9,FALSE()))</f>
        <v>0</v>
      </c>
      <c r="F105" s="195"/>
      <c r="G105" s="196"/>
      <c r="H105" s="196"/>
      <c r="I105" s="193"/>
      <c r="J105" s="191"/>
      <c r="K105" s="193"/>
      <c r="L105" s="192"/>
      <c r="M105" s="192"/>
      <c r="N105" s="193"/>
      <c r="O105" s="191"/>
      <c r="P105" s="193"/>
      <c r="Q105" s="193"/>
      <c r="R105" s="192"/>
      <c r="S105" s="192"/>
      <c r="T105" s="192"/>
      <c r="U105" s="191"/>
      <c r="V105" s="120"/>
      <c r="W105" s="138" t="n">
        <f aca="false">W104*V104</f>
        <v>0</v>
      </c>
      <c r="X105" s="122" t="n">
        <f aca="false">IF(AH104&lt;1000,0,AH104)</f>
        <v>0</v>
      </c>
      <c r="Y105" s="122" t="n">
        <f aca="false">ROUNDDOWN(X105*10%,-1)</f>
        <v>0</v>
      </c>
      <c r="Z105" s="123" t="n">
        <f aca="false">IF(AE104&gt;=8,ROUNDDOWN(Y104*$Q$4,-1),0)</f>
        <v>0</v>
      </c>
      <c r="AA105" s="124"/>
      <c r="AB105" s="125"/>
      <c r="AC105" s="127" t="n">
        <f aca="false">IF(ISERROR(VLOOKUP(C104,일용직명단!$A$3:$I$1226,7,FALSE())),0,VLOOKUP(C104,일용직명단!$A$3:$I$1226,7,FALSE()))</f>
        <v>0</v>
      </c>
      <c r="AD105" s="127"/>
      <c r="AE105" s="128"/>
      <c r="AF105" s="129"/>
      <c r="AG105" s="129"/>
      <c r="AH105" s="130"/>
      <c r="AI105" s="130" t="n">
        <f aca="false">IF($W104*F105&gt;150000,($W104*F105-150000)*6%*45%,0)</f>
        <v>0</v>
      </c>
      <c r="AJ105" s="130" t="n">
        <f aca="false">IF($W104*G105&gt;150000,($W104*G105-150000)*6%*45%,0)</f>
        <v>0</v>
      </c>
      <c r="AK105" s="130" t="n">
        <f aca="false">IF($W104*H105&gt;150000,($W104*H105-150000)*6%*45%,0)</f>
        <v>0</v>
      </c>
      <c r="AL105" s="130" t="n">
        <f aca="false">IF($W104*I105&gt;150000,($W104*I105-150000)*6%*45%,0)</f>
        <v>0</v>
      </c>
      <c r="AM105" s="130" t="n">
        <f aca="false">IF($W104*J105&gt;150000,($W104*J105-150000)*6%*45%,0)</f>
        <v>0</v>
      </c>
      <c r="AN105" s="130" t="n">
        <f aca="false">IF($W104*K105&gt;150000,($W104*K105-150000)*6%*45%,0)</f>
        <v>0</v>
      </c>
      <c r="AO105" s="130" t="n">
        <f aca="false">IF($W104*L105&gt;150000,($W104*L105-150000)*6%*45%,0)</f>
        <v>0</v>
      </c>
      <c r="AP105" s="130" t="n">
        <f aca="false">IF($W104*M105&gt;150000,($W104*M105-150000)*6%*45%,0)</f>
        <v>0</v>
      </c>
      <c r="AQ105" s="130" t="n">
        <f aca="false">IF($W104*N105&gt;150000,($W104*N105-150000)*6%*45%,0)</f>
        <v>0</v>
      </c>
      <c r="AR105" s="130" t="n">
        <f aca="false">IF($W104*O105&gt;150000,($W104*O105-150000)*6%*45%,0)</f>
        <v>0</v>
      </c>
      <c r="AS105" s="130" t="n">
        <f aca="false">IF($W104*P105&gt;150000,($W104*P105-150000)*6%*45%,0)</f>
        <v>0</v>
      </c>
      <c r="AT105" s="130" t="n">
        <f aca="false">IF($W104*Q105&gt;150000,($W104*Q105-150000)*6%*45%,0)</f>
        <v>0</v>
      </c>
      <c r="AU105" s="130" t="n">
        <f aca="false">IF($W104*R105&gt;150000,($W104*R105-150000)*6%*45%,0)</f>
        <v>0</v>
      </c>
      <c r="AV105" s="130" t="n">
        <f aca="false">IF($W104*S105&gt;150000,($W104*S105-150000)*6%*45%,0)</f>
        <v>0</v>
      </c>
      <c r="AW105" s="130" t="n">
        <f aca="false">IF($W104*T105&gt;150000,($W104*T105-150000)*6%*45%,0)</f>
        <v>0</v>
      </c>
      <c r="AX105" s="130" t="n">
        <f aca="false">IF($W104*U105&gt;150000,($W104*U105-150000)*6%*45%,0)</f>
        <v>0</v>
      </c>
      <c r="AY105" s="131"/>
      <c r="AZ105" s="11"/>
      <c r="BA105" s="167"/>
      <c r="BB105" s="167"/>
      <c r="BC105" s="167"/>
      <c r="BD105" s="167"/>
      <c r="BE105" s="167"/>
      <c r="BF105" s="167"/>
      <c r="BG105" s="167"/>
      <c r="BH105" s="167"/>
      <c r="BI105" s="167"/>
      <c r="BJ105" s="167"/>
      <c r="BK105" s="167"/>
      <c r="BL105" s="167"/>
      <c r="BM105" s="167"/>
      <c r="BN105" s="167"/>
      <c r="BO105" s="167"/>
      <c r="BP105" s="167"/>
      <c r="BQ105" s="167"/>
      <c r="BR105" s="167"/>
      <c r="BS105" s="167"/>
      <c r="BT105" s="167"/>
      <c r="BU105" s="167"/>
      <c r="BV105" s="167"/>
      <c r="BW105" s="167"/>
      <c r="BX105" s="167"/>
      <c r="BY105" s="167"/>
      <c r="BZ105" s="167"/>
      <c r="CA105" s="167"/>
      <c r="CB105" s="167"/>
      <c r="CC105" s="167"/>
      <c r="CD105" s="167"/>
      <c r="CE105" s="167"/>
      <c r="CF105" s="167"/>
      <c r="CG105" s="167"/>
      <c r="CH105" s="167"/>
      <c r="CI105" s="167"/>
      <c r="CJ105" s="167"/>
      <c r="CK105" s="167"/>
      <c r="CL105" s="167"/>
      <c r="CM105" s="167"/>
      <c r="CN105" s="167"/>
      <c r="CO105" s="167"/>
      <c r="CP105" s="167"/>
      <c r="CQ105" s="167"/>
      <c r="CR105" s="167"/>
      <c r="CS105" s="167"/>
      <c r="CT105" s="167"/>
      <c r="CU105" s="167"/>
      <c r="CV105" s="167"/>
      <c r="CW105" s="167"/>
      <c r="CX105" s="167"/>
      <c r="CY105" s="167"/>
      <c r="CZ105" s="167"/>
      <c r="DA105" s="167"/>
      <c r="DB105" s="167"/>
      <c r="DC105" s="167"/>
      <c r="DD105" s="167"/>
      <c r="DE105" s="167"/>
      <c r="DF105" s="167"/>
      <c r="DG105" s="167"/>
      <c r="DH105" s="167"/>
      <c r="DI105" s="167"/>
      <c r="DJ105" s="167"/>
      <c r="DK105" s="167"/>
      <c r="DL105" s="167"/>
      <c r="DM105" s="167"/>
      <c r="DN105" s="167"/>
      <c r="DO105" s="167"/>
      <c r="DP105" s="167"/>
      <c r="DQ105" s="167"/>
      <c r="DR105" s="167"/>
      <c r="DS105" s="167"/>
      <c r="DT105" s="167"/>
      <c r="DU105" s="167"/>
      <c r="DV105" s="167"/>
      <c r="DW105" s="167"/>
      <c r="DX105" s="167"/>
      <c r="DY105" s="167"/>
      <c r="DZ105" s="167"/>
      <c r="EA105" s="167"/>
      <c r="EB105" s="167"/>
      <c r="EC105" s="167"/>
      <c r="ED105" s="167"/>
      <c r="EE105" s="167"/>
      <c r="EF105" s="167"/>
      <c r="EG105" s="167"/>
      <c r="EH105" s="167"/>
      <c r="EI105" s="167"/>
      <c r="EJ105" s="167"/>
      <c r="EK105" s="167"/>
      <c r="EL105" s="167"/>
      <c r="EM105" s="167"/>
      <c r="EN105" s="167"/>
      <c r="EO105" s="167"/>
      <c r="EP105" s="167"/>
      <c r="EQ105" s="167"/>
      <c r="ER105" s="167"/>
      <c r="ES105" s="167"/>
      <c r="ET105" s="167"/>
      <c r="EU105" s="167"/>
      <c r="EV105" s="167"/>
      <c r="EW105" s="167"/>
      <c r="EX105" s="167"/>
      <c r="EY105" s="167"/>
      <c r="EZ105" s="167"/>
      <c r="FA105" s="167"/>
      <c r="FB105" s="167"/>
      <c r="FC105" s="167"/>
      <c r="FD105" s="167"/>
      <c r="FE105" s="167"/>
      <c r="FF105" s="167"/>
      <c r="FG105" s="167"/>
      <c r="FH105" s="167"/>
      <c r="FI105" s="167"/>
      <c r="FJ105" s="167"/>
      <c r="FK105" s="167"/>
      <c r="FL105" s="167"/>
      <c r="FM105" s="167"/>
      <c r="FN105" s="167"/>
      <c r="FO105" s="167"/>
      <c r="FP105" s="167"/>
      <c r="FQ105" s="167"/>
      <c r="FR105" s="167"/>
      <c r="FS105" s="167"/>
      <c r="FT105" s="167"/>
      <c r="FU105" s="167"/>
      <c r="FV105" s="167"/>
      <c r="FW105" s="167"/>
      <c r="FX105" s="167"/>
      <c r="FY105" s="167"/>
      <c r="FZ105" s="167"/>
      <c r="GA105" s="167"/>
      <c r="GB105" s="167"/>
      <c r="GC105" s="167"/>
      <c r="GD105" s="167"/>
      <c r="GE105" s="167"/>
      <c r="GF105" s="167"/>
      <c r="GG105" s="167"/>
      <c r="GH105" s="167"/>
      <c r="GI105" s="167"/>
      <c r="GJ105" s="167"/>
      <c r="GK105" s="167"/>
      <c r="GL105" s="167"/>
      <c r="GM105" s="167"/>
      <c r="GN105" s="167"/>
      <c r="GO105" s="167"/>
      <c r="GP105" s="167"/>
      <c r="GQ105" s="167"/>
      <c r="GR105" s="167"/>
      <c r="GS105" s="167"/>
      <c r="GT105" s="167"/>
      <c r="GU105" s="167"/>
      <c r="GV105" s="167"/>
      <c r="GW105" s="167"/>
      <c r="GX105" s="167"/>
      <c r="GY105" s="167"/>
      <c r="GZ105" s="167"/>
      <c r="HA105" s="167"/>
      <c r="HB105" s="167"/>
      <c r="HC105" s="167"/>
      <c r="HD105" s="167"/>
      <c r="HE105" s="167"/>
      <c r="HF105" s="167"/>
      <c r="HG105" s="167"/>
      <c r="HH105" s="167"/>
      <c r="HI105" s="167"/>
      <c r="HJ105" s="167"/>
      <c r="HK105" s="167"/>
      <c r="HL105" s="167"/>
      <c r="HM105" s="167"/>
      <c r="HN105" s="167"/>
      <c r="HO105" s="167"/>
      <c r="HP105" s="167"/>
      <c r="HQ105" s="167"/>
      <c r="HR105" s="167"/>
      <c r="HS105" s="167"/>
      <c r="HT105" s="167"/>
      <c r="HU105" s="167"/>
      <c r="HV105" s="167"/>
      <c r="HW105" s="167"/>
      <c r="HX105" s="167"/>
      <c r="HY105" s="167"/>
      <c r="HZ105" s="167"/>
      <c r="IA105" s="167"/>
      <c r="IB105" s="167"/>
      <c r="IC105" s="167"/>
      <c r="ID105" s="167"/>
      <c r="IE105" s="167"/>
      <c r="IF105" s="167"/>
      <c r="IG105" s="167"/>
      <c r="IH105" s="167"/>
      <c r="II105" s="167"/>
      <c r="IJ105" s="167"/>
      <c r="IK105" s="167"/>
      <c r="IL105" s="167"/>
      <c r="IM105" s="167"/>
      <c r="IN105" s="167"/>
      <c r="IO105" s="167"/>
      <c r="IP105" s="167"/>
      <c r="IQ105" s="167"/>
      <c r="IR105" s="167"/>
      <c r="IS105" s="167"/>
      <c r="IT105" s="167"/>
      <c r="IU105" s="167"/>
      <c r="IV105" s="167"/>
      <c r="IW105" s="167"/>
    </row>
    <row r="106" customFormat="false" ht="13.5" hidden="true" customHeight="true" outlineLevel="0" collapsed="false">
      <c r="A106" s="108" t="n">
        <f aca="false">A104+1</f>
        <v>34</v>
      </c>
      <c r="B106" s="310" t="n">
        <f aca="false">IF(ISERROR(VLOOKUP(C106,일용직명단!$A$3:$I$104,2,FALSE())),0,VLOOKUP(C106,일용직명단!$A$3:$I$104,2,FALSE()))</f>
        <v>0</v>
      </c>
      <c r="C106" s="110"/>
      <c r="D106" s="311" t="n">
        <f aca="false">IF(ISERROR(VLOOKUP(C106,일용직명단!$A$3:$K$1246,3,FALSE())),0,VLOOKUP(C106,일용직명단!$A$3:$K$1246,3,FALSE()))</f>
        <v>0</v>
      </c>
      <c r="E106" s="164" t="n">
        <f aca="false">IF(ISERROR(VLOOKUP(C106,일용직명단!$A$3:$K$1246,4,FALSE())),0,VLOOKUP(C106,일용직명단!$A$3:$K$1246,4,FALSE()))</f>
        <v>0</v>
      </c>
      <c r="F106" s="192"/>
      <c r="G106" s="193"/>
      <c r="H106" s="191"/>
      <c r="I106" s="191"/>
      <c r="J106" s="192"/>
      <c r="K106" s="191"/>
      <c r="L106" s="192"/>
      <c r="M106" s="192"/>
      <c r="N106" s="193"/>
      <c r="O106" s="193"/>
      <c r="P106" s="192"/>
      <c r="Q106" s="193"/>
      <c r="R106" s="191"/>
      <c r="S106" s="193"/>
      <c r="T106" s="191"/>
      <c r="U106" s="194"/>
      <c r="V106" s="144" t="n">
        <f aca="false">SUM(F106:U107)</f>
        <v>0</v>
      </c>
      <c r="W106" s="121" t="n">
        <f aca="false">IF(ISERROR(VLOOKUP(C106,일용직명단!$A$3:$K$1246,8,FALSE())),0,VLOOKUP(C106,일용직명단!$A$3:$K$1246,8,FALSE()))</f>
        <v>0</v>
      </c>
      <c r="X106" s="123" t="n">
        <f aca="false">IFERROR(IF(AG106&gt;=65,0,ROUNDDOWN(W107*$Z$4,-1)),0)</f>
        <v>0</v>
      </c>
      <c r="Y106" s="123" t="n">
        <f aca="false">IF(AE106&gt;=8,ROUNDDOWN(W107*$M$4,-1),0)</f>
        <v>0</v>
      </c>
      <c r="Z106" s="123" t="n">
        <f aca="false">IFERROR(IF(AND(COUNT(F106:U107)&gt;=8,$AG106&lt;60,W107&lt;=5530000),ROUNDDOWN(ROUNDDOWN(W107,-3)*4.5%,-1),IF(AND(COUNT(F106:U107)&gt;=8,AG106&lt;60,W107&gt;5530000),248850,0)),0)</f>
        <v>0</v>
      </c>
      <c r="AA106" s="145" t="n">
        <f aca="false">+X106+Y106+X107+Y107+Z106+Z107</f>
        <v>0</v>
      </c>
      <c r="AB106" s="146" t="n">
        <f aca="false">W107-AA106</f>
        <v>0</v>
      </c>
      <c r="AC106" s="147" t="n">
        <f aca="false">IF(ISERROR(VLOOKUP(C106,일용직명단!$A$3:$I$1226,5,FALSE())),0,VLOOKUP(C106,일용직명단!$A$3:$I$1226,5,FALSE()))</f>
        <v>0</v>
      </c>
      <c r="AD106" s="148" t="n">
        <f aca="false">IF(ISERROR(VLOOKUP(C106,일용직명단!$A$3:$I$1226,6,FALSE())),0,VLOOKUP(C106,일용직명단!$A$3:$I$1226,6,FALSE()))</f>
        <v>0</v>
      </c>
      <c r="AE106" s="128" t="n">
        <f aca="false">COUNT(F106:U107)</f>
        <v>0</v>
      </c>
      <c r="AF106" s="129" t="str">
        <f aca="false">IF(OR(MID(D106,8,1)="1",MID(D106,8,1)="2"),19&amp;LEFT(D106,2),20&amp;LEFT(D106,2))&amp;"-"&amp;MID(D106,3,2)&amp;"-"&amp;MID(D106,5,2)</f>
        <v>200--</v>
      </c>
      <c r="AG106" s="129" t="e">
        <f aca="true">INT((TODAY()-AF106)/365.25)</f>
        <v>#VALUE!</v>
      </c>
      <c r="AH106" s="130" t="n">
        <f aca="false">ROUNDDOWN(SUM(AI106:AX107),-1)</f>
        <v>0</v>
      </c>
      <c r="AI106" s="130" t="n">
        <f aca="false">IF($W106*F106&gt;150000,($W106*F106-150000)*6%*45%,0)</f>
        <v>0</v>
      </c>
      <c r="AJ106" s="130" t="n">
        <f aca="false">IF($W106*G106&gt;150000,($W106*G106-150000)*6%*45%,0)</f>
        <v>0</v>
      </c>
      <c r="AK106" s="130" t="n">
        <f aca="false">IF($W106*H106&gt;150000,($W106*H106-150000)*6%*45%,0)</f>
        <v>0</v>
      </c>
      <c r="AL106" s="130" t="n">
        <f aca="false">IF($W106*I106&gt;150000,($W106*I106-150000)*6%*45%,0)</f>
        <v>0</v>
      </c>
      <c r="AM106" s="130" t="n">
        <f aca="false">IF($W106*J106&gt;150000,($W106*J106-150000)*6%*45%,0)</f>
        <v>0</v>
      </c>
      <c r="AN106" s="130" t="n">
        <f aca="false">IF($W106*K106&gt;150000,($W106*K106-150000)*6%*45%,0)</f>
        <v>0</v>
      </c>
      <c r="AO106" s="130" t="n">
        <f aca="false">IF($W106*L106&gt;150000,($W106*L106-150000)*6%*45%,0)</f>
        <v>0</v>
      </c>
      <c r="AP106" s="130" t="n">
        <f aca="false">IF($W106*M106&gt;150000,($W106*M106-150000)*6%*45%,0)</f>
        <v>0</v>
      </c>
      <c r="AQ106" s="130" t="n">
        <f aca="false">IF($W106*N106&gt;150000,($W106*N106-150000)*6%*45%,0)</f>
        <v>0</v>
      </c>
      <c r="AR106" s="130" t="n">
        <f aca="false">IF($W106*O106&gt;150000,($W106*O106-150000)*6%*45%,0)</f>
        <v>0</v>
      </c>
      <c r="AS106" s="130" t="n">
        <f aca="false">IF($W106*P106&gt;150000,($W106*P106-150000)*6%*45%,0)</f>
        <v>0</v>
      </c>
      <c r="AT106" s="130" t="n">
        <f aca="false">IF($W106*Q106&gt;150000,($W106*Q106-150000)*6%*45%,0)</f>
        <v>0</v>
      </c>
      <c r="AU106" s="130" t="n">
        <f aca="false">IF($W106*R106&gt;150000,($W106*R106-150000)*6%*45%,0)</f>
        <v>0</v>
      </c>
      <c r="AV106" s="130" t="n">
        <f aca="false">IF($W106*S106&gt;150000,($W106*S106-150000)*6%*45%,0)</f>
        <v>0</v>
      </c>
      <c r="AW106" s="130" t="n">
        <f aca="false">IF($W106*T106&gt;150000,($W106*T106-150000)*6%*45%,0)</f>
        <v>0</v>
      </c>
      <c r="AX106" s="130"/>
      <c r="AY106" s="131" t="n">
        <f aca="false">IF(ISERROR(VLOOKUP(C106,[26]일용직명단!$A$3:$M$1151,11,FALSE())),0,VLOOKUP(C106,[26]일용직명단!$A$3:$M$1151,11,FALSE()))</f>
        <v>0</v>
      </c>
      <c r="AZ106" s="11"/>
      <c r="BA106" s="167"/>
      <c r="BB106" s="167"/>
      <c r="BC106" s="167"/>
      <c r="BD106" s="167"/>
      <c r="BE106" s="167"/>
      <c r="BF106" s="167"/>
      <c r="BG106" s="167"/>
      <c r="BH106" s="167"/>
      <c r="BI106" s="167"/>
      <c r="BJ106" s="167"/>
      <c r="BK106" s="167"/>
      <c r="BL106" s="167"/>
      <c r="BM106" s="167"/>
      <c r="BN106" s="167"/>
      <c r="BO106" s="167"/>
      <c r="BP106" s="167"/>
      <c r="BQ106" s="167"/>
      <c r="BR106" s="167"/>
      <c r="BS106" s="167"/>
      <c r="BT106" s="167"/>
      <c r="BU106" s="167"/>
      <c r="BV106" s="167"/>
      <c r="BW106" s="167"/>
      <c r="BX106" s="167"/>
      <c r="BY106" s="167"/>
      <c r="BZ106" s="167"/>
      <c r="CA106" s="167"/>
      <c r="CB106" s="167"/>
      <c r="CC106" s="167"/>
      <c r="CD106" s="167"/>
      <c r="CE106" s="167"/>
      <c r="CF106" s="167"/>
      <c r="CG106" s="167"/>
      <c r="CH106" s="167"/>
      <c r="CI106" s="167"/>
      <c r="CJ106" s="167"/>
      <c r="CK106" s="167"/>
      <c r="CL106" s="167"/>
      <c r="CM106" s="167"/>
      <c r="CN106" s="167"/>
      <c r="CO106" s="167"/>
      <c r="CP106" s="167"/>
      <c r="CQ106" s="167"/>
      <c r="CR106" s="167"/>
      <c r="CS106" s="167"/>
      <c r="CT106" s="167"/>
      <c r="CU106" s="167"/>
      <c r="CV106" s="167"/>
      <c r="CW106" s="167"/>
      <c r="CX106" s="167"/>
      <c r="CY106" s="167"/>
      <c r="CZ106" s="167"/>
      <c r="DA106" s="167"/>
      <c r="DB106" s="167"/>
      <c r="DC106" s="167"/>
      <c r="DD106" s="167"/>
      <c r="DE106" s="167"/>
      <c r="DF106" s="167"/>
      <c r="DG106" s="167"/>
      <c r="DH106" s="167"/>
      <c r="DI106" s="167"/>
      <c r="DJ106" s="167"/>
      <c r="DK106" s="167"/>
      <c r="DL106" s="167"/>
      <c r="DM106" s="167"/>
      <c r="DN106" s="167"/>
      <c r="DO106" s="167"/>
      <c r="DP106" s="167"/>
      <c r="DQ106" s="167"/>
      <c r="DR106" s="167"/>
      <c r="DS106" s="167"/>
      <c r="DT106" s="167"/>
      <c r="DU106" s="167"/>
      <c r="DV106" s="167"/>
      <c r="DW106" s="167"/>
      <c r="DX106" s="167"/>
      <c r="DY106" s="167"/>
      <c r="DZ106" s="167"/>
      <c r="EA106" s="167"/>
      <c r="EB106" s="167"/>
      <c r="EC106" s="167"/>
      <c r="ED106" s="167"/>
      <c r="EE106" s="167"/>
      <c r="EF106" s="167"/>
      <c r="EG106" s="167"/>
      <c r="EH106" s="167"/>
      <c r="EI106" s="167"/>
      <c r="EJ106" s="167"/>
      <c r="EK106" s="167"/>
      <c r="EL106" s="167"/>
      <c r="EM106" s="167"/>
      <c r="EN106" s="167"/>
      <c r="EO106" s="167"/>
      <c r="EP106" s="167"/>
      <c r="EQ106" s="167"/>
      <c r="ER106" s="167"/>
      <c r="ES106" s="167"/>
      <c r="ET106" s="167"/>
      <c r="EU106" s="167"/>
      <c r="EV106" s="167"/>
      <c r="EW106" s="167"/>
      <c r="EX106" s="167"/>
      <c r="EY106" s="167"/>
      <c r="EZ106" s="167"/>
      <c r="FA106" s="167"/>
      <c r="FB106" s="167"/>
      <c r="FC106" s="167"/>
      <c r="FD106" s="167"/>
      <c r="FE106" s="167"/>
      <c r="FF106" s="167"/>
      <c r="FG106" s="167"/>
      <c r="FH106" s="167"/>
      <c r="FI106" s="167"/>
      <c r="FJ106" s="167"/>
      <c r="FK106" s="167"/>
      <c r="FL106" s="167"/>
      <c r="FM106" s="167"/>
      <c r="FN106" s="167"/>
      <c r="FO106" s="167"/>
      <c r="FP106" s="167"/>
      <c r="FQ106" s="167"/>
      <c r="FR106" s="167"/>
      <c r="FS106" s="167"/>
      <c r="FT106" s="167"/>
      <c r="FU106" s="167"/>
      <c r="FV106" s="167"/>
      <c r="FW106" s="167"/>
      <c r="FX106" s="167"/>
      <c r="FY106" s="167"/>
      <c r="FZ106" s="167"/>
      <c r="GA106" s="167"/>
      <c r="GB106" s="167"/>
      <c r="GC106" s="167"/>
      <c r="GD106" s="167"/>
      <c r="GE106" s="167"/>
      <c r="GF106" s="167"/>
      <c r="GG106" s="167"/>
      <c r="GH106" s="167"/>
      <c r="GI106" s="167"/>
      <c r="GJ106" s="167"/>
      <c r="GK106" s="167"/>
      <c r="GL106" s="167"/>
      <c r="GM106" s="167"/>
      <c r="GN106" s="167"/>
      <c r="GO106" s="167"/>
      <c r="GP106" s="167"/>
      <c r="GQ106" s="167"/>
      <c r="GR106" s="167"/>
      <c r="GS106" s="167"/>
      <c r="GT106" s="167"/>
      <c r="GU106" s="167"/>
      <c r="GV106" s="167"/>
      <c r="GW106" s="167"/>
      <c r="GX106" s="167"/>
      <c r="GY106" s="167"/>
      <c r="GZ106" s="167"/>
      <c r="HA106" s="167"/>
      <c r="HB106" s="167"/>
      <c r="HC106" s="167"/>
      <c r="HD106" s="167"/>
      <c r="HE106" s="167"/>
      <c r="HF106" s="167"/>
      <c r="HG106" s="167"/>
      <c r="HH106" s="167"/>
      <c r="HI106" s="167"/>
      <c r="HJ106" s="167"/>
      <c r="HK106" s="167"/>
      <c r="HL106" s="167"/>
      <c r="HM106" s="167"/>
      <c r="HN106" s="167"/>
      <c r="HO106" s="167"/>
      <c r="HP106" s="167"/>
      <c r="HQ106" s="167"/>
      <c r="HR106" s="167"/>
      <c r="HS106" s="167"/>
      <c r="HT106" s="167"/>
      <c r="HU106" s="167"/>
      <c r="HV106" s="167"/>
      <c r="HW106" s="167"/>
      <c r="HX106" s="167"/>
      <c r="HY106" s="167"/>
      <c r="HZ106" s="167"/>
      <c r="IA106" s="167"/>
      <c r="IB106" s="167"/>
      <c r="IC106" s="167"/>
      <c r="ID106" s="167"/>
      <c r="IE106" s="167"/>
      <c r="IF106" s="167"/>
      <c r="IG106" s="167"/>
      <c r="IH106" s="167"/>
      <c r="II106" s="167"/>
      <c r="IJ106" s="167"/>
      <c r="IK106" s="167"/>
      <c r="IL106" s="167"/>
      <c r="IM106" s="167"/>
      <c r="IN106" s="167"/>
      <c r="IO106" s="167"/>
      <c r="IP106" s="167"/>
      <c r="IQ106" s="167"/>
      <c r="IR106" s="167"/>
      <c r="IS106" s="167"/>
      <c r="IT106" s="167"/>
      <c r="IU106" s="167"/>
      <c r="IV106" s="167"/>
      <c r="IW106" s="167"/>
    </row>
    <row r="107" customFormat="false" ht="12.75" hidden="true" customHeight="true" outlineLevel="0" collapsed="false">
      <c r="A107" s="108"/>
      <c r="B107" s="310"/>
      <c r="C107" s="110"/>
      <c r="D107" s="311"/>
      <c r="E107" s="164" t="n">
        <f aca="false">IF(ISERROR(VLOOKUP(C106,일용직명단!$A$3:$K$1246,9,FALSE())),0,VLOOKUP(C106,일용직명단!$A$3:$K$1246,9,FALSE()))</f>
        <v>0</v>
      </c>
      <c r="F107" s="195"/>
      <c r="G107" s="196"/>
      <c r="H107" s="196"/>
      <c r="I107" s="193"/>
      <c r="J107" s="191"/>
      <c r="K107" s="193"/>
      <c r="L107" s="192"/>
      <c r="M107" s="192"/>
      <c r="N107" s="193"/>
      <c r="O107" s="191"/>
      <c r="P107" s="193"/>
      <c r="Q107" s="193"/>
      <c r="R107" s="192"/>
      <c r="S107" s="192"/>
      <c r="T107" s="192"/>
      <c r="U107" s="191"/>
      <c r="V107" s="144"/>
      <c r="W107" s="138" t="n">
        <f aca="false">W106*V106</f>
        <v>0</v>
      </c>
      <c r="X107" s="123" t="n">
        <f aca="false">IF(AH106&lt;1000,0,AH106)</f>
        <v>0</v>
      </c>
      <c r="Y107" s="123" t="n">
        <f aca="false">ROUNDDOWN(X107*10%,-1)</f>
        <v>0</v>
      </c>
      <c r="Z107" s="123" t="n">
        <f aca="false">IF(AE106&gt;=8,ROUNDDOWN(Y106*$Q$4,-1),0)</f>
        <v>0</v>
      </c>
      <c r="AA107" s="145"/>
      <c r="AB107" s="146"/>
      <c r="AC107" s="148" t="n">
        <f aca="false">IF(ISERROR(VLOOKUP(C106,일용직명단!$A$3:$I$1226,7,FALSE())),0,VLOOKUP(C106,일용직명단!$A$3:$I$1226,7,FALSE()))</f>
        <v>0</v>
      </c>
      <c r="AD107" s="148"/>
      <c r="AE107" s="128"/>
      <c r="AF107" s="129"/>
      <c r="AG107" s="129"/>
      <c r="AH107" s="130"/>
      <c r="AI107" s="130" t="n">
        <f aca="false">IF($W106*F107&gt;150000,($W106*F107-150000)*6%*45%,0)</f>
        <v>0</v>
      </c>
      <c r="AJ107" s="130" t="n">
        <f aca="false">IF($W106*G107&gt;150000,($W106*G107-150000)*6%*45%,0)</f>
        <v>0</v>
      </c>
      <c r="AK107" s="130" t="n">
        <f aca="false">IF($W106*H107&gt;150000,($W106*H107-150000)*6%*45%,0)</f>
        <v>0</v>
      </c>
      <c r="AL107" s="130" t="n">
        <f aca="false">IF($W106*I107&gt;150000,($W106*I107-150000)*6%*45%,0)</f>
        <v>0</v>
      </c>
      <c r="AM107" s="130" t="n">
        <f aca="false">IF($W106*J107&gt;150000,($W106*J107-150000)*6%*45%,0)</f>
        <v>0</v>
      </c>
      <c r="AN107" s="130" t="n">
        <f aca="false">IF($W106*K107&gt;150000,($W106*K107-150000)*6%*45%,0)</f>
        <v>0</v>
      </c>
      <c r="AO107" s="130" t="n">
        <f aca="false">IF($W106*L107&gt;150000,($W106*L107-150000)*6%*45%,0)</f>
        <v>0</v>
      </c>
      <c r="AP107" s="130" t="n">
        <f aca="false">IF($W106*M107&gt;150000,($W106*M107-150000)*6%*45%,0)</f>
        <v>0</v>
      </c>
      <c r="AQ107" s="130" t="n">
        <f aca="false">IF($W106*N107&gt;150000,($W106*N107-150000)*6%*45%,0)</f>
        <v>0</v>
      </c>
      <c r="AR107" s="130" t="n">
        <f aca="false">IF($W106*O107&gt;150000,($W106*O107-150000)*6%*45%,0)</f>
        <v>0</v>
      </c>
      <c r="AS107" s="130" t="n">
        <f aca="false">IF($W106*P107&gt;150000,($W106*P107-150000)*6%*45%,0)</f>
        <v>0</v>
      </c>
      <c r="AT107" s="130" t="n">
        <f aca="false">IF($W106*Q107&gt;150000,($W106*Q107-150000)*6%*45%,0)</f>
        <v>0</v>
      </c>
      <c r="AU107" s="130" t="n">
        <f aca="false">IF($W106*R107&gt;150000,($W106*R107-150000)*6%*45%,0)</f>
        <v>0</v>
      </c>
      <c r="AV107" s="130" t="n">
        <f aca="false">IF($W106*S107&gt;150000,($W106*S107-150000)*6%*45%,0)</f>
        <v>0</v>
      </c>
      <c r="AW107" s="130" t="n">
        <f aca="false">IF($W106*T107&gt;150000,($W106*T107-150000)*6%*45%,0)</f>
        <v>0</v>
      </c>
      <c r="AX107" s="130" t="n">
        <f aca="false">IF($W106*U107&gt;150000,($W106*U107-150000)*6%*45%,0)</f>
        <v>0</v>
      </c>
      <c r="AY107" s="131"/>
      <c r="AZ107" s="11"/>
      <c r="BA107" s="167"/>
      <c r="BB107" s="167"/>
      <c r="BC107" s="167"/>
      <c r="BD107" s="167"/>
      <c r="BE107" s="167"/>
      <c r="BF107" s="167"/>
      <c r="BG107" s="167"/>
      <c r="BH107" s="167"/>
      <c r="BI107" s="167"/>
      <c r="BJ107" s="167"/>
      <c r="BK107" s="167"/>
      <c r="BL107" s="167"/>
      <c r="BM107" s="167"/>
      <c r="BN107" s="167"/>
      <c r="BO107" s="167"/>
      <c r="BP107" s="167"/>
      <c r="BQ107" s="167"/>
      <c r="BR107" s="167"/>
      <c r="BS107" s="167"/>
      <c r="BT107" s="167"/>
      <c r="BU107" s="167"/>
      <c r="BV107" s="167"/>
      <c r="BW107" s="167"/>
      <c r="BX107" s="167"/>
      <c r="BY107" s="167"/>
      <c r="BZ107" s="167"/>
      <c r="CA107" s="167"/>
      <c r="CB107" s="167"/>
      <c r="CC107" s="167"/>
      <c r="CD107" s="167"/>
      <c r="CE107" s="167"/>
      <c r="CF107" s="167"/>
      <c r="CG107" s="167"/>
      <c r="CH107" s="167"/>
      <c r="CI107" s="167"/>
      <c r="CJ107" s="167"/>
      <c r="CK107" s="167"/>
      <c r="CL107" s="167"/>
      <c r="CM107" s="167"/>
      <c r="CN107" s="167"/>
      <c r="CO107" s="167"/>
      <c r="CP107" s="167"/>
      <c r="CQ107" s="167"/>
      <c r="CR107" s="167"/>
      <c r="CS107" s="167"/>
      <c r="CT107" s="167"/>
      <c r="CU107" s="167"/>
      <c r="CV107" s="167"/>
      <c r="CW107" s="167"/>
      <c r="CX107" s="167"/>
      <c r="CY107" s="167"/>
      <c r="CZ107" s="167"/>
      <c r="DA107" s="167"/>
      <c r="DB107" s="167"/>
      <c r="DC107" s="167"/>
      <c r="DD107" s="167"/>
      <c r="DE107" s="167"/>
      <c r="DF107" s="167"/>
      <c r="DG107" s="167"/>
      <c r="DH107" s="167"/>
      <c r="DI107" s="167"/>
      <c r="DJ107" s="167"/>
      <c r="DK107" s="167"/>
      <c r="DL107" s="167"/>
      <c r="DM107" s="167"/>
      <c r="DN107" s="167"/>
      <c r="DO107" s="167"/>
      <c r="DP107" s="167"/>
      <c r="DQ107" s="167"/>
      <c r="DR107" s="167"/>
      <c r="DS107" s="167"/>
      <c r="DT107" s="167"/>
      <c r="DU107" s="167"/>
      <c r="DV107" s="167"/>
      <c r="DW107" s="167"/>
      <c r="DX107" s="167"/>
      <c r="DY107" s="167"/>
      <c r="DZ107" s="167"/>
      <c r="EA107" s="167"/>
      <c r="EB107" s="167"/>
      <c r="EC107" s="167"/>
      <c r="ED107" s="167"/>
      <c r="EE107" s="167"/>
      <c r="EF107" s="167"/>
      <c r="EG107" s="167"/>
      <c r="EH107" s="167"/>
      <c r="EI107" s="167"/>
      <c r="EJ107" s="167"/>
      <c r="EK107" s="167"/>
      <c r="EL107" s="167"/>
      <c r="EM107" s="167"/>
      <c r="EN107" s="167"/>
      <c r="EO107" s="167"/>
      <c r="EP107" s="167"/>
      <c r="EQ107" s="167"/>
      <c r="ER107" s="167"/>
      <c r="ES107" s="167"/>
      <c r="ET107" s="167"/>
      <c r="EU107" s="167"/>
      <c r="EV107" s="167"/>
      <c r="EW107" s="167"/>
      <c r="EX107" s="167"/>
      <c r="EY107" s="167"/>
      <c r="EZ107" s="167"/>
      <c r="FA107" s="167"/>
      <c r="FB107" s="167"/>
      <c r="FC107" s="167"/>
      <c r="FD107" s="167"/>
      <c r="FE107" s="167"/>
      <c r="FF107" s="167"/>
      <c r="FG107" s="167"/>
      <c r="FH107" s="167"/>
      <c r="FI107" s="167"/>
      <c r="FJ107" s="167"/>
      <c r="FK107" s="167"/>
      <c r="FL107" s="167"/>
      <c r="FM107" s="167"/>
      <c r="FN107" s="167"/>
      <c r="FO107" s="167"/>
      <c r="FP107" s="167"/>
      <c r="FQ107" s="167"/>
      <c r="FR107" s="167"/>
      <c r="FS107" s="167"/>
      <c r="FT107" s="167"/>
      <c r="FU107" s="167"/>
      <c r="FV107" s="167"/>
      <c r="FW107" s="167"/>
      <c r="FX107" s="167"/>
      <c r="FY107" s="167"/>
      <c r="FZ107" s="167"/>
      <c r="GA107" s="167"/>
      <c r="GB107" s="167"/>
      <c r="GC107" s="167"/>
      <c r="GD107" s="167"/>
      <c r="GE107" s="167"/>
      <c r="GF107" s="167"/>
      <c r="GG107" s="167"/>
      <c r="GH107" s="167"/>
      <c r="GI107" s="167"/>
      <c r="GJ107" s="167"/>
      <c r="GK107" s="167"/>
      <c r="GL107" s="167"/>
      <c r="GM107" s="167"/>
      <c r="GN107" s="167"/>
      <c r="GO107" s="167"/>
      <c r="GP107" s="167"/>
      <c r="GQ107" s="167"/>
      <c r="GR107" s="167"/>
      <c r="GS107" s="167"/>
      <c r="GT107" s="167"/>
      <c r="GU107" s="167"/>
      <c r="GV107" s="167"/>
      <c r="GW107" s="167"/>
      <c r="GX107" s="167"/>
      <c r="GY107" s="167"/>
      <c r="GZ107" s="167"/>
      <c r="HA107" s="167"/>
      <c r="HB107" s="167"/>
      <c r="HC107" s="167"/>
      <c r="HD107" s="167"/>
      <c r="HE107" s="167"/>
      <c r="HF107" s="167"/>
      <c r="HG107" s="167"/>
      <c r="HH107" s="167"/>
      <c r="HI107" s="167"/>
      <c r="HJ107" s="167"/>
      <c r="HK107" s="167"/>
      <c r="HL107" s="167"/>
      <c r="HM107" s="167"/>
      <c r="HN107" s="167"/>
      <c r="HO107" s="167"/>
      <c r="HP107" s="167"/>
      <c r="HQ107" s="167"/>
      <c r="HR107" s="167"/>
      <c r="HS107" s="167"/>
      <c r="HT107" s="167"/>
      <c r="HU107" s="167"/>
      <c r="HV107" s="167"/>
      <c r="HW107" s="167"/>
      <c r="HX107" s="167"/>
      <c r="HY107" s="167"/>
      <c r="HZ107" s="167"/>
      <c r="IA107" s="167"/>
      <c r="IB107" s="167"/>
      <c r="IC107" s="167"/>
      <c r="ID107" s="167"/>
      <c r="IE107" s="167"/>
      <c r="IF107" s="167"/>
      <c r="IG107" s="167"/>
      <c r="IH107" s="167"/>
      <c r="II107" s="167"/>
      <c r="IJ107" s="167"/>
      <c r="IK107" s="167"/>
      <c r="IL107" s="167"/>
      <c r="IM107" s="167"/>
      <c r="IN107" s="167"/>
      <c r="IO107" s="167"/>
      <c r="IP107" s="167"/>
      <c r="IQ107" s="167"/>
      <c r="IR107" s="167"/>
      <c r="IS107" s="167"/>
      <c r="IT107" s="167"/>
      <c r="IU107" s="167"/>
      <c r="IV107" s="167"/>
      <c r="IW107" s="167"/>
    </row>
    <row r="108" customFormat="false" ht="13.5" hidden="true" customHeight="true" outlineLevel="0" collapsed="false">
      <c r="A108" s="108" t="n">
        <f aca="false">A106+1</f>
        <v>35</v>
      </c>
      <c r="B108" s="142" t="n">
        <f aca="false">IF(ISERROR(VLOOKUP(C108,일용직명단!$A$3:$I$104,2,FALSE())),0,VLOOKUP(C108,일용직명단!$A$3:$I$104,2,FALSE()))</f>
        <v>0</v>
      </c>
      <c r="C108" s="143"/>
      <c r="D108" s="311" t="n">
        <f aca="false">IF(ISERROR(VLOOKUP(C108,일용직명단!$A$3:$K$1246,3,FALSE())),0,VLOOKUP(C108,일용직명단!$A$3:$K$1246,3,FALSE()))</f>
        <v>0</v>
      </c>
      <c r="E108" s="140" t="n">
        <f aca="false">IF(ISERROR(VLOOKUP(C108,일용직명단!$A$3:$K$1246,4,FALSE())),0,VLOOKUP(C108,일용직명단!$A$3:$K$1246,4,FALSE()))</f>
        <v>0</v>
      </c>
      <c r="F108" s="192"/>
      <c r="G108" s="193"/>
      <c r="H108" s="191"/>
      <c r="I108" s="191"/>
      <c r="J108" s="192"/>
      <c r="K108" s="191"/>
      <c r="L108" s="192"/>
      <c r="M108" s="192"/>
      <c r="N108" s="193"/>
      <c r="O108" s="193"/>
      <c r="P108" s="192"/>
      <c r="Q108" s="193"/>
      <c r="R108" s="191"/>
      <c r="S108" s="193"/>
      <c r="T108" s="191"/>
      <c r="U108" s="194"/>
      <c r="V108" s="144" t="n">
        <f aca="false">SUM(F108:U109)</f>
        <v>0</v>
      </c>
      <c r="W108" s="121" t="n">
        <f aca="false">IF(ISERROR(VLOOKUP(C108,일용직명단!$A$3:$K$1246,8,FALSE())),0,VLOOKUP(C108,일용직명단!$A$3:$K$1246,8,FALSE()))</f>
        <v>0</v>
      </c>
      <c r="X108" s="123" t="n">
        <f aca="false">IFERROR(IF(AG108&gt;=65,0,ROUNDDOWN(W109*$Z$4,-1)),0)</f>
        <v>0</v>
      </c>
      <c r="Y108" s="123" t="n">
        <f aca="false">IF(AE108&gt;=8,ROUNDDOWN(W109*$M$4,-1),0)</f>
        <v>0</v>
      </c>
      <c r="Z108" s="123" t="n">
        <f aca="false">IFERROR(IF(AND(COUNT(F108:U109)&gt;=8,$AG108&lt;60,W109&lt;=5530000),ROUNDDOWN(ROUNDDOWN(W109,-3)*4.5%,-1),IF(AND(COUNT(F108:U109)&gt;=8,AG108&lt;60,W109&gt;5530000),248850,0)),0)</f>
        <v>0</v>
      </c>
      <c r="AA108" s="145" t="n">
        <f aca="false">+X108+Y108+X109+Y109+Z108+Z109</f>
        <v>0</v>
      </c>
      <c r="AB108" s="146" t="n">
        <f aca="false">W109-AA108</f>
        <v>0</v>
      </c>
      <c r="AC108" s="147" t="n">
        <f aca="false">IF(ISERROR(VLOOKUP(C108,일용직명단!$A$3:$I$1226,5,FALSE())),0,VLOOKUP(C108,일용직명단!$A$3:$I$1226,5,FALSE()))</f>
        <v>0</v>
      </c>
      <c r="AD108" s="148" t="n">
        <f aca="false">IF(ISERROR(VLOOKUP(C108,일용직명단!$A$3:$I$1226,6,FALSE())),0,VLOOKUP(C108,일용직명단!$A$3:$I$1226,6,FALSE()))</f>
        <v>0</v>
      </c>
      <c r="AE108" s="149" t="n">
        <f aca="false">COUNT(F108:U109)</f>
        <v>0</v>
      </c>
      <c r="AF108" s="129" t="str">
        <f aca="false">IF(OR(MID(D108,8,1)="1",MID(D108,8,1)="2"),19&amp;LEFT(D108,2),20&amp;LEFT(D108,2))&amp;"-"&amp;MID(D108,3,2)&amp;"-"&amp;MID(D108,5,2)</f>
        <v>200--</v>
      </c>
      <c r="AG108" s="129" t="e">
        <f aca="true">INT((TODAY()-AF108)/365.25)</f>
        <v>#VALUE!</v>
      </c>
      <c r="AH108" s="130" t="n">
        <f aca="false">ROUNDDOWN(SUM(AI108:AX109),-1)</f>
        <v>0</v>
      </c>
      <c r="AI108" s="130" t="n">
        <f aca="false">IF($W108*F108&gt;150000,($W108*F108-150000)*6%*45%,0)</f>
        <v>0</v>
      </c>
      <c r="AJ108" s="130" t="n">
        <f aca="false">IF($W108*G108&gt;150000,($W108*G108-150000)*6%*45%,0)</f>
        <v>0</v>
      </c>
      <c r="AK108" s="130" t="n">
        <f aca="false">IF($W108*H108&gt;150000,($W108*H108-150000)*6%*45%,0)</f>
        <v>0</v>
      </c>
      <c r="AL108" s="130" t="n">
        <f aca="false">IF($W108*I108&gt;150000,($W108*I108-150000)*6%*45%,0)</f>
        <v>0</v>
      </c>
      <c r="AM108" s="130" t="n">
        <f aca="false">IF($W108*J108&gt;150000,($W108*J108-150000)*6%*45%,0)</f>
        <v>0</v>
      </c>
      <c r="AN108" s="130" t="n">
        <f aca="false">IF($W108*K108&gt;150000,($W108*K108-150000)*6%*45%,0)</f>
        <v>0</v>
      </c>
      <c r="AO108" s="130" t="n">
        <f aca="false">IF($W108*L108&gt;150000,($W108*L108-150000)*6%*45%,0)</f>
        <v>0</v>
      </c>
      <c r="AP108" s="130" t="n">
        <f aca="false">IF($W108*M108&gt;150000,($W108*M108-150000)*6%*45%,0)</f>
        <v>0</v>
      </c>
      <c r="AQ108" s="130" t="n">
        <f aca="false">IF($W108*N108&gt;150000,($W108*N108-150000)*6%*45%,0)</f>
        <v>0</v>
      </c>
      <c r="AR108" s="130" t="n">
        <f aca="false">IF($W108*O108&gt;150000,($W108*O108-150000)*6%*45%,0)</f>
        <v>0</v>
      </c>
      <c r="AS108" s="130" t="n">
        <f aca="false">IF($W108*P108&gt;150000,($W108*P108-150000)*6%*45%,0)</f>
        <v>0</v>
      </c>
      <c r="AT108" s="130" t="n">
        <f aca="false">IF($W108*Q108&gt;150000,($W108*Q108-150000)*6%*45%,0)</f>
        <v>0</v>
      </c>
      <c r="AU108" s="130" t="n">
        <f aca="false">IF($W108*R108&gt;150000,($W108*R108-150000)*6%*45%,0)</f>
        <v>0</v>
      </c>
      <c r="AV108" s="130" t="n">
        <f aca="false">IF($W108*S108&gt;150000,($W108*S108-150000)*6%*45%,0)</f>
        <v>0</v>
      </c>
      <c r="AW108" s="130" t="n">
        <f aca="false">IF($W108*T108&gt;150000,($W108*T108-150000)*6%*45%,0)</f>
        <v>0</v>
      </c>
      <c r="AX108" s="130"/>
      <c r="AY108" s="131" t="n">
        <f aca="false">IF(ISERROR(VLOOKUP(C108,[26]일용직명단!$A$3:$M$1151,11,FALSE())),0,VLOOKUP(C108,[26]일용직명단!$A$3:$M$1151,11,FALSE()))</f>
        <v>0</v>
      </c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/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/>
      <c r="HO108" s="11"/>
      <c r="HP108" s="11"/>
      <c r="HQ108" s="11"/>
      <c r="HR108" s="11"/>
      <c r="HS108" s="11"/>
      <c r="HT108" s="11"/>
      <c r="HU108" s="11"/>
      <c r="HV108" s="11"/>
      <c r="HW108" s="11"/>
      <c r="HX108" s="11"/>
      <c r="HY108" s="11"/>
      <c r="HZ108" s="11"/>
      <c r="IA108" s="11"/>
      <c r="IB108" s="11"/>
      <c r="IC108" s="11"/>
      <c r="ID108" s="11"/>
      <c r="IE108" s="11"/>
      <c r="IF108" s="11"/>
      <c r="IG108" s="11"/>
      <c r="IH108" s="11"/>
      <c r="II108" s="11"/>
      <c r="IJ108" s="11"/>
      <c r="IK108" s="11"/>
      <c r="IL108" s="11"/>
      <c r="IM108" s="11"/>
      <c r="IN108" s="11"/>
      <c r="IO108" s="11"/>
      <c r="IP108" s="11"/>
      <c r="IQ108" s="11"/>
      <c r="IR108" s="11"/>
      <c r="IS108" s="11"/>
      <c r="IT108" s="11"/>
      <c r="IU108" s="11"/>
      <c r="IV108" s="11"/>
      <c r="IW108" s="11"/>
    </row>
    <row r="109" customFormat="false" ht="13.5" hidden="true" customHeight="true" outlineLevel="0" collapsed="false">
      <c r="A109" s="108"/>
      <c r="B109" s="142"/>
      <c r="C109" s="143"/>
      <c r="D109" s="311"/>
      <c r="E109" s="140" t="n">
        <f aca="false">IF(ISERROR(VLOOKUP(C108,일용직명단!$A$3:$K$1246,9,FALSE())),0,VLOOKUP(C108,일용직명단!$A$3:$K$1246,9,FALSE()))</f>
        <v>0</v>
      </c>
      <c r="F109" s="195"/>
      <c r="G109" s="196"/>
      <c r="H109" s="196"/>
      <c r="I109" s="193"/>
      <c r="J109" s="191"/>
      <c r="K109" s="193"/>
      <c r="L109" s="192"/>
      <c r="M109" s="192"/>
      <c r="N109" s="193"/>
      <c r="O109" s="191"/>
      <c r="P109" s="193"/>
      <c r="Q109" s="193"/>
      <c r="R109" s="192"/>
      <c r="S109" s="192"/>
      <c r="T109" s="192"/>
      <c r="U109" s="191"/>
      <c r="V109" s="144"/>
      <c r="W109" s="138" t="n">
        <f aca="false">W108*V108</f>
        <v>0</v>
      </c>
      <c r="X109" s="123" t="n">
        <f aca="false">IF(AH108&lt;1000,0,AH108)</f>
        <v>0</v>
      </c>
      <c r="Y109" s="123" t="n">
        <f aca="false">ROUNDDOWN(X109*10%,-1)</f>
        <v>0</v>
      </c>
      <c r="Z109" s="123" t="n">
        <f aca="false">IF(AE108&gt;=8,ROUNDDOWN(Y108*$Q$4,-1),0)</f>
        <v>0</v>
      </c>
      <c r="AA109" s="145"/>
      <c r="AB109" s="146"/>
      <c r="AC109" s="148" t="n">
        <f aca="false">IF(ISERROR(VLOOKUP(C108,일용직명단!$A$3:$I$1226,7,FALSE())),0,VLOOKUP(C108,일용직명단!$A$3:$I$1226,7,FALSE()))</f>
        <v>0</v>
      </c>
      <c r="AD109" s="148"/>
      <c r="AE109" s="149"/>
      <c r="AF109" s="129"/>
      <c r="AG109" s="129"/>
      <c r="AH109" s="130"/>
      <c r="AI109" s="130" t="n">
        <f aca="false">IF($W108*F109&gt;150000,($W108*F109-150000)*6%*45%,0)</f>
        <v>0</v>
      </c>
      <c r="AJ109" s="130" t="n">
        <f aca="false">IF($W108*G109&gt;150000,($W108*G109-150000)*6%*45%,0)</f>
        <v>0</v>
      </c>
      <c r="AK109" s="130" t="n">
        <f aca="false">IF($W108*H109&gt;150000,($W108*H109-150000)*6%*45%,0)</f>
        <v>0</v>
      </c>
      <c r="AL109" s="130" t="n">
        <f aca="false">IF($W108*I109&gt;150000,($W108*I109-150000)*6%*45%,0)</f>
        <v>0</v>
      </c>
      <c r="AM109" s="130" t="n">
        <f aca="false">IF($W108*J109&gt;150000,($W108*J109-150000)*6%*45%,0)</f>
        <v>0</v>
      </c>
      <c r="AN109" s="130" t="n">
        <f aca="false">IF($W108*K109&gt;150000,($W108*K109-150000)*6%*45%,0)</f>
        <v>0</v>
      </c>
      <c r="AO109" s="130" t="n">
        <f aca="false">IF($W108*L109&gt;150000,($W108*L109-150000)*6%*45%,0)</f>
        <v>0</v>
      </c>
      <c r="AP109" s="130" t="n">
        <f aca="false">IF($W108*M109&gt;150000,($W108*M109-150000)*6%*45%,0)</f>
        <v>0</v>
      </c>
      <c r="AQ109" s="130" t="n">
        <f aca="false">IF($W108*N109&gt;150000,($W108*N109-150000)*6%*45%,0)</f>
        <v>0</v>
      </c>
      <c r="AR109" s="130" t="n">
        <f aca="false">IF($W108*O109&gt;150000,($W108*O109-150000)*6%*45%,0)</f>
        <v>0</v>
      </c>
      <c r="AS109" s="130" t="n">
        <f aca="false">IF($W108*P109&gt;150000,($W108*P109-150000)*6%*45%,0)</f>
        <v>0</v>
      </c>
      <c r="AT109" s="130" t="n">
        <f aca="false">IF($W108*Q109&gt;150000,($W108*Q109-150000)*6%*45%,0)</f>
        <v>0</v>
      </c>
      <c r="AU109" s="130" t="n">
        <f aca="false">IF($W108*R109&gt;150000,($W108*R109-150000)*6%*45%,0)</f>
        <v>0</v>
      </c>
      <c r="AV109" s="130" t="n">
        <f aca="false">IF($W108*S109&gt;150000,($W108*S109-150000)*6%*45%,0)</f>
        <v>0</v>
      </c>
      <c r="AW109" s="130" t="n">
        <f aca="false">IF($W108*T109&gt;150000,($W108*T109-150000)*6%*45%,0)</f>
        <v>0</v>
      </c>
      <c r="AX109" s="130" t="n">
        <f aca="false">IF($W108*U109&gt;150000,($W108*U109-150000)*6%*45%,0)</f>
        <v>0</v>
      </c>
      <c r="AY109" s="13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GZ109" s="11"/>
      <c r="HA109" s="11"/>
      <c r="HB109" s="11"/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/>
      <c r="HO109" s="11"/>
      <c r="HP109" s="11"/>
      <c r="HQ109" s="11"/>
      <c r="HR109" s="11"/>
      <c r="HS109" s="11"/>
      <c r="HT109" s="11"/>
      <c r="HU109" s="11"/>
      <c r="HV109" s="11"/>
      <c r="HW109" s="11"/>
      <c r="HX109" s="11"/>
      <c r="HY109" s="11"/>
      <c r="HZ109" s="11"/>
      <c r="IA109" s="11"/>
      <c r="IB109" s="11"/>
      <c r="IC109" s="11"/>
      <c r="ID109" s="11"/>
      <c r="IE109" s="11"/>
      <c r="IF109" s="11"/>
      <c r="IG109" s="11"/>
      <c r="IH109" s="11"/>
      <c r="II109" s="11"/>
      <c r="IJ109" s="11"/>
      <c r="IK109" s="11"/>
      <c r="IL109" s="11"/>
      <c r="IM109" s="11"/>
      <c r="IN109" s="11"/>
      <c r="IO109" s="11"/>
      <c r="IP109" s="11"/>
      <c r="IQ109" s="11"/>
      <c r="IR109" s="11"/>
      <c r="IS109" s="11"/>
      <c r="IT109" s="11"/>
      <c r="IU109" s="11"/>
      <c r="IV109" s="11"/>
      <c r="IW109" s="11"/>
    </row>
    <row r="110" customFormat="false" ht="13.5" hidden="true" customHeight="true" outlineLevel="0" collapsed="false">
      <c r="A110" s="108" t="n">
        <f aca="false">A108+1</f>
        <v>36</v>
      </c>
      <c r="B110" s="310" t="n">
        <f aca="false">IF(ISERROR(VLOOKUP(C110,일용직명단!$A$3:$I$104,2,FALSE())),0,VLOOKUP(C110,일용직명단!$A$3:$I$104,2,FALSE()))</f>
        <v>0</v>
      </c>
      <c r="C110" s="203"/>
      <c r="D110" s="311" t="n">
        <f aca="false">IF(ISERROR(VLOOKUP(C110,일용직명단!$A$3:$K$1246,3,FALSE())),0,VLOOKUP(C110,일용직명단!$A$3:$K$1246,3,FALSE()))</f>
        <v>0</v>
      </c>
      <c r="E110" s="140" t="n">
        <f aca="false">IF(ISERROR(VLOOKUP(C110,일용직명단!$A$3:$K$1246,4,FALSE())),0,VLOOKUP(C110,일용직명단!$A$3:$K$1246,4,FALSE()))</f>
        <v>0</v>
      </c>
      <c r="F110" s="192"/>
      <c r="G110" s="193"/>
      <c r="H110" s="191"/>
      <c r="I110" s="191"/>
      <c r="J110" s="192"/>
      <c r="K110" s="191"/>
      <c r="L110" s="192"/>
      <c r="M110" s="192"/>
      <c r="N110" s="193"/>
      <c r="O110" s="193"/>
      <c r="P110" s="192"/>
      <c r="Q110" s="193"/>
      <c r="R110" s="191"/>
      <c r="S110" s="193"/>
      <c r="T110" s="191"/>
      <c r="U110" s="194"/>
      <c r="V110" s="144" t="n">
        <f aca="false">SUM(F110:U111)</f>
        <v>0</v>
      </c>
      <c r="W110" s="121" t="n">
        <f aca="false">IF(ISERROR(VLOOKUP(C110,일용직명단!$A$3:$K$1246,8,FALSE())),0,VLOOKUP(C110,일용직명단!$A$3:$K$1246,8,FALSE()))</f>
        <v>0</v>
      </c>
      <c r="X110" s="123" t="n">
        <f aca="false">IFERROR(IF(AG110&gt;=65,0,ROUNDDOWN(W111*$Z$4,-1)),0)</f>
        <v>0</v>
      </c>
      <c r="Y110" s="123" t="n">
        <f aca="false">IF(AE110&gt;=8,ROUNDDOWN(W111*$M$4,-1),0)</f>
        <v>0</v>
      </c>
      <c r="Z110" s="123" t="n">
        <f aca="false">IFERROR(IF(AND(COUNT(F110:U111)&gt;=8,$AG110&lt;60,W111&lt;=5530000),ROUNDDOWN(ROUNDDOWN(W111,-3)*4.5%,-1),IF(AND(COUNT(F110:U111)&gt;=8,AG110&lt;60,W111&gt;5530000),248850,0)),0)</f>
        <v>0</v>
      </c>
      <c r="AA110" s="145" t="n">
        <f aca="false">+X110+Y110+X111+Y111+Z110+Z111</f>
        <v>0</v>
      </c>
      <c r="AB110" s="146" t="n">
        <f aca="false">W111-AA110</f>
        <v>0</v>
      </c>
      <c r="AC110" s="147" t="n">
        <f aca="false">IF(ISERROR(VLOOKUP(C110,일용직명단!$A$3:$I$1226,5,FALSE())),0,VLOOKUP(C110,일용직명단!$A$3:$I$1226,5,FALSE()))</f>
        <v>0</v>
      </c>
      <c r="AD110" s="148" t="n">
        <f aca="false">IF(ISERROR(VLOOKUP(C110,일용직명단!$A$3:$I$1226,6,FALSE())),0,VLOOKUP(C110,일용직명단!$A$3:$I$1226,6,FALSE()))</f>
        <v>0</v>
      </c>
      <c r="AE110" s="149" t="n">
        <f aca="false">COUNT(F110:U111)</f>
        <v>0</v>
      </c>
      <c r="AF110" s="129" t="str">
        <f aca="false">IF(OR(MID(D110,8,1)="1",MID(D110,8,1)="2"),19&amp;LEFT(D110,2),20&amp;LEFT(D110,2))&amp;"-"&amp;MID(D110,3,2)&amp;"-"&amp;MID(D110,5,2)</f>
        <v>200--</v>
      </c>
      <c r="AG110" s="129" t="e">
        <f aca="true">INT((TODAY()-AF110)/365.25)</f>
        <v>#VALUE!</v>
      </c>
      <c r="AH110" s="130" t="n">
        <f aca="false">ROUNDDOWN(SUM(AI110:AX111),-1)</f>
        <v>0</v>
      </c>
      <c r="AI110" s="130" t="n">
        <f aca="false">IF($W110*F110&gt;150000,($W110*F110-150000)*6%*45%,0)</f>
        <v>0</v>
      </c>
      <c r="AJ110" s="130" t="n">
        <f aca="false">IF($W110*G110&gt;150000,($W110*G110-150000)*6%*45%,0)</f>
        <v>0</v>
      </c>
      <c r="AK110" s="130" t="n">
        <f aca="false">IF($W110*H110&gt;150000,($W110*H110-150000)*6%*45%,0)</f>
        <v>0</v>
      </c>
      <c r="AL110" s="130" t="n">
        <f aca="false">IF($W110*I110&gt;150000,($W110*I110-150000)*6%*45%,0)</f>
        <v>0</v>
      </c>
      <c r="AM110" s="130" t="n">
        <f aca="false">IF($W110*J110&gt;150000,($W110*J110-150000)*6%*45%,0)</f>
        <v>0</v>
      </c>
      <c r="AN110" s="130" t="n">
        <f aca="false">IF($W110*K110&gt;150000,($W110*K110-150000)*6%*45%,0)</f>
        <v>0</v>
      </c>
      <c r="AO110" s="130" t="n">
        <f aca="false">IF($W110*L110&gt;150000,($W110*L110-150000)*6%*45%,0)</f>
        <v>0</v>
      </c>
      <c r="AP110" s="130" t="n">
        <f aca="false">IF($W110*M110&gt;150000,($W110*M110-150000)*6%*45%,0)</f>
        <v>0</v>
      </c>
      <c r="AQ110" s="130" t="n">
        <f aca="false">IF($W110*N110&gt;150000,($W110*N110-150000)*6%*45%,0)</f>
        <v>0</v>
      </c>
      <c r="AR110" s="130" t="n">
        <f aca="false">IF($W110*O110&gt;150000,($W110*O110-150000)*6%*45%,0)</f>
        <v>0</v>
      </c>
      <c r="AS110" s="130" t="n">
        <f aca="false">IF($W110*P110&gt;150000,($W110*P110-150000)*6%*45%,0)</f>
        <v>0</v>
      </c>
      <c r="AT110" s="130" t="n">
        <f aca="false">IF($W110*Q110&gt;150000,($W110*Q110-150000)*6%*45%,0)</f>
        <v>0</v>
      </c>
      <c r="AU110" s="130" t="n">
        <f aca="false">IF($W110*R110&gt;150000,($W110*R110-150000)*6%*45%,0)</f>
        <v>0</v>
      </c>
      <c r="AV110" s="130" t="n">
        <f aca="false">IF($W110*S110&gt;150000,($W110*S110-150000)*6%*45%,0)</f>
        <v>0</v>
      </c>
      <c r="AW110" s="130" t="n">
        <f aca="false">IF($W110*T110&gt;150000,($W110*T110-150000)*6%*45%,0)</f>
        <v>0</v>
      </c>
      <c r="AX110" s="130"/>
      <c r="AY110" s="131" t="n">
        <f aca="false">IF(ISERROR(VLOOKUP(C110,[26]일용직명단!$A$3:$M$1151,11,FALSE())),0,VLOOKUP(C110,[26]일용직명단!$A$3:$M$1151,11,FALSE()))</f>
        <v>0</v>
      </c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T110" s="11"/>
      <c r="FU110" s="11"/>
      <c r="FV110" s="11"/>
      <c r="FW110" s="11"/>
      <c r="FX110" s="11"/>
      <c r="FY110" s="11"/>
      <c r="FZ110" s="11"/>
      <c r="GA110" s="11"/>
      <c r="GB110" s="11"/>
      <c r="GC110" s="11"/>
      <c r="GD110" s="11"/>
      <c r="GE110" s="11"/>
      <c r="GF110" s="11"/>
      <c r="GG110" s="11"/>
      <c r="GH110" s="11"/>
      <c r="GI110" s="11"/>
      <c r="GJ110" s="11"/>
      <c r="GK110" s="11"/>
      <c r="GL110" s="11"/>
      <c r="GM110" s="11"/>
      <c r="GN110" s="11"/>
      <c r="GO110" s="11"/>
      <c r="GP110" s="11"/>
      <c r="GQ110" s="11"/>
      <c r="GR110" s="11"/>
      <c r="GS110" s="11"/>
      <c r="GT110" s="11"/>
      <c r="GU110" s="11"/>
      <c r="GV110" s="11"/>
      <c r="GW110" s="11"/>
      <c r="GX110" s="11"/>
      <c r="GY110" s="11"/>
      <c r="GZ110" s="11"/>
      <c r="HA110" s="11"/>
      <c r="HB110" s="11"/>
      <c r="HC110" s="11"/>
      <c r="HD110" s="11"/>
      <c r="HE110" s="11"/>
      <c r="HF110" s="11"/>
      <c r="HG110" s="11"/>
      <c r="HH110" s="11"/>
      <c r="HI110" s="11"/>
      <c r="HJ110" s="11"/>
      <c r="HK110" s="11"/>
      <c r="HL110" s="11"/>
      <c r="HM110" s="11"/>
      <c r="HN110" s="11"/>
      <c r="HO110" s="11"/>
      <c r="HP110" s="11"/>
      <c r="HQ110" s="11"/>
      <c r="HR110" s="11"/>
      <c r="HS110" s="11"/>
      <c r="HT110" s="11"/>
      <c r="HU110" s="11"/>
      <c r="HV110" s="11"/>
      <c r="HW110" s="11"/>
      <c r="HX110" s="11"/>
      <c r="HY110" s="11"/>
      <c r="HZ110" s="11"/>
      <c r="IA110" s="11"/>
      <c r="IB110" s="11"/>
      <c r="IC110" s="11"/>
      <c r="ID110" s="11"/>
      <c r="IE110" s="11"/>
      <c r="IF110" s="11"/>
      <c r="IG110" s="11"/>
      <c r="IH110" s="11"/>
      <c r="II110" s="11"/>
      <c r="IJ110" s="11"/>
      <c r="IK110" s="11"/>
      <c r="IL110" s="11"/>
      <c r="IM110" s="11"/>
      <c r="IN110" s="11"/>
      <c r="IO110" s="11"/>
      <c r="IP110" s="11"/>
      <c r="IQ110" s="11"/>
      <c r="IR110" s="11"/>
      <c r="IS110" s="11"/>
      <c r="IT110" s="11"/>
      <c r="IU110" s="11"/>
      <c r="IV110" s="11"/>
      <c r="IW110" s="11"/>
    </row>
    <row r="111" customFormat="false" ht="13.5" hidden="true" customHeight="true" outlineLevel="0" collapsed="false">
      <c r="A111" s="108"/>
      <c r="B111" s="310"/>
      <c r="C111" s="203"/>
      <c r="D111" s="311"/>
      <c r="E111" s="140" t="n">
        <f aca="false">IF(ISERROR(VLOOKUP(C110,일용직명단!$A$3:$K$1246,9,FALSE())),0,VLOOKUP(C110,일용직명단!$A$3:$K$1246,9,FALSE()))</f>
        <v>0</v>
      </c>
      <c r="F111" s="195"/>
      <c r="G111" s="196"/>
      <c r="H111" s="196"/>
      <c r="I111" s="193"/>
      <c r="J111" s="191"/>
      <c r="K111" s="193"/>
      <c r="L111" s="192"/>
      <c r="M111" s="192"/>
      <c r="N111" s="193"/>
      <c r="O111" s="191"/>
      <c r="P111" s="193"/>
      <c r="Q111" s="193"/>
      <c r="R111" s="192"/>
      <c r="S111" s="192"/>
      <c r="T111" s="192"/>
      <c r="U111" s="191"/>
      <c r="V111" s="144"/>
      <c r="W111" s="138" t="n">
        <f aca="false">W110*V110</f>
        <v>0</v>
      </c>
      <c r="X111" s="123" t="n">
        <f aca="false">IF(AH110&lt;1000,0,AH110)</f>
        <v>0</v>
      </c>
      <c r="Y111" s="123" t="n">
        <f aca="false">ROUNDDOWN(X111*10%,-1)</f>
        <v>0</v>
      </c>
      <c r="Z111" s="123" t="n">
        <f aca="false">IF(AE110&gt;=8,ROUNDDOWN(Y110*$Q$4,-1),0)</f>
        <v>0</v>
      </c>
      <c r="AA111" s="145"/>
      <c r="AB111" s="146"/>
      <c r="AC111" s="148" t="n">
        <f aca="false">IF(ISERROR(VLOOKUP(C110,일용직명단!$A$3:$I$1226,7,FALSE())),0,VLOOKUP(C110,일용직명단!$A$3:$I$1226,7,FALSE()))</f>
        <v>0</v>
      </c>
      <c r="AD111" s="148"/>
      <c r="AE111" s="149"/>
      <c r="AF111" s="129"/>
      <c r="AG111" s="129"/>
      <c r="AH111" s="130"/>
      <c r="AI111" s="130" t="n">
        <f aca="false">IF($W110*F111&gt;150000,($W110*F111-150000)*6%*45%,0)</f>
        <v>0</v>
      </c>
      <c r="AJ111" s="130" t="n">
        <f aca="false">IF($W110*G111&gt;150000,($W110*G111-150000)*6%*45%,0)</f>
        <v>0</v>
      </c>
      <c r="AK111" s="130" t="n">
        <f aca="false">IF($W110*H111&gt;150000,($W110*H111-150000)*6%*45%,0)</f>
        <v>0</v>
      </c>
      <c r="AL111" s="130" t="n">
        <f aca="false">IF($W110*I111&gt;150000,($W110*I111-150000)*6%*45%,0)</f>
        <v>0</v>
      </c>
      <c r="AM111" s="130" t="n">
        <f aca="false">IF($W110*J111&gt;150000,($W110*J111-150000)*6%*45%,0)</f>
        <v>0</v>
      </c>
      <c r="AN111" s="130" t="n">
        <f aca="false">IF($W110*K111&gt;150000,($W110*K111-150000)*6%*45%,0)</f>
        <v>0</v>
      </c>
      <c r="AO111" s="130" t="n">
        <f aca="false">IF($W110*L111&gt;150000,($W110*L111-150000)*6%*45%,0)</f>
        <v>0</v>
      </c>
      <c r="AP111" s="130" t="n">
        <f aca="false">IF($W110*M111&gt;150000,($W110*M111-150000)*6%*45%,0)</f>
        <v>0</v>
      </c>
      <c r="AQ111" s="130" t="n">
        <f aca="false">IF($W110*N111&gt;150000,($W110*N111-150000)*6%*45%,0)</f>
        <v>0</v>
      </c>
      <c r="AR111" s="130" t="n">
        <f aca="false">IF($W110*O111&gt;150000,($W110*O111-150000)*6%*45%,0)</f>
        <v>0</v>
      </c>
      <c r="AS111" s="130" t="n">
        <f aca="false">IF($W110*P111&gt;150000,($W110*P111-150000)*6%*45%,0)</f>
        <v>0</v>
      </c>
      <c r="AT111" s="130" t="n">
        <f aca="false">IF($W110*Q111&gt;150000,($W110*Q111-150000)*6%*45%,0)</f>
        <v>0</v>
      </c>
      <c r="AU111" s="130" t="n">
        <f aca="false">IF($W110*R111&gt;150000,($W110*R111-150000)*6%*45%,0)</f>
        <v>0</v>
      </c>
      <c r="AV111" s="130" t="n">
        <f aca="false">IF($W110*S111&gt;150000,($W110*S111-150000)*6%*45%,0)</f>
        <v>0</v>
      </c>
      <c r="AW111" s="130" t="n">
        <f aca="false">IF($W110*T111&gt;150000,($W110*T111-150000)*6%*45%,0)</f>
        <v>0</v>
      </c>
      <c r="AX111" s="130" t="n">
        <f aca="false">IF($W110*U111&gt;150000,($W110*U111-150000)*6%*45%,0)</f>
        <v>0</v>
      </c>
      <c r="AY111" s="13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/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/>
      <c r="HO111" s="11"/>
      <c r="HP111" s="11"/>
      <c r="HQ111" s="11"/>
      <c r="HR111" s="11"/>
      <c r="HS111" s="11"/>
      <c r="HT111" s="11"/>
      <c r="HU111" s="11"/>
      <c r="HV111" s="11"/>
      <c r="HW111" s="11"/>
      <c r="HX111" s="11"/>
      <c r="HY111" s="11"/>
      <c r="HZ111" s="11"/>
      <c r="IA111" s="11"/>
      <c r="IB111" s="11"/>
      <c r="IC111" s="11"/>
      <c r="ID111" s="11"/>
      <c r="IE111" s="11"/>
      <c r="IF111" s="11"/>
      <c r="IG111" s="11"/>
      <c r="IH111" s="11"/>
      <c r="II111" s="11"/>
      <c r="IJ111" s="11"/>
      <c r="IK111" s="11"/>
      <c r="IL111" s="11"/>
      <c r="IM111" s="11"/>
      <c r="IN111" s="11"/>
      <c r="IO111" s="11"/>
      <c r="IP111" s="11"/>
      <c r="IQ111" s="11"/>
      <c r="IR111" s="11"/>
      <c r="IS111" s="11"/>
      <c r="IT111" s="11"/>
      <c r="IU111" s="11"/>
      <c r="IV111" s="11"/>
      <c r="IW111" s="11"/>
    </row>
    <row r="112" customFormat="false" ht="13.5" hidden="true" customHeight="true" outlineLevel="0" collapsed="false">
      <c r="A112" s="108" t="n">
        <f aca="false">A110+1</f>
        <v>37</v>
      </c>
      <c r="B112" s="310" t="n">
        <f aca="false">IF(ISERROR(VLOOKUP(C112,일용직명단!$A$3:$I$104,2,FALSE())),0,VLOOKUP(C112,일용직명단!$A$3:$I$104,2,FALSE()))</f>
        <v>0</v>
      </c>
      <c r="C112" s="290"/>
      <c r="D112" s="311" t="n">
        <f aca="false">IF(ISERROR(VLOOKUP(C112,일용직명단!$A$3:$K$1246,3,FALSE())),0,VLOOKUP(C112,일용직명단!$A$3:$K$1246,3,FALSE()))</f>
        <v>0</v>
      </c>
      <c r="E112" s="112" t="n">
        <f aca="false">IF(ISERROR(VLOOKUP(C112,일용직명단!$A$3:$K$1246,4,FALSE())),0,VLOOKUP(C112,일용직명단!$A$3:$K$1246,4,FALSE()))</f>
        <v>0</v>
      </c>
      <c r="F112" s="192"/>
      <c r="G112" s="193"/>
      <c r="H112" s="191"/>
      <c r="I112" s="191"/>
      <c r="J112" s="192"/>
      <c r="K112" s="191"/>
      <c r="L112" s="192"/>
      <c r="M112" s="192"/>
      <c r="N112" s="193"/>
      <c r="O112" s="193"/>
      <c r="P112" s="192"/>
      <c r="Q112" s="193"/>
      <c r="R112" s="191"/>
      <c r="S112" s="193"/>
      <c r="T112" s="191"/>
      <c r="U112" s="194"/>
      <c r="V112" s="120" t="n">
        <f aca="false">SUM(F112:U113)</f>
        <v>0</v>
      </c>
      <c r="W112" s="121" t="n">
        <f aca="false">IF(ISERROR(VLOOKUP(C112,일용직명단!$A$3:$K$1246,8,FALSE())),0,VLOOKUP(C112,일용직명단!$A$3:$K$1246,8,FALSE()))</f>
        <v>0</v>
      </c>
      <c r="X112" s="122" t="n">
        <f aca="false">IFERROR(IF(AG112&gt;=65,0,ROUNDDOWN(W113*$Z$4,-1)),0)</f>
        <v>0</v>
      </c>
      <c r="Y112" s="122" t="n">
        <f aca="false">IF(AE112&gt;=8,ROUNDDOWN(W113*$M$4,-1),0)</f>
        <v>0</v>
      </c>
      <c r="Z112" s="123" t="n">
        <f aca="false">IFERROR(IF(AND(COUNT(F112:U113)&gt;=8,$AG112&lt;60,W113&lt;=5530000),ROUNDDOWN(ROUNDDOWN(W113,-3)*4.5%,-1),IF(AND(COUNT(F112:U113)&gt;=8,AG112&lt;60,W113&gt;5530000),248850,0)),0)</f>
        <v>0</v>
      </c>
      <c r="AA112" s="124" t="n">
        <f aca="false">+X112+Y112+X113+Y113+Z112+Z113</f>
        <v>0</v>
      </c>
      <c r="AB112" s="125" t="n">
        <f aca="false">W113-AA112</f>
        <v>0</v>
      </c>
      <c r="AC112" s="126" t="n">
        <f aca="false">IF(ISERROR(VLOOKUP(C112,일용직명단!$A$3:$I$1226,5,FALSE())),0,VLOOKUP(C112,일용직명단!$A$3:$I$1226,5,FALSE()))</f>
        <v>0</v>
      </c>
      <c r="AD112" s="127" t="n">
        <f aca="false">IF(ISERROR(VLOOKUP(C112,일용직명단!$A$3:$I$1226,6,FALSE())),0,VLOOKUP(C112,일용직명단!$A$3:$I$1226,6,FALSE()))</f>
        <v>0</v>
      </c>
      <c r="AE112" s="128" t="n">
        <f aca="false">COUNT(F112:U113)</f>
        <v>0</v>
      </c>
      <c r="AF112" s="129" t="str">
        <f aca="false">IF(OR(MID(D112,8,1)="1",MID(D112,8,1)="2"),19&amp;LEFT(D112,2),20&amp;LEFT(D112,2))&amp;"-"&amp;MID(D112,3,2)&amp;"-"&amp;MID(D112,5,2)</f>
        <v>200--</v>
      </c>
      <c r="AG112" s="129" t="e">
        <f aca="true">INT((TODAY()-AF112)/365.25)</f>
        <v>#VALUE!</v>
      </c>
      <c r="AH112" s="130" t="n">
        <f aca="false">ROUNDDOWN(SUM(AI112:AX113),-1)</f>
        <v>0</v>
      </c>
      <c r="AI112" s="130" t="n">
        <f aca="false">IF($W112*F112&gt;150000,($W112*F112-150000)*6%*45%,0)</f>
        <v>0</v>
      </c>
      <c r="AJ112" s="130" t="n">
        <f aca="false">IF($W112*G112&gt;150000,($W112*G112-150000)*6%*45%,0)</f>
        <v>0</v>
      </c>
      <c r="AK112" s="130" t="n">
        <f aca="false">IF($W112*H112&gt;150000,($W112*H112-150000)*6%*45%,0)</f>
        <v>0</v>
      </c>
      <c r="AL112" s="130" t="n">
        <f aca="false">IF($W112*I112&gt;150000,($W112*I112-150000)*6%*45%,0)</f>
        <v>0</v>
      </c>
      <c r="AM112" s="130" t="n">
        <f aca="false">IF($W112*J112&gt;150000,($W112*J112-150000)*6%*45%,0)</f>
        <v>0</v>
      </c>
      <c r="AN112" s="130" t="n">
        <f aca="false">IF($W112*K112&gt;150000,($W112*K112-150000)*6%*45%,0)</f>
        <v>0</v>
      </c>
      <c r="AO112" s="130" t="n">
        <f aca="false">IF($W112*L112&gt;150000,($W112*L112-150000)*6%*45%,0)</f>
        <v>0</v>
      </c>
      <c r="AP112" s="130" t="n">
        <f aca="false">IF($W112*M112&gt;150000,($W112*M112-150000)*6%*45%,0)</f>
        <v>0</v>
      </c>
      <c r="AQ112" s="130" t="n">
        <f aca="false">IF($W112*N112&gt;150000,($W112*N112-150000)*6%*45%,0)</f>
        <v>0</v>
      </c>
      <c r="AR112" s="130" t="n">
        <f aca="false">IF($W112*O112&gt;150000,($W112*O112-150000)*6%*45%,0)</f>
        <v>0</v>
      </c>
      <c r="AS112" s="130" t="n">
        <f aca="false">IF($W112*P112&gt;150000,($W112*P112-150000)*6%*45%,0)</f>
        <v>0</v>
      </c>
      <c r="AT112" s="130" t="n">
        <f aca="false">IF($W112*Q112&gt;150000,($W112*Q112-150000)*6%*45%,0)</f>
        <v>0</v>
      </c>
      <c r="AU112" s="130" t="n">
        <f aca="false">IF($W112*R112&gt;150000,($W112*R112-150000)*6%*45%,0)</f>
        <v>0</v>
      </c>
      <c r="AV112" s="130" t="n">
        <f aca="false">IF($W112*S112&gt;150000,($W112*S112-150000)*6%*45%,0)</f>
        <v>0</v>
      </c>
      <c r="AW112" s="130" t="n">
        <f aca="false">IF($W112*T112&gt;150000,($W112*T112-150000)*6%*45%,0)</f>
        <v>0</v>
      </c>
      <c r="AX112" s="130"/>
      <c r="AY112" s="131" t="n">
        <f aca="false">IF(ISERROR(VLOOKUP(C112,[26]일용직명단!$A$3:$M$1151,11,FALSE())),0,VLOOKUP(C112,[26]일용직명단!$A$3:$M$1151,11,FALSE()))</f>
        <v>0</v>
      </c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  <c r="GP112" s="11"/>
      <c r="GQ112" s="11"/>
      <c r="GR112" s="11"/>
      <c r="GS112" s="11"/>
      <c r="GT112" s="11"/>
      <c r="GU112" s="11"/>
      <c r="GV112" s="11"/>
      <c r="GW112" s="11"/>
      <c r="GX112" s="11"/>
      <c r="GY112" s="11"/>
      <c r="GZ112" s="11"/>
      <c r="HA112" s="11"/>
      <c r="HB112" s="11"/>
      <c r="HC112" s="11"/>
      <c r="HD112" s="11"/>
      <c r="HE112" s="11"/>
      <c r="HF112" s="11"/>
      <c r="HG112" s="11"/>
      <c r="HH112" s="11"/>
      <c r="HI112" s="11"/>
      <c r="HJ112" s="11"/>
      <c r="HK112" s="11"/>
      <c r="HL112" s="11"/>
      <c r="HM112" s="11"/>
      <c r="HN112" s="11"/>
      <c r="HO112" s="11"/>
      <c r="HP112" s="11"/>
      <c r="HQ112" s="11"/>
      <c r="HR112" s="11"/>
      <c r="HS112" s="11"/>
      <c r="HT112" s="11"/>
      <c r="HU112" s="11"/>
      <c r="HV112" s="11"/>
      <c r="HW112" s="11"/>
      <c r="HX112" s="11"/>
      <c r="HY112" s="11"/>
      <c r="HZ112" s="11"/>
      <c r="IA112" s="11"/>
      <c r="IB112" s="11"/>
      <c r="IC112" s="11"/>
      <c r="ID112" s="11"/>
      <c r="IE112" s="11"/>
      <c r="IF112" s="11"/>
      <c r="IG112" s="11"/>
      <c r="IH112" s="11"/>
      <c r="II112" s="11"/>
      <c r="IJ112" s="11"/>
      <c r="IK112" s="11"/>
      <c r="IL112" s="11"/>
      <c r="IM112" s="11"/>
      <c r="IN112" s="11"/>
      <c r="IO112" s="11"/>
      <c r="IP112" s="11"/>
      <c r="IQ112" s="11"/>
      <c r="IR112" s="11"/>
      <c r="IS112" s="11"/>
      <c r="IT112" s="11"/>
      <c r="IU112" s="11"/>
      <c r="IV112" s="11"/>
      <c r="IW112" s="11"/>
    </row>
    <row r="113" customFormat="false" ht="13.5" hidden="true" customHeight="true" outlineLevel="0" collapsed="false">
      <c r="A113" s="108"/>
      <c r="B113" s="310"/>
      <c r="C113" s="290"/>
      <c r="D113" s="311"/>
      <c r="E113" s="112" t="n">
        <f aca="false">IF(ISERROR(VLOOKUP(C112,일용직명단!$A$3:$K$1246,9,FALSE())),0,VLOOKUP(C112,일용직명단!$A$3:$K$1246,9,FALSE()))</f>
        <v>0</v>
      </c>
      <c r="F113" s="195"/>
      <c r="G113" s="196"/>
      <c r="H113" s="196"/>
      <c r="I113" s="193"/>
      <c r="J113" s="191"/>
      <c r="K113" s="193"/>
      <c r="L113" s="192"/>
      <c r="M113" s="192"/>
      <c r="N113" s="193"/>
      <c r="O113" s="191"/>
      <c r="P113" s="193"/>
      <c r="Q113" s="193"/>
      <c r="R113" s="192"/>
      <c r="S113" s="192"/>
      <c r="T113" s="192"/>
      <c r="U113" s="191"/>
      <c r="V113" s="120"/>
      <c r="W113" s="138" t="n">
        <f aca="false">W112*V112</f>
        <v>0</v>
      </c>
      <c r="X113" s="122" t="n">
        <f aca="false">IF(AH112&lt;1000,0,AH112)</f>
        <v>0</v>
      </c>
      <c r="Y113" s="122" t="n">
        <f aca="false">ROUNDDOWN(X113*10%,-1)</f>
        <v>0</v>
      </c>
      <c r="Z113" s="123" t="n">
        <f aca="false">IF(AE112&gt;=8,ROUNDDOWN(Y112*$Q$4,-1),0)</f>
        <v>0</v>
      </c>
      <c r="AA113" s="124"/>
      <c r="AB113" s="125"/>
      <c r="AC113" s="127" t="n">
        <f aca="false">IF(ISERROR(VLOOKUP(C112,일용직명단!$A$3:$I$1226,7,FALSE())),0,VLOOKUP(C112,일용직명단!$A$3:$I$1226,7,FALSE()))</f>
        <v>0</v>
      </c>
      <c r="AD113" s="127"/>
      <c r="AE113" s="128"/>
      <c r="AF113" s="129"/>
      <c r="AG113" s="129"/>
      <c r="AH113" s="130"/>
      <c r="AI113" s="130" t="n">
        <f aca="false">IF($W112*F113&gt;150000,($W112*F113-150000)*6%*45%,0)</f>
        <v>0</v>
      </c>
      <c r="AJ113" s="130" t="n">
        <f aca="false">IF($W112*G113&gt;150000,($W112*G113-150000)*6%*45%,0)</f>
        <v>0</v>
      </c>
      <c r="AK113" s="130" t="n">
        <f aca="false">IF($W112*H113&gt;150000,($W112*H113-150000)*6%*45%,0)</f>
        <v>0</v>
      </c>
      <c r="AL113" s="130" t="n">
        <f aca="false">IF($W112*I113&gt;150000,($W112*I113-150000)*6%*45%,0)</f>
        <v>0</v>
      </c>
      <c r="AM113" s="130" t="n">
        <f aca="false">IF($W112*J113&gt;150000,($W112*J113-150000)*6%*45%,0)</f>
        <v>0</v>
      </c>
      <c r="AN113" s="130" t="n">
        <f aca="false">IF($W112*K113&gt;150000,($W112*K113-150000)*6%*45%,0)</f>
        <v>0</v>
      </c>
      <c r="AO113" s="130" t="n">
        <f aca="false">IF($W112*L113&gt;150000,($W112*L113-150000)*6%*45%,0)</f>
        <v>0</v>
      </c>
      <c r="AP113" s="130" t="n">
        <f aca="false">IF($W112*M113&gt;150000,($W112*M113-150000)*6%*45%,0)</f>
        <v>0</v>
      </c>
      <c r="AQ113" s="130" t="n">
        <f aca="false">IF($W112*N113&gt;150000,($W112*N113-150000)*6%*45%,0)</f>
        <v>0</v>
      </c>
      <c r="AR113" s="130" t="n">
        <f aca="false">IF($W112*O113&gt;150000,($W112*O113-150000)*6%*45%,0)</f>
        <v>0</v>
      </c>
      <c r="AS113" s="130" t="n">
        <f aca="false">IF($W112*P113&gt;150000,($W112*P113-150000)*6%*45%,0)</f>
        <v>0</v>
      </c>
      <c r="AT113" s="130" t="n">
        <f aca="false">IF($W112*Q113&gt;150000,($W112*Q113-150000)*6%*45%,0)</f>
        <v>0</v>
      </c>
      <c r="AU113" s="130" t="n">
        <f aca="false">IF($W112*R113&gt;150000,($W112*R113-150000)*6%*45%,0)</f>
        <v>0</v>
      </c>
      <c r="AV113" s="130" t="n">
        <f aca="false">IF($W112*S113&gt;150000,($W112*S113-150000)*6%*45%,0)</f>
        <v>0</v>
      </c>
      <c r="AW113" s="130" t="n">
        <f aca="false">IF($W112*T113&gt;150000,($W112*T113-150000)*6%*45%,0)</f>
        <v>0</v>
      </c>
      <c r="AX113" s="130" t="n">
        <f aca="false">IF($W112*U113&gt;150000,($W112*U113-150000)*6%*45%,0)</f>
        <v>0</v>
      </c>
      <c r="AY113" s="13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/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/>
      <c r="HO113" s="11"/>
      <c r="HP113" s="11"/>
      <c r="HQ113" s="11"/>
      <c r="HR113" s="11"/>
      <c r="HS113" s="11"/>
      <c r="HT113" s="11"/>
      <c r="HU113" s="11"/>
      <c r="HV113" s="11"/>
      <c r="HW113" s="11"/>
      <c r="HX113" s="11"/>
      <c r="HY113" s="11"/>
      <c r="HZ113" s="11"/>
      <c r="IA113" s="11"/>
      <c r="IB113" s="11"/>
      <c r="IC113" s="11"/>
      <c r="ID113" s="11"/>
      <c r="IE113" s="11"/>
      <c r="IF113" s="11"/>
      <c r="IG113" s="11"/>
      <c r="IH113" s="11"/>
      <c r="II113" s="11"/>
      <c r="IJ113" s="11"/>
      <c r="IK113" s="11"/>
      <c r="IL113" s="11"/>
      <c r="IM113" s="11"/>
      <c r="IN113" s="11"/>
      <c r="IO113" s="11"/>
      <c r="IP113" s="11"/>
      <c r="IQ113" s="11"/>
      <c r="IR113" s="11"/>
      <c r="IS113" s="11"/>
      <c r="IT113" s="11"/>
      <c r="IU113" s="11"/>
      <c r="IV113" s="11"/>
      <c r="IW113" s="11"/>
    </row>
    <row r="114" customFormat="false" ht="13.5" hidden="true" customHeight="true" outlineLevel="0" collapsed="false">
      <c r="A114" s="108" t="n">
        <f aca="false">A112+1</f>
        <v>38</v>
      </c>
      <c r="B114" s="310" t="n">
        <f aca="false">IF(ISERROR(VLOOKUP(C114,일용직명단!$A$3:$I$104,2,FALSE())),0,VLOOKUP(C114,일용직명단!$A$3:$I$104,2,FALSE()))</f>
        <v>0</v>
      </c>
      <c r="C114" s="290"/>
      <c r="D114" s="311" t="n">
        <f aca="false">IF(ISERROR(VLOOKUP(C114,일용직명단!$A$3:$K$1246,3,FALSE())),0,VLOOKUP(C114,일용직명단!$A$3:$K$1246,3,FALSE()))</f>
        <v>0</v>
      </c>
      <c r="E114" s="112" t="n">
        <f aca="false">IF(ISERROR(VLOOKUP(C114,일용직명단!$A$3:$K$1246,4,FALSE())),0,VLOOKUP(C114,일용직명단!$A$3:$K$1246,4,FALSE()))</f>
        <v>0</v>
      </c>
      <c r="F114" s="192"/>
      <c r="G114" s="193"/>
      <c r="H114" s="191"/>
      <c r="I114" s="191"/>
      <c r="J114" s="192"/>
      <c r="K114" s="191"/>
      <c r="L114" s="192"/>
      <c r="M114" s="192"/>
      <c r="N114" s="193"/>
      <c r="O114" s="193"/>
      <c r="P114" s="192"/>
      <c r="Q114" s="193"/>
      <c r="R114" s="191"/>
      <c r="S114" s="193"/>
      <c r="T114" s="191"/>
      <c r="U114" s="194"/>
      <c r="V114" s="120" t="n">
        <f aca="false">SUM(F114:U115)</f>
        <v>0</v>
      </c>
      <c r="W114" s="121" t="n">
        <f aca="false">IF(ISERROR(VLOOKUP(C114,일용직명단!$A$3:$K$1246,8,FALSE())),0,VLOOKUP(C114,일용직명단!$A$3:$K$1246,8,FALSE()))</f>
        <v>0</v>
      </c>
      <c r="X114" s="122" t="n">
        <f aca="false">IFERROR(IF(AG114&gt;=65,0,ROUNDDOWN(W115*$Z$4,-1)),0)</f>
        <v>0</v>
      </c>
      <c r="Y114" s="122" t="n">
        <f aca="false">IF(AE114&gt;=8,ROUNDDOWN(W115*$M$4,-1),0)</f>
        <v>0</v>
      </c>
      <c r="Z114" s="123" t="n">
        <f aca="false">IFERROR(IF(AND(COUNT(F114:U115)&gt;=8,$AG114&lt;60,W115&lt;=5530000),ROUNDDOWN(ROUNDDOWN(W115,-3)*4.5%,-1),IF(AND(COUNT(F114:U115)&gt;=8,AG114&lt;60,W115&gt;5530000),248850,0)),0)</f>
        <v>0</v>
      </c>
      <c r="AA114" s="124" t="n">
        <f aca="false">+X114+Y114+X115+Y115+Z114+Z115</f>
        <v>0</v>
      </c>
      <c r="AB114" s="125" t="n">
        <f aca="false">W115-AA114</f>
        <v>0</v>
      </c>
      <c r="AC114" s="126" t="n">
        <f aca="false">IF(ISERROR(VLOOKUP(C114,일용직명단!$A$3:$I$1226,5,FALSE())),0,VLOOKUP(C114,일용직명단!$A$3:$I$1226,5,FALSE()))</f>
        <v>0</v>
      </c>
      <c r="AD114" s="127" t="n">
        <f aca="false">IF(ISERROR(VLOOKUP(C114,일용직명단!$A$3:$I$1226,6,FALSE())),0,VLOOKUP(C114,일용직명단!$A$3:$I$1226,6,FALSE()))</f>
        <v>0</v>
      </c>
      <c r="AE114" s="128" t="n">
        <f aca="false">COUNT(F114:U115)</f>
        <v>0</v>
      </c>
      <c r="AF114" s="129" t="str">
        <f aca="false">IF(OR(MID(D114,8,1)="1",MID(D114,8,1)="2"),19&amp;LEFT(D114,2),20&amp;LEFT(D114,2))&amp;"-"&amp;MID(D114,3,2)&amp;"-"&amp;MID(D114,5,2)</f>
        <v>200--</v>
      </c>
      <c r="AG114" s="129" t="e">
        <f aca="true">INT((TODAY()-AF114)/365.25)</f>
        <v>#VALUE!</v>
      </c>
      <c r="AH114" s="130" t="n">
        <f aca="false">ROUNDDOWN(SUM(AI114:AX115),-1)</f>
        <v>0</v>
      </c>
      <c r="AI114" s="130" t="n">
        <f aca="false">IF($W114*F114&gt;150000,($W114*F114-150000)*6%*45%,0)</f>
        <v>0</v>
      </c>
      <c r="AJ114" s="130" t="n">
        <f aca="false">IF($W114*G114&gt;150000,($W114*G114-150000)*6%*45%,0)</f>
        <v>0</v>
      </c>
      <c r="AK114" s="130" t="n">
        <f aca="false">IF($W114*H114&gt;150000,($W114*H114-150000)*6%*45%,0)</f>
        <v>0</v>
      </c>
      <c r="AL114" s="130" t="n">
        <f aca="false">IF($W114*I114&gt;150000,($W114*I114-150000)*6%*45%,0)</f>
        <v>0</v>
      </c>
      <c r="AM114" s="130" t="n">
        <f aca="false">IF($W114*J114&gt;150000,($W114*J114-150000)*6%*45%,0)</f>
        <v>0</v>
      </c>
      <c r="AN114" s="130" t="n">
        <f aca="false">IF($W114*K114&gt;150000,($W114*K114-150000)*6%*45%,0)</f>
        <v>0</v>
      </c>
      <c r="AO114" s="130" t="n">
        <f aca="false">IF($W114*L114&gt;150000,($W114*L114-150000)*6%*45%,0)</f>
        <v>0</v>
      </c>
      <c r="AP114" s="130" t="n">
        <f aca="false">IF($W114*M114&gt;150000,($W114*M114-150000)*6%*45%,0)</f>
        <v>0</v>
      </c>
      <c r="AQ114" s="130" t="n">
        <f aca="false">IF($W114*N114&gt;150000,($W114*N114-150000)*6%*45%,0)</f>
        <v>0</v>
      </c>
      <c r="AR114" s="130" t="n">
        <f aca="false">IF($W114*O114&gt;150000,($W114*O114-150000)*6%*45%,0)</f>
        <v>0</v>
      </c>
      <c r="AS114" s="130" t="n">
        <f aca="false">IF($W114*P114&gt;150000,($W114*P114-150000)*6%*45%,0)</f>
        <v>0</v>
      </c>
      <c r="AT114" s="130" t="n">
        <f aca="false">IF($W114*Q114&gt;150000,($W114*Q114-150000)*6%*45%,0)</f>
        <v>0</v>
      </c>
      <c r="AU114" s="130" t="n">
        <f aca="false">IF($W114*R114&gt;150000,($W114*R114-150000)*6%*45%,0)</f>
        <v>0</v>
      </c>
      <c r="AV114" s="130" t="n">
        <f aca="false">IF($W114*S114&gt;150000,($W114*S114-150000)*6%*45%,0)</f>
        <v>0</v>
      </c>
      <c r="AW114" s="130" t="n">
        <f aca="false">IF($W114*T114&gt;150000,($W114*T114-150000)*6%*45%,0)</f>
        <v>0</v>
      </c>
      <c r="AX114" s="130"/>
      <c r="AY114" s="131" t="n">
        <f aca="false">IF(ISERROR(VLOOKUP(C114,[26]일용직명단!$A$3:$M$1151,11,FALSE())),0,VLOOKUP(C114,[26]일용직명단!$A$3:$M$1151,11,FALSE()))</f>
        <v>0</v>
      </c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/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/>
      <c r="HO114" s="11"/>
      <c r="HP114" s="11"/>
      <c r="HQ114" s="11"/>
      <c r="HR114" s="11"/>
      <c r="HS114" s="11"/>
      <c r="HT114" s="11"/>
      <c r="HU114" s="11"/>
      <c r="HV114" s="11"/>
      <c r="HW114" s="11"/>
      <c r="HX114" s="11"/>
      <c r="HY114" s="11"/>
      <c r="HZ114" s="11"/>
      <c r="IA114" s="11"/>
      <c r="IB114" s="11"/>
      <c r="IC114" s="11"/>
      <c r="ID114" s="11"/>
      <c r="IE114" s="11"/>
      <c r="IF114" s="11"/>
      <c r="IG114" s="11"/>
      <c r="IH114" s="11"/>
      <c r="II114" s="11"/>
      <c r="IJ114" s="11"/>
      <c r="IK114" s="11"/>
      <c r="IL114" s="11"/>
      <c r="IM114" s="11"/>
      <c r="IN114" s="11"/>
      <c r="IO114" s="11"/>
      <c r="IP114" s="11"/>
      <c r="IQ114" s="11"/>
      <c r="IR114" s="11"/>
      <c r="IS114" s="11"/>
      <c r="IT114" s="11"/>
      <c r="IU114" s="11"/>
      <c r="IV114" s="11"/>
      <c r="IW114" s="11"/>
    </row>
    <row r="115" customFormat="false" ht="13.5" hidden="true" customHeight="true" outlineLevel="0" collapsed="false">
      <c r="A115" s="108"/>
      <c r="B115" s="310"/>
      <c r="C115" s="290"/>
      <c r="D115" s="311"/>
      <c r="E115" s="112" t="n">
        <f aca="false">IF(ISERROR(VLOOKUP(C114,일용직명단!$A$3:$K$1246,9,FALSE())),0,VLOOKUP(C114,일용직명단!$A$3:$K$1246,9,FALSE()))</f>
        <v>0</v>
      </c>
      <c r="F115" s="195"/>
      <c r="G115" s="196"/>
      <c r="H115" s="196"/>
      <c r="I115" s="193"/>
      <c r="J115" s="191"/>
      <c r="K115" s="193"/>
      <c r="L115" s="192"/>
      <c r="M115" s="192"/>
      <c r="N115" s="193"/>
      <c r="O115" s="191"/>
      <c r="P115" s="193"/>
      <c r="Q115" s="193"/>
      <c r="R115" s="192"/>
      <c r="S115" s="192"/>
      <c r="T115" s="192"/>
      <c r="U115" s="191"/>
      <c r="V115" s="120"/>
      <c r="W115" s="138" t="n">
        <f aca="false">W114*V114</f>
        <v>0</v>
      </c>
      <c r="X115" s="122" t="n">
        <f aca="false">IF(AH114&lt;1000,0,AH114)</f>
        <v>0</v>
      </c>
      <c r="Y115" s="122" t="n">
        <f aca="false">ROUNDDOWN(X115*10%,-1)</f>
        <v>0</v>
      </c>
      <c r="Z115" s="123" t="n">
        <f aca="false">IF(AE114&gt;=8,ROUNDDOWN(Y114*$Q$4,-1),0)</f>
        <v>0</v>
      </c>
      <c r="AA115" s="124"/>
      <c r="AB115" s="125"/>
      <c r="AC115" s="127" t="n">
        <f aca="false">IF(ISERROR(VLOOKUP(C114,일용직명단!$A$3:$I$1226,7,FALSE())),0,VLOOKUP(C114,일용직명단!$A$3:$I$1226,7,FALSE()))</f>
        <v>0</v>
      </c>
      <c r="AD115" s="127"/>
      <c r="AE115" s="128"/>
      <c r="AF115" s="129"/>
      <c r="AG115" s="129"/>
      <c r="AH115" s="130"/>
      <c r="AI115" s="130" t="n">
        <f aca="false">IF($W114*F115&gt;150000,($W114*F115-150000)*6%*45%,0)</f>
        <v>0</v>
      </c>
      <c r="AJ115" s="130" t="n">
        <f aca="false">IF($W114*G115&gt;150000,($W114*G115-150000)*6%*45%,0)</f>
        <v>0</v>
      </c>
      <c r="AK115" s="130" t="n">
        <f aca="false">IF($W114*H115&gt;150000,($W114*H115-150000)*6%*45%,0)</f>
        <v>0</v>
      </c>
      <c r="AL115" s="130" t="n">
        <f aca="false">IF($W114*I115&gt;150000,($W114*I115-150000)*6%*45%,0)</f>
        <v>0</v>
      </c>
      <c r="AM115" s="130" t="n">
        <f aca="false">IF($W114*J115&gt;150000,($W114*J115-150000)*6%*45%,0)</f>
        <v>0</v>
      </c>
      <c r="AN115" s="130" t="n">
        <f aca="false">IF($W114*K115&gt;150000,($W114*K115-150000)*6%*45%,0)</f>
        <v>0</v>
      </c>
      <c r="AO115" s="130" t="n">
        <f aca="false">IF($W114*L115&gt;150000,($W114*L115-150000)*6%*45%,0)</f>
        <v>0</v>
      </c>
      <c r="AP115" s="130" t="n">
        <f aca="false">IF($W114*M115&gt;150000,($W114*M115-150000)*6%*45%,0)</f>
        <v>0</v>
      </c>
      <c r="AQ115" s="130" t="n">
        <f aca="false">IF($W114*N115&gt;150000,($W114*N115-150000)*6%*45%,0)</f>
        <v>0</v>
      </c>
      <c r="AR115" s="130" t="n">
        <f aca="false">IF($W114*O115&gt;150000,($W114*O115-150000)*6%*45%,0)</f>
        <v>0</v>
      </c>
      <c r="AS115" s="130" t="n">
        <f aca="false">IF($W114*P115&gt;150000,($W114*P115-150000)*6%*45%,0)</f>
        <v>0</v>
      </c>
      <c r="AT115" s="130" t="n">
        <f aca="false">IF($W114*Q115&gt;150000,($W114*Q115-150000)*6%*45%,0)</f>
        <v>0</v>
      </c>
      <c r="AU115" s="130" t="n">
        <f aca="false">IF($W114*R115&gt;150000,($W114*R115-150000)*6%*45%,0)</f>
        <v>0</v>
      </c>
      <c r="AV115" s="130" t="n">
        <f aca="false">IF($W114*S115&gt;150000,($W114*S115-150000)*6%*45%,0)</f>
        <v>0</v>
      </c>
      <c r="AW115" s="130" t="n">
        <f aca="false">IF($W114*T115&gt;150000,($W114*T115-150000)*6%*45%,0)</f>
        <v>0</v>
      </c>
      <c r="AX115" s="130" t="n">
        <f aca="false">IF($W114*U115&gt;150000,($W114*U115-150000)*6%*45%,0)</f>
        <v>0</v>
      </c>
      <c r="AY115" s="13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1"/>
      <c r="GJ115" s="11"/>
      <c r="GK115" s="11"/>
      <c r="GL115" s="11"/>
      <c r="GM115" s="11"/>
      <c r="GN115" s="11"/>
      <c r="GO115" s="11"/>
      <c r="GP115" s="11"/>
      <c r="GQ115" s="11"/>
      <c r="GR115" s="11"/>
      <c r="GS115" s="11"/>
      <c r="GT115" s="11"/>
      <c r="GU115" s="11"/>
      <c r="GV115" s="11"/>
      <c r="GW115" s="11"/>
      <c r="GX115" s="11"/>
      <c r="GY115" s="11"/>
      <c r="GZ115" s="11"/>
      <c r="HA115" s="11"/>
      <c r="HB115" s="11"/>
      <c r="HC115" s="11"/>
      <c r="HD115" s="11"/>
      <c r="HE115" s="11"/>
      <c r="HF115" s="11"/>
      <c r="HG115" s="11"/>
      <c r="HH115" s="11"/>
      <c r="HI115" s="11"/>
      <c r="HJ115" s="11"/>
      <c r="HK115" s="11"/>
      <c r="HL115" s="11"/>
      <c r="HM115" s="11"/>
      <c r="HN115" s="11"/>
      <c r="HO115" s="11"/>
      <c r="HP115" s="11"/>
      <c r="HQ115" s="11"/>
      <c r="HR115" s="11"/>
      <c r="HS115" s="11"/>
      <c r="HT115" s="11"/>
      <c r="HU115" s="11"/>
      <c r="HV115" s="11"/>
      <c r="HW115" s="11"/>
      <c r="HX115" s="11"/>
      <c r="HY115" s="11"/>
      <c r="HZ115" s="11"/>
      <c r="IA115" s="11"/>
      <c r="IB115" s="11"/>
      <c r="IC115" s="11"/>
      <c r="ID115" s="11"/>
      <c r="IE115" s="11"/>
      <c r="IF115" s="11"/>
      <c r="IG115" s="11"/>
      <c r="IH115" s="11"/>
      <c r="II115" s="11"/>
      <c r="IJ115" s="11"/>
      <c r="IK115" s="11"/>
      <c r="IL115" s="11"/>
      <c r="IM115" s="11"/>
      <c r="IN115" s="11"/>
      <c r="IO115" s="11"/>
      <c r="IP115" s="11"/>
      <c r="IQ115" s="11"/>
      <c r="IR115" s="11"/>
      <c r="IS115" s="11"/>
      <c r="IT115" s="11"/>
      <c r="IU115" s="11"/>
      <c r="IV115" s="11"/>
      <c r="IW115" s="11"/>
    </row>
    <row r="116" customFormat="false" ht="13.5" hidden="true" customHeight="true" outlineLevel="0" collapsed="false">
      <c r="A116" s="108" t="n">
        <f aca="false">A114+1</f>
        <v>39</v>
      </c>
      <c r="B116" s="310" t="n">
        <f aca="false">IF(ISERROR(VLOOKUP(C116,일용직명단!$A$3:$I$104,2,FALSE())),0,VLOOKUP(C116,일용직명단!$A$3:$I$104,2,FALSE()))</f>
        <v>0</v>
      </c>
      <c r="C116" s="290"/>
      <c r="D116" s="311" t="n">
        <f aca="false">IF(ISERROR(VLOOKUP(C116,일용직명단!$A$3:$K$1246,3,FALSE())),0,VLOOKUP(C116,일용직명단!$A$3:$K$1246,3,FALSE()))</f>
        <v>0</v>
      </c>
      <c r="E116" s="112" t="n">
        <f aca="false">IF(ISERROR(VLOOKUP(C116,일용직명단!$A$3:$K$1246,4,FALSE())),0,VLOOKUP(C116,일용직명단!$A$3:$K$1246,4,FALSE()))</f>
        <v>0</v>
      </c>
      <c r="F116" s="192"/>
      <c r="G116" s="193"/>
      <c r="H116" s="191"/>
      <c r="I116" s="191"/>
      <c r="J116" s="192"/>
      <c r="K116" s="191"/>
      <c r="L116" s="192"/>
      <c r="M116" s="192"/>
      <c r="N116" s="193"/>
      <c r="O116" s="193"/>
      <c r="P116" s="192"/>
      <c r="Q116" s="193"/>
      <c r="R116" s="191"/>
      <c r="S116" s="193"/>
      <c r="T116" s="191"/>
      <c r="U116" s="194"/>
      <c r="V116" s="120" t="n">
        <f aca="false">SUM(F116:U117)</f>
        <v>0</v>
      </c>
      <c r="W116" s="121" t="n">
        <f aca="false">IF(ISERROR(VLOOKUP(C116,일용직명단!$A$3:$K$1246,8,FALSE())),0,VLOOKUP(C116,일용직명단!$A$3:$K$1246,8,FALSE()))</f>
        <v>0</v>
      </c>
      <c r="X116" s="122" t="n">
        <f aca="false">IFERROR(IF(AG116&gt;=65,0,ROUNDDOWN(W117*$Z$4,-1)),0)</f>
        <v>0</v>
      </c>
      <c r="Y116" s="122" t="n">
        <f aca="false">IF(AE116&gt;=8,ROUNDDOWN(W117*$M$4,-1),0)</f>
        <v>0</v>
      </c>
      <c r="Z116" s="123" t="n">
        <f aca="false">IFERROR(IF(AND(COUNT(F116:U117)&gt;=8,$AG116&lt;60,W117&lt;=5530000),ROUNDDOWN(ROUNDDOWN(W117,-3)*4.5%,-1),IF(AND(COUNT(F116:U117)&gt;=8,AG116&lt;60,W117&gt;5530000),248850,0)),0)</f>
        <v>0</v>
      </c>
      <c r="AA116" s="124" t="n">
        <f aca="false">+X116+Y116+X117+Y117+Z116+Z117</f>
        <v>0</v>
      </c>
      <c r="AB116" s="125" t="n">
        <f aca="false">W117-AA116</f>
        <v>0</v>
      </c>
      <c r="AC116" s="126" t="n">
        <f aca="false">IF(ISERROR(VLOOKUP(C116,일용직명단!$A$3:$I$1226,5,FALSE())),0,VLOOKUP(C116,일용직명단!$A$3:$I$1226,5,FALSE()))</f>
        <v>0</v>
      </c>
      <c r="AD116" s="127" t="n">
        <f aca="false">IF(ISERROR(VLOOKUP(C116,일용직명단!$A$3:$I$1226,6,FALSE())),0,VLOOKUP(C116,일용직명단!$A$3:$I$1226,6,FALSE()))</f>
        <v>0</v>
      </c>
      <c r="AE116" s="128" t="n">
        <f aca="false">COUNT(F116:U117)</f>
        <v>0</v>
      </c>
      <c r="AF116" s="129" t="str">
        <f aca="false">IF(OR(MID(D116,8,1)="1",MID(D116,8,1)="2"),19&amp;LEFT(D116,2),20&amp;LEFT(D116,2))&amp;"-"&amp;MID(D116,3,2)&amp;"-"&amp;MID(D116,5,2)</f>
        <v>200--</v>
      </c>
      <c r="AG116" s="129" t="e">
        <f aca="true">INT((TODAY()-AF116)/365.25)</f>
        <v>#VALUE!</v>
      </c>
      <c r="AH116" s="130" t="n">
        <f aca="false">ROUNDDOWN(SUM(AI116:AX117),-1)</f>
        <v>0</v>
      </c>
      <c r="AI116" s="130" t="n">
        <f aca="false">IF($W116*F116&gt;150000,($W116*F116-150000)*6%*45%,0)</f>
        <v>0</v>
      </c>
      <c r="AJ116" s="130" t="n">
        <f aca="false">IF($W116*G116&gt;150000,($W116*G116-150000)*6%*45%,0)</f>
        <v>0</v>
      </c>
      <c r="AK116" s="130" t="n">
        <f aca="false">IF($W116*H116&gt;150000,($W116*H116-150000)*6%*45%,0)</f>
        <v>0</v>
      </c>
      <c r="AL116" s="130" t="n">
        <f aca="false">IF($W116*I116&gt;150000,($W116*I116-150000)*6%*45%,0)</f>
        <v>0</v>
      </c>
      <c r="AM116" s="130" t="n">
        <f aca="false">IF($W116*J116&gt;150000,($W116*J116-150000)*6%*45%,0)</f>
        <v>0</v>
      </c>
      <c r="AN116" s="130" t="n">
        <f aca="false">IF($W116*K116&gt;150000,($W116*K116-150000)*6%*45%,0)</f>
        <v>0</v>
      </c>
      <c r="AO116" s="130" t="n">
        <f aca="false">IF($W116*L116&gt;150000,($W116*L116-150000)*6%*45%,0)</f>
        <v>0</v>
      </c>
      <c r="AP116" s="130" t="n">
        <f aca="false">IF($W116*M116&gt;150000,($W116*M116-150000)*6%*45%,0)</f>
        <v>0</v>
      </c>
      <c r="AQ116" s="130" t="n">
        <f aca="false">IF($W116*N116&gt;150000,($W116*N116-150000)*6%*45%,0)</f>
        <v>0</v>
      </c>
      <c r="AR116" s="130" t="n">
        <f aca="false">IF($W116*O116&gt;150000,($W116*O116-150000)*6%*45%,0)</f>
        <v>0</v>
      </c>
      <c r="AS116" s="130" t="n">
        <f aca="false">IF($W116*P116&gt;150000,($W116*P116-150000)*6%*45%,0)</f>
        <v>0</v>
      </c>
      <c r="AT116" s="130" t="n">
        <f aca="false">IF($W116*Q116&gt;150000,($W116*Q116-150000)*6%*45%,0)</f>
        <v>0</v>
      </c>
      <c r="AU116" s="130" t="n">
        <f aca="false">IF($W116*R116&gt;150000,($W116*R116-150000)*6%*45%,0)</f>
        <v>0</v>
      </c>
      <c r="AV116" s="130" t="n">
        <f aca="false">IF($W116*S116&gt;150000,($W116*S116-150000)*6%*45%,0)</f>
        <v>0</v>
      </c>
      <c r="AW116" s="130" t="n">
        <f aca="false">IF($W116*T116&gt;150000,($W116*T116-150000)*6%*45%,0)</f>
        <v>0</v>
      </c>
      <c r="AX116" s="130"/>
      <c r="AY116" s="131" t="n">
        <f aca="false">IF(ISERROR(VLOOKUP(C116,[26]일용직명단!$A$3:$M$1151,11,FALSE())),0,VLOOKUP(C116,[26]일용직명단!$A$3:$M$1151,11,FALSE()))</f>
        <v>0</v>
      </c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/>
      <c r="GF116" s="11"/>
      <c r="GG116" s="11"/>
      <c r="GH116" s="11"/>
      <c r="GI116" s="11"/>
      <c r="GJ116" s="11"/>
      <c r="GK116" s="11"/>
      <c r="GL116" s="11"/>
      <c r="GM116" s="11"/>
      <c r="GN116" s="11"/>
      <c r="GO116" s="11"/>
      <c r="GP116" s="11"/>
      <c r="GQ116" s="11"/>
      <c r="GR116" s="11"/>
      <c r="GS116" s="11"/>
      <c r="GT116" s="11"/>
      <c r="GU116" s="11"/>
      <c r="GV116" s="11"/>
      <c r="GW116" s="11"/>
      <c r="GX116" s="11"/>
      <c r="GY116" s="11"/>
      <c r="GZ116" s="11"/>
      <c r="HA116" s="11"/>
      <c r="HB116" s="11"/>
      <c r="HC116" s="11"/>
      <c r="HD116" s="11"/>
      <c r="HE116" s="11"/>
      <c r="HF116" s="11"/>
      <c r="HG116" s="11"/>
      <c r="HH116" s="11"/>
      <c r="HI116" s="11"/>
      <c r="HJ116" s="11"/>
      <c r="HK116" s="11"/>
      <c r="HL116" s="11"/>
      <c r="HM116" s="11"/>
      <c r="HN116" s="11"/>
      <c r="HO116" s="11"/>
      <c r="HP116" s="11"/>
      <c r="HQ116" s="11"/>
      <c r="HR116" s="11"/>
      <c r="HS116" s="11"/>
      <c r="HT116" s="11"/>
      <c r="HU116" s="11"/>
      <c r="HV116" s="11"/>
      <c r="HW116" s="11"/>
      <c r="HX116" s="11"/>
      <c r="HY116" s="11"/>
      <c r="HZ116" s="11"/>
      <c r="IA116" s="11"/>
      <c r="IB116" s="11"/>
      <c r="IC116" s="11"/>
      <c r="ID116" s="11"/>
      <c r="IE116" s="11"/>
      <c r="IF116" s="11"/>
      <c r="IG116" s="11"/>
      <c r="IH116" s="11"/>
      <c r="II116" s="11"/>
      <c r="IJ116" s="11"/>
      <c r="IK116" s="11"/>
      <c r="IL116" s="11"/>
      <c r="IM116" s="11"/>
      <c r="IN116" s="11"/>
      <c r="IO116" s="11"/>
      <c r="IP116" s="11"/>
      <c r="IQ116" s="11"/>
      <c r="IR116" s="11"/>
      <c r="IS116" s="11"/>
      <c r="IT116" s="11"/>
      <c r="IU116" s="11"/>
      <c r="IV116" s="11"/>
      <c r="IW116" s="11"/>
    </row>
    <row r="117" customFormat="false" ht="13.5" hidden="true" customHeight="true" outlineLevel="0" collapsed="false">
      <c r="A117" s="108"/>
      <c r="B117" s="310"/>
      <c r="C117" s="290"/>
      <c r="D117" s="311"/>
      <c r="E117" s="112" t="n">
        <f aca="false">IF(ISERROR(VLOOKUP(C116,일용직명단!$A$3:$K$1246,9,FALSE())),0,VLOOKUP(C116,일용직명단!$A$3:$K$1246,9,FALSE()))</f>
        <v>0</v>
      </c>
      <c r="F117" s="195"/>
      <c r="G117" s="196"/>
      <c r="H117" s="195"/>
      <c r="I117" s="193"/>
      <c r="J117" s="191"/>
      <c r="K117" s="193"/>
      <c r="L117" s="192"/>
      <c r="M117" s="192"/>
      <c r="N117" s="193"/>
      <c r="O117" s="191"/>
      <c r="P117" s="193"/>
      <c r="Q117" s="193"/>
      <c r="R117" s="192"/>
      <c r="S117" s="192"/>
      <c r="T117" s="192"/>
      <c r="U117" s="191"/>
      <c r="V117" s="120"/>
      <c r="W117" s="138" t="n">
        <f aca="false">W116*V116</f>
        <v>0</v>
      </c>
      <c r="X117" s="122" t="n">
        <f aca="false">IF(AH116&lt;1000,0,AH116)</f>
        <v>0</v>
      </c>
      <c r="Y117" s="122" t="n">
        <f aca="false">ROUNDDOWN(X117*10%,-1)</f>
        <v>0</v>
      </c>
      <c r="Z117" s="123" t="n">
        <f aca="false">IF(AE116&gt;=8,ROUNDDOWN(Y116*$Q$4,-1),0)</f>
        <v>0</v>
      </c>
      <c r="AA117" s="124"/>
      <c r="AB117" s="125"/>
      <c r="AC117" s="127" t="n">
        <f aca="false">IF(ISERROR(VLOOKUP(C116,일용직명단!$A$3:$I$1226,7,FALSE())),0,VLOOKUP(C116,일용직명단!$A$3:$I$1226,7,FALSE()))</f>
        <v>0</v>
      </c>
      <c r="AD117" s="127"/>
      <c r="AE117" s="128"/>
      <c r="AF117" s="129"/>
      <c r="AG117" s="129"/>
      <c r="AH117" s="130"/>
      <c r="AI117" s="130" t="n">
        <f aca="false">IF($W116*F117&gt;150000,($W116*F117-150000)*6%*45%,0)</f>
        <v>0</v>
      </c>
      <c r="AJ117" s="130" t="n">
        <f aca="false">IF($W116*G117&gt;150000,($W116*G117-150000)*6%*45%,0)</f>
        <v>0</v>
      </c>
      <c r="AK117" s="130" t="n">
        <f aca="false">IF($W116*H117&gt;150000,($W116*H117-150000)*6%*45%,0)</f>
        <v>0</v>
      </c>
      <c r="AL117" s="130" t="n">
        <f aca="false">IF($W116*I117&gt;150000,($W116*I117-150000)*6%*45%,0)</f>
        <v>0</v>
      </c>
      <c r="AM117" s="130" t="n">
        <f aca="false">IF($W116*J117&gt;150000,($W116*J117-150000)*6%*45%,0)</f>
        <v>0</v>
      </c>
      <c r="AN117" s="130" t="n">
        <f aca="false">IF($W116*K117&gt;150000,($W116*K117-150000)*6%*45%,0)</f>
        <v>0</v>
      </c>
      <c r="AO117" s="130" t="n">
        <f aca="false">IF($W116*L117&gt;150000,($W116*L117-150000)*6%*45%,0)</f>
        <v>0</v>
      </c>
      <c r="AP117" s="130" t="n">
        <f aca="false">IF($W116*M117&gt;150000,($W116*M117-150000)*6%*45%,0)</f>
        <v>0</v>
      </c>
      <c r="AQ117" s="130" t="n">
        <f aca="false">IF($W116*N117&gt;150000,($W116*N117-150000)*6%*45%,0)</f>
        <v>0</v>
      </c>
      <c r="AR117" s="130" t="n">
        <f aca="false">IF($W116*O117&gt;150000,($W116*O117-150000)*6%*45%,0)</f>
        <v>0</v>
      </c>
      <c r="AS117" s="130" t="n">
        <f aca="false">IF($W116*P117&gt;150000,($W116*P117-150000)*6%*45%,0)</f>
        <v>0</v>
      </c>
      <c r="AT117" s="130" t="n">
        <f aca="false">IF($W116*Q117&gt;150000,($W116*Q117-150000)*6%*45%,0)</f>
        <v>0</v>
      </c>
      <c r="AU117" s="130" t="n">
        <f aca="false">IF($W116*R117&gt;150000,($W116*R117-150000)*6%*45%,0)</f>
        <v>0</v>
      </c>
      <c r="AV117" s="130" t="n">
        <f aca="false">IF($W116*S117&gt;150000,($W116*S117-150000)*6%*45%,0)</f>
        <v>0</v>
      </c>
      <c r="AW117" s="130" t="n">
        <f aca="false">IF($W116*T117&gt;150000,($W116*T117-150000)*6%*45%,0)</f>
        <v>0</v>
      </c>
      <c r="AX117" s="130" t="n">
        <f aca="false">IF($W116*U117&gt;150000,($W116*U117-150000)*6%*45%,0)</f>
        <v>0</v>
      </c>
      <c r="AY117" s="13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  <c r="FX117" s="11"/>
      <c r="FY117" s="11"/>
      <c r="FZ117" s="11"/>
      <c r="GA117" s="11"/>
      <c r="GB117" s="11"/>
      <c r="GC117" s="11"/>
      <c r="GD117" s="11"/>
      <c r="GE117" s="11"/>
      <c r="GF117" s="11"/>
      <c r="GG117" s="11"/>
      <c r="GH117" s="11"/>
      <c r="GI117" s="11"/>
      <c r="GJ117" s="11"/>
      <c r="GK117" s="11"/>
      <c r="GL117" s="11"/>
      <c r="GM117" s="11"/>
      <c r="GN117" s="11"/>
      <c r="GO117" s="11"/>
      <c r="GP117" s="11"/>
      <c r="GQ117" s="11"/>
      <c r="GR117" s="11"/>
      <c r="GS117" s="11"/>
      <c r="GT117" s="11"/>
      <c r="GU117" s="11"/>
      <c r="GV117" s="11"/>
      <c r="GW117" s="11"/>
      <c r="GX117" s="11"/>
      <c r="GY117" s="11"/>
      <c r="GZ117" s="11"/>
      <c r="HA117" s="11"/>
      <c r="HB117" s="11"/>
      <c r="HC117" s="11"/>
      <c r="HD117" s="11"/>
      <c r="HE117" s="11"/>
      <c r="HF117" s="11"/>
      <c r="HG117" s="11"/>
      <c r="HH117" s="11"/>
      <c r="HI117" s="11"/>
      <c r="HJ117" s="11"/>
      <c r="HK117" s="11"/>
      <c r="HL117" s="11"/>
      <c r="HM117" s="11"/>
      <c r="HN117" s="11"/>
      <c r="HO117" s="11"/>
      <c r="HP117" s="11"/>
      <c r="HQ117" s="11"/>
      <c r="HR117" s="11"/>
      <c r="HS117" s="11"/>
      <c r="HT117" s="11"/>
      <c r="HU117" s="11"/>
      <c r="HV117" s="11"/>
      <c r="HW117" s="11"/>
      <c r="HX117" s="11"/>
      <c r="HY117" s="11"/>
      <c r="HZ117" s="11"/>
      <c r="IA117" s="11"/>
      <c r="IB117" s="11"/>
      <c r="IC117" s="11"/>
      <c r="ID117" s="11"/>
      <c r="IE117" s="11"/>
      <c r="IF117" s="11"/>
      <c r="IG117" s="11"/>
      <c r="IH117" s="11"/>
      <c r="II117" s="11"/>
      <c r="IJ117" s="11"/>
      <c r="IK117" s="11"/>
      <c r="IL117" s="11"/>
      <c r="IM117" s="11"/>
      <c r="IN117" s="11"/>
      <c r="IO117" s="11"/>
      <c r="IP117" s="11"/>
      <c r="IQ117" s="11"/>
      <c r="IR117" s="11"/>
      <c r="IS117" s="11"/>
      <c r="IT117" s="11"/>
      <c r="IU117" s="11"/>
      <c r="IV117" s="11"/>
      <c r="IW117" s="11"/>
    </row>
    <row r="118" customFormat="false" ht="13.5" hidden="true" customHeight="true" outlineLevel="0" collapsed="false">
      <c r="A118" s="108" t="n">
        <f aca="false">A116+1</f>
        <v>40</v>
      </c>
      <c r="B118" s="310" t="n">
        <f aca="false">IF(ISERROR(VLOOKUP(C118,일용직명단!$A$3:$I$104,2,FALSE())),0,VLOOKUP(C118,일용직명단!$A$3:$I$104,2,FALSE()))</f>
        <v>0</v>
      </c>
      <c r="C118" s="205"/>
      <c r="D118" s="311" t="n">
        <f aca="false">IF(ISERROR(VLOOKUP(C118,일용직명단!$A$3:$K$1246,3,FALSE())),0,VLOOKUP(C118,일용직명단!$A$3:$K$1246,3,FALSE()))</f>
        <v>0</v>
      </c>
      <c r="E118" s="140" t="n">
        <f aca="false">IF(ISERROR(VLOOKUP(C118,일용직명단!$A$3:$K$1246,4,FALSE())),0,VLOOKUP(C118,일용직명단!$A$3:$K$1246,4,FALSE()))</f>
        <v>0</v>
      </c>
      <c r="F118" s="192"/>
      <c r="G118" s="193"/>
      <c r="H118" s="191"/>
      <c r="I118" s="191"/>
      <c r="J118" s="192"/>
      <c r="K118" s="191"/>
      <c r="L118" s="192"/>
      <c r="M118" s="192"/>
      <c r="N118" s="193"/>
      <c r="O118" s="193"/>
      <c r="P118" s="192"/>
      <c r="Q118" s="193"/>
      <c r="R118" s="191"/>
      <c r="S118" s="193"/>
      <c r="T118" s="191"/>
      <c r="U118" s="194"/>
      <c r="V118" s="120" t="n">
        <f aca="false">SUM(F118:U119)</f>
        <v>0</v>
      </c>
      <c r="W118" s="121" t="n">
        <f aca="false">IF(ISERROR(VLOOKUP(C118,일용직명단!$A$3:$K$1246,8,FALSE())),0,VLOOKUP(C118,일용직명단!$A$3:$K$1246,8,FALSE()))</f>
        <v>0</v>
      </c>
      <c r="X118" s="122" t="n">
        <f aca="false">IFERROR(IF(AG118&gt;=65,0,ROUNDDOWN(W119*$Z$4,-1)),0)</f>
        <v>0</v>
      </c>
      <c r="Y118" s="122" t="n">
        <f aca="false">IF(AE118&gt;=8,ROUNDDOWN(W119*$M$4,-1),0)</f>
        <v>0</v>
      </c>
      <c r="Z118" s="123" t="n">
        <f aca="false">IFERROR(IF(AND(COUNT(F118:U119)&gt;=8,$AG118&lt;60,W119&lt;=5530000),ROUNDDOWN(ROUNDDOWN(W119,-3)*4.5%,-1),IF(AND(COUNT(F118:U119)&gt;=8,AG118&lt;60,W119&gt;5530000),248850,0)),0)</f>
        <v>0</v>
      </c>
      <c r="AA118" s="124" t="n">
        <f aca="false">+X118+Y118+X119+Y119+Z118+Z119</f>
        <v>0</v>
      </c>
      <c r="AB118" s="125" t="n">
        <f aca="false">W119-AA118</f>
        <v>0</v>
      </c>
      <c r="AC118" s="126" t="n">
        <f aca="false">IF(ISERROR(VLOOKUP(C118,일용직명단!$A$3:$I$1226,5,FALSE())),0,VLOOKUP(C118,일용직명단!$A$3:$I$1226,5,FALSE()))</f>
        <v>0</v>
      </c>
      <c r="AD118" s="127" t="n">
        <f aca="false">IF(ISERROR(VLOOKUP(C118,일용직명단!$A$3:$I$1226,6,FALSE())),0,VLOOKUP(C118,일용직명단!$A$3:$I$1226,6,FALSE()))</f>
        <v>0</v>
      </c>
      <c r="AE118" s="141" t="n">
        <f aca="false">COUNT(F118:U119)</f>
        <v>0</v>
      </c>
      <c r="AF118" s="129" t="str">
        <f aca="false">IF(OR(MID(D118,8,1)="1",MID(D118,8,1)="2"),19&amp;LEFT(D118,2),20&amp;LEFT(D118,2))&amp;"-"&amp;MID(D118,3,2)&amp;"-"&amp;MID(D118,5,2)</f>
        <v>200--</v>
      </c>
      <c r="AG118" s="129" t="e">
        <f aca="true">INT((TODAY()-AF118)/365.25)</f>
        <v>#VALUE!</v>
      </c>
      <c r="AH118" s="130" t="n">
        <f aca="false">ROUNDDOWN(SUM(AI118:AX119),-1)</f>
        <v>0</v>
      </c>
      <c r="AI118" s="130" t="n">
        <f aca="false">IF($W118*F118&gt;150000,($W118*F118-150000)*6%*45%,0)</f>
        <v>0</v>
      </c>
      <c r="AJ118" s="130" t="n">
        <f aca="false">IF($W118*G118&gt;150000,($W118*G118-150000)*6%*45%,0)</f>
        <v>0</v>
      </c>
      <c r="AK118" s="130" t="n">
        <f aca="false">IF($W118*H118&gt;150000,($W118*H118-150000)*6%*45%,0)</f>
        <v>0</v>
      </c>
      <c r="AL118" s="130" t="n">
        <f aca="false">IF($W118*I118&gt;150000,($W118*I118-150000)*6%*45%,0)</f>
        <v>0</v>
      </c>
      <c r="AM118" s="130" t="n">
        <f aca="false">IF($W118*J118&gt;150000,($W118*J118-150000)*6%*45%,0)</f>
        <v>0</v>
      </c>
      <c r="AN118" s="130" t="n">
        <f aca="false">IF($W118*K118&gt;150000,($W118*K118-150000)*6%*45%,0)</f>
        <v>0</v>
      </c>
      <c r="AO118" s="130" t="n">
        <f aca="false">IF($W118*L118&gt;150000,($W118*L118-150000)*6%*45%,0)</f>
        <v>0</v>
      </c>
      <c r="AP118" s="130" t="n">
        <f aca="false">IF($W118*M118&gt;150000,($W118*M118-150000)*6%*45%,0)</f>
        <v>0</v>
      </c>
      <c r="AQ118" s="130" t="n">
        <f aca="false">IF($W118*N118&gt;150000,($W118*N118-150000)*6%*45%,0)</f>
        <v>0</v>
      </c>
      <c r="AR118" s="130" t="n">
        <f aca="false">IF($W118*O118&gt;150000,($W118*O118-150000)*6%*45%,0)</f>
        <v>0</v>
      </c>
      <c r="AS118" s="130" t="n">
        <f aca="false">IF($W118*P118&gt;150000,($W118*P118-150000)*6%*45%,0)</f>
        <v>0</v>
      </c>
      <c r="AT118" s="130" t="n">
        <f aca="false">IF($W118*Q118&gt;150000,($W118*Q118-150000)*6%*45%,0)</f>
        <v>0</v>
      </c>
      <c r="AU118" s="130" t="n">
        <f aca="false">IF($W118*R118&gt;150000,($W118*R118-150000)*6%*45%,0)</f>
        <v>0</v>
      </c>
      <c r="AV118" s="130" t="n">
        <f aca="false">IF($W118*S118&gt;150000,($W118*S118-150000)*6%*45%,0)</f>
        <v>0</v>
      </c>
      <c r="AW118" s="130" t="n">
        <f aca="false">IF($W118*T118&gt;150000,($W118*T118-150000)*6%*45%,0)</f>
        <v>0</v>
      </c>
      <c r="AX118" s="130"/>
      <c r="AY118" s="131" t="n">
        <f aca="false">IF(ISERROR(VLOOKUP(C118,[26]일용직명단!$A$3:$M$1151,11,FALSE())),0,VLOOKUP(C118,[26]일용직명단!$A$3:$M$1151,11,FALSE()))</f>
        <v>0</v>
      </c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  <c r="FW118" s="11"/>
      <c r="FX118" s="11"/>
      <c r="FY118" s="11"/>
      <c r="FZ118" s="11"/>
      <c r="GA118" s="11"/>
      <c r="GB118" s="11"/>
      <c r="GC118" s="11"/>
      <c r="GD118" s="11"/>
      <c r="GE118" s="11"/>
      <c r="GF118" s="11"/>
      <c r="GG118" s="11"/>
      <c r="GH118" s="11"/>
      <c r="GI118" s="11"/>
      <c r="GJ118" s="11"/>
      <c r="GK118" s="11"/>
      <c r="GL118" s="11"/>
      <c r="GM118" s="11"/>
      <c r="GN118" s="11"/>
      <c r="GO118" s="11"/>
      <c r="GP118" s="11"/>
      <c r="GQ118" s="11"/>
      <c r="GR118" s="11"/>
      <c r="GS118" s="11"/>
      <c r="GT118" s="11"/>
      <c r="GU118" s="11"/>
      <c r="GV118" s="11"/>
      <c r="GW118" s="11"/>
      <c r="GX118" s="11"/>
      <c r="GY118" s="11"/>
      <c r="GZ118" s="11"/>
      <c r="HA118" s="11"/>
      <c r="HB118" s="11"/>
      <c r="HC118" s="11"/>
      <c r="HD118" s="11"/>
      <c r="HE118" s="11"/>
      <c r="HF118" s="11"/>
      <c r="HG118" s="11"/>
      <c r="HH118" s="11"/>
      <c r="HI118" s="11"/>
      <c r="HJ118" s="11"/>
      <c r="HK118" s="11"/>
      <c r="HL118" s="11"/>
      <c r="HM118" s="11"/>
      <c r="HN118" s="11"/>
      <c r="HO118" s="11"/>
      <c r="HP118" s="11"/>
      <c r="HQ118" s="11"/>
      <c r="HR118" s="11"/>
      <c r="HS118" s="11"/>
      <c r="HT118" s="11"/>
      <c r="HU118" s="11"/>
      <c r="HV118" s="11"/>
      <c r="HW118" s="11"/>
      <c r="HX118" s="11"/>
      <c r="HY118" s="11"/>
      <c r="HZ118" s="11"/>
      <c r="IA118" s="11"/>
      <c r="IB118" s="11"/>
      <c r="IC118" s="11"/>
      <c r="ID118" s="11"/>
      <c r="IE118" s="11"/>
      <c r="IF118" s="11"/>
      <c r="IG118" s="11"/>
      <c r="IH118" s="11"/>
      <c r="II118" s="11"/>
      <c r="IJ118" s="11"/>
      <c r="IK118" s="11"/>
      <c r="IL118" s="11"/>
      <c r="IM118" s="11"/>
      <c r="IN118" s="11"/>
      <c r="IO118" s="11"/>
      <c r="IP118" s="11"/>
      <c r="IQ118" s="11"/>
      <c r="IR118" s="11"/>
      <c r="IS118" s="11"/>
      <c r="IT118" s="11"/>
      <c r="IU118" s="11"/>
      <c r="IV118" s="11"/>
      <c r="IW118" s="11"/>
    </row>
    <row r="119" customFormat="false" ht="13.5" hidden="true" customHeight="true" outlineLevel="0" collapsed="false">
      <c r="A119" s="108"/>
      <c r="B119" s="310"/>
      <c r="C119" s="205"/>
      <c r="D119" s="311"/>
      <c r="E119" s="140" t="n">
        <f aca="false">IF(ISERROR(VLOOKUP(C118,일용직명단!$A$3:$K$1246,9,FALSE())),0,VLOOKUP(C118,일용직명단!$A$3:$K$1246,9,FALSE()))</f>
        <v>0</v>
      </c>
      <c r="F119" s="195"/>
      <c r="G119" s="196"/>
      <c r="H119" s="195"/>
      <c r="I119" s="193"/>
      <c r="J119" s="191"/>
      <c r="K119" s="193"/>
      <c r="L119" s="192"/>
      <c r="M119" s="192"/>
      <c r="N119" s="193"/>
      <c r="O119" s="191"/>
      <c r="P119" s="193"/>
      <c r="Q119" s="193"/>
      <c r="R119" s="192"/>
      <c r="S119" s="192"/>
      <c r="T119" s="192"/>
      <c r="U119" s="191"/>
      <c r="V119" s="120"/>
      <c r="W119" s="138" t="n">
        <f aca="false">W118*V118</f>
        <v>0</v>
      </c>
      <c r="X119" s="122" t="n">
        <f aca="false">IF(AH118&lt;1000,0,AH118)</f>
        <v>0</v>
      </c>
      <c r="Y119" s="122" t="n">
        <f aca="false">ROUNDDOWN(X119*10%,-1)</f>
        <v>0</v>
      </c>
      <c r="Z119" s="123" t="n">
        <f aca="false">IF(AE118&gt;=8,ROUNDDOWN(Y118*$Q$4,-1),0)</f>
        <v>0</v>
      </c>
      <c r="AA119" s="124"/>
      <c r="AB119" s="125"/>
      <c r="AC119" s="127" t="n">
        <f aca="false">IF(ISERROR(VLOOKUP(C118,일용직명단!$A$3:$I$1226,7,FALSE())),0,VLOOKUP(C118,일용직명단!$A$3:$I$1226,7,FALSE()))</f>
        <v>0</v>
      </c>
      <c r="AD119" s="127"/>
      <c r="AE119" s="141"/>
      <c r="AF119" s="129"/>
      <c r="AG119" s="129"/>
      <c r="AH119" s="130"/>
      <c r="AI119" s="130" t="n">
        <f aca="false">IF($W118*F119&gt;150000,($W118*F119-150000)*6%*45%,0)</f>
        <v>0</v>
      </c>
      <c r="AJ119" s="130" t="n">
        <f aca="false">IF($W118*G119&gt;150000,($W118*G119-150000)*6%*45%,0)</f>
        <v>0</v>
      </c>
      <c r="AK119" s="130" t="n">
        <f aca="false">IF($W118*H119&gt;150000,($W118*H119-150000)*6%*45%,0)</f>
        <v>0</v>
      </c>
      <c r="AL119" s="130" t="n">
        <f aca="false">IF($W118*I119&gt;150000,($W118*I119-150000)*6%*45%,0)</f>
        <v>0</v>
      </c>
      <c r="AM119" s="130" t="n">
        <f aca="false">IF($W118*J119&gt;150000,($W118*J119-150000)*6%*45%,0)</f>
        <v>0</v>
      </c>
      <c r="AN119" s="130" t="n">
        <f aca="false">IF($W118*K119&gt;150000,($W118*K119-150000)*6%*45%,0)</f>
        <v>0</v>
      </c>
      <c r="AO119" s="130" t="n">
        <f aca="false">IF($W118*L119&gt;150000,($W118*L119-150000)*6%*45%,0)</f>
        <v>0</v>
      </c>
      <c r="AP119" s="130" t="n">
        <f aca="false">IF($W118*M119&gt;150000,($W118*M119-150000)*6%*45%,0)</f>
        <v>0</v>
      </c>
      <c r="AQ119" s="130" t="n">
        <f aca="false">IF($W118*N119&gt;150000,($W118*N119-150000)*6%*45%,0)</f>
        <v>0</v>
      </c>
      <c r="AR119" s="130" t="n">
        <f aca="false">IF($W118*O119&gt;150000,($W118*O119-150000)*6%*45%,0)</f>
        <v>0</v>
      </c>
      <c r="AS119" s="130" t="n">
        <f aca="false">IF($W118*P119&gt;150000,($W118*P119-150000)*6%*45%,0)</f>
        <v>0</v>
      </c>
      <c r="AT119" s="130" t="n">
        <f aca="false">IF($W118*Q119&gt;150000,($W118*Q119-150000)*6%*45%,0)</f>
        <v>0</v>
      </c>
      <c r="AU119" s="130" t="n">
        <f aca="false">IF($W118*R119&gt;150000,($W118*R119-150000)*6%*45%,0)</f>
        <v>0</v>
      </c>
      <c r="AV119" s="130" t="n">
        <f aca="false">IF($W118*S119&gt;150000,($W118*S119-150000)*6%*45%,0)</f>
        <v>0</v>
      </c>
      <c r="AW119" s="130" t="n">
        <f aca="false">IF($W118*T119&gt;150000,($W118*T119-150000)*6%*45%,0)</f>
        <v>0</v>
      </c>
      <c r="AX119" s="130" t="n">
        <f aca="false">IF($W118*U119&gt;150000,($W118*U119-150000)*6%*45%,0)</f>
        <v>0</v>
      </c>
      <c r="AY119" s="13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/>
      <c r="GA119" s="11"/>
      <c r="GB119" s="11"/>
      <c r="GC119" s="11"/>
      <c r="GD119" s="11"/>
      <c r="GE119" s="11"/>
      <c r="GF119" s="11"/>
      <c r="GG119" s="11"/>
      <c r="GH119" s="11"/>
      <c r="GI119" s="11"/>
      <c r="GJ119" s="11"/>
      <c r="GK119" s="11"/>
      <c r="GL119" s="11"/>
      <c r="GM119" s="11"/>
      <c r="GN119" s="11"/>
      <c r="GO119" s="11"/>
      <c r="GP119" s="11"/>
      <c r="GQ119" s="11"/>
      <c r="GR119" s="11"/>
      <c r="GS119" s="11"/>
      <c r="GT119" s="11"/>
      <c r="GU119" s="11"/>
      <c r="GV119" s="11"/>
      <c r="GW119" s="11"/>
      <c r="GX119" s="11"/>
      <c r="GY119" s="11"/>
      <c r="GZ119" s="11"/>
      <c r="HA119" s="11"/>
      <c r="HB119" s="11"/>
      <c r="HC119" s="11"/>
      <c r="HD119" s="11"/>
      <c r="HE119" s="11"/>
      <c r="HF119" s="11"/>
      <c r="HG119" s="11"/>
      <c r="HH119" s="11"/>
      <c r="HI119" s="11"/>
      <c r="HJ119" s="11"/>
      <c r="HK119" s="11"/>
      <c r="HL119" s="11"/>
      <c r="HM119" s="11"/>
      <c r="HN119" s="11"/>
      <c r="HO119" s="11"/>
      <c r="HP119" s="11"/>
      <c r="HQ119" s="11"/>
      <c r="HR119" s="11"/>
      <c r="HS119" s="11"/>
      <c r="HT119" s="11"/>
      <c r="HU119" s="11"/>
      <c r="HV119" s="11"/>
      <c r="HW119" s="11"/>
      <c r="HX119" s="11"/>
      <c r="HY119" s="11"/>
      <c r="HZ119" s="11"/>
      <c r="IA119" s="11"/>
      <c r="IB119" s="11"/>
      <c r="IC119" s="11"/>
      <c r="ID119" s="11"/>
      <c r="IE119" s="11"/>
      <c r="IF119" s="11"/>
      <c r="IG119" s="11"/>
      <c r="IH119" s="11"/>
      <c r="II119" s="11"/>
      <c r="IJ119" s="11"/>
      <c r="IK119" s="11"/>
      <c r="IL119" s="11"/>
      <c r="IM119" s="11"/>
      <c r="IN119" s="11"/>
      <c r="IO119" s="11"/>
      <c r="IP119" s="11"/>
      <c r="IQ119" s="11"/>
      <c r="IR119" s="11"/>
      <c r="IS119" s="11"/>
      <c r="IT119" s="11"/>
      <c r="IU119" s="11"/>
      <c r="IV119" s="11"/>
      <c r="IW119" s="11"/>
    </row>
    <row r="120" customFormat="false" ht="13.5" hidden="true" customHeight="true" outlineLevel="0" collapsed="false">
      <c r="A120" s="108" t="n">
        <f aca="false">A118+1</f>
        <v>41</v>
      </c>
      <c r="B120" s="142"/>
      <c r="C120" s="290"/>
      <c r="D120" s="311" t="n">
        <f aca="false">IF(ISERROR(VLOOKUP(C120,일용직명단!$A$3:$K$1246,3,FALSE())),0,VLOOKUP(C120,일용직명단!$A$3:$K$1246,3,FALSE()))</f>
        <v>0</v>
      </c>
      <c r="E120" s="140" t="n">
        <f aca="false">IF(ISERROR(VLOOKUP(C120,일용직명단!$A$3:$K$1246,4,FALSE())),0,VLOOKUP(C120,일용직명단!$A$3:$K$1246,4,FALSE()))</f>
        <v>0</v>
      </c>
      <c r="F120" s="192"/>
      <c r="G120" s="193"/>
      <c r="H120" s="191"/>
      <c r="I120" s="191"/>
      <c r="J120" s="192"/>
      <c r="K120" s="191"/>
      <c r="L120" s="192"/>
      <c r="M120" s="192"/>
      <c r="N120" s="193"/>
      <c r="O120" s="193"/>
      <c r="P120" s="192"/>
      <c r="Q120" s="193"/>
      <c r="R120" s="191"/>
      <c r="S120" s="193"/>
      <c r="T120" s="191"/>
      <c r="U120" s="194"/>
      <c r="V120" s="168" t="n">
        <f aca="false">SUM(F120:U121)</f>
        <v>0</v>
      </c>
      <c r="W120" s="121" t="n">
        <f aca="false">IF(ISERROR(VLOOKUP(C120,일용직명단!$A$3:$K$1246,8,FALSE())),0,VLOOKUP(C120,일용직명단!$A$3:$K$1246,8,FALSE()))</f>
        <v>0</v>
      </c>
      <c r="X120" s="123" t="n">
        <f aca="false">IFERROR(IF(AG120&gt;=65,0,ROUNDDOWN(W121*$Z$4,-1)),0)</f>
        <v>0</v>
      </c>
      <c r="Y120" s="123" t="n">
        <f aca="false">IF(AE120&gt;=8,ROUNDDOWN(W121*$M$4,-1),0)</f>
        <v>0</v>
      </c>
      <c r="Z120" s="123" t="n">
        <f aca="false">IFERROR(IF(AND(COUNT(F120:U121)&gt;=8,$AG120&lt;60,W121&lt;=5530000),ROUNDDOWN(ROUNDDOWN(W121,-3)*4.5%,-1),IF(AND(COUNT(F120:U121)&gt;=8,AG120&lt;60,W121&gt;5530000),248850,0)),0)</f>
        <v>0</v>
      </c>
      <c r="AA120" s="145" t="n">
        <f aca="false">+X120+Y120+X121+Y121+Z120+Z121</f>
        <v>0</v>
      </c>
      <c r="AB120" s="146" t="n">
        <f aca="false">W121-AA120</f>
        <v>0</v>
      </c>
      <c r="AC120" s="165" t="n">
        <f aca="false">IF(ISERROR(VLOOKUP(C120,일용직명단!$A$3:$I$1226,5,FALSE())),0,VLOOKUP(C120,일용직명단!$A$3:$I$1226,5,FALSE()))</f>
        <v>0</v>
      </c>
      <c r="AD120" s="166" t="n">
        <f aca="false">IF(ISERROR(VLOOKUP(C120,일용직명단!$A$3:$I$1226,6,FALSE())),0,VLOOKUP(C120,일용직명단!$A$3:$I$1226,6,FALSE()))</f>
        <v>0</v>
      </c>
      <c r="AE120" s="141" t="n">
        <f aca="false">COUNT(F120:U121)</f>
        <v>0</v>
      </c>
      <c r="AF120" s="169" t="str">
        <f aca="false">IF(OR(MID(D120,8,1)="1",MID(D120,8,1)="2"),19&amp;LEFT(D120,2),20&amp;LEFT(D120,2))&amp;"-"&amp;MID(D120,3,2)&amp;"-"&amp;MID(D120,5,2)</f>
        <v>200--</v>
      </c>
      <c r="AG120" s="169" t="e">
        <f aca="true">INT((TODAY()-AF120)/365.25)</f>
        <v>#VALUE!</v>
      </c>
      <c r="AH120" s="130" t="n">
        <f aca="false">ROUNDDOWN(SUM(AI120:AX121),-1)</f>
        <v>0</v>
      </c>
      <c r="AI120" s="130" t="n">
        <f aca="false">IF($W120*F120&gt;150000,($W120*F120-150000)*6%*45%,0)</f>
        <v>0</v>
      </c>
      <c r="AJ120" s="130" t="n">
        <f aca="false">IF($W120*G120&gt;150000,($W120*G120-150000)*6%*45%,0)</f>
        <v>0</v>
      </c>
      <c r="AK120" s="130" t="n">
        <f aca="false">IF($W120*H120&gt;150000,($W120*H120-150000)*6%*45%,0)</f>
        <v>0</v>
      </c>
      <c r="AL120" s="130" t="n">
        <f aca="false">IF($W120*I120&gt;150000,($W120*I120-150000)*6%*45%,0)</f>
        <v>0</v>
      </c>
      <c r="AM120" s="130" t="n">
        <f aca="false">IF($W120*J120&gt;150000,($W120*J120-150000)*6%*45%,0)</f>
        <v>0</v>
      </c>
      <c r="AN120" s="130" t="n">
        <f aca="false">IF($W120*K120&gt;150000,($W120*K120-150000)*6%*45%,0)</f>
        <v>0</v>
      </c>
      <c r="AO120" s="130" t="n">
        <f aca="false">IF($W120*L120&gt;150000,($W120*L120-150000)*6%*45%,0)</f>
        <v>0</v>
      </c>
      <c r="AP120" s="130" t="n">
        <f aca="false">IF($W120*M120&gt;150000,($W120*M120-150000)*6%*45%,0)</f>
        <v>0</v>
      </c>
      <c r="AQ120" s="130" t="n">
        <f aca="false">IF($W120*N120&gt;150000,($W120*N120-150000)*6%*45%,0)</f>
        <v>0</v>
      </c>
      <c r="AR120" s="130" t="n">
        <f aca="false">IF($W120*O120&gt;150000,($W120*O120-150000)*6%*45%,0)</f>
        <v>0</v>
      </c>
      <c r="AS120" s="130" t="n">
        <f aca="false">IF($W120*P120&gt;150000,($W120*P120-150000)*6%*45%,0)</f>
        <v>0</v>
      </c>
      <c r="AT120" s="130" t="n">
        <f aca="false">IF($W120*Q120&gt;150000,($W120*Q120-150000)*6%*45%,0)</f>
        <v>0</v>
      </c>
      <c r="AU120" s="130" t="n">
        <f aca="false">IF($W120*R120&gt;150000,($W120*R120-150000)*6%*45%,0)</f>
        <v>0</v>
      </c>
      <c r="AV120" s="130" t="n">
        <f aca="false">IF($W120*S120&gt;150000,($W120*S120-150000)*6%*45%,0)</f>
        <v>0</v>
      </c>
      <c r="AW120" s="130" t="n">
        <f aca="false">IF($W120*T120&gt;150000,($W120*T120-150000)*6%*45%,0)</f>
        <v>0</v>
      </c>
      <c r="AX120" s="130"/>
      <c r="AY120" s="131" t="n">
        <f aca="false">IF(ISERROR(VLOOKUP(C120,[26]일용직명단!$A$3:$M$1151,11,FALSE())),0,VLOOKUP(C120,[26]일용직명단!$A$3:$M$1151,11,FALSE()))</f>
        <v>0</v>
      </c>
      <c r="AZ120" s="11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</row>
    <row r="121" customFormat="false" ht="13.5" hidden="true" customHeight="true" outlineLevel="0" collapsed="false">
      <c r="A121" s="108"/>
      <c r="B121" s="142"/>
      <c r="C121" s="290"/>
      <c r="D121" s="311"/>
      <c r="E121" s="140" t="n">
        <f aca="false">IF(ISERROR(VLOOKUP(C120,일용직명단!$A$3:$K$1246,9,FALSE())),0,VLOOKUP(C120,일용직명단!$A$3:$K$1246,9,FALSE()))</f>
        <v>0</v>
      </c>
      <c r="F121" s="195"/>
      <c r="G121" s="196"/>
      <c r="H121" s="195"/>
      <c r="I121" s="193"/>
      <c r="J121" s="191"/>
      <c r="K121" s="193"/>
      <c r="L121" s="192"/>
      <c r="M121" s="192"/>
      <c r="N121" s="193"/>
      <c r="O121" s="191"/>
      <c r="P121" s="193"/>
      <c r="Q121" s="193"/>
      <c r="R121" s="192"/>
      <c r="S121" s="192"/>
      <c r="T121" s="192"/>
      <c r="U121" s="191"/>
      <c r="V121" s="168"/>
      <c r="W121" s="138" t="n">
        <f aca="false">W120*V120</f>
        <v>0</v>
      </c>
      <c r="X121" s="123" t="n">
        <f aca="false">IF(AH120&lt;1000,0,AH120)</f>
        <v>0</v>
      </c>
      <c r="Y121" s="123" t="n">
        <f aca="false">ROUNDDOWN(X121*10%,-1)</f>
        <v>0</v>
      </c>
      <c r="Z121" s="123" t="n">
        <f aca="false">IF(AE120&gt;=8,ROUNDDOWN(Y120*$Q$4,-1),0)</f>
        <v>0</v>
      </c>
      <c r="AA121" s="145"/>
      <c r="AB121" s="146"/>
      <c r="AC121" s="166" t="n">
        <f aca="false">IF(ISERROR(VLOOKUP(C120,일용직명단!$A$3:$I$1226,7,FALSE())),0,VLOOKUP(C120,일용직명단!$A$3:$I$1226,7,FALSE()))</f>
        <v>0</v>
      </c>
      <c r="AD121" s="166"/>
      <c r="AE121" s="141"/>
      <c r="AF121" s="169"/>
      <c r="AG121" s="169"/>
      <c r="AH121" s="130"/>
      <c r="AI121" s="130" t="n">
        <f aca="false">IF($W120*F121&gt;150000,($W120*F121-150000)*6%*45%,0)</f>
        <v>0</v>
      </c>
      <c r="AJ121" s="130" t="n">
        <f aca="false">IF($W120*G121&gt;150000,($W120*G121-150000)*6%*45%,0)</f>
        <v>0</v>
      </c>
      <c r="AK121" s="130" t="n">
        <f aca="false">IF($W120*H121&gt;150000,($W120*H121-150000)*6%*45%,0)</f>
        <v>0</v>
      </c>
      <c r="AL121" s="130" t="n">
        <f aca="false">IF($W120*I121&gt;150000,($W120*I121-150000)*6%*45%,0)</f>
        <v>0</v>
      </c>
      <c r="AM121" s="130" t="n">
        <f aca="false">IF($W120*J121&gt;150000,($W120*J121-150000)*6%*45%,0)</f>
        <v>0</v>
      </c>
      <c r="AN121" s="130" t="n">
        <f aca="false">IF($W120*K121&gt;150000,($W120*K121-150000)*6%*45%,0)</f>
        <v>0</v>
      </c>
      <c r="AO121" s="130" t="n">
        <f aca="false">IF($W120*L121&gt;150000,($W120*L121-150000)*6%*45%,0)</f>
        <v>0</v>
      </c>
      <c r="AP121" s="130" t="n">
        <f aca="false">IF($W120*M121&gt;150000,($W120*M121-150000)*6%*45%,0)</f>
        <v>0</v>
      </c>
      <c r="AQ121" s="130" t="n">
        <f aca="false">IF($W120*N121&gt;150000,($W120*N121-150000)*6%*45%,0)</f>
        <v>0</v>
      </c>
      <c r="AR121" s="130" t="n">
        <f aca="false">IF($W120*O121&gt;150000,($W120*O121-150000)*6%*45%,0)</f>
        <v>0</v>
      </c>
      <c r="AS121" s="130" t="n">
        <f aca="false">IF($W120*P121&gt;150000,($W120*P121-150000)*6%*45%,0)</f>
        <v>0</v>
      </c>
      <c r="AT121" s="130" t="n">
        <f aca="false">IF($W120*Q121&gt;150000,($W120*Q121-150000)*6%*45%,0)</f>
        <v>0</v>
      </c>
      <c r="AU121" s="130" t="n">
        <f aca="false">IF($W120*R121&gt;150000,($W120*R121-150000)*6%*45%,0)</f>
        <v>0</v>
      </c>
      <c r="AV121" s="130" t="n">
        <f aca="false">IF($W120*S121&gt;150000,($W120*S121-150000)*6%*45%,0)</f>
        <v>0</v>
      </c>
      <c r="AW121" s="130" t="n">
        <f aca="false">IF($W120*T121&gt;150000,($W120*T121-150000)*6%*45%,0)</f>
        <v>0</v>
      </c>
      <c r="AX121" s="130" t="n">
        <f aca="false">IF($W120*U121&gt;150000,($W120*U121-150000)*6%*45%,0)</f>
        <v>0</v>
      </c>
      <c r="AY121" s="131"/>
      <c r="AZ121" s="11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  <c r="IN121" s="12"/>
      <c r="IO121" s="12"/>
      <c r="IP121" s="12"/>
    </row>
    <row r="122" customFormat="false" ht="13.5" hidden="true" customHeight="true" outlineLevel="0" collapsed="false">
      <c r="A122" s="108" t="n">
        <f aca="false">A120+1</f>
        <v>42</v>
      </c>
      <c r="B122" s="310" t="n">
        <f aca="false">IF(ISERROR(VLOOKUP(C122,일용직명단!$A$3:$I$104,2,FALSE())),0,VLOOKUP(C122,일용직명단!$A$3:$I$104,2,FALSE()))</f>
        <v>0</v>
      </c>
      <c r="C122" s="290"/>
      <c r="D122" s="311" t="n">
        <f aca="false">IF(ISERROR(VLOOKUP(C122,일용직명단!$A$3:$K$1246,3,FALSE())),0,VLOOKUP(C122,일용직명단!$A$3:$K$1246,3,FALSE()))</f>
        <v>0</v>
      </c>
      <c r="E122" s="112" t="n">
        <f aca="false">IF(ISERROR(VLOOKUP(C122,일용직명단!$A$3:$K$1246,4,FALSE())),0,VLOOKUP(C122,일용직명단!$A$3:$K$1246,4,FALSE()))</f>
        <v>0</v>
      </c>
      <c r="F122" s="192"/>
      <c r="G122" s="193"/>
      <c r="H122" s="191"/>
      <c r="I122" s="191"/>
      <c r="J122" s="192"/>
      <c r="K122" s="191"/>
      <c r="L122" s="192"/>
      <c r="M122" s="192"/>
      <c r="N122" s="193"/>
      <c r="O122" s="193"/>
      <c r="P122" s="192"/>
      <c r="Q122" s="193"/>
      <c r="R122" s="191"/>
      <c r="S122" s="193"/>
      <c r="T122" s="191"/>
      <c r="U122" s="194"/>
      <c r="V122" s="120" t="n">
        <f aca="false">SUM(F122:U123)</f>
        <v>0</v>
      </c>
      <c r="W122" s="121" t="n">
        <f aca="false">IF(ISERROR(VLOOKUP(C122,일용직명단!$A$3:$K$1246,8,FALSE())),0,VLOOKUP(C122,일용직명단!$A$3:$K$1246,8,FALSE()))</f>
        <v>0</v>
      </c>
      <c r="X122" s="122" t="n">
        <f aca="false">IFERROR(IF(AG122&gt;=65,0,ROUNDDOWN(W123*$Z$4,-1)),0)</f>
        <v>0</v>
      </c>
      <c r="Y122" s="122" t="n">
        <f aca="false">IF(AE122&gt;=8,ROUNDDOWN(W123*$M$4,-1),0)</f>
        <v>0</v>
      </c>
      <c r="Z122" s="123" t="n">
        <f aca="false">IFERROR(IF(AND(COUNT(F122:U123)&gt;=8,$AG122&lt;60,W123&lt;=5530000),ROUNDDOWN(ROUNDDOWN(W123,-3)*4.5%,-1),IF(AND(COUNT(F122:U123)&gt;=8,AG122&lt;60,W123&gt;5530000),248850,0)),0)</f>
        <v>0</v>
      </c>
      <c r="AA122" s="124" t="n">
        <f aca="false">+X122+Y122+X123+Y123+Z122+Z123</f>
        <v>0</v>
      </c>
      <c r="AB122" s="125" t="n">
        <f aca="false">W123-AA122</f>
        <v>0</v>
      </c>
      <c r="AC122" s="126" t="n">
        <f aca="false">IF(ISERROR(VLOOKUP(C122,일용직명단!$A$3:$I$1226,5,FALSE())),0,VLOOKUP(C122,일용직명단!$A$3:$I$1226,5,FALSE()))</f>
        <v>0</v>
      </c>
      <c r="AD122" s="127" t="n">
        <f aca="false">IF(ISERROR(VLOOKUP(C122,일용직명단!$A$3:$I$1226,6,FALSE())),0,VLOOKUP(C122,일용직명단!$A$3:$I$1226,6,FALSE()))</f>
        <v>0</v>
      </c>
      <c r="AE122" s="128" t="n">
        <f aca="false">COUNT(F122:U123)</f>
        <v>0</v>
      </c>
      <c r="AF122" s="129" t="str">
        <f aca="false">IF(OR(MID(D122,8,1)="1",MID(D122,8,1)="2"),19&amp;LEFT(D122,2),20&amp;LEFT(D122,2))&amp;"-"&amp;MID(D122,3,2)&amp;"-"&amp;MID(D122,5,2)</f>
        <v>200--</v>
      </c>
      <c r="AG122" s="129" t="e">
        <f aca="true">INT((TODAY()-AF122)/365.25)</f>
        <v>#VALUE!</v>
      </c>
      <c r="AH122" s="130" t="n">
        <f aca="false">ROUNDDOWN(SUM(AI122:AX123),-1)</f>
        <v>0</v>
      </c>
      <c r="AI122" s="130" t="n">
        <f aca="false">IF($W122*F122&gt;150000,($W122*F122-150000)*6%*45%,0)</f>
        <v>0</v>
      </c>
      <c r="AJ122" s="130" t="n">
        <f aca="false">IF($W122*G122&gt;150000,($W122*G122-150000)*6%*45%,0)</f>
        <v>0</v>
      </c>
      <c r="AK122" s="130" t="n">
        <f aca="false">IF($W122*H122&gt;150000,($W122*H122-150000)*6%*45%,0)</f>
        <v>0</v>
      </c>
      <c r="AL122" s="130" t="n">
        <f aca="false">IF($W122*I122&gt;150000,($W122*I122-150000)*6%*45%,0)</f>
        <v>0</v>
      </c>
      <c r="AM122" s="130" t="n">
        <f aca="false">IF($W122*J122&gt;150000,($W122*J122-150000)*6%*45%,0)</f>
        <v>0</v>
      </c>
      <c r="AN122" s="130" t="n">
        <f aca="false">IF($W122*K122&gt;150000,($W122*K122-150000)*6%*45%,0)</f>
        <v>0</v>
      </c>
      <c r="AO122" s="130" t="n">
        <f aca="false">IF($W122*L122&gt;150000,($W122*L122-150000)*6%*45%,0)</f>
        <v>0</v>
      </c>
      <c r="AP122" s="130" t="n">
        <f aca="false">IF($W122*M122&gt;150000,($W122*M122-150000)*6%*45%,0)</f>
        <v>0</v>
      </c>
      <c r="AQ122" s="130" t="n">
        <f aca="false">IF($W122*N122&gt;150000,($W122*N122-150000)*6%*45%,0)</f>
        <v>0</v>
      </c>
      <c r="AR122" s="130" t="n">
        <f aca="false">IF($W122*O122&gt;150000,($W122*O122-150000)*6%*45%,0)</f>
        <v>0</v>
      </c>
      <c r="AS122" s="130" t="n">
        <f aca="false">IF($W122*P122&gt;150000,($W122*P122-150000)*6%*45%,0)</f>
        <v>0</v>
      </c>
      <c r="AT122" s="130" t="n">
        <f aca="false">IF($W122*Q122&gt;150000,($W122*Q122-150000)*6%*45%,0)</f>
        <v>0</v>
      </c>
      <c r="AU122" s="130" t="n">
        <f aca="false">IF($W122*R122&gt;150000,($W122*R122-150000)*6%*45%,0)</f>
        <v>0</v>
      </c>
      <c r="AV122" s="130" t="n">
        <f aca="false">IF($W122*S122&gt;150000,($W122*S122-150000)*6%*45%,0)</f>
        <v>0</v>
      </c>
      <c r="AW122" s="130" t="n">
        <f aca="false">IF($W122*T122&gt;150000,($W122*T122-150000)*6%*45%,0)</f>
        <v>0</v>
      </c>
      <c r="AX122" s="130"/>
      <c r="AY122" s="131" t="n">
        <f aca="false">IF(ISERROR(VLOOKUP(C122,[26]일용직명단!$A$3:$M$1151,11,FALSE())),0,VLOOKUP(C122,[26]일용직명단!$A$3:$M$1151,11,FALSE()))</f>
        <v>0</v>
      </c>
      <c r="AZ122" s="11"/>
      <c r="BA122" s="167"/>
      <c r="BB122" s="167"/>
      <c r="BC122" s="167"/>
      <c r="BD122" s="167"/>
      <c r="BE122" s="167"/>
      <c r="BF122" s="167"/>
      <c r="BG122" s="167"/>
      <c r="BH122" s="167"/>
      <c r="BI122" s="167"/>
      <c r="BJ122" s="167"/>
      <c r="BK122" s="167"/>
      <c r="BL122" s="167"/>
      <c r="BM122" s="167"/>
      <c r="BN122" s="167"/>
      <c r="BO122" s="167"/>
      <c r="BP122" s="167"/>
      <c r="BQ122" s="167"/>
      <c r="BR122" s="167"/>
      <c r="BS122" s="167"/>
      <c r="BT122" s="167"/>
      <c r="BU122" s="167"/>
      <c r="BV122" s="167"/>
      <c r="BW122" s="167"/>
      <c r="BX122" s="167"/>
      <c r="BY122" s="167"/>
      <c r="BZ122" s="167"/>
      <c r="CA122" s="167"/>
      <c r="CB122" s="167"/>
      <c r="CC122" s="167"/>
      <c r="CD122" s="167"/>
      <c r="CE122" s="167"/>
      <c r="CF122" s="167"/>
      <c r="CG122" s="167"/>
      <c r="CH122" s="167"/>
      <c r="CI122" s="167"/>
      <c r="CJ122" s="167"/>
      <c r="CK122" s="167"/>
      <c r="CL122" s="167"/>
      <c r="CM122" s="167"/>
      <c r="CN122" s="167"/>
      <c r="CO122" s="167"/>
      <c r="CP122" s="167"/>
      <c r="CQ122" s="167"/>
      <c r="CR122" s="167"/>
      <c r="CS122" s="167"/>
      <c r="CT122" s="167"/>
      <c r="CU122" s="167"/>
      <c r="CV122" s="167"/>
      <c r="CW122" s="167"/>
      <c r="CX122" s="167"/>
      <c r="CY122" s="167"/>
      <c r="CZ122" s="167"/>
      <c r="DA122" s="167"/>
      <c r="DB122" s="167"/>
      <c r="DC122" s="167"/>
      <c r="DD122" s="167"/>
      <c r="DE122" s="167"/>
      <c r="DF122" s="167"/>
      <c r="DG122" s="167"/>
      <c r="DH122" s="167"/>
      <c r="DI122" s="167"/>
      <c r="DJ122" s="167"/>
      <c r="DK122" s="167"/>
      <c r="DL122" s="167"/>
      <c r="DM122" s="167"/>
      <c r="DN122" s="167"/>
      <c r="DO122" s="167"/>
      <c r="DP122" s="167"/>
      <c r="DQ122" s="167"/>
      <c r="DR122" s="167"/>
      <c r="DS122" s="167"/>
      <c r="DT122" s="167"/>
      <c r="DU122" s="167"/>
      <c r="DV122" s="167"/>
      <c r="DW122" s="167"/>
      <c r="DX122" s="167"/>
      <c r="DY122" s="167"/>
      <c r="DZ122" s="167"/>
      <c r="EA122" s="167"/>
      <c r="EB122" s="167"/>
      <c r="EC122" s="167"/>
      <c r="ED122" s="167"/>
      <c r="EE122" s="167"/>
      <c r="EF122" s="167"/>
      <c r="EG122" s="167"/>
      <c r="EH122" s="167"/>
      <c r="EI122" s="167"/>
      <c r="EJ122" s="167"/>
      <c r="EK122" s="167"/>
      <c r="EL122" s="167"/>
      <c r="EM122" s="167"/>
      <c r="EN122" s="167"/>
      <c r="EO122" s="167"/>
      <c r="EP122" s="167"/>
      <c r="EQ122" s="167"/>
      <c r="ER122" s="167"/>
      <c r="ES122" s="167"/>
      <c r="ET122" s="167"/>
      <c r="EU122" s="167"/>
      <c r="EV122" s="167"/>
      <c r="EW122" s="167"/>
      <c r="EX122" s="167"/>
      <c r="EY122" s="167"/>
      <c r="EZ122" s="167"/>
      <c r="FA122" s="167"/>
      <c r="FB122" s="167"/>
      <c r="FC122" s="167"/>
      <c r="FD122" s="167"/>
      <c r="FE122" s="167"/>
      <c r="FF122" s="167"/>
      <c r="FG122" s="167"/>
      <c r="FH122" s="167"/>
      <c r="FI122" s="167"/>
      <c r="FJ122" s="167"/>
      <c r="FK122" s="167"/>
      <c r="FL122" s="167"/>
      <c r="FM122" s="167"/>
      <c r="FN122" s="167"/>
      <c r="FO122" s="167"/>
      <c r="FP122" s="167"/>
      <c r="FQ122" s="167"/>
      <c r="FR122" s="167"/>
      <c r="FS122" s="167"/>
      <c r="FT122" s="167"/>
      <c r="FU122" s="167"/>
      <c r="FV122" s="167"/>
      <c r="FW122" s="167"/>
      <c r="FX122" s="167"/>
      <c r="FY122" s="167"/>
      <c r="FZ122" s="167"/>
      <c r="GA122" s="167"/>
      <c r="GB122" s="167"/>
      <c r="GC122" s="167"/>
      <c r="GD122" s="167"/>
      <c r="GE122" s="167"/>
      <c r="GF122" s="167"/>
      <c r="GG122" s="167"/>
      <c r="GH122" s="167"/>
      <c r="GI122" s="167"/>
      <c r="GJ122" s="167"/>
      <c r="GK122" s="167"/>
      <c r="GL122" s="167"/>
      <c r="GM122" s="167"/>
      <c r="GN122" s="167"/>
      <c r="GO122" s="167"/>
      <c r="GP122" s="167"/>
      <c r="GQ122" s="167"/>
      <c r="GR122" s="167"/>
      <c r="GS122" s="167"/>
      <c r="GT122" s="167"/>
      <c r="GU122" s="167"/>
      <c r="GV122" s="167"/>
      <c r="GW122" s="167"/>
      <c r="GX122" s="167"/>
      <c r="GY122" s="167"/>
      <c r="GZ122" s="167"/>
      <c r="HA122" s="167"/>
      <c r="HB122" s="167"/>
      <c r="HC122" s="167"/>
      <c r="HD122" s="167"/>
      <c r="HE122" s="167"/>
      <c r="HF122" s="167"/>
      <c r="HG122" s="167"/>
      <c r="HH122" s="167"/>
      <c r="HI122" s="167"/>
      <c r="HJ122" s="167"/>
      <c r="HK122" s="167"/>
      <c r="HL122" s="167"/>
      <c r="HM122" s="167"/>
      <c r="HN122" s="167"/>
      <c r="HO122" s="167"/>
      <c r="HP122" s="167"/>
      <c r="HQ122" s="167"/>
      <c r="HR122" s="167"/>
      <c r="HS122" s="167"/>
      <c r="HT122" s="167"/>
      <c r="HU122" s="167"/>
      <c r="HV122" s="167"/>
      <c r="HW122" s="167"/>
      <c r="HX122" s="167"/>
      <c r="HY122" s="167"/>
      <c r="HZ122" s="167"/>
      <c r="IA122" s="167"/>
      <c r="IB122" s="167"/>
      <c r="IC122" s="167"/>
      <c r="ID122" s="167"/>
      <c r="IE122" s="167"/>
      <c r="IF122" s="167"/>
      <c r="IG122" s="167"/>
      <c r="IH122" s="167"/>
      <c r="II122" s="167"/>
      <c r="IJ122" s="167"/>
      <c r="IK122" s="167"/>
      <c r="IL122" s="167"/>
      <c r="IM122" s="167"/>
      <c r="IN122" s="167"/>
      <c r="IO122" s="167"/>
      <c r="IP122" s="167"/>
      <c r="IQ122" s="167"/>
      <c r="IR122" s="167"/>
      <c r="IS122" s="167"/>
      <c r="IT122" s="167"/>
      <c r="IU122" s="167"/>
      <c r="IV122" s="167"/>
      <c r="IW122" s="167"/>
    </row>
    <row r="123" customFormat="false" ht="13.5" hidden="true" customHeight="true" outlineLevel="0" collapsed="false">
      <c r="A123" s="108"/>
      <c r="B123" s="310"/>
      <c r="C123" s="290"/>
      <c r="D123" s="311"/>
      <c r="E123" s="112" t="n">
        <f aca="false">IF(ISERROR(VLOOKUP(C122,일용직명단!$A$3:$K$1246,9,FALSE())),0,VLOOKUP(C122,일용직명단!$A$3:$K$1246,9,FALSE()))</f>
        <v>0</v>
      </c>
      <c r="F123" s="195"/>
      <c r="G123" s="196"/>
      <c r="H123" s="196"/>
      <c r="I123" s="193"/>
      <c r="J123" s="191"/>
      <c r="K123" s="193"/>
      <c r="L123" s="192"/>
      <c r="M123" s="192"/>
      <c r="N123" s="193"/>
      <c r="O123" s="191"/>
      <c r="P123" s="193"/>
      <c r="Q123" s="193"/>
      <c r="R123" s="192"/>
      <c r="S123" s="192"/>
      <c r="T123" s="192"/>
      <c r="U123" s="191"/>
      <c r="V123" s="120"/>
      <c r="W123" s="138" t="n">
        <f aca="false">W122*V122</f>
        <v>0</v>
      </c>
      <c r="X123" s="122" t="n">
        <f aca="false">IF(AH122&lt;1000,0,AH122)</f>
        <v>0</v>
      </c>
      <c r="Y123" s="122" t="n">
        <f aca="false">ROUNDDOWN(X123*10%,-1)</f>
        <v>0</v>
      </c>
      <c r="Z123" s="123" t="n">
        <f aca="false">IF(AE122&gt;=8,ROUNDDOWN(Y122*$Q$4,-1),0)</f>
        <v>0</v>
      </c>
      <c r="AA123" s="124"/>
      <c r="AB123" s="125"/>
      <c r="AC123" s="127" t="n">
        <f aca="false">IF(ISERROR(VLOOKUP(C122,일용직명단!$A$3:$I$1226,7,FALSE())),0,VLOOKUP(C122,일용직명단!$A$3:$I$1226,7,FALSE()))</f>
        <v>0</v>
      </c>
      <c r="AD123" s="127"/>
      <c r="AE123" s="128"/>
      <c r="AF123" s="129"/>
      <c r="AG123" s="129"/>
      <c r="AH123" s="130"/>
      <c r="AI123" s="130" t="n">
        <f aca="false">IF($W122*F123&gt;150000,($W122*F123-150000)*6%*45%,0)</f>
        <v>0</v>
      </c>
      <c r="AJ123" s="130" t="n">
        <f aca="false">IF($W122*G123&gt;150000,($W122*G123-150000)*6%*45%,0)</f>
        <v>0</v>
      </c>
      <c r="AK123" s="130" t="n">
        <f aca="false">IF($W122*H123&gt;150000,($W122*H123-150000)*6%*45%,0)</f>
        <v>0</v>
      </c>
      <c r="AL123" s="130" t="n">
        <f aca="false">IF($W122*I123&gt;150000,($W122*I123-150000)*6%*45%,0)</f>
        <v>0</v>
      </c>
      <c r="AM123" s="130" t="n">
        <f aca="false">IF($W122*J123&gt;150000,($W122*J123-150000)*6%*45%,0)</f>
        <v>0</v>
      </c>
      <c r="AN123" s="130" t="n">
        <f aca="false">IF($W122*K123&gt;150000,($W122*K123-150000)*6%*45%,0)</f>
        <v>0</v>
      </c>
      <c r="AO123" s="130" t="n">
        <f aca="false">IF($W122*L123&gt;150000,($W122*L123-150000)*6%*45%,0)</f>
        <v>0</v>
      </c>
      <c r="AP123" s="130" t="n">
        <f aca="false">IF($W122*M123&gt;150000,($W122*M123-150000)*6%*45%,0)</f>
        <v>0</v>
      </c>
      <c r="AQ123" s="130" t="n">
        <f aca="false">IF($W122*N123&gt;150000,($W122*N123-150000)*6%*45%,0)</f>
        <v>0</v>
      </c>
      <c r="AR123" s="130" t="n">
        <f aca="false">IF($W122*O123&gt;150000,($W122*O123-150000)*6%*45%,0)</f>
        <v>0</v>
      </c>
      <c r="AS123" s="130" t="n">
        <f aca="false">IF($W122*P123&gt;150000,($W122*P123-150000)*6%*45%,0)</f>
        <v>0</v>
      </c>
      <c r="AT123" s="130" t="n">
        <f aca="false">IF($W122*Q123&gt;150000,($W122*Q123-150000)*6%*45%,0)</f>
        <v>0</v>
      </c>
      <c r="AU123" s="130" t="n">
        <f aca="false">IF($W122*R123&gt;150000,($W122*R123-150000)*6%*45%,0)</f>
        <v>0</v>
      </c>
      <c r="AV123" s="130" t="n">
        <f aca="false">IF($W122*S123&gt;150000,($W122*S123-150000)*6%*45%,0)</f>
        <v>0</v>
      </c>
      <c r="AW123" s="130" t="n">
        <f aca="false">IF($W122*T123&gt;150000,($W122*T123-150000)*6%*45%,0)</f>
        <v>0</v>
      </c>
      <c r="AX123" s="130" t="n">
        <f aca="false">IF($W122*U123&gt;150000,($W122*U123-150000)*6%*45%,0)</f>
        <v>0</v>
      </c>
      <c r="AY123" s="131"/>
      <c r="AZ123" s="11"/>
      <c r="BA123" s="167"/>
      <c r="BB123" s="167"/>
      <c r="BC123" s="167"/>
      <c r="BD123" s="167"/>
      <c r="BE123" s="167"/>
      <c r="BF123" s="167"/>
      <c r="BG123" s="167"/>
      <c r="BH123" s="167"/>
      <c r="BI123" s="167"/>
      <c r="BJ123" s="167"/>
      <c r="BK123" s="167"/>
      <c r="BL123" s="167"/>
      <c r="BM123" s="167"/>
      <c r="BN123" s="167"/>
      <c r="BO123" s="167"/>
      <c r="BP123" s="167"/>
      <c r="BQ123" s="167"/>
      <c r="BR123" s="167"/>
      <c r="BS123" s="167"/>
      <c r="BT123" s="167"/>
      <c r="BU123" s="167"/>
      <c r="BV123" s="167"/>
      <c r="BW123" s="167"/>
      <c r="BX123" s="167"/>
      <c r="BY123" s="167"/>
      <c r="BZ123" s="167"/>
      <c r="CA123" s="167"/>
      <c r="CB123" s="167"/>
      <c r="CC123" s="167"/>
      <c r="CD123" s="167"/>
      <c r="CE123" s="167"/>
      <c r="CF123" s="167"/>
      <c r="CG123" s="167"/>
      <c r="CH123" s="167"/>
      <c r="CI123" s="167"/>
      <c r="CJ123" s="167"/>
      <c r="CK123" s="167"/>
      <c r="CL123" s="167"/>
      <c r="CM123" s="167"/>
      <c r="CN123" s="167"/>
      <c r="CO123" s="167"/>
      <c r="CP123" s="167"/>
      <c r="CQ123" s="167"/>
      <c r="CR123" s="167"/>
      <c r="CS123" s="167"/>
      <c r="CT123" s="167"/>
      <c r="CU123" s="167"/>
      <c r="CV123" s="167"/>
      <c r="CW123" s="167"/>
      <c r="CX123" s="167"/>
      <c r="CY123" s="167"/>
      <c r="CZ123" s="167"/>
      <c r="DA123" s="167"/>
      <c r="DB123" s="167"/>
      <c r="DC123" s="167"/>
      <c r="DD123" s="167"/>
      <c r="DE123" s="167"/>
      <c r="DF123" s="167"/>
      <c r="DG123" s="167"/>
      <c r="DH123" s="167"/>
      <c r="DI123" s="167"/>
      <c r="DJ123" s="167"/>
      <c r="DK123" s="167"/>
      <c r="DL123" s="167"/>
      <c r="DM123" s="167"/>
      <c r="DN123" s="167"/>
      <c r="DO123" s="167"/>
      <c r="DP123" s="167"/>
      <c r="DQ123" s="167"/>
      <c r="DR123" s="167"/>
      <c r="DS123" s="167"/>
      <c r="DT123" s="167"/>
      <c r="DU123" s="167"/>
      <c r="DV123" s="167"/>
      <c r="DW123" s="167"/>
      <c r="DX123" s="167"/>
      <c r="DY123" s="167"/>
      <c r="DZ123" s="167"/>
      <c r="EA123" s="167"/>
      <c r="EB123" s="167"/>
      <c r="EC123" s="167"/>
      <c r="ED123" s="167"/>
      <c r="EE123" s="167"/>
      <c r="EF123" s="167"/>
      <c r="EG123" s="167"/>
      <c r="EH123" s="167"/>
      <c r="EI123" s="167"/>
      <c r="EJ123" s="167"/>
      <c r="EK123" s="167"/>
      <c r="EL123" s="167"/>
      <c r="EM123" s="167"/>
      <c r="EN123" s="167"/>
      <c r="EO123" s="167"/>
      <c r="EP123" s="167"/>
      <c r="EQ123" s="167"/>
      <c r="ER123" s="167"/>
      <c r="ES123" s="167"/>
      <c r="ET123" s="167"/>
      <c r="EU123" s="167"/>
      <c r="EV123" s="167"/>
      <c r="EW123" s="167"/>
      <c r="EX123" s="167"/>
      <c r="EY123" s="167"/>
      <c r="EZ123" s="167"/>
      <c r="FA123" s="167"/>
      <c r="FB123" s="167"/>
      <c r="FC123" s="167"/>
      <c r="FD123" s="167"/>
      <c r="FE123" s="167"/>
      <c r="FF123" s="167"/>
      <c r="FG123" s="167"/>
      <c r="FH123" s="167"/>
      <c r="FI123" s="167"/>
      <c r="FJ123" s="167"/>
      <c r="FK123" s="167"/>
      <c r="FL123" s="167"/>
      <c r="FM123" s="167"/>
      <c r="FN123" s="167"/>
      <c r="FO123" s="167"/>
      <c r="FP123" s="167"/>
      <c r="FQ123" s="167"/>
      <c r="FR123" s="167"/>
      <c r="FS123" s="167"/>
      <c r="FT123" s="167"/>
      <c r="FU123" s="167"/>
      <c r="FV123" s="167"/>
      <c r="FW123" s="167"/>
      <c r="FX123" s="167"/>
      <c r="FY123" s="167"/>
      <c r="FZ123" s="167"/>
      <c r="GA123" s="167"/>
      <c r="GB123" s="167"/>
      <c r="GC123" s="167"/>
      <c r="GD123" s="167"/>
      <c r="GE123" s="167"/>
      <c r="GF123" s="167"/>
      <c r="GG123" s="167"/>
      <c r="GH123" s="167"/>
      <c r="GI123" s="167"/>
      <c r="GJ123" s="167"/>
      <c r="GK123" s="167"/>
      <c r="GL123" s="167"/>
      <c r="GM123" s="167"/>
      <c r="GN123" s="167"/>
      <c r="GO123" s="167"/>
      <c r="GP123" s="167"/>
      <c r="GQ123" s="167"/>
      <c r="GR123" s="167"/>
      <c r="GS123" s="167"/>
      <c r="GT123" s="167"/>
      <c r="GU123" s="167"/>
      <c r="GV123" s="167"/>
      <c r="GW123" s="167"/>
      <c r="GX123" s="167"/>
      <c r="GY123" s="167"/>
      <c r="GZ123" s="167"/>
      <c r="HA123" s="167"/>
      <c r="HB123" s="167"/>
      <c r="HC123" s="167"/>
      <c r="HD123" s="167"/>
      <c r="HE123" s="167"/>
      <c r="HF123" s="167"/>
      <c r="HG123" s="167"/>
      <c r="HH123" s="167"/>
      <c r="HI123" s="167"/>
      <c r="HJ123" s="167"/>
      <c r="HK123" s="167"/>
      <c r="HL123" s="167"/>
      <c r="HM123" s="167"/>
      <c r="HN123" s="167"/>
      <c r="HO123" s="167"/>
      <c r="HP123" s="167"/>
      <c r="HQ123" s="167"/>
      <c r="HR123" s="167"/>
      <c r="HS123" s="167"/>
      <c r="HT123" s="167"/>
      <c r="HU123" s="167"/>
      <c r="HV123" s="167"/>
      <c r="HW123" s="167"/>
      <c r="HX123" s="167"/>
      <c r="HY123" s="167"/>
      <c r="HZ123" s="167"/>
      <c r="IA123" s="167"/>
      <c r="IB123" s="167"/>
      <c r="IC123" s="167"/>
      <c r="ID123" s="167"/>
      <c r="IE123" s="167"/>
      <c r="IF123" s="167"/>
      <c r="IG123" s="167"/>
      <c r="IH123" s="167"/>
      <c r="II123" s="167"/>
      <c r="IJ123" s="167"/>
      <c r="IK123" s="167"/>
      <c r="IL123" s="167"/>
      <c r="IM123" s="167"/>
      <c r="IN123" s="167"/>
      <c r="IO123" s="167"/>
      <c r="IP123" s="167"/>
      <c r="IQ123" s="167"/>
      <c r="IR123" s="167"/>
      <c r="IS123" s="167"/>
      <c r="IT123" s="167"/>
      <c r="IU123" s="167"/>
      <c r="IV123" s="167"/>
      <c r="IW123" s="167"/>
    </row>
    <row r="124" customFormat="false" ht="13.5" hidden="true" customHeight="true" outlineLevel="0" collapsed="false">
      <c r="A124" s="108" t="n">
        <f aca="false">A122+1</f>
        <v>43</v>
      </c>
      <c r="B124" s="310" t="n">
        <f aca="false">IF(ISERROR(VLOOKUP(C124,일용직명단!$A$3:$I$104,2,FALSE())),0,VLOOKUP(C124,일용직명단!$A$3:$I$104,2,FALSE()))</f>
        <v>0</v>
      </c>
      <c r="C124" s="290"/>
      <c r="D124" s="311" t="n">
        <f aca="false">IF(ISERROR(VLOOKUP(C124,일용직명단!$A$3:$K$1246,3,FALSE())),0,VLOOKUP(C124,일용직명단!$A$3:$K$1246,3,FALSE()))</f>
        <v>0</v>
      </c>
      <c r="E124" s="164" t="n">
        <f aca="false">IF(ISERROR(VLOOKUP(C124,일용직명단!$A$3:$K$1246,4,FALSE())),0,VLOOKUP(C124,일용직명단!$A$3:$K$1246,4,FALSE()))</f>
        <v>0</v>
      </c>
      <c r="F124" s="192"/>
      <c r="G124" s="193"/>
      <c r="H124" s="191"/>
      <c r="I124" s="191"/>
      <c r="J124" s="192"/>
      <c r="K124" s="191"/>
      <c r="L124" s="192"/>
      <c r="M124" s="192"/>
      <c r="N124" s="193"/>
      <c r="O124" s="193"/>
      <c r="P124" s="192"/>
      <c r="Q124" s="193"/>
      <c r="R124" s="191"/>
      <c r="S124" s="193"/>
      <c r="T124" s="191"/>
      <c r="U124" s="194"/>
      <c r="V124" s="144" t="n">
        <f aca="false">SUM(F124:U125)</f>
        <v>0</v>
      </c>
      <c r="W124" s="121" t="n">
        <f aca="false">IF(ISERROR(VLOOKUP(C124,일용직명단!$A$3:$K$1246,8,FALSE())),0,VLOOKUP(C124,일용직명단!$A$3:$K$1246,8,FALSE()))</f>
        <v>0</v>
      </c>
      <c r="X124" s="123" t="n">
        <f aca="false">IFERROR(IF(AG124&gt;=65,0,ROUNDDOWN(W125*$Z$4,-1)),0)</f>
        <v>0</v>
      </c>
      <c r="Y124" s="123" t="n">
        <f aca="false">IF(AE124&gt;=8,ROUNDDOWN(W125*$M$4,-1),0)</f>
        <v>0</v>
      </c>
      <c r="Z124" s="123" t="n">
        <f aca="false">IFERROR(IF(AND(COUNT(F124:U125)&gt;=8,$AG124&lt;60,W125&lt;=5530000),ROUNDDOWN(ROUNDDOWN(W125,-3)*4.5%,-1),IF(AND(COUNT(F124:U125)&gt;=8,AG124&lt;60,W125&gt;5530000),248850,0)),0)</f>
        <v>0</v>
      </c>
      <c r="AA124" s="145" t="n">
        <f aca="false">+X124+Y124+X125+Y125+Z124+Z125</f>
        <v>0</v>
      </c>
      <c r="AB124" s="146" t="n">
        <f aca="false">W125-AA124</f>
        <v>0</v>
      </c>
      <c r="AC124" s="147" t="n">
        <f aca="false">IF(ISERROR(VLOOKUP(C124,일용직명단!$A$3:$I$1226,5,FALSE())),0,VLOOKUP(C124,일용직명단!$A$3:$I$1226,5,FALSE()))</f>
        <v>0</v>
      </c>
      <c r="AD124" s="148" t="n">
        <f aca="false">IF(ISERROR(VLOOKUP(C124,일용직명단!$A$3:$I$1226,6,FALSE())),0,VLOOKUP(C124,일용직명단!$A$3:$I$1226,6,FALSE()))</f>
        <v>0</v>
      </c>
      <c r="AE124" s="128" t="n">
        <f aca="false">COUNT(F124:U125)</f>
        <v>0</v>
      </c>
      <c r="AF124" s="129" t="str">
        <f aca="false">IF(OR(MID(D124,8,1)="1",MID(D124,8,1)="2"),19&amp;LEFT(D124,2),20&amp;LEFT(D124,2))&amp;"-"&amp;MID(D124,3,2)&amp;"-"&amp;MID(D124,5,2)</f>
        <v>200--</v>
      </c>
      <c r="AG124" s="129" t="e">
        <f aca="true">INT((TODAY()-AF124)/365.25)</f>
        <v>#VALUE!</v>
      </c>
      <c r="AH124" s="130" t="n">
        <f aca="false">ROUNDDOWN(SUM(AI124:AX125),-1)</f>
        <v>0</v>
      </c>
      <c r="AI124" s="130" t="n">
        <f aca="false">IF($W124*F124&gt;150000,($W124*F124-150000)*6%*45%,0)</f>
        <v>0</v>
      </c>
      <c r="AJ124" s="130" t="n">
        <f aca="false">IF($W124*G124&gt;150000,($W124*G124-150000)*6%*45%,0)</f>
        <v>0</v>
      </c>
      <c r="AK124" s="130" t="n">
        <f aca="false">IF($W124*H124&gt;150000,($W124*H124-150000)*6%*45%,0)</f>
        <v>0</v>
      </c>
      <c r="AL124" s="130" t="n">
        <f aca="false">IF($W124*I124&gt;150000,($W124*I124-150000)*6%*45%,0)</f>
        <v>0</v>
      </c>
      <c r="AM124" s="130" t="n">
        <f aca="false">IF($W124*J124&gt;150000,($W124*J124-150000)*6%*45%,0)</f>
        <v>0</v>
      </c>
      <c r="AN124" s="130" t="n">
        <f aca="false">IF($W124*K124&gt;150000,($W124*K124-150000)*6%*45%,0)</f>
        <v>0</v>
      </c>
      <c r="AO124" s="130" t="n">
        <f aca="false">IF($W124*L124&gt;150000,($W124*L124-150000)*6%*45%,0)</f>
        <v>0</v>
      </c>
      <c r="AP124" s="130" t="n">
        <f aca="false">IF($W124*M124&gt;150000,($W124*M124-150000)*6%*45%,0)</f>
        <v>0</v>
      </c>
      <c r="AQ124" s="130" t="n">
        <f aca="false">IF($W124*N124&gt;150000,($W124*N124-150000)*6%*45%,0)</f>
        <v>0</v>
      </c>
      <c r="AR124" s="130" t="n">
        <f aca="false">IF($W124*O124&gt;150000,($W124*O124-150000)*6%*45%,0)</f>
        <v>0</v>
      </c>
      <c r="AS124" s="130" t="n">
        <f aca="false">IF($W124*P124&gt;150000,($W124*P124-150000)*6%*45%,0)</f>
        <v>0</v>
      </c>
      <c r="AT124" s="130" t="n">
        <f aca="false">IF($W124*Q124&gt;150000,($W124*Q124-150000)*6%*45%,0)</f>
        <v>0</v>
      </c>
      <c r="AU124" s="130" t="n">
        <f aca="false">IF($W124*R124&gt;150000,($W124*R124-150000)*6%*45%,0)</f>
        <v>0</v>
      </c>
      <c r="AV124" s="130" t="n">
        <f aca="false">IF($W124*S124&gt;150000,($W124*S124-150000)*6%*45%,0)</f>
        <v>0</v>
      </c>
      <c r="AW124" s="130" t="n">
        <f aca="false">IF($W124*T124&gt;150000,($W124*T124-150000)*6%*45%,0)</f>
        <v>0</v>
      </c>
      <c r="AX124" s="130"/>
      <c r="AY124" s="131" t="n">
        <f aca="false">IF(ISERROR(VLOOKUP(C124,[26]일용직명단!$A$3:$M$1151,11,FALSE())),0,VLOOKUP(C124,[26]일용직명단!$A$3:$M$1151,11,FALSE()))</f>
        <v>0</v>
      </c>
      <c r="AZ124" s="11"/>
      <c r="BA124" s="167"/>
      <c r="BB124" s="167"/>
      <c r="BC124" s="167"/>
      <c r="BD124" s="167"/>
      <c r="BE124" s="167"/>
      <c r="BF124" s="167"/>
      <c r="BG124" s="167"/>
      <c r="BH124" s="167"/>
      <c r="BI124" s="167"/>
      <c r="BJ124" s="167"/>
      <c r="BK124" s="167"/>
      <c r="BL124" s="167"/>
      <c r="BM124" s="167"/>
      <c r="BN124" s="167"/>
      <c r="BO124" s="167"/>
      <c r="BP124" s="167"/>
      <c r="BQ124" s="167"/>
      <c r="BR124" s="167"/>
      <c r="BS124" s="167"/>
      <c r="BT124" s="167"/>
      <c r="BU124" s="167"/>
      <c r="BV124" s="167"/>
      <c r="BW124" s="167"/>
      <c r="BX124" s="167"/>
      <c r="BY124" s="167"/>
      <c r="BZ124" s="167"/>
      <c r="CA124" s="167"/>
      <c r="CB124" s="167"/>
      <c r="CC124" s="167"/>
      <c r="CD124" s="167"/>
      <c r="CE124" s="167"/>
      <c r="CF124" s="167"/>
      <c r="CG124" s="167"/>
      <c r="CH124" s="167"/>
      <c r="CI124" s="167"/>
      <c r="CJ124" s="167"/>
      <c r="CK124" s="167"/>
      <c r="CL124" s="167"/>
      <c r="CM124" s="167"/>
      <c r="CN124" s="167"/>
      <c r="CO124" s="167"/>
      <c r="CP124" s="167"/>
      <c r="CQ124" s="167"/>
      <c r="CR124" s="167"/>
      <c r="CS124" s="167"/>
      <c r="CT124" s="167"/>
      <c r="CU124" s="167"/>
      <c r="CV124" s="167"/>
      <c r="CW124" s="167"/>
      <c r="CX124" s="167"/>
      <c r="CY124" s="167"/>
      <c r="CZ124" s="167"/>
      <c r="DA124" s="167"/>
      <c r="DB124" s="167"/>
      <c r="DC124" s="167"/>
      <c r="DD124" s="167"/>
      <c r="DE124" s="167"/>
      <c r="DF124" s="167"/>
      <c r="DG124" s="167"/>
      <c r="DH124" s="167"/>
      <c r="DI124" s="167"/>
      <c r="DJ124" s="167"/>
      <c r="DK124" s="167"/>
      <c r="DL124" s="167"/>
      <c r="DM124" s="167"/>
      <c r="DN124" s="167"/>
      <c r="DO124" s="167"/>
      <c r="DP124" s="167"/>
      <c r="DQ124" s="167"/>
      <c r="DR124" s="167"/>
      <c r="DS124" s="167"/>
      <c r="DT124" s="167"/>
      <c r="DU124" s="167"/>
      <c r="DV124" s="167"/>
      <c r="DW124" s="167"/>
      <c r="DX124" s="167"/>
      <c r="DY124" s="167"/>
      <c r="DZ124" s="167"/>
      <c r="EA124" s="167"/>
      <c r="EB124" s="167"/>
      <c r="EC124" s="167"/>
      <c r="ED124" s="167"/>
      <c r="EE124" s="167"/>
      <c r="EF124" s="167"/>
      <c r="EG124" s="167"/>
      <c r="EH124" s="167"/>
      <c r="EI124" s="167"/>
      <c r="EJ124" s="167"/>
      <c r="EK124" s="167"/>
      <c r="EL124" s="167"/>
      <c r="EM124" s="167"/>
      <c r="EN124" s="167"/>
      <c r="EO124" s="167"/>
      <c r="EP124" s="167"/>
      <c r="EQ124" s="167"/>
      <c r="ER124" s="167"/>
      <c r="ES124" s="167"/>
      <c r="ET124" s="167"/>
      <c r="EU124" s="167"/>
      <c r="EV124" s="167"/>
      <c r="EW124" s="167"/>
      <c r="EX124" s="167"/>
      <c r="EY124" s="167"/>
      <c r="EZ124" s="167"/>
      <c r="FA124" s="167"/>
      <c r="FB124" s="167"/>
      <c r="FC124" s="167"/>
      <c r="FD124" s="167"/>
      <c r="FE124" s="167"/>
      <c r="FF124" s="167"/>
      <c r="FG124" s="167"/>
      <c r="FH124" s="167"/>
      <c r="FI124" s="167"/>
      <c r="FJ124" s="167"/>
      <c r="FK124" s="167"/>
      <c r="FL124" s="167"/>
      <c r="FM124" s="167"/>
      <c r="FN124" s="167"/>
      <c r="FO124" s="167"/>
      <c r="FP124" s="167"/>
      <c r="FQ124" s="167"/>
      <c r="FR124" s="167"/>
      <c r="FS124" s="167"/>
      <c r="FT124" s="167"/>
      <c r="FU124" s="167"/>
      <c r="FV124" s="167"/>
      <c r="FW124" s="167"/>
      <c r="FX124" s="167"/>
      <c r="FY124" s="167"/>
      <c r="FZ124" s="167"/>
      <c r="GA124" s="167"/>
      <c r="GB124" s="167"/>
      <c r="GC124" s="167"/>
      <c r="GD124" s="167"/>
      <c r="GE124" s="167"/>
      <c r="GF124" s="167"/>
      <c r="GG124" s="167"/>
      <c r="GH124" s="167"/>
      <c r="GI124" s="167"/>
      <c r="GJ124" s="167"/>
      <c r="GK124" s="167"/>
      <c r="GL124" s="167"/>
      <c r="GM124" s="167"/>
      <c r="GN124" s="167"/>
      <c r="GO124" s="167"/>
      <c r="GP124" s="167"/>
      <c r="GQ124" s="167"/>
      <c r="GR124" s="167"/>
      <c r="GS124" s="167"/>
      <c r="GT124" s="167"/>
      <c r="GU124" s="167"/>
      <c r="GV124" s="167"/>
      <c r="GW124" s="167"/>
      <c r="GX124" s="167"/>
      <c r="GY124" s="167"/>
      <c r="GZ124" s="167"/>
      <c r="HA124" s="167"/>
      <c r="HB124" s="167"/>
      <c r="HC124" s="167"/>
      <c r="HD124" s="167"/>
      <c r="HE124" s="167"/>
      <c r="HF124" s="167"/>
      <c r="HG124" s="167"/>
      <c r="HH124" s="167"/>
      <c r="HI124" s="167"/>
      <c r="HJ124" s="167"/>
      <c r="HK124" s="167"/>
      <c r="HL124" s="167"/>
      <c r="HM124" s="167"/>
      <c r="HN124" s="167"/>
      <c r="HO124" s="167"/>
      <c r="HP124" s="167"/>
      <c r="HQ124" s="167"/>
      <c r="HR124" s="167"/>
      <c r="HS124" s="167"/>
      <c r="HT124" s="167"/>
      <c r="HU124" s="167"/>
      <c r="HV124" s="167"/>
      <c r="HW124" s="167"/>
      <c r="HX124" s="167"/>
      <c r="HY124" s="167"/>
      <c r="HZ124" s="167"/>
      <c r="IA124" s="167"/>
      <c r="IB124" s="167"/>
      <c r="IC124" s="167"/>
      <c r="ID124" s="167"/>
      <c r="IE124" s="167"/>
      <c r="IF124" s="167"/>
      <c r="IG124" s="167"/>
      <c r="IH124" s="167"/>
      <c r="II124" s="167"/>
      <c r="IJ124" s="167"/>
      <c r="IK124" s="167"/>
      <c r="IL124" s="167"/>
      <c r="IM124" s="167"/>
      <c r="IN124" s="167"/>
      <c r="IO124" s="167"/>
      <c r="IP124" s="167"/>
      <c r="IQ124" s="167"/>
      <c r="IR124" s="167"/>
      <c r="IS124" s="167"/>
      <c r="IT124" s="167"/>
      <c r="IU124" s="167"/>
      <c r="IV124" s="167"/>
      <c r="IW124" s="167"/>
    </row>
    <row r="125" customFormat="false" ht="12.75" hidden="true" customHeight="true" outlineLevel="0" collapsed="false">
      <c r="A125" s="108"/>
      <c r="B125" s="310"/>
      <c r="C125" s="290"/>
      <c r="D125" s="311"/>
      <c r="E125" s="164" t="n">
        <f aca="false">IF(ISERROR(VLOOKUP(C124,일용직명단!$A$3:$K$1246,9,FALSE())),0,VLOOKUP(C124,일용직명단!$A$3:$K$1246,9,FALSE()))</f>
        <v>0</v>
      </c>
      <c r="F125" s="195"/>
      <c r="G125" s="196"/>
      <c r="H125" s="196"/>
      <c r="I125" s="193"/>
      <c r="J125" s="191"/>
      <c r="K125" s="193"/>
      <c r="L125" s="192"/>
      <c r="M125" s="192"/>
      <c r="N125" s="193"/>
      <c r="O125" s="191"/>
      <c r="P125" s="193"/>
      <c r="Q125" s="193"/>
      <c r="R125" s="192"/>
      <c r="S125" s="192"/>
      <c r="T125" s="192"/>
      <c r="U125" s="191"/>
      <c r="V125" s="144"/>
      <c r="W125" s="138" t="n">
        <f aca="false">W124*V124</f>
        <v>0</v>
      </c>
      <c r="X125" s="123" t="n">
        <f aca="false">IF(AH124&lt;1000,0,AH124)</f>
        <v>0</v>
      </c>
      <c r="Y125" s="123" t="n">
        <f aca="false">ROUNDDOWN(X125*10%,-1)</f>
        <v>0</v>
      </c>
      <c r="Z125" s="123" t="n">
        <f aca="false">IF(AE124&gt;=8,ROUNDDOWN(Y124*$Q$4,-1),0)</f>
        <v>0</v>
      </c>
      <c r="AA125" s="145"/>
      <c r="AB125" s="146"/>
      <c r="AC125" s="148" t="n">
        <f aca="false">IF(ISERROR(VLOOKUP(C124,일용직명단!$A$3:$I$1226,7,FALSE())),0,VLOOKUP(C124,일용직명단!$A$3:$I$1226,7,FALSE()))</f>
        <v>0</v>
      </c>
      <c r="AD125" s="148"/>
      <c r="AE125" s="128"/>
      <c r="AF125" s="129"/>
      <c r="AG125" s="129"/>
      <c r="AH125" s="130"/>
      <c r="AI125" s="130" t="n">
        <f aca="false">IF($W124*F125&gt;150000,($W124*F125-150000)*6%*45%,0)</f>
        <v>0</v>
      </c>
      <c r="AJ125" s="130" t="n">
        <f aca="false">IF($W124*G125&gt;150000,($W124*G125-150000)*6%*45%,0)</f>
        <v>0</v>
      </c>
      <c r="AK125" s="130" t="n">
        <f aca="false">IF($W124*H125&gt;150000,($W124*H125-150000)*6%*45%,0)</f>
        <v>0</v>
      </c>
      <c r="AL125" s="130" t="n">
        <f aca="false">IF($W124*I125&gt;150000,($W124*I125-150000)*6%*45%,0)</f>
        <v>0</v>
      </c>
      <c r="AM125" s="130" t="n">
        <f aca="false">IF($W124*J125&gt;150000,($W124*J125-150000)*6%*45%,0)</f>
        <v>0</v>
      </c>
      <c r="AN125" s="130" t="n">
        <f aca="false">IF($W124*K125&gt;150000,($W124*K125-150000)*6%*45%,0)</f>
        <v>0</v>
      </c>
      <c r="AO125" s="130" t="n">
        <f aca="false">IF($W124*L125&gt;150000,($W124*L125-150000)*6%*45%,0)</f>
        <v>0</v>
      </c>
      <c r="AP125" s="130" t="n">
        <f aca="false">IF($W124*M125&gt;150000,($W124*M125-150000)*6%*45%,0)</f>
        <v>0</v>
      </c>
      <c r="AQ125" s="130" t="n">
        <f aca="false">IF($W124*N125&gt;150000,($W124*N125-150000)*6%*45%,0)</f>
        <v>0</v>
      </c>
      <c r="AR125" s="130" t="n">
        <f aca="false">IF($W124*O125&gt;150000,($W124*O125-150000)*6%*45%,0)</f>
        <v>0</v>
      </c>
      <c r="AS125" s="130" t="n">
        <f aca="false">IF($W124*P125&gt;150000,($W124*P125-150000)*6%*45%,0)</f>
        <v>0</v>
      </c>
      <c r="AT125" s="130" t="n">
        <f aca="false">IF($W124*Q125&gt;150000,($W124*Q125-150000)*6%*45%,0)</f>
        <v>0</v>
      </c>
      <c r="AU125" s="130" t="n">
        <f aca="false">IF($W124*R125&gt;150000,($W124*R125-150000)*6%*45%,0)</f>
        <v>0</v>
      </c>
      <c r="AV125" s="130" t="n">
        <f aca="false">IF($W124*S125&gt;150000,($W124*S125-150000)*6%*45%,0)</f>
        <v>0</v>
      </c>
      <c r="AW125" s="130" t="n">
        <f aca="false">IF($W124*T125&gt;150000,($W124*T125-150000)*6%*45%,0)</f>
        <v>0</v>
      </c>
      <c r="AX125" s="130" t="n">
        <f aca="false">IF($W124*U125&gt;150000,($W124*U125-150000)*6%*45%,0)</f>
        <v>0</v>
      </c>
      <c r="AY125" s="131"/>
      <c r="AZ125" s="11"/>
      <c r="BA125" s="167"/>
      <c r="BB125" s="167"/>
      <c r="BC125" s="167"/>
      <c r="BD125" s="167"/>
      <c r="BE125" s="167"/>
      <c r="BF125" s="167"/>
      <c r="BG125" s="167"/>
      <c r="BH125" s="167"/>
      <c r="BI125" s="167"/>
      <c r="BJ125" s="167"/>
      <c r="BK125" s="167"/>
      <c r="BL125" s="167"/>
      <c r="BM125" s="167"/>
      <c r="BN125" s="167"/>
      <c r="BO125" s="167"/>
      <c r="BP125" s="167"/>
      <c r="BQ125" s="167"/>
      <c r="BR125" s="167"/>
      <c r="BS125" s="167"/>
      <c r="BT125" s="167"/>
      <c r="BU125" s="167"/>
      <c r="BV125" s="167"/>
      <c r="BW125" s="167"/>
      <c r="BX125" s="167"/>
      <c r="BY125" s="167"/>
      <c r="BZ125" s="167"/>
      <c r="CA125" s="167"/>
      <c r="CB125" s="167"/>
      <c r="CC125" s="167"/>
      <c r="CD125" s="167"/>
      <c r="CE125" s="167"/>
      <c r="CF125" s="167"/>
      <c r="CG125" s="167"/>
      <c r="CH125" s="167"/>
      <c r="CI125" s="167"/>
      <c r="CJ125" s="167"/>
      <c r="CK125" s="167"/>
      <c r="CL125" s="167"/>
      <c r="CM125" s="167"/>
      <c r="CN125" s="167"/>
      <c r="CO125" s="167"/>
      <c r="CP125" s="167"/>
      <c r="CQ125" s="167"/>
      <c r="CR125" s="167"/>
      <c r="CS125" s="167"/>
      <c r="CT125" s="167"/>
      <c r="CU125" s="167"/>
      <c r="CV125" s="167"/>
      <c r="CW125" s="167"/>
      <c r="CX125" s="167"/>
      <c r="CY125" s="167"/>
      <c r="CZ125" s="167"/>
      <c r="DA125" s="167"/>
      <c r="DB125" s="167"/>
      <c r="DC125" s="167"/>
      <c r="DD125" s="167"/>
      <c r="DE125" s="167"/>
      <c r="DF125" s="167"/>
      <c r="DG125" s="167"/>
      <c r="DH125" s="167"/>
      <c r="DI125" s="167"/>
      <c r="DJ125" s="167"/>
      <c r="DK125" s="167"/>
      <c r="DL125" s="167"/>
      <c r="DM125" s="167"/>
      <c r="DN125" s="167"/>
      <c r="DO125" s="167"/>
      <c r="DP125" s="167"/>
      <c r="DQ125" s="167"/>
      <c r="DR125" s="167"/>
      <c r="DS125" s="167"/>
      <c r="DT125" s="167"/>
      <c r="DU125" s="167"/>
      <c r="DV125" s="167"/>
      <c r="DW125" s="167"/>
      <c r="DX125" s="167"/>
      <c r="DY125" s="167"/>
      <c r="DZ125" s="167"/>
      <c r="EA125" s="167"/>
      <c r="EB125" s="167"/>
      <c r="EC125" s="167"/>
      <c r="ED125" s="167"/>
      <c r="EE125" s="167"/>
      <c r="EF125" s="167"/>
      <c r="EG125" s="167"/>
      <c r="EH125" s="167"/>
      <c r="EI125" s="167"/>
      <c r="EJ125" s="167"/>
      <c r="EK125" s="167"/>
      <c r="EL125" s="167"/>
      <c r="EM125" s="167"/>
      <c r="EN125" s="167"/>
      <c r="EO125" s="167"/>
      <c r="EP125" s="167"/>
      <c r="EQ125" s="167"/>
      <c r="ER125" s="167"/>
      <c r="ES125" s="167"/>
      <c r="ET125" s="167"/>
      <c r="EU125" s="167"/>
      <c r="EV125" s="167"/>
      <c r="EW125" s="167"/>
      <c r="EX125" s="167"/>
      <c r="EY125" s="167"/>
      <c r="EZ125" s="167"/>
      <c r="FA125" s="167"/>
      <c r="FB125" s="167"/>
      <c r="FC125" s="167"/>
      <c r="FD125" s="167"/>
      <c r="FE125" s="167"/>
      <c r="FF125" s="167"/>
      <c r="FG125" s="167"/>
      <c r="FH125" s="167"/>
      <c r="FI125" s="167"/>
      <c r="FJ125" s="167"/>
      <c r="FK125" s="167"/>
      <c r="FL125" s="167"/>
      <c r="FM125" s="167"/>
      <c r="FN125" s="167"/>
      <c r="FO125" s="167"/>
      <c r="FP125" s="167"/>
      <c r="FQ125" s="167"/>
      <c r="FR125" s="167"/>
      <c r="FS125" s="167"/>
      <c r="FT125" s="167"/>
      <c r="FU125" s="167"/>
      <c r="FV125" s="167"/>
      <c r="FW125" s="167"/>
      <c r="FX125" s="167"/>
      <c r="FY125" s="167"/>
      <c r="FZ125" s="167"/>
      <c r="GA125" s="167"/>
      <c r="GB125" s="167"/>
      <c r="GC125" s="167"/>
      <c r="GD125" s="167"/>
      <c r="GE125" s="167"/>
      <c r="GF125" s="167"/>
      <c r="GG125" s="167"/>
      <c r="GH125" s="167"/>
      <c r="GI125" s="167"/>
      <c r="GJ125" s="167"/>
      <c r="GK125" s="167"/>
      <c r="GL125" s="167"/>
      <c r="GM125" s="167"/>
      <c r="GN125" s="167"/>
      <c r="GO125" s="167"/>
      <c r="GP125" s="167"/>
      <c r="GQ125" s="167"/>
      <c r="GR125" s="167"/>
      <c r="GS125" s="167"/>
      <c r="GT125" s="167"/>
      <c r="GU125" s="167"/>
      <c r="GV125" s="167"/>
      <c r="GW125" s="167"/>
      <c r="GX125" s="167"/>
      <c r="GY125" s="167"/>
      <c r="GZ125" s="167"/>
      <c r="HA125" s="167"/>
      <c r="HB125" s="167"/>
      <c r="HC125" s="167"/>
      <c r="HD125" s="167"/>
      <c r="HE125" s="167"/>
      <c r="HF125" s="167"/>
      <c r="HG125" s="167"/>
      <c r="HH125" s="167"/>
      <c r="HI125" s="167"/>
      <c r="HJ125" s="167"/>
      <c r="HK125" s="167"/>
      <c r="HL125" s="167"/>
      <c r="HM125" s="167"/>
      <c r="HN125" s="167"/>
      <c r="HO125" s="167"/>
      <c r="HP125" s="167"/>
      <c r="HQ125" s="167"/>
      <c r="HR125" s="167"/>
      <c r="HS125" s="167"/>
      <c r="HT125" s="167"/>
      <c r="HU125" s="167"/>
      <c r="HV125" s="167"/>
      <c r="HW125" s="167"/>
      <c r="HX125" s="167"/>
      <c r="HY125" s="167"/>
      <c r="HZ125" s="167"/>
      <c r="IA125" s="167"/>
      <c r="IB125" s="167"/>
      <c r="IC125" s="167"/>
      <c r="ID125" s="167"/>
      <c r="IE125" s="167"/>
      <c r="IF125" s="167"/>
      <c r="IG125" s="167"/>
      <c r="IH125" s="167"/>
      <c r="II125" s="167"/>
      <c r="IJ125" s="167"/>
      <c r="IK125" s="167"/>
      <c r="IL125" s="167"/>
      <c r="IM125" s="167"/>
      <c r="IN125" s="167"/>
      <c r="IO125" s="167"/>
      <c r="IP125" s="167"/>
      <c r="IQ125" s="167"/>
      <c r="IR125" s="167"/>
      <c r="IS125" s="167"/>
      <c r="IT125" s="167"/>
      <c r="IU125" s="167"/>
      <c r="IV125" s="167"/>
      <c r="IW125" s="167"/>
    </row>
    <row r="126" customFormat="false" ht="13.5" hidden="true" customHeight="true" outlineLevel="0" collapsed="false">
      <c r="A126" s="108" t="n">
        <f aca="false">A124+1</f>
        <v>44</v>
      </c>
      <c r="B126" s="310" t="n">
        <f aca="false">IF(ISERROR(VLOOKUP(C126,일용직명단!$A$3:$I$104,2,FALSE())),0,VLOOKUP(C126,일용직명단!$A$3:$I$104,2,FALSE()))</f>
        <v>0</v>
      </c>
      <c r="C126" s="110"/>
      <c r="D126" s="311" t="n">
        <f aca="false">IF(ISERROR(VLOOKUP(C126,일용직명단!$A$3:$K$1246,3,FALSE())),0,VLOOKUP(C126,일용직명단!$A$3:$K$1246,3,FALSE()))</f>
        <v>0</v>
      </c>
      <c r="E126" s="164" t="n">
        <f aca="false">IF(ISERROR(VLOOKUP(C126,일용직명단!$A$3:$K$1246,4,FALSE())),0,VLOOKUP(C126,일용직명단!$A$3:$K$1246,4,FALSE()))</f>
        <v>0</v>
      </c>
      <c r="F126" s="192"/>
      <c r="G126" s="193"/>
      <c r="H126" s="191"/>
      <c r="I126" s="191"/>
      <c r="J126" s="192"/>
      <c r="K126" s="191"/>
      <c r="L126" s="192"/>
      <c r="M126" s="192"/>
      <c r="N126" s="193"/>
      <c r="O126" s="193"/>
      <c r="P126" s="192"/>
      <c r="Q126" s="193"/>
      <c r="R126" s="191"/>
      <c r="S126" s="193"/>
      <c r="T126" s="191"/>
      <c r="U126" s="194"/>
      <c r="V126" s="144" t="n">
        <f aca="false">SUM(F126:U127)</f>
        <v>0</v>
      </c>
      <c r="W126" s="121" t="n">
        <f aca="false">IF(ISERROR(VLOOKUP(C126,일용직명단!$A$3:$K$1246,8,FALSE())),0,VLOOKUP(C126,일용직명단!$A$3:$K$1246,8,FALSE()))</f>
        <v>0</v>
      </c>
      <c r="X126" s="123" t="n">
        <f aca="false">IFERROR(IF(AG126&gt;=65,0,ROUNDDOWN(W127*$Z$4,-1)),0)</f>
        <v>0</v>
      </c>
      <c r="Y126" s="123" t="n">
        <f aca="false">IF(AE126&gt;=8,ROUNDDOWN(W127*$M$4,-1),0)</f>
        <v>0</v>
      </c>
      <c r="Z126" s="123" t="n">
        <f aca="false">IFERROR(IF(AND(COUNT(F126:U127)&gt;=8,$AG126&lt;60,W127&lt;=5530000),ROUNDDOWN(ROUNDDOWN(W127,-3)*4.5%,-1),IF(AND(COUNT(F126:U127)&gt;=8,AG126&lt;60,W127&gt;5530000),248850,0)),0)</f>
        <v>0</v>
      </c>
      <c r="AA126" s="145" t="n">
        <f aca="false">+X126+Y126+X127+Y127+Z126+Z127</f>
        <v>0</v>
      </c>
      <c r="AB126" s="146" t="n">
        <f aca="false">W127-AA126</f>
        <v>0</v>
      </c>
      <c r="AC126" s="147" t="n">
        <f aca="false">IF(ISERROR(VLOOKUP(C126,일용직명단!$A$3:$I$1226,5,FALSE())),0,VLOOKUP(C126,일용직명단!$A$3:$I$1226,5,FALSE()))</f>
        <v>0</v>
      </c>
      <c r="AD126" s="148" t="n">
        <f aca="false">IF(ISERROR(VLOOKUP(C126,일용직명단!$A$3:$I$1226,6,FALSE())),0,VLOOKUP(C126,일용직명단!$A$3:$I$1226,6,FALSE()))</f>
        <v>0</v>
      </c>
      <c r="AE126" s="128" t="n">
        <f aca="false">COUNT(F126:U127)</f>
        <v>0</v>
      </c>
      <c r="AF126" s="129" t="str">
        <f aca="false">IF(OR(MID(D126,8,1)="1",MID(D126,8,1)="2"),19&amp;LEFT(D126,2),20&amp;LEFT(D126,2))&amp;"-"&amp;MID(D126,3,2)&amp;"-"&amp;MID(D126,5,2)</f>
        <v>200--</v>
      </c>
      <c r="AG126" s="129" t="e">
        <f aca="true">INT((TODAY()-AF126)/365.25)</f>
        <v>#VALUE!</v>
      </c>
      <c r="AH126" s="130" t="n">
        <f aca="false">ROUNDDOWN(SUM(AI126:AX127),-1)</f>
        <v>0</v>
      </c>
      <c r="AI126" s="130" t="n">
        <f aca="false">IF($W126*F126&gt;150000,($W126*F126-150000)*6%*45%,0)</f>
        <v>0</v>
      </c>
      <c r="AJ126" s="130" t="n">
        <f aca="false">IF($W126*G126&gt;150000,($W126*G126-150000)*6%*45%,0)</f>
        <v>0</v>
      </c>
      <c r="AK126" s="130" t="n">
        <f aca="false">IF($W126*H126&gt;150000,($W126*H126-150000)*6%*45%,0)</f>
        <v>0</v>
      </c>
      <c r="AL126" s="130" t="n">
        <f aca="false">IF($W126*I126&gt;150000,($W126*I126-150000)*6%*45%,0)</f>
        <v>0</v>
      </c>
      <c r="AM126" s="130" t="n">
        <f aca="false">IF($W126*J126&gt;150000,($W126*J126-150000)*6%*45%,0)</f>
        <v>0</v>
      </c>
      <c r="AN126" s="130" t="n">
        <f aca="false">IF($W126*K126&gt;150000,($W126*K126-150000)*6%*45%,0)</f>
        <v>0</v>
      </c>
      <c r="AO126" s="130" t="n">
        <f aca="false">IF($W126*L126&gt;150000,($W126*L126-150000)*6%*45%,0)</f>
        <v>0</v>
      </c>
      <c r="AP126" s="130" t="n">
        <f aca="false">IF($W126*M126&gt;150000,($W126*M126-150000)*6%*45%,0)</f>
        <v>0</v>
      </c>
      <c r="AQ126" s="130" t="n">
        <f aca="false">IF($W126*N126&gt;150000,($W126*N126-150000)*6%*45%,0)</f>
        <v>0</v>
      </c>
      <c r="AR126" s="130" t="n">
        <f aca="false">IF($W126*O126&gt;150000,($W126*O126-150000)*6%*45%,0)</f>
        <v>0</v>
      </c>
      <c r="AS126" s="130" t="n">
        <f aca="false">IF($W126*P126&gt;150000,($W126*P126-150000)*6%*45%,0)</f>
        <v>0</v>
      </c>
      <c r="AT126" s="130" t="n">
        <f aca="false">IF($W126*Q126&gt;150000,($W126*Q126-150000)*6%*45%,0)</f>
        <v>0</v>
      </c>
      <c r="AU126" s="130" t="n">
        <f aca="false">IF($W126*R126&gt;150000,($W126*R126-150000)*6%*45%,0)</f>
        <v>0</v>
      </c>
      <c r="AV126" s="130" t="n">
        <f aca="false">IF($W126*S126&gt;150000,($W126*S126-150000)*6%*45%,0)</f>
        <v>0</v>
      </c>
      <c r="AW126" s="130" t="n">
        <f aca="false">IF($W126*T126&gt;150000,($W126*T126-150000)*6%*45%,0)</f>
        <v>0</v>
      </c>
      <c r="AX126" s="130"/>
      <c r="AY126" s="131" t="n">
        <f aca="false">IF(ISERROR(VLOOKUP(C126,[26]일용직명단!$A$3:$M$1151,11,FALSE())),0,VLOOKUP(C126,[26]일용직명단!$A$3:$M$1151,11,FALSE()))</f>
        <v>0</v>
      </c>
      <c r="AZ126" s="11"/>
      <c r="BA126" s="167"/>
      <c r="BB126" s="167"/>
      <c r="BC126" s="167"/>
      <c r="BD126" s="167"/>
      <c r="BE126" s="167"/>
      <c r="BF126" s="167"/>
      <c r="BG126" s="167"/>
      <c r="BH126" s="167"/>
      <c r="BI126" s="167"/>
      <c r="BJ126" s="167"/>
      <c r="BK126" s="167"/>
      <c r="BL126" s="167"/>
      <c r="BM126" s="167"/>
      <c r="BN126" s="167"/>
      <c r="BO126" s="167"/>
      <c r="BP126" s="167"/>
      <c r="BQ126" s="167"/>
      <c r="BR126" s="167"/>
      <c r="BS126" s="167"/>
      <c r="BT126" s="167"/>
      <c r="BU126" s="167"/>
      <c r="BV126" s="167"/>
      <c r="BW126" s="167"/>
      <c r="BX126" s="167"/>
      <c r="BY126" s="167"/>
      <c r="BZ126" s="167"/>
      <c r="CA126" s="167"/>
      <c r="CB126" s="167"/>
      <c r="CC126" s="167"/>
      <c r="CD126" s="167"/>
      <c r="CE126" s="167"/>
      <c r="CF126" s="167"/>
      <c r="CG126" s="167"/>
      <c r="CH126" s="167"/>
      <c r="CI126" s="167"/>
      <c r="CJ126" s="167"/>
      <c r="CK126" s="167"/>
      <c r="CL126" s="167"/>
      <c r="CM126" s="167"/>
      <c r="CN126" s="167"/>
      <c r="CO126" s="167"/>
      <c r="CP126" s="167"/>
      <c r="CQ126" s="167"/>
      <c r="CR126" s="167"/>
      <c r="CS126" s="167"/>
      <c r="CT126" s="167"/>
      <c r="CU126" s="167"/>
      <c r="CV126" s="167"/>
      <c r="CW126" s="167"/>
      <c r="CX126" s="167"/>
      <c r="CY126" s="167"/>
      <c r="CZ126" s="167"/>
      <c r="DA126" s="167"/>
      <c r="DB126" s="167"/>
      <c r="DC126" s="167"/>
      <c r="DD126" s="167"/>
      <c r="DE126" s="167"/>
      <c r="DF126" s="167"/>
      <c r="DG126" s="167"/>
      <c r="DH126" s="167"/>
      <c r="DI126" s="167"/>
      <c r="DJ126" s="167"/>
      <c r="DK126" s="167"/>
      <c r="DL126" s="167"/>
      <c r="DM126" s="167"/>
      <c r="DN126" s="167"/>
      <c r="DO126" s="167"/>
      <c r="DP126" s="167"/>
      <c r="DQ126" s="167"/>
      <c r="DR126" s="167"/>
      <c r="DS126" s="167"/>
      <c r="DT126" s="167"/>
      <c r="DU126" s="167"/>
      <c r="DV126" s="167"/>
      <c r="DW126" s="167"/>
      <c r="DX126" s="167"/>
      <c r="DY126" s="167"/>
      <c r="DZ126" s="167"/>
      <c r="EA126" s="167"/>
      <c r="EB126" s="167"/>
      <c r="EC126" s="167"/>
      <c r="ED126" s="167"/>
      <c r="EE126" s="167"/>
      <c r="EF126" s="167"/>
      <c r="EG126" s="167"/>
      <c r="EH126" s="167"/>
      <c r="EI126" s="167"/>
      <c r="EJ126" s="167"/>
      <c r="EK126" s="167"/>
      <c r="EL126" s="167"/>
      <c r="EM126" s="167"/>
      <c r="EN126" s="167"/>
      <c r="EO126" s="167"/>
      <c r="EP126" s="167"/>
      <c r="EQ126" s="167"/>
      <c r="ER126" s="167"/>
      <c r="ES126" s="167"/>
      <c r="ET126" s="167"/>
      <c r="EU126" s="167"/>
      <c r="EV126" s="167"/>
      <c r="EW126" s="167"/>
      <c r="EX126" s="167"/>
      <c r="EY126" s="167"/>
      <c r="EZ126" s="167"/>
      <c r="FA126" s="167"/>
      <c r="FB126" s="167"/>
      <c r="FC126" s="167"/>
      <c r="FD126" s="167"/>
      <c r="FE126" s="167"/>
      <c r="FF126" s="167"/>
      <c r="FG126" s="167"/>
      <c r="FH126" s="167"/>
      <c r="FI126" s="167"/>
      <c r="FJ126" s="167"/>
      <c r="FK126" s="167"/>
      <c r="FL126" s="167"/>
      <c r="FM126" s="167"/>
      <c r="FN126" s="167"/>
      <c r="FO126" s="167"/>
      <c r="FP126" s="167"/>
      <c r="FQ126" s="167"/>
      <c r="FR126" s="167"/>
      <c r="FS126" s="167"/>
      <c r="FT126" s="167"/>
      <c r="FU126" s="167"/>
      <c r="FV126" s="167"/>
      <c r="FW126" s="167"/>
      <c r="FX126" s="167"/>
      <c r="FY126" s="167"/>
      <c r="FZ126" s="167"/>
      <c r="GA126" s="167"/>
      <c r="GB126" s="167"/>
      <c r="GC126" s="167"/>
      <c r="GD126" s="167"/>
      <c r="GE126" s="167"/>
      <c r="GF126" s="167"/>
      <c r="GG126" s="167"/>
      <c r="GH126" s="167"/>
      <c r="GI126" s="167"/>
      <c r="GJ126" s="167"/>
      <c r="GK126" s="167"/>
      <c r="GL126" s="167"/>
      <c r="GM126" s="167"/>
      <c r="GN126" s="167"/>
      <c r="GO126" s="167"/>
      <c r="GP126" s="167"/>
      <c r="GQ126" s="167"/>
      <c r="GR126" s="167"/>
      <c r="GS126" s="167"/>
      <c r="GT126" s="167"/>
      <c r="GU126" s="167"/>
      <c r="GV126" s="167"/>
      <c r="GW126" s="167"/>
      <c r="GX126" s="167"/>
      <c r="GY126" s="167"/>
      <c r="GZ126" s="167"/>
      <c r="HA126" s="167"/>
      <c r="HB126" s="167"/>
      <c r="HC126" s="167"/>
      <c r="HD126" s="167"/>
      <c r="HE126" s="167"/>
      <c r="HF126" s="167"/>
      <c r="HG126" s="167"/>
      <c r="HH126" s="167"/>
      <c r="HI126" s="167"/>
      <c r="HJ126" s="167"/>
      <c r="HK126" s="167"/>
      <c r="HL126" s="167"/>
      <c r="HM126" s="167"/>
      <c r="HN126" s="167"/>
      <c r="HO126" s="167"/>
      <c r="HP126" s="167"/>
      <c r="HQ126" s="167"/>
      <c r="HR126" s="167"/>
      <c r="HS126" s="167"/>
      <c r="HT126" s="167"/>
      <c r="HU126" s="167"/>
      <c r="HV126" s="167"/>
      <c r="HW126" s="167"/>
      <c r="HX126" s="167"/>
      <c r="HY126" s="167"/>
      <c r="HZ126" s="167"/>
      <c r="IA126" s="167"/>
      <c r="IB126" s="167"/>
      <c r="IC126" s="167"/>
      <c r="ID126" s="167"/>
      <c r="IE126" s="167"/>
      <c r="IF126" s="167"/>
      <c r="IG126" s="167"/>
      <c r="IH126" s="167"/>
      <c r="II126" s="167"/>
      <c r="IJ126" s="167"/>
      <c r="IK126" s="167"/>
      <c r="IL126" s="167"/>
      <c r="IM126" s="167"/>
      <c r="IN126" s="167"/>
      <c r="IO126" s="167"/>
      <c r="IP126" s="167"/>
      <c r="IQ126" s="167"/>
      <c r="IR126" s="167"/>
      <c r="IS126" s="167"/>
      <c r="IT126" s="167"/>
      <c r="IU126" s="167"/>
      <c r="IV126" s="167"/>
      <c r="IW126" s="167"/>
    </row>
    <row r="127" customFormat="false" ht="12.75" hidden="true" customHeight="true" outlineLevel="0" collapsed="false">
      <c r="A127" s="108"/>
      <c r="B127" s="310"/>
      <c r="C127" s="110"/>
      <c r="D127" s="311"/>
      <c r="E127" s="164" t="n">
        <f aca="false">IF(ISERROR(VLOOKUP(C126,일용직명단!$A$3:$K$1246,9,FALSE())),0,VLOOKUP(C126,일용직명단!$A$3:$K$1246,9,FALSE()))</f>
        <v>0</v>
      </c>
      <c r="F127" s="195"/>
      <c r="G127" s="196"/>
      <c r="H127" s="196"/>
      <c r="I127" s="193"/>
      <c r="J127" s="191"/>
      <c r="K127" s="193"/>
      <c r="L127" s="192"/>
      <c r="M127" s="192"/>
      <c r="N127" s="193"/>
      <c r="O127" s="191"/>
      <c r="P127" s="193"/>
      <c r="Q127" s="193"/>
      <c r="R127" s="192"/>
      <c r="S127" s="192"/>
      <c r="T127" s="192"/>
      <c r="U127" s="191"/>
      <c r="V127" s="144"/>
      <c r="W127" s="138" t="n">
        <f aca="false">W126*V126</f>
        <v>0</v>
      </c>
      <c r="X127" s="123" t="n">
        <f aca="false">IF(AH126&lt;1000,0,AH126)</f>
        <v>0</v>
      </c>
      <c r="Y127" s="123" t="n">
        <f aca="false">ROUNDDOWN(X127*10%,-1)</f>
        <v>0</v>
      </c>
      <c r="Z127" s="123" t="n">
        <f aca="false">IF(AE126&gt;=8,ROUNDDOWN(Y126*$Q$4,-1),0)</f>
        <v>0</v>
      </c>
      <c r="AA127" s="145"/>
      <c r="AB127" s="146"/>
      <c r="AC127" s="148" t="n">
        <f aca="false">IF(ISERROR(VLOOKUP(C126,일용직명단!$A$3:$I$1226,7,FALSE())),0,VLOOKUP(C126,일용직명단!$A$3:$I$1226,7,FALSE()))</f>
        <v>0</v>
      </c>
      <c r="AD127" s="148"/>
      <c r="AE127" s="128"/>
      <c r="AF127" s="129"/>
      <c r="AG127" s="129"/>
      <c r="AH127" s="130"/>
      <c r="AI127" s="130" t="n">
        <f aca="false">IF($W126*F127&gt;150000,($W126*F127-150000)*6%*45%,0)</f>
        <v>0</v>
      </c>
      <c r="AJ127" s="130" t="n">
        <f aca="false">IF($W126*G127&gt;150000,($W126*G127-150000)*6%*45%,0)</f>
        <v>0</v>
      </c>
      <c r="AK127" s="130" t="n">
        <f aca="false">IF($W126*H127&gt;150000,($W126*H127-150000)*6%*45%,0)</f>
        <v>0</v>
      </c>
      <c r="AL127" s="130" t="n">
        <f aca="false">IF($W126*I127&gt;150000,($W126*I127-150000)*6%*45%,0)</f>
        <v>0</v>
      </c>
      <c r="AM127" s="130" t="n">
        <f aca="false">IF($W126*J127&gt;150000,($W126*J127-150000)*6%*45%,0)</f>
        <v>0</v>
      </c>
      <c r="AN127" s="130" t="n">
        <f aca="false">IF($W126*K127&gt;150000,($W126*K127-150000)*6%*45%,0)</f>
        <v>0</v>
      </c>
      <c r="AO127" s="130" t="n">
        <f aca="false">IF($W126*L127&gt;150000,($W126*L127-150000)*6%*45%,0)</f>
        <v>0</v>
      </c>
      <c r="AP127" s="130" t="n">
        <f aca="false">IF($W126*M127&gt;150000,($W126*M127-150000)*6%*45%,0)</f>
        <v>0</v>
      </c>
      <c r="AQ127" s="130" t="n">
        <f aca="false">IF($W126*N127&gt;150000,($W126*N127-150000)*6%*45%,0)</f>
        <v>0</v>
      </c>
      <c r="AR127" s="130" t="n">
        <f aca="false">IF($W126*O127&gt;150000,($W126*O127-150000)*6%*45%,0)</f>
        <v>0</v>
      </c>
      <c r="AS127" s="130" t="n">
        <f aca="false">IF($W126*P127&gt;150000,($W126*P127-150000)*6%*45%,0)</f>
        <v>0</v>
      </c>
      <c r="AT127" s="130" t="n">
        <f aca="false">IF($W126*Q127&gt;150000,($W126*Q127-150000)*6%*45%,0)</f>
        <v>0</v>
      </c>
      <c r="AU127" s="130" t="n">
        <f aca="false">IF($W126*R127&gt;150000,($W126*R127-150000)*6%*45%,0)</f>
        <v>0</v>
      </c>
      <c r="AV127" s="130" t="n">
        <f aca="false">IF($W126*S127&gt;150000,($W126*S127-150000)*6%*45%,0)</f>
        <v>0</v>
      </c>
      <c r="AW127" s="130" t="n">
        <f aca="false">IF($W126*T127&gt;150000,($W126*T127-150000)*6%*45%,0)</f>
        <v>0</v>
      </c>
      <c r="AX127" s="130" t="n">
        <f aca="false">IF($W126*U127&gt;150000,($W126*U127-150000)*6%*45%,0)</f>
        <v>0</v>
      </c>
      <c r="AY127" s="131"/>
      <c r="AZ127" s="11"/>
      <c r="BA127" s="167"/>
      <c r="BB127" s="167"/>
      <c r="BC127" s="167"/>
      <c r="BD127" s="167"/>
      <c r="BE127" s="167"/>
      <c r="BF127" s="167"/>
      <c r="BG127" s="167"/>
      <c r="BH127" s="167"/>
      <c r="BI127" s="167"/>
      <c r="BJ127" s="167"/>
      <c r="BK127" s="167"/>
      <c r="BL127" s="167"/>
      <c r="BM127" s="167"/>
      <c r="BN127" s="167"/>
      <c r="BO127" s="167"/>
      <c r="BP127" s="167"/>
      <c r="BQ127" s="167"/>
      <c r="BR127" s="167"/>
      <c r="BS127" s="167"/>
      <c r="BT127" s="167"/>
      <c r="BU127" s="167"/>
      <c r="BV127" s="167"/>
      <c r="BW127" s="167"/>
      <c r="BX127" s="167"/>
      <c r="BY127" s="167"/>
      <c r="BZ127" s="167"/>
      <c r="CA127" s="167"/>
      <c r="CB127" s="167"/>
      <c r="CC127" s="167"/>
      <c r="CD127" s="167"/>
      <c r="CE127" s="167"/>
      <c r="CF127" s="167"/>
      <c r="CG127" s="167"/>
      <c r="CH127" s="167"/>
      <c r="CI127" s="167"/>
      <c r="CJ127" s="167"/>
      <c r="CK127" s="167"/>
      <c r="CL127" s="167"/>
      <c r="CM127" s="167"/>
      <c r="CN127" s="167"/>
      <c r="CO127" s="167"/>
      <c r="CP127" s="167"/>
      <c r="CQ127" s="167"/>
      <c r="CR127" s="167"/>
      <c r="CS127" s="167"/>
      <c r="CT127" s="167"/>
      <c r="CU127" s="167"/>
      <c r="CV127" s="167"/>
      <c r="CW127" s="167"/>
      <c r="CX127" s="167"/>
      <c r="CY127" s="167"/>
      <c r="CZ127" s="167"/>
      <c r="DA127" s="167"/>
      <c r="DB127" s="167"/>
      <c r="DC127" s="167"/>
      <c r="DD127" s="167"/>
      <c r="DE127" s="167"/>
      <c r="DF127" s="167"/>
      <c r="DG127" s="167"/>
      <c r="DH127" s="167"/>
      <c r="DI127" s="167"/>
      <c r="DJ127" s="167"/>
      <c r="DK127" s="167"/>
      <c r="DL127" s="167"/>
      <c r="DM127" s="167"/>
      <c r="DN127" s="167"/>
      <c r="DO127" s="167"/>
      <c r="DP127" s="167"/>
      <c r="DQ127" s="167"/>
      <c r="DR127" s="167"/>
      <c r="DS127" s="167"/>
      <c r="DT127" s="167"/>
      <c r="DU127" s="167"/>
      <c r="DV127" s="167"/>
      <c r="DW127" s="167"/>
      <c r="DX127" s="167"/>
      <c r="DY127" s="167"/>
      <c r="DZ127" s="167"/>
      <c r="EA127" s="167"/>
      <c r="EB127" s="167"/>
      <c r="EC127" s="167"/>
      <c r="ED127" s="167"/>
      <c r="EE127" s="167"/>
      <c r="EF127" s="167"/>
      <c r="EG127" s="167"/>
      <c r="EH127" s="167"/>
      <c r="EI127" s="167"/>
      <c r="EJ127" s="167"/>
      <c r="EK127" s="167"/>
      <c r="EL127" s="167"/>
      <c r="EM127" s="167"/>
      <c r="EN127" s="167"/>
      <c r="EO127" s="167"/>
      <c r="EP127" s="167"/>
      <c r="EQ127" s="167"/>
      <c r="ER127" s="167"/>
      <c r="ES127" s="167"/>
      <c r="ET127" s="167"/>
      <c r="EU127" s="167"/>
      <c r="EV127" s="167"/>
      <c r="EW127" s="167"/>
      <c r="EX127" s="167"/>
      <c r="EY127" s="167"/>
      <c r="EZ127" s="167"/>
      <c r="FA127" s="167"/>
      <c r="FB127" s="167"/>
      <c r="FC127" s="167"/>
      <c r="FD127" s="167"/>
      <c r="FE127" s="167"/>
      <c r="FF127" s="167"/>
      <c r="FG127" s="167"/>
      <c r="FH127" s="167"/>
      <c r="FI127" s="167"/>
      <c r="FJ127" s="167"/>
      <c r="FK127" s="167"/>
      <c r="FL127" s="167"/>
      <c r="FM127" s="167"/>
      <c r="FN127" s="167"/>
      <c r="FO127" s="167"/>
      <c r="FP127" s="167"/>
      <c r="FQ127" s="167"/>
      <c r="FR127" s="167"/>
      <c r="FS127" s="167"/>
      <c r="FT127" s="167"/>
      <c r="FU127" s="167"/>
      <c r="FV127" s="167"/>
      <c r="FW127" s="167"/>
      <c r="FX127" s="167"/>
      <c r="FY127" s="167"/>
      <c r="FZ127" s="167"/>
      <c r="GA127" s="167"/>
      <c r="GB127" s="167"/>
      <c r="GC127" s="167"/>
      <c r="GD127" s="167"/>
      <c r="GE127" s="167"/>
      <c r="GF127" s="167"/>
      <c r="GG127" s="167"/>
      <c r="GH127" s="167"/>
      <c r="GI127" s="167"/>
      <c r="GJ127" s="167"/>
      <c r="GK127" s="167"/>
      <c r="GL127" s="167"/>
      <c r="GM127" s="167"/>
      <c r="GN127" s="167"/>
      <c r="GO127" s="167"/>
      <c r="GP127" s="167"/>
      <c r="GQ127" s="167"/>
      <c r="GR127" s="167"/>
      <c r="GS127" s="167"/>
      <c r="GT127" s="167"/>
      <c r="GU127" s="167"/>
      <c r="GV127" s="167"/>
      <c r="GW127" s="167"/>
      <c r="GX127" s="167"/>
      <c r="GY127" s="167"/>
      <c r="GZ127" s="167"/>
      <c r="HA127" s="167"/>
      <c r="HB127" s="167"/>
      <c r="HC127" s="167"/>
      <c r="HD127" s="167"/>
      <c r="HE127" s="167"/>
      <c r="HF127" s="167"/>
      <c r="HG127" s="167"/>
      <c r="HH127" s="167"/>
      <c r="HI127" s="167"/>
      <c r="HJ127" s="167"/>
      <c r="HK127" s="167"/>
      <c r="HL127" s="167"/>
      <c r="HM127" s="167"/>
      <c r="HN127" s="167"/>
      <c r="HO127" s="167"/>
      <c r="HP127" s="167"/>
      <c r="HQ127" s="167"/>
      <c r="HR127" s="167"/>
      <c r="HS127" s="167"/>
      <c r="HT127" s="167"/>
      <c r="HU127" s="167"/>
      <c r="HV127" s="167"/>
      <c r="HW127" s="167"/>
      <c r="HX127" s="167"/>
      <c r="HY127" s="167"/>
      <c r="HZ127" s="167"/>
      <c r="IA127" s="167"/>
      <c r="IB127" s="167"/>
      <c r="IC127" s="167"/>
      <c r="ID127" s="167"/>
      <c r="IE127" s="167"/>
      <c r="IF127" s="167"/>
      <c r="IG127" s="167"/>
      <c r="IH127" s="167"/>
      <c r="II127" s="167"/>
      <c r="IJ127" s="167"/>
      <c r="IK127" s="167"/>
      <c r="IL127" s="167"/>
      <c r="IM127" s="167"/>
      <c r="IN127" s="167"/>
      <c r="IO127" s="167"/>
      <c r="IP127" s="167"/>
      <c r="IQ127" s="167"/>
      <c r="IR127" s="167"/>
      <c r="IS127" s="167"/>
      <c r="IT127" s="167"/>
      <c r="IU127" s="167"/>
      <c r="IV127" s="167"/>
      <c r="IW127" s="167"/>
    </row>
    <row r="128" customFormat="false" ht="13.5" hidden="true" customHeight="true" outlineLevel="0" collapsed="false">
      <c r="A128" s="108" t="n">
        <f aca="false">A126+1</f>
        <v>45</v>
      </c>
      <c r="B128" s="310" t="n">
        <f aca="false">IF(ISERROR(VLOOKUP(C128,일용직명단!$A$3:$I$104,2,FALSE())),0,VLOOKUP(C128,일용직명단!$A$3:$I$104,2,FALSE()))</f>
        <v>0</v>
      </c>
      <c r="C128" s="290"/>
      <c r="D128" s="311" t="n">
        <f aca="false">IF(ISERROR(VLOOKUP(C128,일용직명단!$A$3:$K$1246,3,FALSE())),0,VLOOKUP(C128,일용직명단!$A$3:$K$1246,3,FALSE()))</f>
        <v>0</v>
      </c>
      <c r="E128" s="112" t="n">
        <f aca="false">IF(ISERROR(VLOOKUP(C128,일용직명단!$A$3:$K$1246,4,FALSE())),0,VLOOKUP(C128,일용직명단!$A$3:$K$1246,4,FALSE()))</f>
        <v>0</v>
      </c>
      <c r="F128" s="192"/>
      <c r="G128" s="193"/>
      <c r="H128" s="191"/>
      <c r="I128" s="191"/>
      <c r="J128" s="192"/>
      <c r="K128" s="191"/>
      <c r="L128" s="192"/>
      <c r="M128" s="192"/>
      <c r="N128" s="193"/>
      <c r="O128" s="193"/>
      <c r="P128" s="192"/>
      <c r="Q128" s="193"/>
      <c r="R128" s="191"/>
      <c r="S128" s="193"/>
      <c r="T128" s="191"/>
      <c r="U128" s="194"/>
      <c r="V128" s="120" t="n">
        <f aca="false">SUM(F128:U129)</f>
        <v>0</v>
      </c>
      <c r="W128" s="121" t="n">
        <f aca="false">IF(ISERROR(VLOOKUP(C128,일용직명단!$A$3:$K$1246,8,FALSE())),0,VLOOKUP(C128,일용직명단!$A$3:$K$1246,8,FALSE()))</f>
        <v>0</v>
      </c>
      <c r="X128" s="122" t="n">
        <f aca="false">IFERROR(IF(AG128&gt;=65,0,ROUNDDOWN(W129*$Z$4,-1)),0)</f>
        <v>0</v>
      </c>
      <c r="Y128" s="122" t="n">
        <f aca="false">IF(AE128&gt;=8,ROUNDDOWN(W129*$M$4,-1),0)</f>
        <v>0</v>
      </c>
      <c r="Z128" s="123" t="n">
        <f aca="false">IFERROR(IF(AND(COUNT(F128:U129)&gt;=8,$AG128&lt;60,W129&lt;=5530000),ROUNDDOWN(ROUNDDOWN(W129,-3)*4.5%,-1),IF(AND(COUNT(F128:U129)&gt;=8,AG128&lt;60,W129&gt;5530000),248850,0)),0)</f>
        <v>0</v>
      </c>
      <c r="AA128" s="124" t="n">
        <f aca="false">+X128+Y128+X129+Y129+Z128+Z129</f>
        <v>0</v>
      </c>
      <c r="AB128" s="125" t="n">
        <f aca="false">W129-AA128</f>
        <v>0</v>
      </c>
      <c r="AC128" s="126" t="n">
        <f aca="false">IF(ISERROR(VLOOKUP(C128,일용직명단!$A$3:$I$1226,5,FALSE())),0,VLOOKUP(C128,일용직명단!$A$3:$I$1226,5,FALSE()))</f>
        <v>0</v>
      </c>
      <c r="AD128" s="127" t="n">
        <f aca="false">IF(ISERROR(VLOOKUP(C128,일용직명단!$A$3:$I$1226,6,FALSE())),0,VLOOKUP(C128,일용직명단!$A$3:$I$1226,6,FALSE()))</f>
        <v>0</v>
      </c>
      <c r="AE128" s="128" t="n">
        <f aca="false">COUNT(F128:U129)</f>
        <v>0</v>
      </c>
      <c r="AF128" s="129" t="str">
        <f aca="false">IF(OR(MID(D128,8,1)="1",MID(D128,8,1)="2"),19&amp;LEFT(D128,2),20&amp;LEFT(D128,2))&amp;"-"&amp;MID(D128,3,2)&amp;"-"&amp;MID(D128,5,2)</f>
        <v>200--</v>
      </c>
      <c r="AG128" s="129" t="e">
        <f aca="true">INT((TODAY()-AF128)/365.25)</f>
        <v>#VALUE!</v>
      </c>
      <c r="AH128" s="130" t="n">
        <f aca="false">ROUNDDOWN(SUM(AI128:AX129),-1)</f>
        <v>0</v>
      </c>
      <c r="AI128" s="130" t="n">
        <f aca="false">IF($W128*F128&gt;150000,($W128*F128-150000)*6%*45%,0)</f>
        <v>0</v>
      </c>
      <c r="AJ128" s="130" t="n">
        <f aca="false">IF($W128*G128&gt;150000,($W128*G128-150000)*6%*45%,0)</f>
        <v>0</v>
      </c>
      <c r="AK128" s="130" t="n">
        <f aca="false">IF($W128*H128&gt;150000,($W128*H128-150000)*6%*45%,0)</f>
        <v>0</v>
      </c>
      <c r="AL128" s="130" t="n">
        <f aca="false">IF($W128*I128&gt;150000,($W128*I128-150000)*6%*45%,0)</f>
        <v>0</v>
      </c>
      <c r="AM128" s="130" t="n">
        <f aca="false">IF($W128*J128&gt;150000,($W128*J128-150000)*6%*45%,0)</f>
        <v>0</v>
      </c>
      <c r="AN128" s="130" t="n">
        <f aca="false">IF($W128*K128&gt;150000,($W128*K128-150000)*6%*45%,0)</f>
        <v>0</v>
      </c>
      <c r="AO128" s="130" t="n">
        <f aca="false">IF($W128*L128&gt;150000,($W128*L128-150000)*6%*45%,0)</f>
        <v>0</v>
      </c>
      <c r="AP128" s="130" t="n">
        <f aca="false">IF($W128*M128&gt;150000,($W128*M128-150000)*6%*45%,0)</f>
        <v>0</v>
      </c>
      <c r="AQ128" s="130" t="n">
        <f aca="false">IF($W128*N128&gt;150000,($W128*N128-150000)*6%*45%,0)</f>
        <v>0</v>
      </c>
      <c r="AR128" s="130" t="n">
        <f aca="false">IF($W128*O128&gt;150000,($W128*O128-150000)*6%*45%,0)</f>
        <v>0</v>
      </c>
      <c r="AS128" s="130" t="n">
        <f aca="false">IF($W128*P128&gt;150000,($W128*P128-150000)*6%*45%,0)</f>
        <v>0</v>
      </c>
      <c r="AT128" s="130" t="n">
        <f aca="false">IF($W128*Q128&gt;150000,($W128*Q128-150000)*6%*45%,0)</f>
        <v>0</v>
      </c>
      <c r="AU128" s="130" t="n">
        <f aca="false">IF($W128*R128&gt;150000,($W128*R128-150000)*6%*45%,0)</f>
        <v>0</v>
      </c>
      <c r="AV128" s="130" t="n">
        <f aca="false">IF($W128*S128&gt;150000,($W128*S128-150000)*6%*45%,0)</f>
        <v>0</v>
      </c>
      <c r="AW128" s="130" t="n">
        <f aca="false">IF($W128*T128&gt;150000,($W128*T128-150000)*6%*45%,0)</f>
        <v>0</v>
      </c>
      <c r="AX128" s="130"/>
      <c r="AY128" s="131" t="n">
        <f aca="false">IF(ISERROR(VLOOKUP(C128,[26]일용직명단!$A$3:$M$1151,11,FALSE())),0,VLOOKUP(C128,[26]일용직명단!$A$3:$M$1151,11,FALSE()))</f>
        <v>0</v>
      </c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/>
      <c r="GF128" s="11"/>
      <c r="GG128" s="11"/>
      <c r="GH128" s="11"/>
      <c r="GI128" s="11"/>
      <c r="GJ128" s="11"/>
      <c r="GK128" s="11"/>
      <c r="GL128" s="11"/>
      <c r="GM128" s="11"/>
      <c r="GN128" s="11"/>
      <c r="GO128" s="11"/>
      <c r="GP128" s="11"/>
      <c r="GQ128" s="11"/>
      <c r="GR128" s="11"/>
      <c r="GS128" s="11"/>
      <c r="GT128" s="11"/>
      <c r="GU128" s="11"/>
      <c r="GV128" s="11"/>
      <c r="GW128" s="11"/>
      <c r="GX128" s="11"/>
      <c r="GY128" s="11"/>
      <c r="GZ128" s="11"/>
      <c r="HA128" s="11"/>
      <c r="HB128" s="11"/>
      <c r="HC128" s="11"/>
      <c r="HD128" s="11"/>
      <c r="HE128" s="11"/>
      <c r="HF128" s="11"/>
      <c r="HG128" s="11"/>
      <c r="HH128" s="11"/>
      <c r="HI128" s="11"/>
      <c r="HJ128" s="11"/>
      <c r="HK128" s="11"/>
      <c r="HL128" s="11"/>
      <c r="HM128" s="11"/>
      <c r="HN128" s="11"/>
      <c r="HO128" s="11"/>
      <c r="HP128" s="11"/>
      <c r="HQ128" s="11"/>
      <c r="HR128" s="11"/>
      <c r="HS128" s="11"/>
      <c r="HT128" s="11"/>
      <c r="HU128" s="11"/>
      <c r="HV128" s="11"/>
      <c r="HW128" s="11"/>
      <c r="HX128" s="11"/>
      <c r="HY128" s="11"/>
      <c r="HZ128" s="11"/>
      <c r="IA128" s="11"/>
      <c r="IB128" s="11"/>
      <c r="IC128" s="11"/>
      <c r="ID128" s="11"/>
      <c r="IE128" s="11"/>
      <c r="IF128" s="11"/>
      <c r="IG128" s="11"/>
      <c r="IH128" s="11"/>
      <c r="II128" s="11"/>
      <c r="IJ128" s="11"/>
      <c r="IK128" s="11"/>
      <c r="IL128" s="11"/>
      <c r="IM128" s="11"/>
      <c r="IN128" s="11"/>
      <c r="IO128" s="11"/>
      <c r="IP128" s="11"/>
      <c r="IQ128" s="11"/>
      <c r="IR128" s="11"/>
      <c r="IS128" s="11"/>
      <c r="IT128" s="11"/>
      <c r="IU128" s="11"/>
      <c r="IV128" s="11"/>
      <c r="IW128" s="11"/>
    </row>
    <row r="129" customFormat="false" ht="13.5" hidden="true" customHeight="true" outlineLevel="0" collapsed="false">
      <c r="A129" s="108"/>
      <c r="B129" s="310"/>
      <c r="C129" s="290"/>
      <c r="D129" s="311"/>
      <c r="E129" s="112" t="n">
        <f aca="false">IF(ISERROR(VLOOKUP(C128,일용직명단!$A$3:$K$1246,9,FALSE())),0,VLOOKUP(C128,일용직명단!$A$3:$K$1246,9,FALSE()))</f>
        <v>0</v>
      </c>
      <c r="F129" s="195"/>
      <c r="G129" s="196"/>
      <c r="H129" s="196"/>
      <c r="I129" s="193"/>
      <c r="J129" s="191"/>
      <c r="K129" s="193"/>
      <c r="L129" s="192"/>
      <c r="M129" s="192"/>
      <c r="N129" s="193"/>
      <c r="O129" s="191"/>
      <c r="P129" s="193"/>
      <c r="Q129" s="193"/>
      <c r="R129" s="192"/>
      <c r="S129" s="192"/>
      <c r="T129" s="192"/>
      <c r="U129" s="191"/>
      <c r="V129" s="120"/>
      <c r="W129" s="138" t="n">
        <f aca="false">W128*V128</f>
        <v>0</v>
      </c>
      <c r="X129" s="122" t="n">
        <f aca="false">IF(AH128&lt;1000,0,AH128)</f>
        <v>0</v>
      </c>
      <c r="Y129" s="122" t="n">
        <f aca="false">ROUNDDOWN(X129*10%,-1)</f>
        <v>0</v>
      </c>
      <c r="Z129" s="123" t="n">
        <f aca="false">IF(AE128&gt;=8,ROUNDDOWN(Y128*$Q$4,-1),0)</f>
        <v>0</v>
      </c>
      <c r="AA129" s="124"/>
      <c r="AB129" s="125"/>
      <c r="AC129" s="127" t="n">
        <f aca="false">IF(ISERROR(VLOOKUP(C128,일용직명단!$A$3:$I$1226,7,FALSE())),0,VLOOKUP(C128,일용직명단!$A$3:$I$1226,7,FALSE()))</f>
        <v>0</v>
      </c>
      <c r="AD129" s="127"/>
      <c r="AE129" s="128"/>
      <c r="AF129" s="129"/>
      <c r="AG129" s="129"/>
      <c r="AH129" s="130"/>
      <c r="AI129" s="130" t="n">
        <f aca="false">IF($W128*F129&gt;150000,($W128*F129-150000)*6%*45%,0)</f>
        <v>0</v>
      </c>
      <c r="AJ129" s="130" t="n">
        <f aca="false">IF($W128*G129&gt;150000,($W128*G129-150000)*6%*45%,0)</f>
        <v>0</v>
      </c>
      <c r="AK129" s="130" t="n">
        <f aca="false">IF($W128*H129&gt;150000,($W128*H129-150000)*6%*45%,0)</f>
        <v>0</v>
      </c>
      <c r="AL129" s="130" t="n">
        <f aca="false">IF($W128*I129&gt;150000,($W128*I129-150000)*6%*45%,0)</f>
        <v>0</v>
      </c>
      <c r="AM129" s="130" t="n">
        <f aca="false">IF($W128*J129&gt;150000,($W128*J129-150000)*6%*45%,0)</f>
        <v>0</v>
      </c>
      <c r="AN129" s="130" t="n">
        <f aca="false">IF($W128*K129&gt;150000,($W128*K129-150000)*6%*45%,0)</f>
        <v>0</v>
      </c>
      <c r="AO129" s="130" t="n">
        <f aca="false">IF($W128*L129&gt;150000,($W128*L129-150000)*6%*45%,0)</f>
        <v>0</v>
      </c>
      <c r="AP129" s="130" t="n">
        <f aca="false">IF($W128*M129&gt;150000,($W128*M129-150000)*6%*45%,0)</f>
        <v>0</v>
      </c>
      <c r="AQ129" s="130" t="n">
        <f aca="false">IF($W128*N129&gt;150000,($W128*N129-150000)*6%*45%,0)</f>
        <v>0</v>
      </c>
      <c r="AR129" s="130" t="n">
        <f aca="false">IF($W128*O129&gt;150000,($W128*O129-150000)*6%*45%,0)</f>
        <v>0</v>
      </c>
      <c r="AS129" s="130" t="n">
        <f aca="false">IF($W128*P129&gt;150000,($W128*P129-150000)*6%*45%,0)</f>
        <v>0</v>
      </c>
      <c r="AT129" s="130" t="n">
        <f aca="false">IF($W128*Q129&gt;150000,($W128*Q129-150000)*6%*45%,0)</f>
        <v>0</v>
      </c>
      <c r="AU129" s="130" t="n">
        <f aca="false">IF($W128*R129&gt;150000,($W128*R129-150000)*6%*45%,0)</f>
        <v>0</v>
      </c>
      <c r="AV129" s="130" t="n">
        <f aca="false">IF($W128*S129&gt;150000,($W128*S129-150000)*6%*45%,0)</f>
        <v>0</v>
      </c>
      <c r="AW129" s="130" t="n">
        <f aca="false">IF($W128*T129&gt;150000,($W128*T129-150000)*6%*45%,0)</f>
        <v>0</v>
      </c>
      <c r="AX129" s="130" t="n">
        <f aca="false">IF($W128*U129&gt;150000,($W128*U129-150000)*6%*45%,0)</f>
        <v>0</v>
      </c>
      <c r="AY129" s="13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1"/>
      <c r="FW129" s="11"/>
      <c r="FX129" s="11"/>
      <c r="FY129" s="11"/>
      <c r="FZ129" s="11"/>
      <c r="GA129" s="11"/>
      <c r="GB129" s="11"/>
      <c r="GC129" s="11"/>
      <c r="GD129" s="11"/>
      <c r="GE129" s="11"/>
      <c r="GF129" s="11"/>
      <c r="GG129" s="11"/>
      <c r="GH129" s="11"/>
      <c r="GI129" s="11"/>
      <c r="GJ129" s="11"/>
      <c r="GK129" s="11"/>
      <c r="GL129" s="11"/>
      <c r="GM129" s="11"/>
      <c r="GN129" s="11"/>
      <c r="GO129" s="11"/>
      <c r="GP129" s="11"/>
      <c r="GQ129" s="11"/>
      <c r="GR129" s="11"/>
      <c r="GS129" s="11"/>
      <c r="GT129" s="11"/>
      <c r="GU129" s="11"/>
      <c r="GV129" s="11"/>
      <c r="GW129" s="11"/>
      <c r="GX129" s="11"/>
      <c r="GY129" s="11"/>
      <c r="GZ129" s="11"/>
      <c r="HA129" s="11"/>
      <c r="HB129" s="11"/>
      <c r="HC129" s="11"/>
      <c r="HD129" s="11"/>
      <c r="HE129" s="11"/>
      <c r="HF129" s="11"/>
      <c r="HG129" s="11"/>
      <c r="HH129" s="11"/>
      <c r="HI129" s="11"/>
      <c r="HJ129" s="11"/>
      <c r="HK129" s="11"/>
      <c r="HL129" s="11"/>
      <c r="HM129" s="11"/>
      <c r="HN129" s="11"/>
      <c r="HO129" s="11"/>
      <c r="HP129" s="11"/>
      <c r="HQ129" s="11"/>
      <c r="HR129" s="11"/>
      <c r="HS129" s="11"/>
      <c r="HT129" s="11"/>
      <c r="HU129" s="11"/>
      <c r="HV129" s="11"/>
      <c r="HW129" s="11"/>
      <c r="HX129" s="11"/>
      <c r="HY129" s="11"/>
      <c r="HZ129" s="11"/>
      <c r="IA129" s="11"/>
      <c r="IB129" s="11"/>
      <c r="IC129" s="11"/>
      <c r="ID129" s="11"/>
      <c r="IE129" s="11"/>
      <c r="IF129" s="11"/>
      <c r="IG129" s="11"/>
      <c r="IH129" s="11"/>
      <c r="II129" s="11"/>
      <c r="IJ129" s="11"/>
      <c r="IK129" s="11"/>
      <c r="IL129" s="11"/>
      <c r="IM129" s="11"/>
      <c r="IN129" s="11"/>
      <c r="IO129" s="11"/>
      <c r="IP129" s="11"/>
      <c r="IQ129" s="11"/>
      <c r="IR129" s="11"/>
      <c r="IS129" s="11"/>
      <c r="IT129" s="11"/>
      <c r="IU129" s="11"/>
      <c r="IV129" s="11"/>
      <c r="IW129" s="11"/>
    </row>
    <row r="130" customFormat="false" ht="13.5" hidden="true" customHeight="true" outlineLevel="0" collapsed="false">
      <c r="A130" s="108" t="n">
        <f aca="false">A128+1</f>
        <v>46</v>
      </c>
      <c r="B130" s="310" t="n">
        <f aca="false">IF(ISERROR(VLOOKUP(C130,일용직명단!$A$3:$I$104,2,FALSE())),0,VLOOKUP(C130,일용직명단!$A$3:$I$104,2,FALSE()))</f>
        <v>0</v>
      </c>
      <c r="C130" s="143"/>
      <c r="D130" s="311" t="n">
        <f aca="false">IF(ISERROR(VLOOKUP(C130,일용직명단!$A$3:$K$1246,3,FALSE())),0,VLOOKUP(C130,일용직명단!$A$3:$K$1246,3,FALSE()))</f>
        <v>0</v>
      </c>
      <c r="E130" s="140" t="n">
        <f aca="false">IF(ISERROR(VLOOKUP(C130,일용직명단!$A$3:$K$1246,4,FALSE())),0,VLOOKUP(C130,일용직명단!$A$3:$K$1246,4,FALSE()))</f>
        <v>0</v>
      </c>
      <c r="F130" s="192"/>
      <c r="G130" s="193"/>
      <c r="H130" s="191"/>
      <c r="I130" s="191"/>
      <c r="J130" s="192"/>
      <c r="K130" s="191"/>
      <c r="L130" s="192"/>
      <c r="M130" s="192"/>
      <c r="N130" s="193"/>
      <c r="O130" s="193"/>
      <c r="P130" s="192"/>
      <c r="Q130" s="193"/>
      <c r="R130" s="191"/>
      <c r="S130" s="193"/>
      <c r="T130" s="191"/>
      <c r="U130" s="194"/>
      <c r="V130" s="144" t="n">
        <f aca="false">SUM(F130:U131)</f>
        <v>0</v>
      </c>
      <c r="W130" s="121" t="n">
        <f aca="false">IF(ISERROR(VLOOKUP(C130,일용직명단!$A$3:$K$1246,8,FALSE())),0,VLOOKUP(C130,일용직명단!$A$3:$K$1246,8,FALSE()))</f>
        <v>0</v>
      </c>
      <c r="X130" s="123" t="n">
        <f aca="false">IFERROR(IF(AG130&gt;=65,0,ROUNDDOWN(W131*$Z$4,-1)),0)</f>
        <v>0</v>
      </c>
      <c r="Y130" s="123" t="n">
        <f aca="false">IF(AE130&gt;=8,ROUNDDOWN(W131*$M$4,-1),0)</f>
        <v>0</v>
      </c>
      <c r="Z130" s="123" t="n">
        <f aca="false">IFERROR(IF(AND(COUNT(F130:U131)&gt;=8,$AG130&lt;60,W131&lt;=5530000),ROUNDDOWN(ROUNDDOWN(W131,-3)*4.5%,-1),IF(AND(COUNT(F130:U131)&gt;=8,AG130&lt;60,W131&gt;5530000),248850,0)),0)</f>
        <v>0</v>
      </c>
      <c r="AA130" s="145" t="n">
        <f aca="false">+X130+Y130+X131+Y131+Z130+Z131</f>
        <v>0</v>
      </c>
      <c r="AB130" s="146" t="n">
        <f aca="false">W131-AA130</f>
        <v>0</v>
      </c>
      <c r="AC130" s="147" t="n">
        <f aca="false">IF(ISERROR(VLOOKUP(C130,일용직명단!$A$3:$I$1226,5,FALSE())),0,VLOOKUP(C130,일용직명단!$A$3:$I$1226,5,FALSE()))</f>
        <v>0</v>
      </c>
      <c r="AD130" s="148" t="n">
        <f aca="false">IF(ISERROR(VLOOKUP(C130,일용직명단!$A$3:$I$1226,6,FALSE())),0,VLOOKUP(C130,일용직명단!$A$3:$I$1226,6,FALSE()))</f>
        <v>0</v>
      </c>
      <c r="AE130" s="149" t="n">
        <f aca="false">COUNT(F130:U131)</f>
        <v>0</v>
      </c>
      <c r="AF130" s="129" t="str">
        <f aca="false">IF(OR(MID(D130,8,1)="1",MID(D130,8,1)="2"),19&amp;LEFT(D130,2),20&amp;LEFT(D130,2))&amp;"-"&amp;MID(D130,3,2)&amp;"-"&amp;MID(D130,5,2)</f>
        <v>200--</v>
      </c>
      <c r="AG130" s="129" t="e">
        <f aca="true">INT((TODAY()-AF130)/365.25)</f>
        <v>#VALUE!</v>
      </c>
      <c r="AH130" s="130" t="n">
        <f aca="false">ROUNDDOWN(SUM(AI130:AX131),-1)</f>
        <v>0</v>
      </c>
      <c r="AI130" s="130" t="n">
        <f aca="false">IF($W130*F130&gt;150000,($W130*F130-150000)*6%*45%,0)</f>
        <v>0</v>
      </c>
      <c r="AJ130" s="130" t="n">
        <f aca="false">IF($W130*G130&gt;150000,($W130*G130-150000)*6%*45%,0)</f>
        <v>0</v>
      </c>
      <c r="AK130" s="130" t="n">
        <f aca="false">IF($W130*H130&gt;150000,($W130*H130-150000)*6%*45%,0)</f>
        <v>0</v>
      </c>
      <c r="AL130" s="130" t="n">
        <f aca="false">IF($W130*I130&gt;150000,($W130*I130-150000)*6%*45%,0)</f>
        <v>0</v>
      </c>
      <c r="AM130" s="130" t="n">
        <f aca="false">IF($W130*J130&gt;150000,($W130*J130-150000)*6%*45%,0)</f>
        <v>0</v>
      </c>
      <c r="AN130" s="130" t="n">
        <f aca="false">IF($W130*K130&gt;150000,($W130*K130-150000)*6%*45%,0)</f>
        <v>0</v>
      </c>
      <c r="AO130" s="130" t="n">
        <f aca="false">IF($W130*L130&gt;150000,($W130*L130-150000)*6%*45%,0)</f>
        <v>0</v>
      </c>
      <c r="AP130" s="130" t="n">
        <f aca="false">IF($W130*M130&gt;150000,($W130*M130-150000)*6%*45%,0)</f>
        <v>0</v>
      </c>
      <c r="AQ130" s="130" t="n">
        <f aca="false">IF($W130*N130&gt;150000,($W130*N130-150000)*6%*45%,0)</f>
        <v>0</v>
      </c>
      <c r="AR130" s="130" t="n">
        <f aca="false">IF($W130*O130&gt;150000,($W130*O130-150000)*6%*45%,0)</f>
        <v>0</v>
      </c>
      <c r="AS130" s="130" t="n">
        <f aca="false">IF($W130*P130&gt;150000,($W130*P130-150000)*6%*45%,0)</f>
        <v>0</v>
      </c>
      <c r="AT130" s="130" t="n">
        <f aca="false">IF($W130*Q130&gt;150000,($W130*Q130-150000)*6%*45%,0)</f>
        <v>0</v>
      </c>
      <c r="AU130" s="130" t="n">
        <f aca="false">IF($W130*R130&gt;150000,($W130*R130-150000)*6%*45%,0)</f>
        <v>0</v>
      </c>
      <c r="AV130" s="130" t="n">
        <f aca="false">IF($W130*S130&gt;150000,($W130*S130-150000)*6%*45%,0)</f>
        <v>0</v>
      </c>
      <c r="AW130" s="130" t="n">
        <f aca="false">IF($W130*T130&gt;150000,($W130*T130-150000)*6%*45%,0)</f>
        <v>0</v>
      </c>
      <c r="AX130" s="130"/>
      <c r="AY130" s="131" t="n">
        <f aca="false">IF(ISERROR(VLOOKUP(C130,[26]일용직명단!$A$3:$M$1151,11,FALSE())),0,VLOOKUP(C130,[26]일용직명단!$A$3:$M$1151,11,FALSE()))</f>
        <v>0</v>
      </c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/>
      <c r="GF130" s="11"/>
      <c r="GG130" s="11"/>
      <c r="GH130" s="11"/>
      <c r="GI130" s="11"/>
      <c r="GJ130" s="11"/>
      <c r="GK130" s="11"/>
      <c r="GL130" s="11"/>
      <c r="GM130" s="11"/>
      <c r="GN130" s="11"/>
      <c r="GO130" s="11"/>
      <c r="GP130" s="11"/>
      <c r="GQ130" s="11"/>
      <c r="GR130" s="11"/>
      <c r="GS130" s="11"/>
      <c r="GT130" s="11"/>
      <c r="GU130" s="11"/>
      <c r="GV130" s="11"/>
      <c r="GW130" s="11"/>
      <c r="GX130" s="11"/>
      <c r="GY130" s="11"/>
      <c r="GZ130" s="11"/>
      <c r="HA130" s="11"/>
      <c r="HB130" s="11"/>
      <c r="HC130" s="11"/>
      <c r="HD130" s="11"/>
      <c r="HE130" s="11"/>
      <c r="HF130" s="11"/>
      <c r="HG130" s="11"/>
      <c r="HH130" s="11"/>
      <c r="HI130" s="11"/>
      <c r="HJ130" s="11"/>
      <c r="HK130" s="11"/>
      <c r="HL130" s="11"/>
      <c r="HM130" s="11"/>
      <c r="HN130" s="11"/>
      <c r="HO130" s="11"/>
      <c r="HP130" s="11"/>
      <c r="HQ130" s="11"/>
      <c r="HR130" s="11"/>
      <c r="HS130" s="11"/>
      <c r="HT130" s="11"/>
      <c r="HU130" s="11"/>
      <c r="HV130" s="11"/>
      <c r="HW130" s="11"/>
      <c r="HX130" s="11"/>
      <c r="HY130" s="11"/>
      <c r="HZ130" s="11"/>
      <c r="IA130" s="11"/>
      <c r="IB130" s="11"/>
      <c r="IC130" s="11"/>
      <c r="ID130" s="11"/>
      <c r="IE130" s="11"/>
      <c r="IF130" s="11"/>
      <c r="IG130" s="11"/>
      <c r="IH130" s="11"/>
      <c r="II130" s="11"/>
      <c r="IJ130" s="11"/>
      <c r="IK130" s="11"/>
      <c r="IL130" s="11"/>
      <c r="IM130" s="11"/>
      <c r="IN130" s="11"/>
      <c r="IO130" s="11"/>
      <c r="IP130" s="11"/>
      <c r="IQ130" s="11"/>
      <c r="IR130" s="11"/>
      <c r="IS130" s="11"/>
      <c r="IT130" s="11"/>
      <c r="IU130" s="11"/>
      <c r="IV130" s="11"/>
      <c r="IW130" s="11"/>
    </row>
    <row r="131" customFormat="false" ht="13.5" hidden="true" customHeight="true" outlineLevel="0" collapsed="false">
      <c r="A131" s="108"/>
      <c r="B131" s="310"/>
      <c r="C131" s="143"/>
      <c r="D131" s="311"/>
      <c r="E131" s="140" t="n">
        <f aca="false">IF(ISERROR(VLOOKUP(C130,일용직명단!$A$3:$K$1246,9,FALSE())),0,VLOOKUP(C130,일용직명단!$A$3:$K$1246,9,FALSE()))</f>
        <v>0</v>
      </c>
      <c r="F131" s="195"/>
      <c r="G131" s="196"/>
      <c r="H131" s="196"/>
      <c r="I131" s="193"/>
      <c r="J131" s="191"/>
      <c r="K131" s="193"/>
      <c r="L131" s="192"/>
      <c r="M131" s="192"/>
      <c r="N131" s="193"/>
      <c r="O131" s="191"/>
      <c r="P131" s="193"/>
      <c r="Q131" s="193"/>
      <c r="R131" s="192"/>
      <c r="S131" s="192"/>
      <c r="T131" s="192"/>
      <c r="U131" s="191"/>
      <c r="V131" s="144"/>
      <c r="W131" s="138" t="n">
        <f aca="false">W130*V130</f>
        <v>0</v>
      </c>
      <c r="X131" s="123" t="n">
        <f aca="false">IF(AH130&lt;1000,0,AH130)</f>
        <v>0</v>
      </c>
      <c r="Y131" s="123" t="n">
        <f aca="false">ROUNDDOWN(X131*10%,-1)</f>
        <v>0</v>
      </c>
      <c r="Z131" s="123" t="n">
        <f aca="false">IF(AE130&gt;=8,ROUNDDOWN(Y130*$Q$4,-1),0)</f>
        <v>0</v>
      </c>
      <c r="AA131" s="145"/>
      <c r="AB131" s="146"/>
      <c r="AC131" s="148" t="n">
        <f aca="false">IF(ISERROR(VLOOKUP(C130,일용직명단!$A$3:$I$1226,7,FALSE())),0,VLOOKUP(C130,일용직명단!$A$3:$I$1226,7,FALSE()))</f>
        <v>0</v>
      </c>
      <c r="AD131" s="148"/>
      <c r="AE131" s="149"/>
      <c r="AF131" s="129"/>
      <c r="AG131" s="129"/>
      <c r="AH131" s="130"/>
      <c r="AI131" s="130" t="n">
        <f aca="false">IF($W130*F131&gt;150000,($W130*F131-150000)*6%*45%,0)</f>
        <v>0</v>
      </c>
      <c r="AJ131" s="130" t="n">
        <f aca="false">IF($W130*G131&gt;150000,($W130*G131-150000)*6%*45%,0)</f>
        <v>0</v>
      </c>
      <c r="AK131" s="130" t="n">
        <f aca="false">IF($W130*H131&gt;150000,($W130*H131-150000)*6%*45%,0)</f>
        <v>0</v>
      </c>
      <c r="AL131" s="130" t="n">
        <f aca="false">IF($W130*I131&gt;150000,($W130*I131-150000)*6%*45%,0)</f>
        <v>0</v>
      </c>
      <c r="AM131" s="130" t="n">
        <f aca="false">IF($W130*J131&gt;150000,($W130*J131-150000)*6%*45%,0)</f>
        <v>0</v>
      </c>
      <c r="AN131" s="130" t="n">
        <f aca="false">IF($W130*K131&gt;150000,($W130*K131-150000)*6%*45%,0)</f>
        <v>0</v>
      </c>
      <c r="AO131" s="130" t="n">
        <f aca="false">IF($W130*L131&gt;150000,($W130*L131-150000)*6%*45%,0)</f>
        <v>0</v>
      </c>
      <c r="AP131" s="130" t="n">
        <f aca="false">IF($W130*M131&gt;150000,($W130*M131-150000)*6%*45%,0)</f>
        <v>0</v>
      </c>
      <c r="AQ131" s="130" t="n">
        <f aca="false">IF($W130*N131&gt;150000,($W130*N131-150000)*6%*45%,0)</f>
        <v>0</v>
      </c>
      <c r="AR131" s="130" t="n">
        <f aca="false">IF($W130*O131&gt;150000,($W130*O131-150000)*6%*45%,0)</f>
        <v>0</v>
      </c>
      <c r="AS131" s="130" t="n">
        <f aca="false">IF($W130*P131&gt;150000,($W130*P131-150000)*6%*45%,0)</f>
        <v>0</v>
      </c>
      <c r="AT131" s="130" t="n">
        <f aca="false">IF($W130*Q131&gt;150000,($W130*Q131-150000)*6%*45%,0)</f>
        <v>0</v>
      </c>
      <c r="AU131" s="130" t="n">
        <f aca="false">IF($W130*R131&gt;150000,($W130*R131-150000)*6%*45%,0)</f>
        <v>0</v>
      </c>
      <c r="AV131" s="130" t="n">
        <f aca="false">IF($W130*S131&gt;150000,($W130*S131-150000)*6%*45%,0)</f>
        <v>0</v>
      </c>
      <c r="AW131" s="130" t="n">
        <f aca="false">IF($W130*T131&gt;150000,($W130*T131-150000)*6%*45%,0)</f>
        <v>0</v>
      </c>
      <c r="AX131" s="130" t="n">
        <f aca="false">IF($W130*U131&gt;150000,($W130*U131-150000)*6%*45%,0)</f>
        <v>0</v>
      </c>
      <c r="AY131" s="13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11"/>
      <c r="GG131" s="11"/>
      <c r="GH131" s="11"/>
      <c r="GI131" s="11"/>
      <c r="GJ131" s="11"/>
      <c r="GK131" s="11"/>
      <c r="GL131" s="11"/>
      <c r="GM131" s="11"/>
      <c r="GN131" s="11"/>
      <c r="GO131" s="11"/>
      <c r="GP131" s="11"/>
      <c r="GQ131" s="11"/>
      <c r="GR131" s="11"/>
      <c r="GS131" s="11"/>
      <c r="GT131" s="11"/>
      <c r="GU131" s="11"/>
      <c r="GV131" s="11"/>
      <c r="GW131" s="11"/>
      <c r="GX131" s="11"/>
      <c r="GY131" s="11"/>
      <c r="GZ131" s="11"/>
      <c r="HA131" s="11"/>
      <c r="HB131" s="11"/>
      <c r="HC131" s="11"/>
      <c r="HD131" s="11"/>
      <c r="HE131" s="11"/>
      <c r="HF131" s="11"/>
      <c r="HG131" s="11"/>
      <c r="HH131" s="11"/>
      <c r="HI131" s="11"/>
      <c r="HJ131" s="11"/>
      <c r="HK131" s="11"/>
      <c r="HL131" s="11"/>
      <c r="HM131" s="11"/>
      <c r="HN131" s="11"/>
      <c r="HO131" s="11"/>
      <c r="HP131" s="11"/>
      <c r="HQ131" s="11"/>
      <c r="HR131" s="11"/>
      <c r="HS131" s="11"/>
      <c r="HT131" s="11"/>
      <c r="HU131" s="11"/>
      <c r="HV131" s="11"/>
      <c r="HW131" s="11"/>
      <c r="HX131" s="11"/>
      <c r="HY131" s="11"/>
      <c r="HZ131" s="11"/>
      <c r="IA131" s="11"/>
      <c r="IB131" s="11"/>
      <c r="IC131" s="11"/>
      <c r="ID131" s="11"/>
      <c r="IE131" s="11"/>
      <c r="IF131" s="11"/>
      <c r="IG131" s="11"/>
      <c r="IH131" s="11"/>
      <c r="II131" s="11"/>
      <c r="IJ131" s="11"/>
      <c r="IK131" s="11"/>
      <c r="IL131" s="11"/>
      <c r="IM131" s="11"/>
      <c r="IN131" s="11"/>
      <c r="IO131" s="11"/>
      <c r="IP131" s="11"/>
      <c r="IQ131" s="11"/>
      <c r="IR131" s="11"/>
      <c r="IS131" s="11"/>
      <c r="IT131" s="11"/>
      <c r="IU131" s="11"/>
      <c r="IV131" s="11"/>
      <c r="IW131" s="11"/>
    </row>
    <row r="132" customFormat="false" ht="13.5" hidden="true" customHeight="true" outlineLevel="0" collapsed="false">
      <c r="A132" s="108" t="n">
        <f aca="false">A130+1</f>
        <v>47</v>
      </c>
      <c r="B132" s="310"/>
      <c r="C132" s="206"/>
      <c r="D132" s="311" t="n">
        <f aca="false">IF(ISERROR(VLOOKUP(C132,일용직명단!$A$3:$K$1246,3,FALSE())),0,VLOOKUP(C132,일용직명단!$A$3:$K$1246,3,FALSE()))</f>
        <v>0</v>
      </c>
      <c r="E132" s="112" t="n">
        <f aca="false">IF(ISERROR(VLOOKUP(C132,일용직명단!$A$3:$K$1246,4,FALSE())),0,VLOOKUP(C132,일용직명단!$A$3:$K$1246,4,FALSE()))</f>
        <v>0</v>
      </c>
      <c r="F132" s="192"/>
      <c r="G132" s="193"/>
      <c r="H132" s="191"/>
      <c r="I132" s="191"/>
      <c r="J132" s="192"/>
      <c r="K132" s="191"/>
      <c r="L132" s="192"/>
      <c r="M132" s="192"/>
      <c r="N132" s="193"/>
      <c r="O132" s="193"/>
      <c r="P132" s="192"/>
      <c r="Q132" s="193"/>
      <c r="R132" s="191"/>
      <c r="S132" s="193"/>
      <c r="T132" s="191"/>
      <c r="U132" s="194"/>
      <c r="V132" s="120" t="n">
        <f aca="false">SUM(F132:U133)</f>
        <v>0</v>
      </c>
      <c r="W132" s="121" t="n">
        <f aca="false">IF(ISERROR(VLOOKUP(C132,일용직명단!$A$3:$K$1246,8,FALSE())),0,VLOOKUP(C132,일용직명단!$A$3:$K$1246,8,FALSE()))</f>
        <v>0</v>
      </c>
      <c r="X132" s="122" t="n">
        <f aca="false">IFERROR(IF(AG132&gt;=65,0,ROUNDDOWN(W133*$Z$4,-1)),0)</f>
        <v>0</v>
      </c>
      <c r="Y132" s="122" t="n">
        <f aca="false">IF(AE132&gt;=8,ROUNDDOWN(W133*$M$4,-1),0)</f>
        <v>0</v>
      </c>
      <c r="Z132" s="123" t="n">
        <f aca="false">IFERROR(IF(AND(COUNT(F132:U133)&gt;=8,$AG132&lt;60,W133&lt;=5530000),ROUNDDOWN(ROUNDDOWN(W133,-3)*4.5%,-1),IF(AND(COUNT(F132:U133)&gt;=8,AG132&lt;60,W133&gt;5530000),248850,0)),0)</f>
        <v>0</v>
      </c>
      <c r="AA132" s="124" t="n">
        <f aca="false">+X132+Y132+X133+Y133+Z132+Z133</f>
        <v>0</v>
      </c>
      <c r="AB132" s="125" t="n">
        <f aca="false">W133-AA132</f>
        <v>0</v>
      </c>
      <c r="AC132" s="126" t="n">
        <f aca="false">IF(ISERROR(VLOOKUP(C132,일용직명단!$A$3:$I$1226,5,FALSE())),0,VLOOKUP(C132,일용직명단!$A$3:$I$1226,5,FALSE()))</f>
        <v>0</v>
      </c>
      <c r="AD132" s="127" t="n">
        <f aca="false">IF(ISERROR(VLOOKUP(C132,일용직명단!$A$3:$I$1226,6,FALSE())),0,VLOOKUP(C132,일용직명단!$A$3:$I$1226,6,FALSE()))</f>
        <v>0</v>
      </c>
      <c r="AE132" s="128" t="n">
        <f aca="false">COUNT(F132:U133)</f>
        <v>0</v>
      </c>
      <c r="AF132" s="129" t="str">
        <f aca="false">IF(OR(MID(D132,8,1)="1",MID(D132,8,1)="2"),19&amp;LEFT(D132,2),20&amp;LEFT(D132,2))&amp;"-"&amp;MID(D132,3,2)&amp;"-"&amp;MID(D132,5,2)</f>
        <v>200--</v>
      </c>
      <c r="AG132" s="129" t="e">
        <f aca="true">INT((TODAY()-AF132)/365.25)</f>
        <v>#VALUE!</v>
      </c>
      <c r="AH132" s="130" t="n">
        <f aca="false">ROUNDDOWN(SUM(AI132:AX133),-1)</f>
        <v>0</v>
      </c>
      <c r="AI132" s="130" t="n">
        <f aca="false">IF($W132*F132&gt;150000,($W132*F132-150000)*6%*45%,0)</f>
        <v>0</v>
      </c>
      <c r="AJ132" s="130" t="n">
        <f aca="false">IF($W132*G132&gt;150000,($W132*G132-150000)*6%*45%,0)</f>
        <v>0</v>
      </c>
      <c r="AK132" s="130" t="n">
        <f aca="false">IF($W132*H132&gt;150000,($W132*H132-150000)*6%*45%,0)</f>
        <v>0</v>
      </c>
      <c r="AL132" s="130" t="n">
        <f aca="false">IF($W132*I132&gt;150000,($W132*I132-150000)*6%*45%,0)</f>
        <v>0</v>
      </c>
      <c r="AM132" s="130" t="n">
        <f aca="false">IF($W132*J132&gt;150000,($W132*J132-150000)*6%*45%,0)</f>
        <v>0</v>
      </c>
      <c r="AN132" s="130" t="n">
        <f aca="false">IF($W132*K132&gt;150000,($W132*K132-150000)*6%*45%,0)</f>
        <v>0</v>
      </c>
      <c r="AO132" s="130" t="n">
        <f aca="false">IF($W132*L132&gt;150000,($W132*L132-150000)*6%*45%,0)</f>
        <v>0</v>
      </c>
      <c r="AP132" s="130" t="n">
        <f aca="false">IF($W132*M132&gt;150000,($W132*M132-150000)*6%*45%,0)</f>
        <v>0</v>
      </c>
      <c r="AQ132" s="130" t="n">
        <f aca="false">IF($W132*N132&gt;150000,($W132*N132-150000)*6%*45%,0)</f>
        <v>0</v>
      </c>
      <c r="AR132" s="130" t="n">
        <f aca="false">IF($W132*O132&gt;150000,($W132*O132-150000)*6%*45%,0)</f>
        <v>0</v>
      </c>
      <c r="AS132" s="130" t="n">
        <f aca="false">IF($W132*P132&gt;150000,($W132*P132-150000)*6%*45%,0)</f>
        <v>0</v>
      </c>
      <c r="AT132" s="130" t="n">
        <f aca="false">IF($W132*Q132&gt;150000,($W132*Q132-150000)*6%*45%,0)</f>
        <v>0</v>
      </c>
      <c r="AU132" s="130" t="n">
        <f aca="false">IF($W132*R132&gt;150000,($W132*R132-150000)*6%*45%,0)</f>
        <v>0</v>
      </c>
      <c r="AV132" s="130" t="n">
        <f aca="false">IF($W132*S132&gt;150000,($W132*S132-150000)*6%*45%,0)</f>
        <v>0</v>
      </c>
      <c r="AW132" s="130" t="n">
        <f aca="false">IF($W132*T132&gt;150000,($W132*T132-150000)*6%*45%,0)</f>
        <v>0</v>
      </c>
      <c r="AX132" s="130"/>
      <c r="AY132" s="131" t="n">
        <f aca="false">IF(ISERROR(VLOOKUP(AJ5,[26]일용직명단!$A$3:$M$1151,11,FALSE())),0,VLOOKUP(AJ5,[26]일용직명단!$A$3:$M$1151,11,FALSE()))</f>
        <v>0</v>
      </c>
      <c r="AZ132" s="11"/>
      <c r="BA132" s="11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  <c r="IM132" s="12"/>
      <c r="IN132" s="12"/>
      <c r="IO132" s="12"/>
      <c r="IP132" s="12"/>
    </row>
    <row r="133" customFormat="false" ht="13.5" hidden="true" customHeight="true" outlineLevel="0" collapsed="false">
      <c r="A133" s="108"/>
      <c r="B133" s="310"/>
      <c r="C133" s="206"/>
      <c r="D133" s="311"/>
      <c r="E133" s="112" t="n">
        <f aca="false">IF(ISERROR(VLOOKUP(C132,일용직명단!$A$3:$K$1246,9,FALSE())),0,VLOOKUP(C132,일용직명단!$A$3:$K$1246,9,FALSE()))</f>
        <v>0</v>
      </c>
      <c r="F133" s="195"/>
      <c r="G133" s="196"/>
      <c r="H133" s="196"/>
      <c r="I133" s="193"/>
      <c r="J133" s="191"/>
      <c r="K133" s="193"/>
      <c r="L133" s="192"/>
      <c r="M133" s="192"/>
      <c r="N133" s="193"/>
      <c r="O133" s="191"/>
      <c r="P133" s="193"/>
      <c r="Q133" s="193"/>
      <c r="R133" s="192"/>
      <c r="S133" s="192"/>
      <c r="T133" s="192"/>
      <c r="U133" s="191"/>
      <c r="V133" s="120"/>
      <c r="W133" s="138" t="n">
        <f aca="false">W132*V132</f>
        <v>0</v>
      </c>
      <c r="X133" s="122" t="n">
        <f aca="false">IF(AH132&lt;1000,0,AH132)</f>
        <v>0</v>
      </c>
      <c r="Y133" s="122" t="n">
        <f aca="false">ROUNDDOWN(X133*10%,-1)</f>
        <v>0</v>
      </c>
      <c r="Z133" s="123" t="n">
        <f aca="false">IF(AE132&gt;=8,ROUNDDOWN(Y132*$Q$4,-1),0)</f>
        <v>0</v>
      </c>
      <c r="AA133" s="124"/>
      <c r="AB133" s="125"/>
      <c r="AC133" s="127" t="n">
        <f aca="false">IF(ISERROR(VLOOKUP(C132,일용직명단!$A$3:$I$1226,7,FALSE())),0,VLOOKUP(C132,일용직명단!$A$3:$I$1226,7,FALSE()))</f>
        <v>0</v>
      </c>
      <c r="AD133" s="127"/>
      <c r="AE133" s="128"/>
      <c r="AF133" s="129"/>
      <c r="AG133" s="129"/>
      <c r="AH133" s="130"/>
      <c r="AI133" s="130" t="n">
        <f aca="false">IF($W132*F133&gt;150000,($W132*F133-150000)*6%*45%,0)</f>
        <v>0</v>
      </c>
      <c r="AJ133" s="130" t="n">
        <f aca="false">IF($W132*G133&gt;150000,($W132*G133-150000)*6%*45%,0)</f>
        <v>0</v>
      </c>
      <c r="AK133" s="130" t="n">
        <f aca="false">IF($W132*H133&gt;150000,($W132*H133-150000)*6%*45%,0)</f>
        <v>0</v>
      </c>
      <c r="AL133" s="130" t="n">
        <f aca="false">IF($W132*I133&gt;150000,($W132*I133-150000)*6%*45%,0)</f>
        <v>0</v>
      </c>
      <c r="AM133" s="130" t="n">
        <f aca="false">IF($W132*J133&gt;150000,($W132*J133-150000)*6%*45%,0)</f>
        <v>0</v>
      </c>
      <c r="AN133" s="130" t="n">
        <f aca="false">IF($W132*K133&gt;150000,($W132*K133-150000)*6%*45%,0)</f>
        <v>0</v>
      </c>
      <c r="AO133" s="130" t="n">
        <f aca="false">IF($W132*L133&gt;150000,($W132*L133-150000)*6%*45%,0)</f>
        <v>0</v>
      </c>
      <c r="AP133" s="130" t="n">
        <f aca="false">IF($W132*M133&gt;150000,($W132*M133-150000)*6%*45%,0)</f>
        <v>0</v>
      </c>
      <c r="AQ133" s="130" t="n">
        <f aca="false">IF($W132*N133&gt;150000,($W132*N133-150000)*6%*45%,0)</f>
        <v>0</v>
      </c>
      <c r="AR133" s="130" t="n">
        <f aca="false">IF($W132*O133&gt;150000,($W132*O133-150000)*6%*45%,0)</f>
        <v>0</v>
      </c>
      <c r="AS133" s="130" t="n">
        <f aca="false">IF($W132*P133&gt;150000,($W132*P133-150000)*6%*45%,0)</f>
        <v>0</v>
      </c>
      <c r="AT133" s="130" t="n">
        <f aca="false">IF($W132*Q133&gt;150000,($W132*Q133-150000)*6%*45%,0)</f>
        <v>0</v>
      </c>
      <c r="AU133" s="130" t="n">
        <f aca="false">IF($W132*R133&gt;150000,($W132*R133-150000)*6%*45%,0)</f>
        <v>0</v>
      </c>
      <c r="AV133" s="130" t="n">
        <f aca="false">IF($W132*S133&gt;150000,($W132*S133-150000)*6%*45%,0)</f>
        <v>0</v>
      </c>
      <c r="AW133" s="130" t="n">
        <f aca="false">IF($W132*T133&gt;150000,($W132*T133-150000)*6%*45%,0)</f>
        <v>0</v>
      </c>
      <c r="AX133" s="130" t="n">
        <f aca="false">IF($W132*U133&gt;150000,($W132*U133-150000)*6%*45%,0)</f>
        <v>0</v>
      </c>
      <c r="AY133" s="131"/>
      <c r="AZ133" s="11"/>
      <c r="BA133" s="11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  <c r="IM133" s="12"/>
      <c r="IN133" s="12"/>
      <c r="IO133" s="12"/>
      <c r="IP133" s="12"/>
    </row>
    <row r="134" customFormat="false" ht="13.5" hidden="true" customHeight="true" outlineLevel="0" collapsed="false">
      <c r="A134" s="108" t="n">
        <f aca="false">A132+1</f>
        <v>48</v>
      </c>
      <c r="B134" s="159"/>
      <c r="C134" s="203"/>
      <c r="D134" s="311" t="n">
        <f aca="false">IF(ISERROR(VLOOKUP(C134,[28]일용직명단!$A$3:$K$1183,3,FALSE())),0,VLOOKUP(C134,[28]일용직명단!$A$3:$K$1183,3,FALSE()))</f>
        <v>0</v>
      </c>
      <c r="E134" s="160" t="n">
        <f aca="false">IF(ISERROR(VLOOKUP(C134,일용직명단!$A$3:$K$1246,4,FALSE())),0,VLOOKUP(C134,일용직명단!$A$3:$K$1246,4,FALSE()))</f>
        <v>0</v>
      </c>
      <c r="F134" s="192"/>
      <c r="G134" s="193"/>
      <c r="H134" s="191"/>
      <c r="I134" s="191"/>
      <c r="J134" s="192"/>
      <c r="K134" s="191"/>
      <c r="L134" s="192"/>
      <c r="M134" s="192"/>
      <c r="N134" s="193"/>
      <c r="O134" s="193"/>
      <c r="P134" s="192"/>
      <c r="Q134" s="193"/>
      <c r="R134" s="191"/>
      <c r="S134" s="193"/>
      <c r="T134" s="191"/>
      <c r="U134" s="194"/>
      <c r="V134" s="144" t="n">
        <f aca="false">SUM(F134:U135)</f>
        <v>0</v>
      </c>
      <c r="W134" s="121" t="n">
        <f aca="false">IF(ISERROR(VLOOKUP(C134,일용직명단!$A$3:$K$1246,8,FALSE())),0,VLOOKUP(C134,일용직명단!$A$3:$K$1246,8,FALSE()))</f>
        <v>0</v>
      </c>
      <c r="X134" s="156" t="n">
        <f aca="false">IFERROR(IF(AG134&gt;=65,0,ROUNDDOWN(W135*$Z$4,-1)),0)</f>
        <v>0</v>
      </c>
      <c r="Y134" s="156" t="n">
        <f aca="false">IF(AE134&gt;=8,ROUNDDOWN(W135*$M$4,-1),0)</f>
        <v>0</v>
      </c>
      <c r="Z134" s="156" t="n">
        <f aca="false">IFERROR(IF(AND(COUNT(F134:U135)&gt;=8,$AG134&lt;60,W135&lt;=5530000),ROUNDDOWN(ROUNDDOWN(W135,-3)*4.5%,-1),IF(AND(COUNT(F134:U135)&gt;=8,AG134&lt;60,W135&gt;5530000),248850,0)),0)</f>
        <v>0</v>
      </c>
      <c r="AA134" s="145" t="n">
        <f aca="false">+X134+Y134+X135+Y135+Z134+Z135</f>
        <v>0</v>
      </c>
      <c r="AB134" s="146" t="n">
        <f aca="false">W135-AA134</f>
        <v>0</v>
      </c>
      <c r="AC134" s="157" t="n">
        <f aca="false">IF(ISERROR(VLOOKUP(C134,일용직명단!$A$3:$I$1226,5,FALSE())),0,VLOOKUP(C134,일용직명단!$A$3:$I$1226,5,FALSE()))</f>
        <v>0</v>
      </c>
      <c r="AD134" s="158" t="n">
        <f aca="false">IF(ISERROR(VLOOKUP(C134,일용직명단!$A$3:$I$1226,6,FALSE())),0,VLOOKUP(C134,일용직명단!$A$3:$I$1226,6,FALSE()))</f>
        <v>0</v>
      </c>
      <c r="AE134" s="141" t="n">
        <f aca="false">COUNT(F134:U135)</f>
        <v>0</v>
      </c>
      <c r="AF134" s="129" t="str">
        <f aca="false">IF(OR(MID(D134,8,1)="1",MID(D134,8,1)="2"),19&amp;LEFT(D134,2),20&amp;LEFT(D134,2))&amp;"-"&amp;MID(D134,3,2)&amp;"-"&amp;MID(D134,5,2)</f>
        <v>200--</v>
      </c>
      <c r="AG134" s="129" t="e">
        <f aca="true">INT((TODAY()-AF134)/365.25)</f>
        <v>#VALUE!</v>
      </c>
      <c r="AH134" s="161" t="n">
        <f aca="false">ROUNDDOWN(SUM(AI134:AX135),-1)</f>
        <v>0</v>
      </c>
      <c r="AI134" s="130" t="n">
        <f aca="false">IF($W134*F134&gt;150000,($W134*F134-150000)*6%*45%,0)</f>
        <v>0</v>
      </c>
      <c r="AJ134" s="130" t="n">
        <f aca="false">IF($W134*G134&gt;150000,($W134*G134-150000)*6%*45%,0)</f>
        <v>0</v>
      </c>
      <c r="AK134" s="130" t="n">
        <f aca="false">IF($W134*H134&gt;150000,($W134*H134-150000)*6%*45%,0)</f>
        <v>0</v>
      </c>
      <c r="AL134" s="130" t="n">
        <f aca="false">IF($W134*I134&gt;150000,($W134*I134-150000)*6%*45%,0)</f>
        <v>0</v>
      </c>
      <c r="AM134" s="130" t="n">
        <f aca="false">IF($W134*J134&gt;150000,($W134*J134-150000)*6%*45%,0)</f>
        <v>0</v>
      </c>
      <c r="AN134" s="130" t="n">
        <f aca="false">IF($W134*K134&gt;150000,($W134*K134-150000)*6%*45%,0)</f>
        <v>0</v>
      </c>
      <c r="AO134" s="130" t="n">
        <f aca="false">IF($W134*L134&gt;150000,($W134*L134-150000)*6%*45%,0)</f>
        <v>0</v>
      </c>
      <c r="AP134" s="130" t="n">
        <f aca="false">IF($W134*M134&gt;150000,($W134*M134-150000)*6%*45%,0)</f>
        <v>0</v>
      </c>
      <c r="AQ134" s="130" t="n">
        <f aca="false">IF($W134*N134&gt;150000,($W134*N134-150000)*6%*45%,0)</f>
        <v>0</v>
      </c>
      <c r="AR134" s="130" t="n">
        <f aca="false">IF($W134*O134&gt;150000,($W134*O134-150000)*6%*45%,0)</f>
        <v>0</v>
      </c>
      <c r="AS134" s="130" t="n">
        <f aca="false">IF($W134*P134&gt;150000,($W134*P134-150000)*6%*45%,0)</f>
        <v>0</v>
      </c>
      <c r="AT134" s="130" t="n">
        <f aca="false">IF($W134*Q134&gt;150000,($W134*Q134-150000)*6%*45%,0)</f>
        <v>0</v>
      </c>
      <c r="AU134" s="130" t="n">
        <f aca="false">IF($W134*R134&gt;150000,($W134*R134-150000)*6%*45%,0)</f>
        <v>0</v>
      </c>
      <c r="AV134" s="130" t="n">
        <f aca="false">IF($W134*S134&gt;150000,($W134*S134-150000)*6%*45%,0)</f>
        <v>0</v>
      </c>
      <c r="AW134" s="130" t="n">
        <f aca="false">IF($W134*T134&gt;150000,($W134*T134-150000)*6%*45%,0)</f>
        <v>0</v>
      </c>
      <c r="AX134" s="130"/>
      <c r="AY134" s="162" t="n">
        <f aca="false">IF(ISERROR(VLOOKUP(C134,[27]일용직명단!$A$3:$M$1151,11,FALSE())),0,VLOOKUP(C134,[27]일용직명단!$A$3:$M$1151,11,FALSE()))</f>
        <v>0</v>
      </c>
      <c r="AZ134" s="163"/>
      <c r="BA134" s="163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12"/>
      <c r="GO134" s="12"/>
      <c r="GP134" s="12"/>
      <c r="GQ134" s="12"/>
      <c r="GR134" s="12"/>
      <c r="GS134" s="12"/>
      <c r="GT134" s="12"/>
      <c r="GU134" s="12"/>
      <c r="GV134" s="12"/>
      <c r="GW134" s="12"/>
      <c r="GX134" s="12"/>
      <c r="GY134" s="12"/>
      <c r="GZ134" s="12"/>
      <c r="HA134" s="12"/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  <c r="IL134" s="12"/>
      <c r="IM134" s="12"/>
      <c r="IN134" s="12"/>
      <c r="IO134" s="12"/>
      <c r="IP134" s="12"/>
      <c r="IV134" s="11"/>
      <c r="IW134" s="11"/>
    </row>
    <row r="135" customFormat="false" ht="13.5" hidden="true" customHeight="true" outlineLevel="0" collapsed="false">
      <c r="A135" s="108"/>
      <c r="B135" s="159"/>
      <c r="C135" s="203"/>
      <c r="D135" s="311"/>
      <c r="E135" s="160" t="n">
        <f aca="false">IF(ISERROR(VLOOKUP(C134,일용직명단!$A$3:$K$1246,9,FALSE())),0,VLOOKUP(C134,일용직명단!$A$3:$K$1246,9,FALSE()))</f>
        <v>0</v>
      </c>
      <c r="F135" s="195"/>
      <c r="G135" s="196"/>
      <c r="H135" s="196"/>
      <c r="I135" s="193"/>
      <c r="J135" s="191"/>
      <c r="K135" s="193"/>
      <c r="L135" s="192"/>
      <c r="M135" s="192"/>
      <c r="N135" s="193"/>
      <c r="O135" s="191"/>
      <c r="P135" s="193"/>
      <c r="Q135" s="193"/>
      <c r="R135" s="192"/>
      <c r="S135" s="192"/>
      <c r="T135" s="192"/>
      <c r="U135" s="191"/>
      <c r="V135" s="144"/>
      <c r="W135" s="138" t="n">
        <f aca="false">W134*V134</f>
        <v>0</v>
      </c>
      <c r="X135" s="156" t="n">
        <f aca="false">IF(AH134&lt;1000,0,AH134)</f>
        <v>0</v>
      </c>
      <c r="Y135" s="156" t="n">
        <f aca="false">ROUNDDOWN(X135*10%,-1)</f>
        <v>0</v>
      </c>
      <c r="Z135" s="156" t="n">
        <f aca="false">IF(AE134&gt;=8,ROUNDDOWN(Y134*$Q$4,-1),0)</f>
        <v>0</v>
      </c>
      <c r="AA135" s="145"/>
      <c r="AB135" s="146"/>
      <c r="AC135" s="158" t="n">
        <f aca="false">IF(ISERROR(VLOOKUP(C134,일용직명단!$A$3:$I$1226,7,FALSE())),0,VLOOKUP(C134,일용직명단!$A$3:$I$1226,7,FALSE()))</f>
        <v>0</v>
      </c>
      <c r="AD135" s="158"/>
      <c r="AE135" s="141"/>
      <c r="AF135" s="129"/>
      <c r="AG135" s="129"/>
      <c r="AH135" s="161"/>
      <c r="AI135" s="130" t="n">
        <f aca="false">IF($W134*F135&gt;150000,($W134*F135-150000)*6%*45%,0)</f>
        <v>0</v>
      </c>
      <c r="AJ135" s="130" t="n">
        <f aca="false">IF($W134*G135&gt;150000,($W134*G135-150000)*6%*45%,0)</f>
        <v>0</v>
      </c>
      <c r="AK135" s="130" t="n">
        <f aca="false">IF($W134*H135&gt;150000,($W134*H135-150000)*6%*45%,0)</f>
        <v>0</v>
      </c>
      <c r="AL135" s="130" t="n">
        <f aca="false">IF($W134*I135&gt;150000,($W134*I135-150000)*6%*45%,0)</f>
        <v>0</v>
      </c>
      <c r="AM135" s="130" t="n">
        <f aca="false">IF($W134*J135&gt;150000,($W134*J135-150000)*6%*45%,0)</f>
        <v>0</v>
      </c>
      <c r="AN135" s="130" t="n">
        <f aca="false">IF($W134*K135&gt;150000,($W134*K135-150000)*6%*45%,0)</f>
        <v>0</v>
      </c>
      <c r="AO135" s="130" t="n">
        <f aca="false">IF($W134*L135&gt;150000,($W134*L135-150000)*6%*45%,0)</f>
        <v>0</v>
      </c>
      <c r="AP135" s="130" t="n">
        <f aca="false">IF($W134*M135&gt;150000,($W134*M135-150000)*6%*45%,0)</f>
        <v>0</v>
      </c>
      <c r="AQ135" s="130" t="n">
        <f aca="false">IF($W134*N135&gt;150000,($W134*N135-150000)*6%*45%,0)</f>
        <v>0</v>
      </c>
      <c r="AR135" s="130" t="n">
        <f aca="false">IF($W134*O135&gt;150000,($W134*O135-150000)*6%*45%,0)</f>
        <v>0</v>
      </c>
      <c r="AS135" s="130" t="n">
        <f aca="false">IF($W134*P135&gt;150000,($W134*P135-150000)*6%*45%,0)</f>
        <v>0</v>
      </c>
      <c r="AT135" s="130" t="n">
        <f aca="false">IF($W134*Q135&gt;150000,($W134*Q135-150000)*6%*45%,0)</f>
        <v>0</v>
      </c>
      <c r="AU135" s="130" t="n">
        <f aca="false">IF($W134*R135&gt;150000,($W134*R135-150000)*6%*45%,0)</f>
        <v>0</v>
      </c>
      <c r="AV135" s="130" t="n">
        <f aca="false">IF($W134*S135&gt;150000,($W134*S135-150000)*6%*45%,0)</f>
        <v>0</v>
      </c>
      <c r="AW135" s="130" t="n">
        <f aca="false">IF($W134*T135&gt;150000,($W134*T135-150000)*6%*45%,0)</f>
        <v>0</v>
      </c>
      <c r="AX135" s="130" t="n">
        <f aca="false">IF($W134*U135&gt;150000,($W134*U135-150000)*6%*45%,0)</f>
        <v>0</v>
      </c>
      <c r="AY135" s="162"/>
      <c r="AZ135" s="163"/>
      <c r="BA135" s="163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  <c r="GU135" s="12"/>
      <c r="GV135" s="12"/>
      <c r="GW135" s="12"/>
      <c r="GX135" s="12"/>
      <c r="GY135" s="12"/>
      <c r="GZ135" s="12"/>
      <c r="HA135" s="12"/>
      <c r="HB135" s="12"/>
      <c r="HC135" s="12"/>
      <c r="HD135" s="12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  <c r="IJ135" s="12"/>
      <c r="IK135" s="12"/>
      <c r="IL135" s="12"/>
      <c r="IM135" s="12"/>
      <c r="IN135" s="12"/>
      <c r="IO135" s="12"/>
      <c r="IP135" s="12"/>
      <c r="IV135" s="11"/>
      <c r="IW135" s="11"/>
    </row>
    <row r="136" customFormat="false" ht="13.5" hidden="true" customHeight="true" outlineLevel="0" collapsed="false">
      <c r="A136" s="108" t="n">
        <f aca="false">A134+1</f>
        <v>49</v>
      </c>
      <c r="B136" s="159" t="n">
        <f aca="false">IF(ISERROR(VLOOKUP(C136,[29]일용직명단!$A$3:$I$97,2,FALSE())),0,VLOOKUP(C136,[29]일용직명단!$A$3:$I$97,2,FALSE()))</f>
        <v>0</v>
      </c>
      <c r="C136" s="207"/>
      <c r="D136" s="311" t="n">
        <f aca="false">IF(ISERROR(VLOOKUP(C136,[28]일용직명단!$A$3:$K$1183,3,FALSE())),0,VLOOKUP(C136,[28]일용직명단!$A$3:$K$1183,3,FALSE()))</f>
        <v>0</v>
      </c>
      <c r="E136" s="160" t="n">
        <f aca="false">IF(ISERROR(VLOOKUP(C136,일용직명단!$A$3:$K$1246,4,FALSE())),0,VLOOKUP(C136,일용직명단!$A$3:$K$1246,4,FALSE()))</f>
        <v>0</v>
      </c>
      <c r="F136" s="192"/>
      <c r="G136" s="193"/>
      <c r="H136" s="191"/>
      <c r="I136" s="191"/>
      <c r="J136" s="192"/>
      <c r="K136" s="191"/>
      <c r="L136" s="192"/>
      <c r="M136" s="192"/>
      <c r="N136" s="193"/>
      <c r="O136" s="193"/>
      <c r="P136" s="192"/>
      <c r="Q136" s="193"/>
      <c r="R136" s="191"/>
      <c r="S136" s="193"/>
      <c r="T136" s="191"/>
      <c r="U136" s="194"/>
      <c r="V136" s="144" t="n">
        <f aca="false">SUM(F136:U137)</f>
        <v>0</v>
      </c>
      <c r="W136" s="121" t="n">
        <f aca="false">IF(ISERROR(VLOOKUP(C136,일용직명단!$A$3:$K$1246,8,FALSE())),0,VLOOKUP(C136,일용직명단!$A$3:$K$1246,8,FALSE()))</f>
        <v>0</v>
      </c>
      <c r="X136" s="156" t="n">
        <f aca="false">IFERROR(IF(AG136&gt;=65,0,ROUNDDOWN(W137*$Z$4,-1)),0)</f>
        <v>0</v>
      </c>
      <c r="Y136" s="156" t="n">
        <f aca="false">IF(AE136&gt;=8,ROUNDDOWN(W137*$M$4,-1),0)</f>
        <v>0</v>
      </c>
      <c r="Z136" s="156" t="n">
        <f aca="false">IFERROR(IF(AND(COUNT(F136:U137)&gt;=8,$AG136&lt;60,W137&lt;=5530000),ROUNDDOWN(ROUNDDOWN(W137,-3)*4.5%,-1),IF(AND(COUNT(F136:U137)&gt;=8,AG136&lt;60,W137&gt;5530000),248850,0)),0)</f>
        <v>0</v>
      </c>
      <c r="AA136" s="145" t="n">
        <f aca="false">+X136+Y136+X137+Y137+Z136+Z137</f>
        <v>0</v>
      </c>
      <c r="AB136" s="146" t="n">
        <f aca="false">W137-AA136</f>
        <v>0</v>
      </c>
      <c r="AC136" s="157" t="n">
        <f aca="false">IF(ISERROR(VLOOKUP(C136,일용직명단!$A$3:$I$1226,5,FALSE())),0,VLOOKUP(C136,일용직명단!$A$3:$I$1226,5,FALSE()))</f>
        <v>0</v>
      </c>
      <c r="AD136" s="158" t="n">
        <f aca="false">IF(ISERROR(VLOOKUP(C136,일용직명단!$A$3:$I$1226,6,FALSE())),0,VLOOKUP(C136,일용직명단!$A$3:$I$1226,6,FALSE()))</f>
        <v>0</v>
      </c>
      <c r="AE136" s="141" t="n">
        <f aca="false">COUNT(F136:U137)</f>
        <v>0</v>
      </c>
      <c r="AF136" s="129" t="str">
        <f aca="false">IF(OR(MID(D136,8,1)="1",MID(D136,8,1)="2"),19&amp;LEFT(D136,2),20&amp;LEFT(D136,2))&amp;"-"&amp;MID(D136,3,2)&amp;"-"&amp;MID(D136,5,2)</f>
        <v>200--</v>
      </c>
      <c r="AG136" s="129" t="e">
        <f aca="true">INT((TODAY()-AF136)/365.25)</f>
        <v>#VALUE!</v>
      </c>
      <c r="AH136" s="161" t="n">
        <f aca="false">ROUNDDOWN(SUM(AI136:AX137),-1)</f>
        <v>0</v>
      </c>
      <c r="AI136" s="130" t="n">
        <f aca="false">IF($W136*F136&gt;150000,($W136*F136-150000)*6%*45%,0)</f>
        <v>0</v>
      </c>
      <c r="AJ136" s="130" t="n">
        <f aca="false">IF($W136*G136&gt;150000,($W136*G136-150000)*6%*45%,0)</f>
        <v>0</v>
      </c>
      <c r="AK136" s="130" t="n">
        <f aca="false">IF($W136*H136&gt;150000,($W136*H136-150000)*6%*45%,0)</f>
        <v>0</v>
      </c>
      <c r="AL136" s="130" t="n">
        <f aca="false">IF($W136*I136&gt;150000,($W136*I136-150000)*6%*45%,0)</f>
        <v>0</v>
      </c>
      <c r="AM136" s="130" t="n">
        <f aca="false">IF($W136*J136&gt;150000,($W136*J136-150000)*6%*45%,0)</f>
        <v>0</v>
      </c>
      <c r="AN136" s="130" t="n">
        <f aca="false">IF($W136*K136&gt;150000,($W136*K136-150000)*6%*45%,0)</f>
        <v>0</v>
      </c>
      <c r="AO136" s="130" t="n">
        <f aca="false">IF($W136*L136&gt;150000,($W136*L136-150000)*6%*45%,0)</f>
        <v>0</v>
      </c>
      <c r="AP136" s="130" t="n">
        <f aca="false">IF($W136*M136&gt;150000,($W136*M136-150000)*6%*45%,0)</f>
        <v>0</v>
      </c>
      <c r="AQ136" s="130" t="n">
        <f aca="false">IF($W136*N136&gt;150000,($W136*N136-150000)*6%*45%,0)</f>
        <v>0</v>
      </c>
      <c r="AR136" s="130" t="n">
        <f aca="false">IF($W136*O136&gt;150000,($W136*O136-150000)*6%*45%,0)</f>
        <v>0</v>
      </c>
      <c r="AS136" s="130" t="n">
        <f aca="false">IF($W136*P136&gt;150000,($W136*P136-150000)*6%*45%,0)</f>
        <v>0</v>
      </c>
      <c r="AT136" s="130" t="n">
        <f aca="false">IF($W136*Q136&gt;150000,($W136*Q136-150000)*6%*45%,0)</f>
        <v>0</v>
      </c>
      <c r="AU136" s="130" t="n">
        <f aca="false">IF($W136*R136&gt;150000,($W136*R136-150000)*6%*45%,0)</f>
        <v>0</v>
      </c>
      <c r="AV136" s="130" t="n">
        <f aca="false">IF($W136*S136&gt;150000,($W136*S136-150000)*6%*45%,0)</f>
        <v>0</v>
      </c>
      <c r="AW136" s="130" t="n">
        <f aca="false">IF($W136*T136&gt;150000,($W136*T136-150000)*6%*45%,0)</f>
        <v>0</v>
      </c>
      <c r="AX136" s="130"/>
      <c r="AY136" s="162" t="n">
        <f aca="false">IF(ISERROR(VLOOKUP(C136,[27]일용직명단!$A$3:$M$1151,11,FALSE())),0,VLOOKUP(C136,[27]일용직명단!$A$3:$M$1151,11,FALSE()))</f>
        <v>0</v>
      </c>
      <c r="AZ136" s="163"/>
      <c r="BA136" s="163"/>
      <c r="BB136" s="163"/>
      <c r="BC136" s="163"/>
      <c r="BD136" s="163"/>
      <c r="BE136" s="163"/>
      <c r="BF136" s="163"/>
      <c r="BG136" s="163"/>
      <c r="BH136" s="163"/>
      <c r="BI136" s="163"/>
      <c r="BJ136" s="163"/>
      <c r="BK136" s="163"/>
      <c r="BL136" s="163"/>
      <c r="BM136" s="163"/>
      <c r="BN136" s="163"/>
      <c r="BO136" s="163"/>
      <c r="BP136" s="163"/>
      <c r="BQ136" s="163"/>
      <c r="BR136" s="163"/>
      <c r="BS136" s="163"/>
      <c r="BT136" s="163"/>
      <c r="BU136" s="163"/>
      <c r="BV136" s="163"/>
      <c r="BW136" s="163"/>
      <c r="BX136" s="163"/>
      <c r="BY136" s="163"/>
      <c r="BZ136" s="163"/>
      <c r="CA136" s="163"/>
      <c r="CB136" s="163"/>
      <c r="CC136" s="163"/>
      <c r="CD136" s="163"/>
      <c r="CE136" s="163"/>
      <c r="CF136" s="163"/>
      <c r="CG136" s="163"/>
      <c r="CH136" s="163"/>
      <c r="CI136" s="163"/>
      <c r="CJ136" s="163"/>
      <c r="CK136" s="163"/>
      <c r="CL136" s="163"/>
      <c r="CM136" s="163"/>
      <c r="CN136" s="163"/>
      <c r="CO136" s="163"/>
      <c r="CP136" s="163"/>
      <c r="CQ136" s="163"/>
      <c r="CR136" s="163"/>
      <c r="CS136" s="163"/>
      <c r="CT136" s="163"/>
      <c r="CU136" s="163"/>
      <c r="CV136" s="163"/>
      <c r="CW136" s="163"/>
      <c r="CX136" s="163"/>
      <c r="CY136" s="163"/>
      <c r="CZ136" s="163"/>
      <c r="DA136" s="163"/>
      <c r="DB136" s="163"/>
      <c r="DC136" s="163"/>
      <c r="DD136" s="163"/>
      <c r="DE136" s="163"/>
      <c r="DF136" s="163"/>
      <c r="DG136" s="163"/>
      <c r="DH136" s="163"/>
      <c r="DI136" s="163"/>
      <c r="DJ136" s="163"/>
      <c r="DK136" s="163"/>
      <c r="DL136" s="163"/>
      <c r="DM136" s="163"/>
      <c r="DN136" s="163"/>
      <c r="DO136" s="163"/>
      <c r="DP136" s="163"/>
      <c r="DQ136" s="163"/>
      <c r="DR136" s="163"/>
      <c r="DS136" s="163"/>
      <c r="DT136" s="163"/>
      <c r="DU136" s="163"/>
      <c r="DV136" s="163"/>
      <c r="DW136" s="163"/>
      <c r="DX136" s="163"/>
      <c r="DY136" s="163"/>
      <c r="DZ136" s="163"/>
      <c r="EA136" s="163"/>
      <c r="EB136" s="163"/>
      <c r="EC136" s="163"/>
      <c r="ED136" s="163"/>
      <c r="EE136" s="163"/>
      <c r="EF136" s="163"/>
      <c r="EG136" s="163"/>
      <c r="EH136" s="163"/>
      <c r="EI136" s="163"/>
      <c r="EJ136" s="163"/>
      <c r="EK136" s="163"/>
      <c r="EL136" s="163"/>
      <c r="EM136" s="163"/>
      <c r="EN136" s="163"/>
      <c r="EO136" s="163"/>
      <c r="EP136" s="163"/>
      <c r="EQ136" s="163"/>
      <c r="ER136" s="163"/>
      <c r="ES136" s="163"/>
      <c r="ET136" s="163"/>
      <c r="EU136" s="163"/>
      <c r="EV136" s="163"/>
      <c r="EW136" s="163"/>
      <c r="EX136" s="163"/>
      <c r="EY136" s="163"/>
      <c r="EZ136" s="163"/>
      <c r="FA136" s="163"/>
      <c r="FB136" s="163"/>
      <c r="FC136" s="163"/>
      <c r="FD136" s="163"/>
      <c r="FE136" s="163"/>
      <c r="FF136" s="163"/>
      <c r="FG136" s="163"/>
      <c r="FH136" s="163"/>
      <c r="FI136" s="163"/>
      <c r="FJ136" s="163"/>
      <c r="FK136" s="163"/>
      <c r="FL136" s="163"/>
      <c r="FM136" s="163"/>
      <c r="FN136" s="163"/>
      <c r="FO136" s="163"/>
      <c r="FP136" s="163"/>
      <c r="FQ136" s="163"/>
      <c r="FR136" s="163"/>
      <c r="FS136" s="163"/>
      <c r="FT136" s="163"/>
      <c r="FU136" s="163"/>
      <c r="FV136" s="163"/>
      <c r="FW136" s="163"/>
      <c r="FX136" s="163"/>
      <c r="FY136" s="163"/>
      <c r="FZ136" s="163"/>
      <c r="GA136" s="163"/>
      <c r="GB136" s="163"/>
      <c r="GC136" s="163"/>
      <c r="GD136" s="163"/>
      <c r="GE136" s="163"/>
      <c r="GF136" s="163"/>
      <c r="GG136" s="163"/>
      <c r="GH136" s="163"/>
      <c r="GI136" s="163"/>
      <c r="GJ136" s="163"/>
      <c r="GK136" s="163"/>
      <c r="GL136" s="163"/>
      <c r="GM136" s="163"/>
      <c r="GN136" s="163"/>
      <c r="GO136" s="163"/>
      <c r="GP136" s="163"/>
      <c r="GQ136" s="163"/>
      <c r="GR136" s="163"/>
      <c r="GS136" s="163"/>
      <c r="GT136" s="163"/>
      <c r="GU136" s="163"/>
      <c r="GV136" s="163"/>
      <c r="GW136" s="163"/>
      <c r="GX136" s="163"/>
      <c r="GY136" s="163"/>
      <c r="GZ136" s="163"/>
      <c r="HA136" s="163"/>
      <c r="HB136" s="163"/>
      <c r="HC136" s="163"/>
      <c r="HD136" s="163"/>
      <c r="HE136" s="163"/>
      <c r="HF136" s="163"/>
      <c r="HG136" s="163"/>
      <c r="HH136" s="163"/>
      <c r="HI136" s="163"/>
      <c r="HJ136" s="163"/>
      <c r="HK136" s="163"/>
      <c r="HL136" s="163"/>
      <c r="HM136" s="163"/>
      <c r="HN136" s="163"/>
      <c r="HO136" s="163"/>
      <c r="HP136" s="163"/>
      <c r="HQ136" s="163"/>
      <c r="HR136" s="163"/>
      <c r="HS136" s="163"/>
      <c r="HT136" s="163"/>
      <c r="HU136" s="163"/>
      <c r="HV136" s="163"/>
      <c r="HW136" s="163"/>
      <c r="HX136" s="163"/>
      <c r="HY136" s="163"/>
      <c r="HZ136" s="163"/>
      <c r="IA136" s="163"/>
      <c r="IB136" s="163"/>
      <c r="IC136" s="163"/>
      <c r="ID136" s="163"/>
      <c r="IE136" s="163"/>
      <c r="IF136" s="163"/>
      <c r="IG136" s="163"/>
      <c r="IH136" s="163"/>
      <c r="II136" s="163"/>
      <c r="IJ136" s="163"/>
      <c r="IK136" s="163"/>
      <c r="IL136" s="163"/>
      <c r="IM136" s="163"/>
      <c r="IN136" s="163"/>
      <c r="IO136" s="163"/>
      <c r="IP136" s="163"/>
      <c r="IQ136" s="163"/>
      <c r="IR136" s="163"/>
      <c r="IS136" s="163"/>
      <c r="IT136" s="163"/>
      <c r="IU136" s="163"/>
      <c r="IV136" s="11"/>
      <c r="IW136" s="11"/>
    </row>
    <row r="137" customFormat="false" ht="13.5" hidden="true" customHeight="true" outlineLevel="0" collapsed="false">
      <c r="A137" s="108"/>
      <c r="B137" s="159"/>
      <c r="C137" s="207"/>
      <c r="D137" s="311"/>
      <c r="E137" s="160" t="n">
        <f aca="false">IF(ISERROR(VLOOKUP(C136,일용직명단!$A$3:$K$1246,9,FALSE())),0,VLOOKUP(C136,일용직명단!$A$3:$K$1246,9,FALSE()))</f>
        <v>0</v>
      </c>
      <c r="F137" s="195"/>
      <c r="G137" s="196"/>
      <c r="H137" s="196"/>
      <c r="I137" s="193"/>
      <c r="J137" s="191"/>
      <c r="K137" s="193"/>
      <c r="L137" s="192"/>
      <c r="M137" s="192"/>
      <c r="N137" s="193"/>
      <c r="O137" s="191"/>
      <c r="P137" s="193"/>
      <c r="Q137" s="193"/>
      <c r="R137" s="192"/>
      <c r="S137" s="192"/>
      <c r="T137" s="192"/>
      <c r="U137" s="191"/>
      <c r="V137" s="144"/>
      <c r="W137" s="138" t="n">
        <f aca="false">W136*V136</f>
        <v>0</v>
      </c>
      <c r="X137" s="156" t="n">
        <f aca="false">IF(AH136&lt;1000,0,AH136)</f>
        <v>0</v>
      </c>
      <c r="Y137" s="156" t="n">
        <f aca="false">ROUNDDOWN(X137*10%,-1)</f>
        <v>0</v>
      </c>
      <c r="Z137" s="156" t="n">
        <f aca="false">IF(AE136&gt;=8,ROUNDDOWN(Y136*$Q$4,-1),0)</f>
        <v>0</v>
      </c>
      <c r="AA137" s="145"/>
      <c r="AB137" s="146"/>
      <c r="AC137" s="158" t="n">
        <f aca="false">IF(ISERROR(VLOOKUP(C136,일용직명단!$A$3:$I$1226,7,FALSE())),0,VLOOKUP(C136,일용직명단!$A$3:$I$1226,7,FALSE()))</f>
        <v>0</v>
      </c>
      <c r="AD137" s="158"/>
      <c r="AE137" s="141"/>
      <c r="AF137" s="129"/>
      <c r="AG137" s="129"/>
      <c r="AH137" s="161"/>
      <c r="AI137" s="130" t="n">
        <f aca="false">IF($W137*F137&gt;150000,($W137*F137-150000)*6%*45%,0)</f>
        <v>0</v>
      </c>
      <c r="AJ137" s="130" t="n">
        <f aca="false">IF($W137*G137&gt;150000,($W137*G137-150000)*6%*45%,0)</f>
        <v>0</v>
      </c>
      <c r="AK137" s="130" t="n">
        <f aca="false">IF($W137*H137&gt;150000,($W137*H137-150000)*6%*45%,0)</f>
        <v>0</v>
      </c>
      <c r="AL137" s="130" t="n">
        <f aca="false">IF($W137*I137&gt;150000,($W137*I137-150000)*6%*45%,0)</f>
        <v>0</v>
      </c>
      <c r="AM137" s="130" t="n">
        <f aca="false">IF($W137*J137&gt;150000,($W137*J137-150000)*6%*45%,0)</f>
        <v>0</v>
      </c>
      <c r="AN137" s="130" t="n">
        <f aca="false">IF($W137*K137&gt;150000,($W137*K137-150000)*6%*45%,0)</f>
        <v>0</v>
      </c>
      <c r="AO137" s="130" t="n">
        <f aca="false">IF($W137*L137&gt;150000,($W137*L137-150000)*6%*45%,0)</f>
        <v>0</v>
      </c>
      <c r="AP137" s="130" t="n">
        <f aca="false">IF($W137*M137&gt;150000,($W137*M137-150000)*6%*45%,0)</f>
        <v>0</v>
      </c>
      <c r="AQ137" s="130" t="n">
        <f aca="false">IF($W137*N137&gt;150000,($W137*N137-150000)*6%*45%,0)</f>
        <v>0</v>
      </c>
      <c r="AR137" s="130" t="n">
        <f aca="false">IF($W137*O137&gt;150000,($W137*O137-150000)*6%*45%,0)</f>
        <v>0</v>
      </c>
      <c r="AS137" s="130" t="n">
        <f aca="false">IF($W137*P137&gt;150000,($W137*P137-150000)*6%*45%,0)</f>
        <v>0</v>
      </c>
      <c r="AT137" s="130" t="n">
        <f aca="false">IF($W137*Q137&gt;150000,($W137*Q137-150000)*6%*45%,0)</f>
        <v>0</v>
      </c>
      <c r="AU137" s="130" t="n">
        <f aca="false">IF($W137*R137&gt;150000,($W137*R137-150000)*6%*45%,0)</f>
        <v>0</v>
      </c>
      <c r="AV137" s="130" t="n">
        <f aca="false">IF($W137*S137&gt;150000,($W137*S137-150000)*6%*45%,0)</f>
        <v>0</v>
      </c>
      <c r="AW137" s="130" t="n">
        <f aca="false">IF($W137*T137&gt;150000,($W137*T137-150000)*6%*45%,0)</f>
        <v>0</v>
      </c>
      <c r="AX137" s="130"/>
      <c r="AY137" s="162"/>
      <c r="AZ137" s="163"/>
      <c r="BA137" s="163"/>
      <c r="BB137" s="163"/>
      <c r="BC137" s="163"/>
      <c r="BD137" s="163"/>
      <c r="BE137" s="163"/>
      <c r="BF137" s="163"/>
      <c r="BG137" s="163"/>
      <c r="BH137" s="163"/>
      <c r="BI137" s="163"/>
      <c r="BJ137" s="163"/>
      <c r="BK137" s="163"/>
      <c r="BL137" s="163"/>
      <c r="BM137" s="163"/>
      <c r="BN137" s="163"/>
      <c r="BO137" s="163"/>
      <c r="BP137" s="163"/>
      <c r="BQ137" s="163"/>
      <c r="BR137" s="163"/>
      <c r="BS137" s="163"/>
      <c r="BT137" s="163"/>
      <c r="BU137" s="163"/>
      <c r="BV137" s="163"/>
      <c r="BW137" s="163"/>
      <c r="BX137" s="163"/>
      <c r="BY137" s="163"/>
      <c r="BZ137" s="163"/>
      <c r="CA137" s="163"/>
      <c r="CB137" s="163"/>
      <c r="CC137" s="163"/>
      <c r="CD137" s="163"/>
      <c r="CE137" s="163"/>
      <c r="CF137" s="163"/>
      <c r="CG137" s="163"/>
      <c r="CH137" s="163"/>
      <c r="CI137" s="163"/>
      <c r="CJ137" s="163"/>
      <c r="CK137" s="163"/>
      <c r="CL137" s="163"/>
      <c r="CM137" s="163"/>
      <c r="CN137" s="163"/>
      <c r="CO137" s="163"/>
      <c r="CP137" s="163"/>
      <c r="CQ137" s="163"/>
      <c r="CR137" s="163"/>
      <c r="CS137" s="163"/>
      <c r="CT137" s="163"/>
      <c r="CU137" s="163"/>
      <c r="CV137" s="163"/>
      <c r="CW137" s="163"/>
      <c r="CX137" s="163"/>
      <c r="CY137" s="163"/>
      <c r="CZ137" s="163"/>
      <c r="DA137" s="163"/>
      <c r="DB137" s="163"/>
      <c r="DC137" s="163"/>
      <c r="DD137" s="163"/>
      <c r="DE137" s="163"/>
      <c r="DF137" s="163"/>
      <c r="DG137" s="163"/>
      <c r="DH137" s="163"/>
      <c r="DI137" s="163"/>
      <c r="DJ137" s="163"/>
      <c r="DK137" s="163"/>
      <c r="DL137" s="163"/>
      <c r="DM137" s="163"/>
      <c r="DN137" s="163"/>
      <c r="DO137" s="163"/>
      <c r="DP137" s="163"/>
      <c r="DQ137" s="163"/>
      <c r="DR137" s="163"/>
      <c r="DS137" s="163"/>
      <c r="DT137" s="163"/>
      <c r="DU137" s="163"/>
      <c r="DV137" s="163"/>
      <c r="DW137" s="163"/>
      <c r="DX137" s="163"/>
      <c r="DY137" s="163"/>
      <c r="DZ137" s="163"/>
      <c r="EA137" s="163"/>
      <c r="EB137" s="163"/>
      <c r="EC137" s="163"/>
      <c r="ED137" s="163"/>
      <c r="EE137" s="163"/>
      <c r="EF137" s="163"/>
      <c r="EG137" s="163"/>
      <c r="EH137" s="163"/>
      <c r="EI137" s="163"/>
      <c r="EJ137" s="163"/>
      <c r="EK137" s="163"/>
      <c r="EL137" s="163"/>
      <c r="EM137" s="163"/>
      <c r="EN137" s="163"/>
      <c r="EO137" s="163"/>
      <c r="EP137" s="163"/>
      <c r="EQ137" s="163"/>
      <c r="ER137" s="163"/>
      <c r="ES137" s="163"/>
      <c r="ET137" s="163"/>
      <c r="EU137" s="163"/>
      <c r="EV137" s="163"/>
      <c r="EW137" s="163"/>
      <c r="EX137" s="163"/>
      <c r="EY137" s="163"/>
      <c r="EZ137" s="163"/>
      <c r="FA137" s="163"/>
      <c r="FB137" s="163"/>
      <c r="FC137" s="163"/>
      <c r="FD137" s="163"/>
      <c r="FE137" s="163"/>
      <c r="FF137" s="163"/>
      <c r="FG137" s="163"/>
      <c r="FH137" s="163"/>
      <c r="FI137" s="163"/>
      <c r="FJ137" s="163"/>
      <c r="FK137" s="163"/>
      <c r="FL137" s="163"/>
      <c r="FM137" s="163"/>
      <c r="FN137" s="163"/>
      <c r="FO137" s="163"/>
      <c r="FP137" s="163"/>
      <c r="FQ137" s="163"/>
      <c r="FR137" s="163"/>
      <c r="FS137" s="163"/>
      <c r="FT137" s="163"/>
      <c r="FU137" s="163"/>
      <c r="FV137" s="163"/>
      <c r="FW137" s="163"/>
      <c r="FX137" s="163"/>
      <c r="FY137" s="163"/>
      <c r="FZ137" s="163"/>
      <c r="GA137" s="163"/>
      <c r="GB137" s="163"/>
      <c r="GC137" s="163"/>
      <c r="GD137" s="163"/>
      <c r="GE137" s="163"/>
      <c r="GF137" s="163"/>
      <c r="GG137" s="163"/>
      <c r="GH137" s="163"/>
      <c r="GI137" s="163"/>
      <c r="GJ137" s="163"/>
      <c r="GK137" s="163"/>
      <c r="GL137" s="163"/>
      <c r="GM137" s="163"/>
      <c r="GN137" s="163"/>
      <c r="GO137" s="163"/>
      <c r="GP137" s="163"/>
      <c r="GQ137" s="163"/>
      <c r="GR137" s="163"/>
      <c r="GS137" s="163"/>
      <c r="GT137" s="163"/>
      <c r="GU137" s="163"/>
      <c r="GV137" s="163"/>
      <c r="GW137" s="163"/>
      <c r="GX137" s="163"/>
      <c r="GY137" s="163"/>
      <c r="GZ137" s="163"/>
      <c r="HA137" s="163"/>
      <c r="HB137" s="163"/>
      <c r="HC137" s="163"/>
      <c r="HD137" s="163"/>
      <c r="HE137" s="163"/>
      <c r="HF137" s="163"/>
      <c r="HG137" s="163"/>
      <c r="HH137" s="163"/>
      <c r="HI137" s="163"/>
      <c r="HJ137" s="163"/>
      <c r="HK137" s="163"/>
      <c r="HL137" s="163"/>
      <c r="HM137" s="163"/>
      <c r="HN137" s="163"/>
      <c r="HO137" s="163"/>
      <c r="HP137" s="163"/>
      <c r="HQ137" s="163"/>
      <c r="HR137" s="163"/>
      <c r="HS137" s="163"/>
      <c r="HT137" s="163"/>
      <c r="HU137" s="163"/>
      <c r="HV137" s="163"/>
      <c r="HW137" s="163"/>
      <c r="HX137" s="163"/>
      <c r="HY137" s="163"/>
      <c r="HZ137" s="163"/>
      <c r="IA137" s="163"/>
      <c r="IB137" s="163"/>
      <c r="IC137" s="163"/>
      <c r="ID137" s="163"/>
      <c r="IE137" s="163"/>
      <c r="IF137" s="163"/>
      <c r="IG137" s="163"/>
      <c r="IH137" s="163"/>
      <c r="II137" s="163"/>
      <c r="IJ137" s="163"/>
      <c r="IK137" s="163"/>
      <c r="IL137" s="163"/>
      <c r="IM137" s="163"/>
      <c r="IN137" s="163"/>
      <c r="IO137" s="163"/>
      <c r="IP137" s="163"/>
      <c r="IQ137" s="163"/>
      <c r="IR137" s="163"/>
      <c r="IS137" s="163"/>
      <c r="IT137" s="163"/>
      <c r="IU137" s="163"/>
      <c r="IV137" s="11"/>
      <c r="IW137" s="11"/>
    </row>
    <row r="138" customFormat="false" ht="13.5" hidden="true" customHeight="true" outlineLevel="0" collapsed="false">
      <c r="A138" s="108" t="n">
        <f aca="false">A136+1</f>
        <v>50</v>
      </c>
      <c r="B138" s="159" t="n">
        <f aca="false">IF(ISERROR(VLOOKUP(C138,[29]일용직명단!$A$3:$I$97,2,FALSE())),0,VLOOKUP(C138,[29]일용직명단!$A$3:$I$97,2,FALSE()))</f>
        <v>0</v>
      </c>
      <c r="C138" s="203"/>
      <c r="D138" s="311" t="n">
        <f aca="false">IF(ISERROR(VLOOKUP(C138,[28]일용직명단!$A$3:$K$1183,3,FALSE())),0,VLOOKUP(C138,[28]일용직명단!$A$3:$K$1183,3,FALSE()))</f>
        <v>0</v>
      </c>
      <c r="E138" s="160" t="n">
        <f aca="false">IF(ISERROR(VLOOKUP(C138,일용직명단!$A$3:$K$1246,4,FALSE())),0,VLOOKUP(C138,일용직명단!$A$3:$K$1246,4,FALSE()))</f>
        <v>0</v>
      </c>
      <c r="F138" s="312"/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  <c r="T138" s="313"/>
      <c r="U138" s="314"/>
      <c r="V138" s="144" t="n">
        <f aca="false">SUM(F138:U139)</f>
        <v>0</v>
      </c>
      <c r="W138" s="211" t="n">
        <f aca="false">IF(ISERROR(VLOOKUP(C138,일용직명단!$A$3:$K$1246,8,FALSE())),0,VLOOKUP(C138,일용직명단!$A$3:$K$1246,8,FALSE()))</f>
        <v>0</v>
      </c>
      <c r="X138" s="156" t="n">
        <f aca="false">IFERROR(IF(AG138&gt;=65,0,ROUNDDOWN(W139*$Z$4,-1)),0)</f>
        <v>0</v>
      </c>
      <c r="Y138" s="156" t="n">
        <f aca="false">IF(AE138&gt;=8,ROUNDDOWN(W139*$M$4,-1),0)</f>
        <v>0</v>
      </c>
      <c r="Z138" s="156" t="n">
        <f aca="false">IFERROR(IF(AND(COUNT(F138:U139)&gt;=8,$AG138&lt;60,W139&lt;=5530000),ROUNDDOWN(ROUNDDOWN(W139,-3)*4.5%,-1),IF(AND(COUNT(F138:U139)&gt;=8,AG138&lt;60,W139&gt;5530000),248850,0)),0)</f>
        <v>0</v>
      </c>
      <c r="AA138" s="145" t="n">
        <f aca="false">+X138+Y138+X139+Y139+Z138+Z139</f>
        <v>0</v>
      </c>
      <c r="AB138" s="146" t="n">
        <f aca="false">W139-AA138</f>
        <v>0</v>
      </c>
      <c r="AC138" s="157" t="n">
        <f aca="false">IF(ISERROR(VLOOKUP(C138,일용직명단!$A$3:$I$1226,5,FALSE())),0,VLOOKUP(C138,일용직명단!$A$3:$I$1226,5,FALSE()))</f>
        <v>0</v>
      </c>
      <c r="AD138" s="158" t="n">
        <f aca="false">IF(ISERROR(VLOOKUP(C138,일용직명단!$A$3:$I$1226,6,FALSE())),0,VLOOKUP(C138,일용직명단!$A$3:$I$1226,6,FALSE()))</f>
        <v>0</v>
      </c>
      <c r="AE138" s="141" t="n">
        <f aca="false">COUNT(F138:U139)</f>
        <v>0</v>
      </c>
      <c r="AF138" s="129" t="str">
        <f aca="false">IF(OR(MID(D138,8,1)="1",MID(D138,8,1)="2"),19&amp;LEFT(D138,2),20&amp;LEFT(D138,2))&amp;"-"&amp;MID(D138,3,2)&amp;"-"&amp;MID(D138,5,2)</f>
        <v>200--</v>
      </c>
      <c r="AG138" s="129" t="e">
        <f aca="true">INT((TODAY()-AF138)/365.25)</f>
        <v>#VALUE!</v>
      </c>
      <c r="AH138" s="161" t="n">
        <f aca="false">ROUNDDOWN(SUM(AI138:AX139),-1)</f>
        <v>0</v>
      </c>
      <c r="AI138" s="161" t="n">
        <f aca="false">IF($W138*F138&gt;150000,($W138*F138-150000)*6%*45%,0)</f>
        <v>0</v>
      </c>
      <c r="AJ138" s="161" t="n">
        <f aca="false">IF($W138*G138&gt;150000,($W138*G138-150000)*6%*45%,0)</f>
        <v>0</v>
      </c>
      <c r="AK138" s="161" t="n">
        <f aca="false">IF($W138*H138&gt;150000,($W138*H138-150000)*6%*45%,0)</f>
        <v>0</v>
      </c>
      <c r="AL138" s="161" t="n">
        <f aca="false">IF($W138*I138&gt;150000,($W138*I138-150000)*6%*45%,0)</f>
        <v>0</v>
      </c>
      <c r="AM138" s="161" t="n">
        <f aca="false">IF($W138*J138&gt;150000,($W138*J138-150000)*6%*45%,0)</f>
        <v>0</v>
      </c>
      <c r="AN138" s="161" t="n">
        <f aca="false">IF($W138*K138&gt;150000,($W138*K138-150000)*6%*45%,0)</f>
        <v>0</v>
      </c>
      <c r="AO138" s="161" t="n">
        <f aca="false">IF($W138*L138&gt;150000,($W138*L138-150000)*6%*45%,0)</f>
        <v>0</v>
      </c>
      <c r="AP138" s="161" t="n">
        <f aca="false">IF($W138*M138&gt;150000,($W138*M138-150000)*6%*45%,0)</f>
        <v>0</v>
      </c>
      <c r="AQ138" s="161" t="n">
        <f aca="false">IF($W138*N138&gt;150000,($W138*N138-150000)*6%*45%,0)</f>
        <v>0</v>
      </c>
      <c r="AR138" s="161" t="n">
        <f aca="false">IF($W138*O138&gt;150000,($W138*O138-150000)*6%*45%,0)</f>
        <v>0</v>
      </c>
      <c r="AS138" s="161" t="n">
        <f aca="false">IF($W138*P138&gt;150000,($W138*P138-150000)*6%*45%,0)</f>
        <v>0</v>
      </c>
      <c r="AT138" s="161" t="n">
        <f aca="false">IF($W138*Q138&gt;150000,($W138*Q138-150000)*6%*45%,0)</f>
        <v>0</v>
      </c>
      <c r="AU138" s="161" t="n">
        <f aca="false">IF($W138*R138&gt;150000,($W138*R138-150000)*6%*45%,0)</f>
        <v>0</v>
      </c>
      <c r="AV138" s="161" t="n">
        <f aca="false">IF($W138*S138&gt;150000,($W138*S138-150000)*6%*45%,0)</f>
        <v>0</v>
      </c>
      <c r="AW138" s="161" t="n">
        <f aca="false">IF($W138*T138&gt;150000,($W138*T138-150000)*6%*45%,0)</f>
        <v>0</v>
      </c>
      <c r="AX138" s="161"/>
      <c r="AY138" s="162" t="n">
        <f aca="false">IF(ISERROR(VLOOKUP(C138,[27]일용직명단!$A$3:$M$1151,11,FALSE())),0,VLOOKUP(C138,[27]일용직명단!$A$3:$M$1151,11,FALSE()))</f>
        <v>0</v>
      </c>
      <c r="AZ138" s="163"/>
      <c r="BA138" s="163"/>
      <c r="BB138" s="163"/>
      <c r="BC138" s="163"/>
      <c r="BD138" s="163"/>
      <c r="BE138" s="163"/>
      <c r="BF138" s="163"/>
      <c r="BG138" s="163"/>
      <c r="BH138" s="163"/>
      <c r="BI138" s="163"/>
      <c r="BJ138" s="163"/>
      <c r="BK138" s="163"/>
      <c r="BL138" s="163"/>
      <c r="BM138" s="163"/>
      <c r="BN138" s="163"/>
      <c r="BO138" s="163"/>
      <c r="BP138" s="163"/>
      <c r="BQ138" s="163"/>
      <c r="BR138" s="163"/>
      <c r="BS138" s="163"/>
      <c r="BT138" s="163"/>
      <c r="BU138" s="163"/>
      <c r="BV138" s="163"/>
      <c r="BW138" s="163"/>
      <c r="BX138" s="163"/>
      <c r="BY138" s="163"/>
      <c r="BZ138" s="163"/>
      <c r="CA138" s="163"/>
      <c r="CB138" s="163"/>
      <c r="CC138" s="163"/>
      <c r="CD138" s="163"/>
      <c r="CE138" s="163"/>
      <c r="CF138" s="163"/>
      <c r="CG138" s="163"/>
      <c r="CH138" s="163"/>
      <c r="CI138" s="163"/>
      <c r="CJ138" s="163"/>
      <c r="CK138" s="163"/>
      <c r="CL138" s="163"/>
      <c r="CM138" s="163"/>
      <c r="CN138" s="163"/>
      <c r="CO138" s="163"/>
      <c r="CP138" s="163"/>
      <c r="CQ138" s="163"/>
      <c r="CR138" s="163"/>
      <c r="CS138" s="163"/>
      <c r="CT138" s="163"/>
      <c r="CU138" s="163"/>
      <c r="CV138" s="163"/>
      <c r="CW138" s="163"/>
      <c r="CX138" s="163"/>
      <c r="CY138" s="163"/>
      <c r="CZ138" s="163"/>
      <c r="DA138" s="163"/>
      <c r="DB138" s="163"/>
      <c r="DC138" s="163"/>
      <c r="DD138" s="163"/>
      <c r="DE138" s="163"/>
      <c r="DF138" s="163"/>
      <c r="DG138" s="163"/>
      <c r="DH138" s="163"/>
      <c r="DI138" s="163"/>
      <c r="DJ138" s="163"/>
      <c r="DK138" s="163"/>
      <c r="DL138" s="163"/>
      <c r="DM138" s="163"/>
      <c r="DN138" s="163"/>
      <c r="DO138" s="163"/>
      <c r="DP138" s="163"/>
      <c r="DQ138" s="163"/>
      <c r="DR138" s="163"/>
      <c r="DS138" s="163"/>
      <c r="DT138" s="163"/>
      <c r="DU138" s="163"/>
      <c r="DV138" s="163"/>
      <c r="DW138" s="163"/>
      <c r="DX138" s="163"/>
      <c r="DY138" s="163"/>
      <c r="DZ138" s="163"/>
      <c r="EA138" s="163"/>
      <c r="EB138" s="163"/>
      <c r="EC138" s="163"/>
      <c r="ED138" s="163"/>
      <c r="EE138" s="163"/>
      <c r="EF138" s="163"/>
      <c r="EG138" s="163"/>
      <c r="EH138" s="163"/>
      <c r="EI138" s="163"/>
      <c r="EJ138" s="163"/>
      <c r="EK138" s="163"/>
      <c r="EL138" s="163"/>
      <c r="EM138" s="163"/>
      <c r="EN138" s="163"/>
      <c r="EO138" s="163"/>
      <c r="EP138" s="163"/>
      <c r="EQ138" s="163"/>
      <c r="ER138" s="163"/>
      <c r="ES138" s="163"/>
      <c r="ET138" s="163"/>
      <c r="EU138" s="163"/>
      <c r="EV138" s="163"/>
      <c r="EW138" s="163"/>
      <c r="EX138" s="163"/>
      <c r="EY138" s="163"/>
      <c r="EZ138" s="163"/>
      <c r="FA138" s="163"/>
      <c r="FB138" s="163"/>
      <c r="FC138" s="163"/>
      <c r="FD138" s="163"/>
      <c r="FE138" s="163"/>
      <c r="FF138" s="163"/>
      <c r="FG138" s="163"/>
      <c r="FH138" s="163"/>
      <c r="FI138" s="163"/>
      <c r="FJ138" s="163"/>
      <c r="FK138" s="163"/>
      <c r="FL138" s="163"/>
      <c r="FM138" s="163"/>
      <c r="FN138" s="163"/>
      <c r="FO138" s="163"/>
      <c r="FP138" s="163"/>
      <c r="FQ138" s="163"/>
      <c r="FR138" s="163"/>
      <c r="FS138" s="163"/>
      <c r="FT138" s="163"/>
      <c r="FU138" s="163"/>
      <c r="FV138" s="163"/>
      <c r="FW138" s="163"/>
      <c r="FX138" s="163"/>
      <c r="FY138" s="163"/>
      <c r="FZ138" s="163"/>
      <c r="GA138" s="163"/>
      <c r="GB138" s="163"/>
      <c r="GC138" s="163"/>
      <c r="GD138" s="163"/>
      <c r="GE138" s="163"/>
      <c r="GF138" s="163"/>
      <c r="GG138" s="163"/>
      <c r="GH138" s="163"/>
      <c r="GI138" s="163"/>
      <c r="GJ138" s="163"/>
      <c r="GK138" s="163"/>
      <c r="GL138" s="163"/>
      <c r="GM138" s="163"/>
      <c r="GN138" s="163"/>
      <c r="GO138" s="163"/>
      <c r="GP138" s="163"/>
      <c r="GQ138" s="163"/>
      <c r="GR138" s="163"/>
      <c r="GS138" s="163"/>
      <c r="GT138" s="163"/>
      <c r="GU138" s="163"/>
      <c r="GV138" s="163"/>
      <c r="GW138" s="163"/>
      <c r="GX138" s="163"/>
      <c r="GY138" s="163"/>
      <c r="GZ138" s="163"/>
      <c r="HA138" s="163"/>
      <c r="HB138" s="163"/>
      <c r="HC138" s="163"/>
      <c r="HD138" s="163"/>
      <c r="HE138" s="163"/>
      <c r="HF138" s="163"/>
      <c r="HG138" s="163"/>
      <c r="HH138" s="163"/>
      <c r="HI138" s="163"/>
      <c r="HJ138" s="163"/>
      <c r="HK138" s="163"/>
      <c r="HL138" s="163"/>
      <c r="HM138" s="163"/>
      <c r="HN138" s="163"/>
      <c r="HO138" s="163"/>
      <c r="HP138" s="163"/>
      <c r="HQ138" s="163"/>
      <c r="HR138" s="163"/>
      <c r="HS138" s="163"/>
      <c r="HT138" s="163"/>
      <c r="HU138" s="163"/>
      <c r="HV138" s="163"/>
      <c r="HW138" s="163"/>
      <c r="HX138" s="163"/>
      <c r="HY138" s="163"/>
      <c r="HZ138" s="163"/>
      <c r="IA138" s="163"/>
      <c r="IB138" s="163"/>
      <c r="IC138" s="163"/>
      <c r="ID138" s="163"/>
      <c r="IE138" s="163"/>
      <c r="IF138" s="163"/>
      <c r="IG138" s="163"/>
      <c r="IH138" s="163"/>
      <c r="II138" s="163"/>
      <c r="IJ138" s="163"/>
      <c r="IK138" s="163"/>
      <c r="IL138" s="163"/>
      <c r="IM138" s="163"/>
      <c r="IN138" s="163"/>
      <c r="IO138" s="163"/>
      <c r="IP138" s="163"/>
      <c r="IQ138" s="163"/>
      <c r="IR138" s="163"/>
      <c r="IS138" s="163"/>
      <c r="IT138" s="163"/>
      <c r="IU138" s="163"/>
      <c r="IV138" s="11"/>
      <c r="IW138" s="11"/>
    </row>
    <row r="139" customFormat="false" ht="13.5" hidden="true" customHeight="true" outlineLevel="0" collapsed="false">
      <c r="A139" s="108"/>
      <c r="B139" s="159"/>
      <c r="C139" s="203"/>
      <c r="D139" s="311"/>
      <c r="E139" s="160" t="n">
        <f aca="false">IF(ISERROR(VLOOKUP(C138,일용직명단!$A$3:$K$1246,9,FALSE())),0,VLOOKUP(C138,일용직명단!$A$3:$K$1246,9,FALSE()))</f>
        <v>0</v>
      </c>
      <c r="F139" s="313"/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  <c r="T139" s="313"/>
      <c r="U139" s="315"/>
      <c r="V139" s="144"/>
      <c r="W139" s="138" t="n">
        <f aca="false">W138*V138</f>
        <v>0</v>
      </c>
      <c r="X139" s="156" t="n">
        <f aca="false">IF(AH138&lt;1000,0,AH138)</f>
        <v>0</v>
      </c>
      <c r="Y139" s="156" t="n">
        <f aca="false">ROUNDDOWN(X139*10%,-1)</f>
        <v>0</v>
      </c>
      <c r="Z139" s="156" t="n">
        <f aca="false">IF(AE138&gt;=8,ROUNDDOWN(Y138*$Q$4,-1),0)</f>
        <v>0</v>
      </c>
      <c r="AA139" s="145"/>
      <c r="AB139" s="146"/>
      <c r="AC139" s="158" t="n">
        <f aca="false">IF(ISERROR(VLOOKUP(C138,일용직명단!$A$3:$I$1226,7,FALSE())),0,VLOOKUP(C138,일용직명단!$A$3:$I$1226,7,FALSE()))</f>
        <v>0</v>
      </c>
      <c r="AD139" s="158"/>
      <c r="AE139" s="141"/>
      <c r="AF139" s="129"/>
      <c r="AG139" s="129"/>
      <c r="AH139" s="161"/>
      <c r="AI139" s="161" t="n">
        <f aca="false">IF($W138*F139&gt;150000,($W138*F139-150000)*6%*45%,0)</f>
        <v>0</v>
      </c>
      <c r="AJ139" s="161" t="n">
        <f aca="false">IF($W138*G139&gt;150000,($W138*G139-150000)*6%*45%,0)</f>
        <v>0</v>
      </c>
      <c r="AK139" s="161" t="n">
        <f aca="false">IF($W138*H139&gt;150000,($W138*H139-150000)*6%*45%,0)</f>
        <v>0</v>
      </c>
      <c r="AL139" s="161" t="n">
        <f aca="false">IF($W138*I139&gt;150000,($W138*I139-150000)*6%*45%,0)</f>
        <v>0</v>
      </c>
      <c r="AM139" s="161" t="n">
        <f aca="false">IF($W138*J139&gt;150000,($W138*J139-150000)*6%*45%,0)</f>
        <v>0</v>
      </c>
      <c r="AN139" s="161" t="n">
        <f aca="false">IF($W138*K139&gt;150000,($W138*K139-150000)*6%*45%,0)</f>
        <v>0</v>
      </c>
      <c r="AO139" s="161" t="n">
        <f aca="false">IF($W138*L139&gt;150000,($W138*L139-150000)*6%*45%,0)</f>
        <v>0</v>
      </c>
      <c r="AP139" s="161" t="n">
        <f aca="false">IF($W138*M139&gt;150000,($W138*M139-150000)*6%*45%,0)</f>
        <v>0</v>
      </c>
      <c r="AQ139" s="161" t="n">
        <f aca="false">IF($W138*N139&gt;150000,($W138*N139-150000)*6%*45%,0)</f>
        <v>0</v>
      </c>
      <c r="AR139" s="161" t="n">
        <f aca="false">IF($W138*O139&gt;150000,($W138*O139-150000)*6%*45%,0)</f>
        <v>0</v>
      </c>
      <c r="AS139" s="161" t="n">
        <f aca="false">IF($W138*P139&gt;150000,($W138*P139-150000)*6%*45%,0)</f>
        <v>0</v>
      </c>
      <c r="AT139" s="161" t="n">
        <f aca="false">IF($W138*Q139&gt;150000,($W138*Q139-150000)*6%*45%,0)</f>
        <v>0</v>
      </c>
      <c r="AU139" s="161" t="n">
        <f aca="false">IF($W138*R139&gt;150000,($W138*R139-150000)*6%*45%,0)</f>
        <v>0</v>
      </c>
      <c r="AV139" s="161" t="n">
        <f aca="false">IF($W138*S139&gt;150000,($W138*S139-150000)*6%*45%,0)</f>
        <v>0</v>
      </c>
      <c r="AW139" s="161" t="n">
        <f aca="false">IF($W138*T139&gt;150000,($W138*T139-150000)*6%*45%,0)</f>
        <v>0</v>
      </c>
      <c r="AX139" s="161" t="n">
        <f aca="false">IF($W138*U139&gt;150000,($W138*U139-150000)*6%*45%,0)</f>
        <v>0</v>
      </c>
      <c r="AY139" s="162"/>
      <c r="AZ139" s="163"/>
      <c r="BA139" s="163"/>
      <c r="BB139" s="163"/>
      <c r="BC139" s="163"/>
      <c r="BD139" s="163"/>
      <c r="BE139" s="163"/>
      <c r="BF139" s="163"/>
      <c r="BG139" s="163"/>
      <c r="BH139" s="163"/>
      <c r="BI139" s="163"/>
      <c r="BJ139" s="163"/>
      <c r="BK139" s="163"/>
      <c r="BL139" s="163"/>
      <c r="BM139" s="163"/>
      <c r="BN139" s="163"/>
      <c r="BO139" s="163"/>
      <c r="BP139" s="163"/>
      <c r="BQ139" s="163"/>
      <c r="BR139" s="163"/>
      <c r="BS139" s="163"/>
      <c r="BT139" s="163"/>
      <c r="BU139" s="163"/>
      <c r="BV139" s="163"/>
      <c r="BW139" s="163"/>
      <c r="BX139" s="163"/>
      <c r="BY139" s="163"/>
      <c r="BZ139" s="163"/>
      <c r="CA139" s="163"/>
      <c r="CB139" s="163"/>
      <c r="CC139" s="163"/>
      <c r="CD139" s="163"/>
      <c r="CE139" s="163"/>
      <c r="CF139" s="163"/>
      <c r="CG139" s="163"/>
      <c r="CH139" s="163"/>
      <c r="CI139" s="163"/>
      <c r="CJ139" s="163"/>
      <c r="CK139" s="163"/>
      <c r="CL139" s="163"/>
      <c r="CM139" s="163"/>
      <c r="CN139" s="163"/>
      <c r="CO139" s="163"/>
      <c r="CP139" s="163"/>
      <c r="CQ139" s="163"/>
      <c r="CR139" s="163"/>
      <c r="CS139" s="163"/>
      <c r="CT139" s="163"/>
      <c r="CU139" s="163"/>
      <c r="CV139" s="163"/>
      <c r="CW139" s="163"/>
      <c r="CX139" s="163"/>
      <c r="CY139" s="163"/>
      <c r="CZ139" s="163"/>
      <c r="DA139" s="163"/>
      <c r="DB139" s="163"/>
      <c r="DC139" s="163"/>
      <c r="DD139" s="163"/>
      <c r="DE139" s="163"/>
      <c r="DF139" s="163"/>
      <c r="DG139" s="163"/>
      <c r="DH139" s="163"/>
      <c r="DI139" s="163"/>
      <c r="DJ139" s="163"/>
      <c r="DK139" s="163"/>
      <c r="DL139" s="163"/>
      <c r="DM139" s="163"/>
      <c r="DN139" s="163"/>
      <c r="DO139" s="163"/>
      <c r="DP139" s="163"/>
      <c r="DQ139" s="163"/>
      <c r="DR139" s="163"/>
      <c r="DS139" s="163"/>
      <c r="DT139" s="163"/>
      <c r="DU139" s="163"/>
      <c r="DV139" s="163"/>
      <c r="DW139" s="163"/>
      <c r="DX139" s="163"/>
      <c r="DY139" s="163"/>
      <c r="DZ139" s="163"/>
      <c r="EA139" s="163"/>
      <c r="EB139" s="163"/>
      <c r="EC139" s="163"/>
      <c r="ED139" s="163"/>
      <c r="EE139" s="163"/>
      <c r="EF139" s="163"/>
      <c r="EG139" s="163"/>
      <c r="EH139" s="163"/>
      <c r="EI139" s="163"/>
      <c r="EJ139" s="163"/>
      <c r="EK139" s="163"/>
      <c r="EL139" s="163"/>
      <c r="EM139" s="163"/>
      <c r="EN139" s="163"/>
      <c r="EO139" s="163"/>
      <c r="EP139" s="163"/>
      <c r="EQ139" s="163"/>
      <c r="ER139" s="163"/>
      <c r="ES139" s="163"/>
      <c r="ET139" s="163"/>
      <c r="EU139" s="163"/>
      <c r="EV139" s="163"/>
      <c r="EW139" s="163"/>
      <c r="EX139" s="163"/>
      <c r="EY139" s="163"/>
      <c r="EZ139" s="163"/>
      <c r="FA139" s="163"/>
      <c r="FB139" s="163"/>
      <c r="FC139" s="163"/>
      <c r="FD139" s="163"/>
      <c r="FE139" s="163"/>
      <c r="FF139" s="163"/>
      <c r="FG139" s="163"/>
      <c r="FH139" s="163"/>
      <c r="FI139" s="163"/>
      <c r="FJ139" s="163"/>
      <c r="FK139" s="163"/>
      <c r="FL139" s="163"/>
      <c r="FM139" s="163"/>
      <c r="FN139" s="163"/>
      <c r="FO139" s="163"/>
      <c r="FP139" s="163"/>
      <c r="FQ139" s="163"/>
      <c r="FR139" s="163"/>
      <c r="FS139" s="163"/>
      <c r="FT139" s="163"/>
      <c r="FU139" s="163"/>
      <c r="FV139" s="163"/>
      <c r="FW139" s="163"/>
      <c r="FX139" s="163"/>
      <c r="FY139" s="163"/>
      <c r="FZ139" s="163"/>
      <c r="GA139" s="163"/>
      <c r="GB139" s="163"/>
      <c r="GC139" s="163"/>
      <c r="GD139" s="163"/>
      <c r="GE139" s="163"/>
      <c r="GF139" s="163"/>
      <c r="GG139" s="163"/>
      <c r="GH139" s="163"/>
      <c r="GI139" s="163"/>
      <c r="GJ139" s="163"/>
      <c r="GK139" s="163"/>
      <c r="GL139" s="163"/>
      <c r="GM139" s="163"/>
      <c r="GN139" s="163"/>
      <c r="GO139" s="163"/>
      <c r="GP139" s="163"/>
      <c r="GQ139" s="163"/>
      <c r="GR139" s="163"/>
      <c r="GS139" s="163"/>
      <c r="GT139" s="163"/>
      <c r="GU139" s="163"/>
      <c r="GV139" s="163"/>
      <c r="GW139" s="163"/>
      <c r="GX139" s="163"/>
      <c r="GY139" s="163"/>
      <c r="GZ139" s="163"/>
      <c r="HA139" s="163"/>
      <c r="HB139" s="163"/>
      <c r="HC139" s="163"/>
      <c r="HD139" s="163"/>
      <c r="HE139" s="163"/>
      <c r="HF139" s="163"/>
      <c r="HG139" s="163"/>
      <c r="HH139" s="163"/>
      <c r="HI139" s="163"/>
      <c r="HJ139" s="163"/>
      <c r="HK139" s="163"/>
      <c r="HL139" s="163"/>
      <c r="HM139" s="163"/>
      <c r="HN139" s="163"/>
      <c r="HO139" s="163"/>
      <c r="HP139" s="163"/>
      <c r="HQ139" s="163"/>
      <c r="HR139" s="163"/>
      <c r="HS139" s="163"/>
      <c r="HT139" s="163"/>
      <c r="HU139" s="163"/>
      <c r="HV139" s="163"/>
      <c r="HW139" s="163"/>
      <c r="HX139" s="163"/>
      <c r="HY139" s="163"/>
      <c r="HZ139" s="163"/>
      <c r="IA139" s="163"/>
      <c r="IB139" s="163"/>
      <c r="IC139" s="163"/>
      <c r="ID139" s="163"/>
      <c r="IE139" s="163"/>
      <c r="IF139" s="163"/>
      <c r="IG139" s="163"/>
      <c r="IH139" s="163"/>
      <c r="II139" s="163"/>
      <c r="IJ139" s="163"/>
      <c r="IK139" s="163"/>
      <c r="IL139" s="163"/>
      <c r="IM139" s="163"/>
      <c r="IN139" s="163"/>
      <c r="IO139" s="163"/>
      <c r="IP139" s="163"/>
      <c r="IQ139" s="163"/>
      <c r="IR139" s="163"/>
      <c r="IS139" s="163"/>
      <c r="IT139" s="163"/>
      <c r="IU139" s="163"/>
      <c r="IV139" s="11"/>
      <c r="IW139" s="11"/>
    </row>
    <row r="140" customFormat="false" ht="13.5" hidden="true" customHeight="true" outlineLevel="0" collapsed="false">
      <c r="A140" s="108" t="n">
        <f aca="false">A138+1</f>
        <v>51</v>
      </c>
      <c r="B140" s="159"/>
      <c r="C140" s="203"/>
      <c r="D140" s="311" t="n">
        <f aca="false">IF(ISERROR(VLOOKUP(C140,[28]일용직명단!$A$3:$K$1183,3,FALSE())),0,VLOOKUP(C140,[28]일용직명단!$A$3:$K$1183,3,FALSE()))</f>
        <v>0</v>
      </c>
      <c r="E140" s="160" t="n">
        <f aca="false">IF(ISERROR(VLOOKUP(C140,일용직명단!$A$3:$K$1246,4,FALSE())),0,VLOOKUP(C140,일용직명단!$A$3:$K$1246,4,FALSE()))</f>
        <v>0</v>
      </c>
      <c r="F140" s="312"/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  <c r="T140" s="313"/>
      <c r="U140" s="314"/>
      <c r="V140" s="144" t="n">
        <f aca="false">SUM(F140:U141)</f>
        <v>0</v>
      </c>
      <c r="W140" s="211" t="n">
        <f aca="false">IF(ISERROR(VLOOKUP(C140,일용직명단!$A$3:$K$1246,8,FALSE())),0,VLOOKUP(C140,일용직명단!$A$3:$K$1246,8,FALSE()))</f>
        <v>0</v>
      </c>
      <c r="X140" s="156" t="n">
        <f aca="false">IFERROR(IF(AG140&gt;=65,0,ROUNDDOWN(W141*$Z$4,-1)),0)</f>
        <v>0</v>
      </c>
      <c r="Y140" s="156" t="n">
        <f aca="false">IF(AE140&gt;=8,ROUNDDOWN(W141*$M$4,-1),0)</f>
        <v>0</v>
      </c>
      <c r="Z140" s="156" t="n">
        <f aca="false">IFERROR(IF(AND(COUNT(F140:U141)&gt;=8,$AG140&lt;60,W141&lt;=5530000),ROUNDDOWN(ROUNDDOWN(W141,-3)*4.5%,-1),IF(AND(COUNT(F140:U141)&gt;=8,AG140&lt;60,W141&gt;5530000),248850,0)),0)</f>
        <v>0</v>
      </c>
      <c r="AA140" s="145" t="n">
        <f aca="false">+X140+Y140+X141+Y141+Z140+Z141</f>
        <v>0</v>
      </c>
      <c r="AB140" s="146" t="n">
        <f aca="false">W141-AA140</f>
        <v>0</v>
      </c>
      <c r="AC140" s="157" t="n">
        <f aca="false">IF(ISERROR(VLOOKUP(C140,일용직명단!$A$3:$I$1226,5,FALSE())),0,VLOOKUP(C140,일용직명단!$A$3:$I$1226,5,FALSE()))</f>
        <v>0</v>
      </c>
      <c r="AD140" s="158" t="n">
        <f aca="false">IF(ISERROR(VLOOKUP(C140,일용직명단!$A$3:$I$1226,6,FALSE())),0,VLOOKUP(C140,일용직명단!$A$3:$I$1226,6,FALSE()))</f>
        <v>0</v>
      </c>
      <c r="AE140" s="128" t="n">
        <f aca="false">COUNT(F140:U141)</f>
        <v>0</v>
      </c>
      <c r="AF140" s="129" t="str">
        <f aca="false">IF(OR(MID(D140,8,1)="1",MID(D140,8,1)="2"),19&amp;LEFT(D140,2),20&amp;LEFT(D140,2))&amp;"-"&amp;MID(D140,3,2)&amp;"-"&amp;MID(D140,5,2)</f>
        <v>200--</v>
      </c>
      <c r="AG140" s="129" t="e">
        <f aca="true">INT((TODAY()-AF140)/365.25)</f>
        <v>#VALUE!</v>
      </c>
      <c r="AH140" s="161" t="n">
        <f aca="false">ROUNDDOWN(SUM(AI140:AX141),-1)</f>
        <v>0</v>
      </c>
      <c r="AI140" s="161" t="n">
        <f aca="false">IF($W140*F140&gt;150000,($W140*F140-150000)*6%*45%,0)</f>
        <v>0</v>
      </c>
      <c r="AJ140" s="161" t="n">
        <f aca="false">IF($W140*G140&gt;150000,($W140*G140-150000)*6%*45%,0)</f>
        <v>0</v>
      </c>
      <c r="AK140" s="161" t="n">
        <f aca="false">IF($W140*H140&gt;150000,($W140*H140-150000)*6%*45%,0)</f>
        <v>0</v>
      </c>
      <c r="AL140" s="161" t="n">
        <f aca="false">IF($W140*I140&gt;150000,($W140*I140-150000)*6%*45%,0)</f>
        <v>0</v>
      </c>
      <c r="AM140" s="161" t="n">
        <f aca="false">IF($W140*J140&gt;150000,($W140*J140-150000)*6%*45%,0)</f>
        <v>0</v>
      </c>
      <c r="AN140" s="161" t="n">
        <f aca="false">IF($W140*K140&gt;150000,($W140*K140-150000)*6%*45%,0)</f>
        <v>0</v>
      </c>
      <c r="AO140" s="161" t="n">
        <f aca="false">IF($W140*L140&gt;150000,($W140*L140-150000)*6%*45%,0)</f>
        <v>0</v>
      </c>
      <c r="AP140" s="161" t="n">
        <f aca="false">IF($W140*M140&gt;150000,($W140*M140-150000)*6%*45%,0)</f>
        <v>0</v>
      </c>
      <c r="AQ140" s="161" t="n">
        <f aca="false">IF($W140*N140&gt;150000,($W140*N140-150000)*6%*45%,0)</f>
        <v>0</v>
      </c>
      <c r="AR140" s="161" t="n">
        <f aca="false">IF($W140*O140&gt;150000,($W140*O140-150000)*6%*45%,0)</f>
        <v>0</v>
      </c>
      <c r="AS140" s="161" t="n">
        <f aca="false">IF($W140*P140&gt;150000,($W140*P140-150000)*6%*45%,0)</f>
        <v>0</v>
      </c>
      <c r="AT140" s="161" t="n">
        <f aca="false">IF($W140*Q140&gt;150000,($W140*Q140-150000)*6%*45%,0)</f>
        <v>0</v>
      </c>
      <c r="AU140" s="161" t="n">
        <f aca="false">IF($W140*R140&gt;150000,($W140*R140-150000)*6%*45%,0)</f>
        <v>0</v>
      </c>
      <c r="AV140" s="161" t="n">
        <f aca="false">IF($W140*S140&gt;150000,($W140*S140-150000)*6%*45%,0)</f>
        <v>0</v>
      </c>
      <c r="AW140" s="161" t="n">
        <f aca="false">IF($W140*T140&gt;150000,($W140*T140-150000)*6%*45%,0)</f>
        <v>0</v>
      </c>
      <c r="AX140" s="161"/>
      <c r="AY140" s="162" t="n">
        <f aca="false">IF(ISERROR(VLOOKUP(C140,[27]일용직명단!$A$3:$M$1151,11,FALSE())),0,VLOOKUP(C140,[27]일용직명단!$A$3:$M$1151,11,FALSE()))</f>
        <v>0</v>
      </c>
      <c r="AZ140" s="163"/>
      <c r="BA140" s="163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  <c r="IJ140" s="12"/>
      <c r="IK140" s="12"/>
      <c r="IL140" s="12"/>
      <c r="IM140" s="12"/>
      <c r="IN140" s="12"/>
      <c r="IO140" s="12"/>
      <c r="IP140" s="12"/>
      <c r="IV140" s="11"/>
      <c r="IW140" s="11"/>
    </row>
    <row r="141" customFormat="false" ht="13.5" hidden="true" customHeight="true" outlineLevel="0" collapsed="false">
      <c r="A141" s="108"/>
      <c r="B141" s="159"/>
      <c r="C141" s="203"/>
      <c r="D141" s="311"/>
      <c r="E141" s="160" t="n">
        <f aca="false">IF(ISERROR(VLOOKUP(C140,일용직명단!$A$3:$K$1246,9,FALSE())),0,VLOOKUP(C140,일용직명단!$A$3:$K$1246,9,FALSE()))</f>
        <v>0</v>
      </c>
      <c r="F141" s="313"/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  <c r="T141" s="313"/>
      <c r="U141" s="315"/>
      <c r="V141" s="144"/>
      <c r="W141" s="138" t="n">
        <f aca="false">W140*V140</f>
        <v>0</v>
      </c>
      <c r="X141" s="156" t="n">
        <f aca="false">IF(AH140&lt;1000,0,AH140)</f>
        <v>0</v>
      </c>
      <c r="Y141" s="156" t="n">
        <f aca="false">ROUNDDOWN(X141*10%,-1)</f>
        <v>0</v>
      </c>
      <c r="Z141" s="156" t="n">
        <f aca="false">IF(AE140&gt;=8,ROUNDDOWN(Y140*$Q$4,-1),0)</f>
        <v>0</v>
      </c>
      <c r="AA141" s="145"/>
      <c r="AB141" s="146"/>
      <c r="AC141" s="158" t="n">
        <f aca="false">IF(ISERROR(VLOOKUP(C140,일용직명단!$A$3:$I$1226,7,FALSE())),0,VLOOKUP(C140,일용직명단!$A$3:$I$1226,7,FALSE()))</f>
        <v>0</v>
      </c>
      <c r="AD141" s="158"/>
      <c r="AE141" s="128"/>
      <c r="AF141" s="129"/>
      <c r="AG141" s="129"/>
      <c r="AH141" s="161"/>
      <c r="AI141" s="161" t="n">
        <f aca="false">IF($W140*F141&gt;150000,($W140*F141-150000)*6%*45%,0)</f>
        <v>0</v>
      </c>
      <c r="AJ141" s="161" t="n">
        <f aca="false">IF($W140*G141&gt;150000,($W140*G141-150000)*6%*45%,0)</f>
        <v>0</v>
      </c>
      <c r="AK141" s="161" t="n">
        <f aca="false">IF($W140*H141&gt;150000,($W140*H141-150000)*6%*45%,0)</f>
        <v>0</v>
      </c>
      <c r="AL141" s="161" t="n">
        <f aca="false">IF($W140*I141&gt;150000,($W140*I141-150000)*6%*45%,0)</f>
        <v>0</v>
      </c>
      <c r="AM141" s="161" t="n">
        <f aca="false">IF($W140*J141&gt;150000,($W140*J141-150000)*6%*45%,0)</f>
        <v>0</v>
      </c>
      <c r="AN141" s="161" t="n">
        <f aca="false">IF($W140*K141&gt;150000,($W140*K141-150000)*6%*45%,0)</f>
        <v>0</v>
      </c>
      <c r="AO141" s="161" t="n">
        <f aca="false">IF($W140*L141&gt;150000,($W140*L141-150000)*6%*45%,0)</f>
        <v>0</v>
      </c>
      <c r="AP141" s="161" t="n">
        <f aca="false">IF($W140*M141&gt;150000,($W140*M141-150000)*6%*45%,0)</f>
        <v>0</v>
      </c>
      <c r="AQ141" s="161" t="n">
        <f aca="false">IF($W140*N141&gt;150000,($W140*N141-150000)*6%*45%,0)</f>
        <v>0</v>
      </c>
      <c r="AR141" s="161" t="n">
        <f aca="false">IF($W140*O141&gt;150000,($W140*O141-150000)*6%*45%,0)</f>
        <v>0</v>
      </c>
      <c r="AS141" s="161" t="n">
        <f aca="false">IF($W140*P141&gt;150000,($W140*P141-150000)*6%*45%,0)</f>
        <v>0</v>
      </c>
      <c r="AT141" s="161" t="n">
        <f aca="false">IF($W140*Q141&gt;150000,($W140*Q141-150000)*6%*45%,0)</f>
        <v>0</v>
      </c>
      <c r="AU141" s="161" t="n">
        <f aca="false">IF($W140*R141&gt;150000,($W140*R141-150000)*6%*45%,0)</f>
        <v>0</v>
      </c>
      <c r="AV141" s="161" t="n">
        <f aca="false">IF($W140*S141&gt;150000,($W140*S141-150000)*6%*45%,0)</f>
        <v>0</v>
      </c>
      <c r="AW141" s="161" t="n">
        <f aca="false">IF($W140*T141&gt;150000,($W140*T141-150000)*6%*45%,0)</f>
        <v>0</v>
      </c>
      <c r="AX141" s="161" t="n">
        <f aca="false">IF($W140*U141&gt;150000,($W140*U141-150000)*6%*45%,0)</f>
        <v>0</v>
      </c>
      <c r="AY141" s="162"/>
      <c r="AZ141" s="163"/>
      <c r="BA141" s="163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  <c r="IL141" s="12"/>
      <c r="IM141" s="12"/>
      <c r="IN141" s="12"/>
      <c r="IO141" s="12"/>
      <c r="IP141" s="12"/>
      <c r="IV141" s="11"/>
      <c r="IW141" s="11"/>
    </row>
    <row r="142" customFormat="false" ht="13.5" hidden="true" customHeight="true" outlineLevel="0" collapsed="false">
      <c r="A142" s="108" t="n">
        <f aca="false">A140+1</f>
        <v>52</v>
      </c>
      <c r="B142" s="159" t="n">
        <f aca="false">IF(ISERROR(VLOOKUP(C142,[29]일용직명단!$A$3:$I$97,2,FALSE())),0,VLOOKUP(C142,[29]일용직명단!$A$3:$I$97,2,FALSE()))</f>
        <v>0</v>
      </c>
      <c r="C142" s="203"/>
      <c r="D142" s="311" t="n">
        <f aca="false">IF(ISERROR(VLOOKUP(C142,[28]일용직명단!$A$3:$K$1183,3,FALSE())),0,VLOOKUP(C142,[28]일용직명단!$A$3:$K$1183,3,FALSE()))</f>
        <v>0</v>
      </c>
      <c r="E142" s="160" t="n">
        <f aca="false">IF(ISERROR(VLOOKUP(C142,일용직명단!$A$3:$K$1246,4,FALSE())),0,VLOOKUP(C142,일용직명단!$A$3:$K$1246,4,FALSE()))</f>
        <v>0</v>
      </c>
      <c r="F142" s="312"/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  <c r="T142" s="313"/>
      <c r="U142" s="314"/>
      <c r="V142" s="144" t="n">
        <f aca="false">SUM(F142:U143)</f>
        <v>0</v>
      </c>
      <c r="W142" s="211" t="n">
        <f aca="false">IF(ISERROR(VLOOKUP(C142,일용직명단!$A$3:$K$1246,8,FALSE())),0,VLOOKUP(C142,일용직명단!$A$3:$K$1246,8,FALSE()))</f>
        <v>0</v>
      </c>
      <c r="X142" s="156" t="n">
        <f aca="false">IFERROR(IF(AG142&gt;=65,0,ROUNDDOWN(W143*$Z$4,-1)),0)</f>
        <v>0</v>
      </c>
      <c r="Y142" s="156" t="n">
        <f aca="false">IF(AE142&gt;=8,ROUNDDOWN(W143*$M$4,-1),0)</f>
        <v>0</v>
      </c>
      <c r="Z142" s="156" t="n">
        <f aca="false">IFERROR(IF(AND(COUNT(F142:U143)&gt;=8,$AG142&lt;60,W143&lt;=5530000),ROUNDDOWN(ROUNDDOWN(W143,-3)*4.5%,-1),IF(AND(COUNT(F142:U143)&gt;=8,AG142&lt;60,W143&gt;5530000),248850,0)),0)</f>
        <v>0</v>
      </c>
      <c r="AA142" s="145" t="n">
        <f aca="false">+X142+Y142+X143+Y143+Z142+Z143</f>
        <v>0</v>
      </c>
      <c r="AB142" s="146" t="n">
        <f aca="false">W143-AA142</f>
        <v>0</v>
      </c>
      <c r="AC142" s="157" t="n">
        <f aca="false">IF(ISERROR(VLOOKUP(C142,일용직명단!$A$3:$I$1226,5,FALSE())),0,VLOOKUP(C142,일용직명단!$A$3:$I$1226,5,FALSE()))</f>
        <v>0</v>
      </c>
      <c r="AD142" s="158" t="n">
        <f aca="false">IF(ISERROR(VLOOKUP(C142,일용직명단!$A$3:$I$1226,6,FALSE())),0,VLOOKUP(C142,일용직명단!$A$3:$I$1226,6,FALSE()))</f>
        <v>0</v>
      </c>
      <c r="AE142" s="141" t="n">
        <f aca="false">COUNT(F142:U143)</f>
        <v>0</v>
      </c>
      <c r="AF142" s="129" t="str">
        <f aca="false">IF(OR(MID(D142,8,1)="1",MID(D142,8,1)="2"),19&amp;LEFT(D142,2),20&amp;LEFT(D142,2))&amp;"-"&amp;MID(D142,3,2)&amp;"-"&amp;MID(D142,5,2)</f>
        <v>200--</v>
      </c>
      <c r="AG142" s="129" t="e">
        <f aca="true">INT((TODAY()-AF142)/365.25)</f>
        <v>#VALUE!</v>
      </c>
      <c r="AH142" s="161" t="n">
        <f aca="false">ROUNDDOWN(SUM(AI142:AX143),-1)</f>
        <v>0</v>
      </c>
      <c r="AI142" s="161" t="n">
        <f aca="false">IF($W142*F142&gt;150000,($W142*F142-150000)*6%*45%,0)</f>
        <v>0</v>
      </c>
      <c r="AJ142" s="161" t="n">
        <f aca="false">IF($W142*G142&gt;150000,($W142*G142-150000)*6%*45%,0)</f>
        <v>0</v>
      </c>
      <c r="AK142" s="161" t="n">
        <f aca="false">IF($W142*H142&gt;150000,($W142*H142-150000)*6%*45%,0)</f>
        <v>0</v>
      </c>
      <c r="AL142" s="161" t="n">
        <f aca="false">IF($W142*I142&gt;150000,($W142*I142-150000)*6%*45%,0)</f>
        <v>0</v>
      </c>
      <c r="AM142" s="161" t="n">
        <f aca="false">IF($W142*J142&gt;150000,($W142*J142-150000)*6%*45%,0)</f>
        <v>0</v>
      </c>
      <c r="AN142" s="161" t="n">
        <f aca="false">IF($W142*K142&gt;150000,($W142*K142-150000)*6%*45%,0)</f>
        <v>0</v>
      </c>
      <c r="AO142" s="161" t="n">
        <f aca="false">IF($W142*L142&gt;150000,($W142*L142-150000)*6%*45%,0)</f>
        <v>0</v>
      </c>
      <c r="AP142" s="161" t="n">
        <f aca="false">IF($W142*M142&gt;150000,($W142*M142-150000)*6%*45%,0)</f>
        <v>0</v>
      </c>
      <c r="AQ142" s="161" t="n">
        <f aca="false">IF($W142*N142&gt;150000,($W142*N142-150000)*6%*45%,0)</f>
        <v>0</v>
      </c>
      <c r="AR142" s="161" t="n">
        <f aca="false">IF($W142*O142&gt;150000,($W142*O142-150000)*6%*45%,0)</f>
        <v>0</v>
      </c>
      <c r="AS142" s="161" t="n">
        <f aca="false">IF($W142*P142&gt;150000,($W142*P142-150000)*6%*45%,0)</f>
        <v>0</v>
      </c>
      <c r="AT142" s="161" t="n">
        <f aca="false">IF($W142*Q142&gt;150000,($W142*Q142-150000)*6%*45%,0)</f>
        <v>0</v>
      </c>
      <c r="AU142" s="161" t="n">
        <f aca="false">IF($W142*R142&gt;150000,($W142*R142-150000)*6%*45%,0)</f>
        <v>0</v>
      </c>
      <c r="AV142" s="161" t="n">
        <f aca="false">IF($W142*S142&gt;150000,($W142*S142-150000)*6%*45%,0)</f>
        <v>0</v>
      </c>
      <c r="AW142" s="161" t="n">
        <f aca="false">IF($W142*T142&gt;150000,($W142*T142-150000)*6%*45%,0)</f>
        <v>0</v>
      </c>
      <c r="AX142" s="161"/>
      <c r="AY142" s="162" t="n">
        <f aca="false">IF(ISERROR(VLOOKUP(C142,[27]일용직명단!$A$3:$M$1151,11,FALSE())),0,VLOOKUP(C142,[27]일용직명단!$A$3:$M$1151,11,FALSE()))</f>
        <v>0</v>
      </c>
      <c r="AZ142" s="163"/>
      <c r="BA142" s="163"/>
      <c r="BB142" s="163"/>
      <c r="BC142" s="163"/>
      <c r="BD142" s="163"/>
      <c r="BE142" s="163"/>
      <c r="BF142" s="163"/>
      <c r="BG142" s="163"/>
      <c r="BH142" s="163"/>
      <c r="BI142" s="163"/>
      <c r="BJ142" s="163"/>
      <c r="BK142" s="163"/>
      <c r="BL142" s="163"/>
      <c r="BM142" s="163"/>
      <c r="BN142" s="163"/>
      <c r="BO142" s="163"/>
      <c r="BP142" s="163"/>
      <c r="BQ142" s="163"/>
      <c r="BR142" s="163"/>
      <c r="BS142" s="163"/>
      <c r="BT142" s="163"/>
      <c r="BU142" s="163"/>
      <c r="BV142" s="163"/>
      <c r="BW142" s="163"/>
      <c r="BX142" s="163"/>
      <c r="BY142" s="163"/>
      <c r="BZ142" s="163"/>
      <c r="CA142" s="163"/>
      <c r="CB142" s="163"/>
      <c r="CC142" s="163"/>
      <c r="CD142" s="163"/>
      <c r="CE142" s="163"/>
      <c r="CF142" s="163"/>
      <c r="CG142" s="163"/>
      <c r="CH142" s="163"/>
      <c r="CI142" s="163"/>
      <c r="CJ142" s="163"/>
      <c r="CK142" s="163"/>
      <c r="CL142" s="163"/>
      <c r="CM142" s="163"/>
      <c r="CN142" s="163"/>
      <c r="CO142" s="163"/>
      <c r="CP142" s="163"/>
      <c r="CQ142" s="163"/>
      <c r="CR142" s="163"/>
      <c r="CS142" s="163"/>
      <c r="CT142" s="163"/>
      <c r="CU142" s="163"/>
      <c r="CV142" s="163"/>
      <c r="CW142" s="163"/>
      <c r="CX142" s="163"/>
      <c r="CY142" s="163"/>
      <c r="CZ142" s="163"/>
      <c r="DA142" s="163"/>
      <c r="DB142" s="163"/>
      <c r="DC142" s="163"/>
      <c r="DD142" s="163"/>
      <c r="DE142" s="163"/>
      <c r="DF142" s="163"/>
      <c r="DG142" s="163"/>
      <c r="DH142" s="163"/>
      <c r="DI142" s="163"/>
      <c r="DJ142" s="163"/>
      <c r="DK142" s="163"/>
      <c r="DL142" s="163"/>
      <c r="DM142" s="163"/>
      <c r="DN142" s="163"/>
      <c r="DO142" s="163"/>
      <c r="DP142" s="163"/>
      <c r="DQ142" s="163"/>
      <c r="DR142" s="163"/>
      <c r="DS142" s="163"/>
      <c r="DT142" s="163"/>
      <c r="DU142" s="163"/>
      <c r="DV142" s="163"/>
      <c r="DW142" s="163"/>
      <c r="DX142" s="163"/>
      <c r="DY142" s="163"/>
      <c r="DZ142" s="163"/>
      <c r="EA142" s="163"/>
      <c r="EB142" s="163"/>
      <c r="EC142" s="163"/>
      <c r="ED142" s="163"/>
      <c r="EE142" s="163"/>
      <c r="EF142" s="163"/>
      <c r="EG142" s="163"/>
      <c r="EH142" s="163"/>
      <c r="EI142" s="163"/>
      <c r="EJ142" s="163"/>
      <c r="EK142" s="163"/>
      <c r="EL142" s="163"/>
      <c r="EM142" s="163"/>
      <c r="EN142" s="163"/>
      <c r="EO142" s="163"/>
      <c r="EP142" s="163"/>
      <c r="EQ142" s="163"/>
      <c r="ER142" s="163"/>
      <c r="ES142" s="163"/>
      <c r="ET142" s="163"/>
      <c r="EU142" s="163"/>
      <c r="EV142" s="163"/>
      <c r="EW142" s="163"/>
      <c r="EX142" s="163"/>
      <c r="EY142" s="163"/>
      <c r="EZ142" s="163"/>
      <c r="FA142" s="163"/>
      <c r="FB142" s="163"/>
      <c r="FC142" s="163"/>
      <c r="FD142" s="163"/>
      <c r="FE142" s="163"/>
      <c r="FF142" s="163"/>
      <c r="FG142" s="163"/>
      <c r="FH142" s="163"/>
      <c r="FI142" s="163"/>
      <c r="FJ142" s="163"/>
      <c r="FK142" s="163"/>
      <c r="FL142" s="163"/>
      <c r="FM142" s="163"/>
      <c r="FN142" s="163"/>
      <c r="FO142" s="163"/>
      <c r="FP142" s="163"/>
      <c r="FQ142" s="163"/>
      <c r="FR142" s="163"/>
      <c r="FS142" s="163"/>
      <c r="FT142" s="163"/>
      <c r="FU142" s="163"/>
      <c r="FV142" s="163"/>
      <c r="FW142" s="163"/>
      <c r="FX142" s="163"/>
      <c r="FY142" s="163"/>
      <c r="FZ142" s="163"/>
      <c r="GA142" s="163"/>
      <c r="GB142" s="163"/>
      <c r="GC142" s="163"/>
      <c r="GD142" s="163"/>
      <c r="GE142" s="163"/>
      <c r="GF142" s="163"/>
      <c r="GG142" s="163"/>
      <c r="GH142" s="163"/>
      <c r="GI142" s="163"/>
      <c r="GJ142" s="163"/>
      <c r="GK142" s="163"/>
      <c r="GL142" s="163"/>
      <c r="GM142" s="163"/>
      <c r="GN142" s="163"/>
      <c r="GO142" s="163"/>
      <c r="GP142" s="163"/>
      <c r="GQ142" s="163"/>
      <c r="GR142" s="163"/>
      <c r="GS142" s="163"/>
      <c r="GT142" s="163"/>
      <c r="GU142" s="163"/>
      <c r="GV142" s="163"/>
      <c r="GW142" s="163"/>
      <c r="GX142" s="163"/>
      <c r="GY142" s="163"/>
      <c r="GZ142" s="163"/>
      <c r="HA142" s="163"/>
      <c r="HB142" s="163"/>
      <c r="HC142" s="163"/>
      <c r="HD142" s="163"/>
      <c r="HE142" s="163"/>
      <c r="HF142" s="163"/>
      <c r="HG142" s="163"/>
      <c r="HH142" s="163"/>
      <c r="HI142" s="163"/>
      <c r="HJ142" s="163"/>
      <c r="HK142" s="163"/>
      <c r="HL142" s="163"/>
      <c r="HM142" s="163"/>
      <c r="HN142" s="163"/>
      <c r="HO142" s="163"/>
      <c r="HP142" s="163"/>
      <c r="HQ142" s="163"/>
      <c r="HR142" s="163"/>
      <c r="HS142" s="163"/>
      <c r="HT142" s="163"/>
      <c r="HU142" s="163"/>
      <c r="HV142" s="163"/>
      <c r="HW142" s="163"/>
      <c r="HX142" s="163"/>
      <c r="HY142" s="163"/>
      <c r="HZ142" s="163"/>
      <c r="IA142" s="163"/>
      <c r="IB142" s="163"/>
      <c r="IC142" s="163"/>
      <c r="ID142" s="163"/>
      <c r="IE142" s="163"/>
      <c r="IF142" s="163"/>
      <c r="IG142" s="163"/>
      <c r="IH142" s="163"/>
      <c r="II142" s="163"/>
      <c r="IJ142" s="163"/>
      <c r="IK142" s="163"/>
      <c r="IL142" s="163"/>
      <c r="IM142" s="163"/>
      <c r="IN142" s="163"/>
      <c r="IO142" s="163"/>
      <c r="IP142" s="163"/>
      <c r="IQ142" s="163"/>
      <c r="IR142" s="163"/>
      <c r="IS142" s="163"/>
      <c r="IT142" s="163"/>
      <c r="IU142" s="163"/>
      <c r="IV142" s="11"/>
      <c r="IW142" s="11"/>
    </row>
    <row r="143" customFormat="false" ht="13.5" hidden="true" customHeight="true" outlineLevel="0" collapsed="false">
      <c r="A143" s="108"/>
      <c r="B143" s="159"/>
      <c r="C143" s="203"/>
      <c r="D143" s="311"/>
      <c r="E143" s="160" t="n">
        <f aca="false">IF(ISERROR(VLOOKUP(C142,일용직명단!$A$3:$K$1246,9,FALSE())),0,VLOOKUP(C142,일용직명단!$A$3:$K$1246,9,FALSE()))</f>
        <v>0</v>
      </c>
      <c r="F143" s="313"/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  <c r="T143" s="313"/>
      <c r="U143" s="315"/>
      <c r="V143" s="144"/>
      <c r="W143" s="138" t="n">
        <f aca="false">W142*V142</f>
        <v>0</v>
      </c>
      <c r="X143" s="156" t="n">
        <f aca="false">IF(AH142&lt;1000,0,AH142)</f>
        <v>0</v>
      </c>
      <c r="Y143" s="156" t="n">
        <f aca="false">ROUNDDOWN(X143*10%,-1)</f>
        <v>0</v>
      </c>
      <c r="Z143" s="156" t="n">
        <f aca="false">IF(AE142&gt;=8,ROUNDDOWN(Y142*$Q$4,-1),0)</f>
        <v>0</v>
      </c>
      <c r="AA143" s="145"/>
      <c r="AB143" s="146"/>
      <c r="AC143" s="158" t="n">
        <f aca="false">IF(ISERROR(VLOOKUP(C142,일용직명단!$A$3:$I$1226,7,FALSE())),0,VLOOKUP(C142,일용직명단!$A$3:$I$1226,7,FALSE()))</f>
        <v>0</v>
      </c>
      <c r="AD143" s="158"/>
      <c r="AE143" s="141"/>
      <c r="AF143" s="129"/>
      <c r="AG143" s="129"/>
      <c r="AH143" s="161"/>
      <c r="AI143" s="161" t="n">
        <f aca="false">IF($W142*F143&gt;150000,($W142*F143-150000)*6%*45%,0)</f>
        <v>0</v>
      </c>
      <c r="AJ143" s="161" t="n">
        <f aca="false">IF($W142*G143&gt;150000,($W142*G143-150000)*6%*45%,0)</f>
        <v>0</v>
      </c>
      <c r="AK143" s="161" t="n">
        <f aca="false">IF($W142*H143&gt;150000,($W142*H143-150000)*6%*45%,0)</f>
        <v>0</v>
      </c>
      <c r="AL143" s="161" t="n">
        <f aca="false">IF($W142*I143&gt;150000,($W142*I143-150000)*6%*45%,0)</f>
        <v>0</v>
      </c>
      <c r="AM143" s="161" t="n">
        <f aca="false">IF($W142*J143&gt;150000,($W142*J143-150000)*6%*45%,0)</f>
        <v>0</v>
      </c>
      <c r="AN143" s="161" t="n">
        <f aca="false">IF($W142*K143&gt;150000,($W142*K143-150000)*6%*45%,0)</f>
        <v>0</v>
      </c>
      <c r="AO143" s="161" t="n">
        <f aca="false">IF($W142*L143&gt;150000,($W142*L143-150000)*6%*45%,0)</f>
        <v>0</v>
      </c>
      <c r="AP143" s="161" t="n">
        <f aca="false">IF($W142*M143&gt;150000,($W142*M143-150000)*6%*45%,0)</f>
        <v>0</v>
      </c>
      <c r="AQ143" s="161" t="n">
        <f aca="false">IF($W142*N143&gt;150000,($W142*N143-150000)*6%*45%,0)</f>
        <v>0</v>
      </c>
      <c r="AR143" s="161" t="n">
        <f aca="false">IF($W142*O143&gt;150000,($W142*O143-150000)*6%*45%,0)</f>
        <v>0</v>
      </c>
      <c r="AS143" s="161" t="n">
        <f aca="false">IF($W142*P143&gt;150000,($W142*P143-150000)*6%*45%,0)</f>
        <v>0</v>
      </c>
      <c r="AT143" s="161" t="n">
        <f aca="false">IF($W142*Q143&gt;150000,($W142*Q143-150000)*6%*45%,0)</f>
        <v>0</v>
      </c>
      <c r="AU143" s="161" t="n">
        <f aca="false">IF($W142*R143&gt;150000,($W142*R143-150000)*6%*45%,0)</f>
        <v>0</v>
      </c>
      <c r="AV143" s="161" t="n">
        <f aca="false">IF($W142*S143&gt;150000,($W142*S143-150000)*6%*45%,0)</f>
        <v>0</v>
      </c>
      <c r="AW143" s="161" t="n">
        <f aca="false">IF($W142*T143&gt;150000,($W142*T143-150000)*6%*45%,0)</f>
        <v>0</v>
      </c>
      <c r="AX143" s="161" t="n">
        <f aca="false">IF($W142*U143&gt;150000,($W142*U143-150000)*6%*45%,0)</f>
        <v>0</v>
      </c>
      <c r="AY143" s="162"/>
      <c r="AZ143" s="163"/>
      <c r="BA143" s="163"/>
      <c r="BB143" s="163"/>
      <c r="BC143" s="163"/>
      <c r="BD143" s="163"/>
      <c r="BE143" s="163"/>
      <c r="BF143" s="163"/>
      <c r="BG143" s="163"/>
      <c r="BH143" s="163"/>
      <c r="BI143" s="163"/>
      <c r="BJ143" s="163"/>
      <c r="BK143" s="163"/>
      <c r="BL143" s="163"/>
      <c r="BM143" s="163"/>
      <c r="BN143" s="163"/>
      <c r="BO143" s="163"/>
      <c r="BP143" s="163"/>
      <c r="BQ143" s="163"/>
      <c r="BR143" s="163"/>
      <c r="BS143" s="163"/>
      <c r="BT143" s="163"/>
      <c r="BU143" s="163"/>
      <c r="BV143" s="163"/>
      <c r="BW143" s="163"/>
      <c r="BX143" s="163"/>
      <c r="BY143" s="163"/>
      <c r="BZ143" s="163"/>
      <c r="CA143" s="163"/>
      <c r="CB143" s="163"/>
      <c r="CC143" s="163"/>
      <c r="CD143" s="163"/>
      <c r="CE143" s="163"/>
      <c r="CF143" s="163"/>
      <c r="CG143" s="163"/>
      <c r="CH143" s="163"/>
      <c r="CI143" s="163"/>
      <c r="CJ143" s="163"/>
      <c r="CK143" s="163"/>
      <c r="CL143" s="163"/>
      <c r="CM143" s="163"/>
      <c r="CN143" s="163"/>
      <c r="CO143" s="163"/>
      <c r="CP143" s="163"/>
      <c r="CQ143" s="163"/>
      <c r="CR143" s="163"/>
      <c r="CS143" s="163"/>
      <c r="CT143" s="163"/>
      <c r="CU143" s="163"/>
      <c r="CV143" s="163"/>
      <c r="CW143" s="163"/>
      <c r="CX143" s="163"/>
      <c r="CY143" s="163"/>
      <c r="CZ143" s="163"/>
      <c r="DA143" s="163"/>
      <c r="DB143" s="163"/>
      <c r="DC143" s="163"/>
      <c r="DD143" s="163"/>
      <c r="DE143" s="163"/>
      <c r="DF143" s="163"/>
      <c r="DG143" s="163"/>
      <c r="DH143" s="163"/>
      <c r="DI143" s="163"/>
      <c r="DJ143" s="163"/>
      <c r="DK143" s="163"/>
      <c r="DL143" s="163"/>
      <c r="DM143" s="163"/>
      <c r="DN143" s="163"/>
      <c r="DO143" s="163"/>
      <c r="DP143" s="163"/>
      <c r="DQ143" s="163"/>
      <c r="DR143" s="163"/>
      <c r="DS143" s="163"/>
      <c r="DT143" s="163"/>
      <c r="DU143" s="163"/>
      <c r="DV143" s="163"/>
      <c r="DW143" s="163"/>
      <c r="DX143" s="163"/>
      <c r="DY143" s="163"/>
      <c r="DZ143" s="163"/>
      <c r="EA143" s="163"/>
      <c r="EB143" s="163"/>
      <c r="EC143" s="163"/>
      <c r="ED143" s="163"/>
      <c r="EE143" s="163"/>
      <c r="EF143" s="163"/>
      <c r="EG143" s="163"/>
      <c r="EH143" s="163"/>
      <c r="EI143" s="163"/>
      <c r="EJ143" s="163"/>
      <c r="EK143" s="163"/>
      <c r="EL143" s="163"/>
      <c r="EM143" s="163"/>
      <c r="EN143" s="163"/>
      <c r="EO143" s="163"/>
      <c r="EP143" s="163"/>
      <c r="EQ143" s="163"/>
      <c r="ER143" s="163"/>
      <c r="ES143" s="163"/>
      <c r="ET143" s="163"/>
      <c r="EU143" s="163"/>
      <c r="EV143" s="163"/>
      <c r="EW143" s="163"/>
      <c r="EX143" s="163"/>
      <c r="EY143" s="163"/>
      <c r="EZ143" s="163"/>
      <c r="FA143" s="163"/>
      <c r="FB143" s="163"/>
      <c r="FC143" s="163"/>
      <c r="FD143" s="163"/>
      <c r="FE143" s="163"/>
      <c r="FF143" s="163"/>
      <c r="FG143" s="163"/>
      <c r="FH143" s="163"/>
      <c r="FI143" s="163"/>
      <c r="FJ143" s="163"/>
      <c r="FK143" s="163"/>
      <c r="FL143" s="163"/>
      <c r="FM143" s="163"/>
      <c r="FN143" s="163"/>
      <c r="FO143" s="163"/>
      <c r="FP143" s="163"/>
      <c r="FQ143" s="163"/>
      <c r="FR143" s="163"/>
      <c r="FS143" s="163"/>
      <c r="FT143" s="163"/>
      <c r="FU143" s="163"/>
      <c r="FV143" s="163"/>
      <c r="FW143" s="163"/>
      <c r="FX143" s="163"/>
      <c r="FY143" s="163"/>
      <c r="FZ143" s="163"/>
      <c r="GA143" s="163"/>
      <c r="GB143" s="163"/>
      <c r="GC143" s="163"/>
      <c r="GD143" s="163"/>
      <c r="GE143" s="163"/>
      <c r="GF143" s="163"/>
      <c r="GG143" s="163"/>
      <c r="GH143" s="163"/>
      <c r="GI143" s="163"/>
      <c r="GJ143" s="163"/>
      <c r="GK143" s="163"/>
      <c r="GL143" s="163"/>
      <c r="GM143" s="163"/>
      <c r="GN143" s="163"/>
      <c r="GO143" s="163"/>
      <c r="GP143" s="163"/>
      <c r="GQ143" s="163"/>
      <c r="GR143" s="163"/>
      <c r="GS143" s="163"/>
      <c r="GT143" s="163"/>
      <c r="GU143" s="163"/>
      <c r="GV143" s="163"/>
      <c r="GW143" s="163"/>
      <c r="GX143" s="163"/>
      <c r="GY143" s="163"/>
      <c r="GZ143" s="163"/>
      <c r="HA143" s="163"/>
      <c r="HB143" s="163"/>
      <c r="HC143" s="163"/>
      <c r="HD143" s="163"/>
      <c r="HE143" s="163"/>
      <c r="HF143" s="163"/>
      <c r="HG143" s="163"/>
      <c r="HH143" s="163"/>
      <c r="HI143" s="163"/>
      <c r="HJ143" s="163"/>
      <c r="HK143" s="163"/>
      <c r="HL143" s="163"/>
      <c r="HM143" s="163"/>
      <c r="HN143" s="163"/>
      <c r="HO143" s="163"/>
      <c r="HP143" s="163"/>
      <c r="HQ143" s="163"/>
      <c r="HR143" s="163"/>
      <c r="HS143" s="163"/>
      <c r="HT143" s="163"/>
      <c r="HU143" s="163"/>
      <c r="HV143" s="163"/>
      <c r="HW143" s="163"/>
      <c r="HX143" s="163"/>
      <c r="HY143" s="163"/>
      <c r="HZ143" s="163"/>
      <c r="IA143" s="163"/>
      <c r="IB143" s="163"/>
      <c r="IC143" s="163"/>
      <c r="ID143" s="163"/>
      <c r="IE143" s="163"/>
      <c r="IF143" s="163"/>
      <c r="IG143" s="163"/>
      <c r="IH143" s="163"/>
      <c r="II143" s="163"/>
      <c r="IJ143" s="163"/>
      <c r="IK143" s="163"/>
      <c r="IL143" s="163"/>
      <c r="IM143" s="163"/>
      <c r="IN143" s="163"/>
      <c r="IO143" s="163"/>
      <c r="IP143" s="163"/>
      <c r="IQ143" s="163"/>
      <c r="IR143" s="163"/>
      <c r="IS143" s="163"/>
      <c r="IT143" s="163"/>
      <c r="IU143" s="163"/>
      <c r="IV143" s="11"/>
      <c r="IW143" s="11"/>
    </row>
    <row r="144" customFormat="false" ht="13.5" hidden="true" customHeight="true" outlineLevel="0" collapsed="false">
      <c r="A144" s="108" t="n">
        <f aca="false">A142+1</f>
        <v>53</v>
      </c>
      <c r="B144" s="159" t="n">
        <f aca="false">IF(ISERROR(VLOOKUP(C144,[29]일용직명단!$A$3:$I$97,2,FALSE())),0,VLOOKUP(C144,[29]일용직명단!$A$3:$I$97,2,FALSE()))</f>
        <v>0</v>
      </c>
      <c r="C144" s="203"/>
      <c r="D144" s="311" t="n">
        <f aca="false">IF(ISERROR(VLOOKUP(C144,[28]일용직명단!$A$3:$K$1183,3,FALSE())),0,VLOOKUP(C144,[28]일용직명단!$A$3:$K$1183,3,FALSE()))</f>
        <v>0</v>
      </c>
      <c r="E144" s="160" t="n">
        <f aca="false">IF(ISERROR(VLOOKUP(C144,일용직명단!$A$3:$K$1246,4,FALSE())),0,VLOOKUP(C144,일용직명단!$A$3:$K$1246,4,FALSE()))</f>
        <v>0</v>
      </c>
      <c r="F144" s="312"/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6"/>
      <c r="S144" s="313"/>
      <c r="T144" s="313"/>
      <c r="U144" s="314"/>
      <c r="V144" s="144" t="n">
        <f aca="false">SUM(F144:U145)</f>
        <v>0</v>
      </c>
      <c r="W144" s="211" t="n">
        <f aca="false">IF(ISERROR(VLOOKUP(C144,일용직명단!$A$3:$K$1246,8,FALSE())),0,VLOOKUP(C144,일용직명단!$A$3:$K$1246,8,FALSE()))</f>
        <v>0</v>
      </c>
      <c r="X144" s="156" t="n">
        <f aca="false">IFERROR(IF(AG144&gt;=65,0,ROUNDDOWN(W145*$Z$4,-1)),0)</f>
        <v>0</v>
      </c>
      <c r="Y144" s="156" t="n">
        <f aca="false">IF(AE144&gt;=8,ROUNDDOWN(W145*$M$4,-1),0)</f>
        <v>0</v>
      </c>
      <c r="Z144" s="156" t="n">
        <f aca="false">IFERROR(IF(AND(COUNT(F144:U145)&gt;=8,$AG144&lt;60,W145&lt;=5530000),ROUNDDOWN(ROUNDDOWN(W145,-3)*4.5%,-1),IF(AND(COUNT(F144:U145)&gt;=8,AG144&lt;60,W145&gt;5530000),248850,0)),0)</f>
        <v>0</v>
      </c>
      <c r="AA144" s="145" t="n">
        <f aca="false">+X144+Y144+X145+Y145+Z144+Z145</f>
        <v>0</v>
      </c>
      <c r="AB144" s="146" t="n">
        <f aca="false">W145-AA144</f>
        <v>0</v>
      </c>
      <c r="AC144" s="157" t="n">
        <f aca="false">IF(ISERROR(VLOOKUP(C144,일용직명단!$A$3:$I$1226,5,FALSE())),0,VLOOKUP(C144,일용직명단!$A$3:$I$1226,5,FALSE()))</f>
        <v>0</v>
      </c>
      <c r="AD144" s="158" t="n">
        <f aca="false">IF(ISERROR(VLOOKUP(C144,일용직명단!$A$3:$I$1226,6,FALSE())),0,VLOOKUP(C144,일용직명단!$A$3:$I$1226,6,FALSE()))</f>
        <v>0</v>
      </c>
      <c r="AE144" s="141" t="n">
        <f aca="false">COUNT(F144:U145)</f>
        <v>0</v>
      </c>
      <c r="AF144" s="129" t="str">
        <f aca="false">IF(OR(MID(D144,8,1)="1",MID(D144,8,1)="2"),19&amp;LEFT(D144,2),20&amp;LEFT(D144,2))&amp;"-"&amp;MID(D144,3,2)&amp;"-"&amp;MID(D144,5,2)</f>
        <v>200--</v>
      </c>
      <c r="AG144" s="129" t="e">
        <f aca="true">INT((TODAY()-AF144)/365.25)</f>
        <v>#VALUE!</v>
      </c>
      <c r="AH144" s="161" t="n">
        <f aca="false">ROUNDDOWN(SUM(AI144:AX145),-1)</f>
        <v>0</v>
      </c>
      <c r="AI144" s="161" t="n">
        <f aca="false">IF($W144*F144&gt;150000,($W144*F144-150000)*6%*45%,0)</f>
        <v>0</v>
      </c>
      <c r="AJ144" s="161" t="n">
        <f aca="false">IF($W144*G144&gt;150000,($W144*G144-150000)*6%*45%,0)</f>
        <v>0</v>
      </c>
      <c r="AK144" s="161" t="n">
        <f aca="false">IF($W144*H144&gt;150000,($W144*H144-150000)*6%*45%,0)</f>
        <v>0</v>
      </c>
      <c r="AL144" s="161" t="n">
        <f aca="false">IF($W144*I144&gt;150000,($W144*I144-150000)*6%*45%,0)</f>
        <v>0</v>
      </c>
      <c r="AM144" s="161" t="n">
        <f aca="false">IF($W144*J144&gt;150000,($W144*J144-150000)*6%*45%,0)</f>
        <v>0</v>
      </c>
      <c r="AN144" s="161" t="n">
        <f aca="false">IF($W144*K144&gt;150000,($W144*K144-150000)*6%*45%,0)</f>
        <v>0</v>
      </c>
      <c r="AO144" s="161" t="n">
        <f aca="false">IF($W144*L144&gt;150000,($W144*L144-150000)*6%*45%,0)</f>
        <v>0</v>
      </c>
      <c r="AP144" s="161" t="n">
        <f aca="false">IF($W144*M144&gt;150000,($W144*M144-150000)*6%*45%,0)</f>
        <v>0</v>
      </c>
      <c r="AQ144" s="161" t="n">
        <f aca="false">IF($W144*N144&gt;150000,($W144*N144-150000)*6%*45%,0)</f>
        <v>0</v>
      </c>
      <c r="AR144" s="161" t="n">
        <f aca="false">IF($W144*O144&gt;150000,($W144*O144-150000)*6%*45%,0)</f>
        <v>0</v>
      </c>
      <c r="AS144" s="161" t="n">
        <f aca="false">IF($W144*P144&gt;150000,($W144*P144-150000)*6%*45%,0)</f>
        <v>0</v>
      </c>
      <c r="AT144" s="161" t="n">
        <f aca="false">IF($W144*Q144&gt;150000,($W144*Q144-150000)*6%*45%,0)</f>
        <v>0</v>
      </c>
      <c r="AU144" s="161" t="n">
        <f aca="false">IF($W144*R144&gt;150000,($W144*R144-150000)*6%*45%,0)</f>
        <v>0</v>
      </c>
      <c r="AV144" s="161" t="n">
        <f aca="false">IF($W144*S144&gt;150000,($W144*S144-150000)*6%*45%,0)</f>
        <v>0</v>
      </c>
      <c r="AW144" s="161" t="n">
        <f aca="false">IF($W144*T144&gt;150000,($W144*T144-150000)*6%*45%,0)</f>
        <v>0</v>
      </c>
      <c r="AX144" s="161"/>
      <c r="AY144" s="162" t="n">
        <f aca="false">IF(ISERROR(VLOOKUP(C144,[27]일용직명단!$A$3:$M$1151,11,FALSE())),0,VLOOKUP(C144,[27]일용직명단!$A$3:$M$1151,11,FALSE()))</f>
        <v>0</v>
      </c>
      <c r="AZ144" s="163"/>
      <c r="BA144" s="163"/>
      <c r="BB144" s="12"/>
      <c r="BC144" s="12"/>
      <c r="BD144" s="12"/>
      <c r="BE144" s="12"/>
      <c r="BF144" s="12"/>
      <c r="BG144" s="12"/>
      <c r="BH144" s="163"/>
      <c r="BI144" s="163"/>
      <c r="BJ144" s="163"/>
      <c r="BK144" s="163"/>
      <c r="BL144" s="163"/>
      <c r="BM144" s="163"/>
      <c r="BN144" s="163"/>
      <c r="BO144" s="163"/>
      <c r="BP144" s="163"/>
      <c r="BQ144" s="163"/>
      <c r="BR144" s="163"/>
      <c r="BS144" s="163"/>
      <c r="BT144" s="163"/>
      <c r="BU144" s="163"/>
      <c r="BV144" s="163"/>
      <c r="BW144" s="163"/>
      <c r="BX144" s="163"/>
      <c r="BY144" s="163"/>
      <c r="BZ144" s="163"/>
      <c r="CA144" s="163"/>
      <c r="CB144" s="163"/>
      <c r="CC144" s="163"/>
      <c r="CD144" s="163"/>
      <c r="CE144" s="163"/>
      <c r="CF144" s="163"/>
      <c r="CG144" s="163"/>
      <c r="CH144" s="163"/>
      <c r="CI144" s="163"/>
      <c r="CJ144" s="163"/>
      <c r="CK144" s="163"/>
      <c r="CL144" s="163"/>
      <c r="CM144" s="163"/>
      <c r="CN144" s="163"/>
      <c r="CO144" s="163"/>
      <c r="CP144" s="163"/>
      <c r="CQ144" s="163"/>
      <c r="CR144" s="163"/>
      <c r="CS144" s="163"/>
      <c r="CT144" s="163"/>
      <c r="CU144" s="163"/>
      <c r="CV144" s="163"/>
      <c r="CW144" s="163"/>
      <c r="CX144" s="163"/>
      <c r="CY144" s="163"/>
      <c r="CZ144" s="163"/>
      <c r="DA144" s="163"/>
      <c r="DB144" s="163"/>
      <c r="DC144" s="163"/>
      <c r="DD144" s="163"/>
      <c r="DE144" s="163"/>
      <c r="DF144" s="163"/>
      <c r="DG144" s="163"/>
      <c r="DH144" s="163"/>
      <c r="DI144" s="163"/>
      <c r="DJ144" s="163"/>
      <c r="DK144" s="163"/>
      <c r="DL144" s="163"/>
      <c r="DM144" s="163"/>
      <c r="DN144" s="163"/>
      <c r="DO144" s="163"/>
      <c r="DP144" s="163"/>
      <c r="DQ144" s="163"/>
      <c r="DR144" s="163"/>
      <c r="DS144" s="163"/>
      <c r="DT144" s="163"/>
      <c r="DU144" s="163"/>
      <c r="DV144" s="163"/>
      <c r="DW144" s="163"/>
      <c r="DX144" s="163"/>
      <c r="DY144" s="163"/>
      <c r="DZ144" s="163"/>
      <c r="EA144" s="163"/>
      <c r="EB144" s="163"/>
      <c r="EC144" s="163"/>
      <c r="ED144" s="163"/>
      <c r="EE144" s="163"/>
      <c r="EF144" s="163"/>
      <c r="EG144" s="163"/>
      <c r="EH144" s="163"/>
      <c r="EI144" s="163"/>
      <c r="EJ144" s="163"/>
      <c r="EK144" s="163"/>
      <c r="EL144" s="163"/>
      <c r="EM144" s="163"/>
      <c r="EN144" s="163"/>
      <c r="EO144" s="163"/>
      <c r="EP144" s="163"/>
      <c r="EQ144" s="163"/>
      <c r="ER144" s="163"/>
      <c r="ES144" s="163"/>
      <c r="ET144" s="163"/>
      <c r="EU144" s="163"/>
      <c r="EV144" s="163"/>
      <c r="EW144" s="163"/>
      <c r="EX144" s="163"/>
      <c r="EY144" s="163"/>
      <c r="EZ144" s="163"/>
      <c r="FA144" s="163"/>
      <c r="FB144" s="163"/>
      <c r="FC144" s="163"/>
      <c r="FD144" s="163"/>
      <c r="FE144" s="163"/>
      <c r="FF144" s="163"/>
      <c r="FG144" s="163"/>
      <c r="FH144" s="163"/>
      <c r="FI144" s="163"/>
      <c r="FJ144" s="163"/>
      <c r="FK144" s="163"/>
      <c r="FL144" s="163"/>
      <c r="FM144" s="163"/>
      <c r="FN144" s="163"/>
      <c r="FO144" s="163"/>
      <c r="FP144" s="163"/>
      <c r="FQ144" s="163"/>
      <c r="FR144" s="163"/>
      <c r="FS144" s="163"/>
      <c r="FT144" s="163"/>
      <c r="FU144" s="163"/>
      <c r="FV144" s="163"/>
      <c r="FW144" s="163"/>
      <c r="FX144" s="163"/>
      <c r="FY144" s="163"/>
      <c r="FZ144" s="163"/>
      <c r="GA144" s="163"/>
      <c r="GB144" s="163"/>
      <c r="GC144" s="163"/>
      <c r="GD144" s="163"/>
      <c r="GE144" s="163"/>
      <c r="GF144" s="163"/>
      <c r="GG144" s="163"/>
      <c r="GH144" s="163"/>
      <c r="GI144" s="163"/>
      <c r="GJ144" s="163"/>
      <c r="GK144" s="163"/>
      <c r="GL144" s="163"/>
      <c r="GM144" s="163"/>
      <c r="GN144" s="163"/>
      <c r="GO144" s="163"/>
      <c r="GP144" s="163"/>
      <c r="GQ144" s="163"/>
      <c r="GR144" s="163"/>
      <c r="GS144" s="163"/>
      <c r="GT144" s="163"/>
      <c r="GU144" s="163"/>
      <c r="GV144" s="163"/>
      <c r="GW144" s="163"/>
      <c r="GX144" s="163"/>
      <c r="GY144" s="163"/>
      <c r="GZ144" s="163"/>
      <c r="HA144" s="163"/>
      <c r="HB144" s="163"/>
      <c r="HC144" s="163"/>
      <c r="HD144" s="163"/>
      <c r="HE144" s="163"/>
      <c r="HF144" s="163"/>
      <c r="HG144" s="163"/>
      <c r="HH144" s="163"/>
      <c r="HI144" s="163"/>
      <c r="HJ144" s="163"/>
      <c r="HK144" s="163"/>
      <c r="HL144" s="163"/>
      <c r="HM144" s="163"/>
      <c r="HN144" s="163"/>
      <c r="HO144" s="163"/>
      <c r="HP144" s="163"/>
      <c r="HQ144" s="163"/>
      <c r="HR144" s="163"/>
      <c r="HS144" s="163"/>
      <c r="HT144" s="163"/>
      <c r="HU144" s="163"/>
      <c r="HV144" s="163"/>
      <c r="HW144" s="163"/>
      <c r="HX144" s="163"/>
      <c r="HY144" s="163"/>
      <c r="HZ144" s="163"/>
      <c r="IA144" s="163"/>
      <c r="IB144" s="163"/>
      <c r="IC144" s="163"/>
      <c r="ID144" s="163"/>
      <c r="IE144" s="163"/>
      <c r="IF144" s="163"/>
      <c r="IG144" s="163"/>
      <c r="IH144" s="163"/>
      <c r="II144" s="163"/>
      <c r="IJ144" s="163"/>
      <c r="IK144" s="163"/>
      <c r="IL144" s="163"/>
      <c r="IM144" s="163"/>
      <c r="IN144" s="163"/>
      <c r="IO144" s="163"/>
      <c r="IP144" s="163"/>
      <c r="IQ144" s="163"/>
      <c r="IR144" s="163"/>
      <c r="IS144" s="163"/>
      <c r="IT144" s="163"/>
      <c r="IU144" s="163"/>
      <c r="IV144" s="11"/>
      <c r="IW144" s="11"/>
    </row>
    <row r="145" customFormat="false" ht="13.5" hidden="true" customHeight="true" outlineLevel="0" collapsed="false">
      <c r="A145" s="108"/>
      <c r="B145" s="159"/>
      <c r="C145" s="203"/>
      <c r="D145" s="311"/>
      <c r="E145" s="160" t="n">
        <f aca="false">IF(ISERROR(VLOOKUP(C144,일용직명단!$A$3:$K$1246,9,FALSE())),0,VLOOKUP(C144,일용직명단!$A$3:$K$1246,9,FALSE()))</f>
        <v>0</v>
      </c>
      <c r="F145" s="313"/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  <c r="T145" s="313"/>
      <c r="U145" s="315"/>
      <c r="V145" s="144"/>
      <c r="W145" s="138" t="n">
        <f aca="false">W144*V144</f>
        <v>0</v>
      </c>
      <c r="X145" s="156" t="n">
        <f aca="false">IF(AH144&lt;1000,0,AH144)</f>
        <v>0</v>
      </c>
      <c r="Y145" s="156" t="n">
        <f aca="false">ROUNDDOWN(X145*10%,-1)</f>
        <v>0</v>
      </c>
      <c r="Z145" s="156" t="n">
        <f aca="false">IF(AE144&gt;=8,ROUNDDOWN(Y144*$Q$4,-1),0)</f>
        <v>0</v>
      </c>
      <c r="AA145" s="145"/>
      <c r="AB145" s="146"/>
      <c r="AC145" s="158" t="n">
        <f aca="false">IF(ISERROR(VLOOKUP(C144,일용직명단!$A$3:$I$1226,7,FALSE())),0,VLOOKUP(C144,일용직명단!$A$3:$I$1226,7,FALSE()))</f>
        <v>0</v>
      </c>
      <c r="AD145" s="158"/>
      <c r="AE145" s="141"/>
      <c r="AF145" s="129"/>
      <c r="AG145" s="129"/>
      <c r="AH145" s="161"/>
      <c r="AI145" s="161" t="n">
        <f aca="false">IF($W144*F145&gt;150000,($W144*F145-150000)*6%*45%,0)</f>
        <v>0</v>
      </c>
      <c r="AJ145" s="161" t="n">
        <f aca="false">IF($W144*G145&gt;150000,($W144*G145-150000)*6%*45%,0)</f>
        <v>0</v>
      </c>
      <c r="AK145" s="161" t="n">
        <f aca="false">IF($W144*H145&gt;150000,($W144*H145-150000)*6%*45%,0)</f>
        <v>0</v>
      </c>
      <c r="AL145" s="161" t="n">
        <f aca="false">IF($W144*I145&gt;150000,($W144*I145-150000)*6%*45%,0)</f>
        <v>0</v>
      </c>
      <c r="AM145" s="161" t="n">
        <f aca="false">IF($W144*J145&gt;150000,($W144*J145-150000)*6%*45%,0)</f>
        <v>0</v>
      </c>
      <c r="AN145" s="161" t="n">
        <f aca="false">IF($W144*K145&gt;150000,($W144*K145-150000)*6%*45%,0)</f>
        <v>0</v>
      </c>
      <c r="AO145" s="161" t="n">
        <f aca="false">IF($W144*L145&gt;150000,($W144*L145-150000)*6%*45%,0)</f>
        <v>0</v>
      </c>
      <c r="AP145" s="161" t="n">
        <f aca="false">IF($W144*M145&gt;150000,($W144*M145-150000)*6%*45%,0)</f>
        <v>0</v>
      </c>
      <c r="AQ145" s="161" t="n">
        <f aca="false">IF($W144*N145&gt;150000,($W144*N145-150000)*6%*45%,0)</f>
        <v>0</v>
      </c>
      <c r="AR145" s="161" t="n">
        <f aca="false">IF($W144*O145&gt;150000,($W144*O145-150000)*6%*45%,0)</f>
        <v>0</v>
      </c>
      <c r="AS145" s="161" t="n">
        <f aca="false">IF($W144*P145&gt;150000,($W144*P145-150000)*6%*45%,0)</f>
        <v>0</v>
      </c>
      <c r="AT145" s="161" t="n">
        <f aca="false">IF($W144*Q145&gt;150000,($W144*Q145-150000)*6%*45%,0)</f>
        <v>0</v>
      </c>
      <c r="AU145" s="161" t="n">
        <f aca="false">IF($W144*R145&gt;150000,($W144*R145-150000)*6%*45%,0)</f>
        <v>0</v>
      </c>
      <c r="AV145" s="161" t="n">
        <f aca="false">IF($W144*S145&gt;150000,($W144*S145-150000)*6%*45%,0)</f>
        <v>0</v>
      </c>
      <c r="AW145" s="161" t="n">
        <f aca="false">IF($W144*T145&gt;150000,($W144*T145-150000)*6%*45%,0)</f>
        <v>0</v>
      </c>
      <c r="AX145" s="161" t="n">
        <f aca="false">IF($W144*U145&gt;150000,($W144*U145-150000)*6%*45%,0)</f>
        <v>0</v>
      </c>
      <c r="AY145" s="162"/>
      <c r="AZ145" s="163"/>
      <c r="BA145" s="163"/>
      <c r="BB145" s="12"/>
      <c r="BC145" s="12"/>
      <c r="BD145" s="12"/>
      <c r="BE145" s="12"/>
      <c r="BF145" s="12"/>
      <c r="BG145" s="12"/>
      <c r="BH145" s="163"/>
      <c r="BI145" s="163"/>
      <c r="BJ145" s="163"/>
      <c r="BK145" s="163"/>
      <c r="BL145" s="163"/>
      <c r="BM145" s="163"/>
      <c r="BN145" s="163"/>
      <c r="BO145" s="163"/>
      <c r="BP145" s="163"/>
      <c r="BQ145" s="163"/>
      <c r="BR145" s="163"/>
      <c r="BS145" s="163"/>
      <c r="BT145" s="163"/>
      <c r="BU145" s="163"/>
      <c r="BV145" s="163"/>
      <c r="BW145" s="163"/>
      <c r="BX145" s="163"/>
      <c r="BY145" s="163"/>
      <c r="BZ145" s="163"/>
      <c r="CA145" s="163"/>
      <c r="CB145" s="163"/>
      <c r="CC145" s="163"/>
      <c r="CD145" s="163"/>
      <c r="CE145" s="163"/>
      <c r="CF145" s="163"/>
      <c r="CG145" s="163"/>
      <c r="CH145" s="163"/>
      <c r="CI145" s="163"/>
      <c r="CJ145" s="163"/>
      <c r="CK145" s="163"/>
      <c r="CL145" s="163"/>
      <c r="CM145" s="163"/>
      <c r="CN145" s="163"/>
      <c r="CO145" s="163"/>
      <c r="CP145" s="163"/>
      <c r="CQ145" s="163"/>
      <c r="CR145" s="163"/>
      <c r="CS145" s="163"/>
      <c r="CT145" s="163"/>
      <c r="CU145" s="163"/>
      <c r="CV145" s="163"/>
      <c r="CW145" s="163"/>
      <c r="CX145" s="163"/>
      <c r="CY145" s="163"/>
      <c r="CZ145" s="163"/>
      <c r="DA145" s="163"/>
      <c r="DB145" s="163"/>
      <c r="DC145" s="163"/>
      <c r="DD145" s="163"/>
      <c r="DE145" s="163"/>
      <c r="DF145" s="163"/>
      <c r="DG145" s="163"/>
      <c r="DH145" s="163"/>
      <c r="DI145" s="163"/>
      <c r="DJ145" s="163"/>
      <c r="DK145" s="163"/>
      <c r="DL145" s="163"/>
      <c r="DM145" s="163"/>
      <c r="DN145" s="163"/>
      <c r="DO145" s="163"/>
      <c r="DP145" s="163"/>
      <c r="DQ145" s="163"/>
      <c r="DR145" s="163"/>
      <c r="DS145" s="163"/>
      <c r="DT145" s="163"/>
      <c r="DU145" s="163"/>
      <c r="DV145" s="163"/>
      <c r="DW145" s="163"/>
      <c r="DX145" s="163"/>
      <c r="DY145" s="163"/>
      <c r="DZ145" s="163"/>
      <c r="EA145" s="163"/>
      <c r="EB145" s="163"/>
      <c r="EC145" s="163"/>
      <c r="ED145" s="163"/>
      <c r="EE145" s="163"/>
      <c r="EF145" s="163"/>
      <c r="EG145" s="163"/>
      <c r="EH145" s="163"/>
      <c r="EI145" s="163"/>
      <c r="EJ145" s="163"/>
      <c r="EK145" s="163"/>
      <c r="EL145" s="163"/>
      <c r="EM145" s="163"/>
      <c r="EN145" s="163"/>
      <c r="EO145" s="163"/>
      <c r="EP145" s="163"/>
      <c r="EQ145" s="163"/>
      <c r="ER145" s="163"/>
      <c r="ES145" s="163"/>
      <c r="ET145" s="163"/>
      <c r="EU145" s="163"/>
      <c r="EV145" s="163"/>
      <c r="EW145" s="163"/>
      <c r="EX145" s="163"/>
      <c r="EY145" s="163"/>
      <c r="EZ145" s="163"/>
      <c r="FA145" s="163"/>
      <c r="FB145" s="163"/>
      <c r="FC145" s="163"/>
      <c r="FD145" s="163"/>
      <c r="FE145" s="163"/>
      <c r="FF145" s="163"/>
      <c r="FG145" s="163"/>
      <c r="FH145" s="163"/>
      <c r="FI145" s="163"/>
      <c r="FJ145" s="163"/>
      <c r="FK145" s="163"/>
      <c r="FL145" s="163"/>
      <c r="FM145" s="163"/>
      <c r="FN145" s="163"/>
      <c r="FO145" s="163"/>
      <c r="FP145" s="163"/>
      <c r="FQ145" s="163"/>
      <c r="FR145" s="163"/>
      <c r="FS145" s="163"/>
      <c r="FT145" s="163"/>
      <c r="FU145" s="163"/>
      <c r="FV145" s="163"/>
      <c r="FW145" s="163"/>
      <c r="FX145" s="163"/>
      <c r="FY145" s="163"/>
      <c r="FZ145" s="163"/>
      <c r="GA145" s="163"/>
      <c r="GB145" s="163"/>
      <c r="GC145" s="163"/>
      <c r="GD145" s="163"/>
      <c r="GE145" s="163"/>
      <c r="GF145" s="163"/>
      <c r="GG145" s="163"/>
      <c r="GH145" s="163"/>
      <c r="GI145" s="163"/>
      <c r="GJ145" s="163"/>
      <c r="GK145" s="163"/>
      <c r="GL145" s="163"/>
      <c r="GM145" s="163"/>
      <c r="GN145" s="163"/>
      <c r="GO145" s="163"/>
      <c r="GP145" s="163"/>
      <c r="GQ145" s="163"/>
      <c r="GR145" s="163"/>
      <c r="GS145" s="163"/>
      <c r="GT145" s="163"/>
      <c r="GU145" s="163"/>
      <c r="GV145" s="163"/>
      <c r="GW145" s="163"/>
      <c r="GX145" s="163"/>
      <c r="GY145" s="163"/>
      <c r="GZ145" s="163"/>
      <c r="HA145" s="163"/>
      <c r="HB145" s="163"/>
      <c r="HC145" s="163"/>
      <c r="HD145" s="163"/>
      <c r="HE145" s="163"/>
      <c r="HF145" s="163"/>
      <c r="HG145" s="163"/>
      <c r="HH145" s="163"/>
      <c r="HI145" s="163"/>
      <c r="HJ145" s="163"/>
      <c r="HK145" s="163"/>
      <c r="HL145" s="163"/>
      <c r="HM145" s="163"/>
      <c r="HN145" s="163"/>
      <c r="HO145" s="163"/>
      <c r="HP145" s="163"/>
      <c r="HQ145" s="163"/>
      <c r="HR145" s="163"/>
      <c r="HS145" s="163"/>
      <c r="HT145" s="163"/>
      <c r="HU145" s="163"/>
      <c r="HV145" s="163"/>
      <c r="HW145" s="163"/>
      <c r="HX145" s="163"/>
      <c r="HY145" s="163"/>
      <c r="HZ145" s="163"/>
      <c r="IA145" s="163"/>
      <c r="IB145" s="163"/>
      <c r="IC145" s="163"/>
      <c r="ID145" s="163"/>
      <c r="IE145" s="163"/>
      <c r="IF145" s="163"/>
      <c r="IG145" s="163"/>
      <c r="IH145" s="163"/>
      <c r="II145" s="163"/>
      <c r="IJ145" s="163"/>
      <c r="IK145" s="163"/>
      <c r="IL145" s="163"/>
      <c r="IM145" s="163"/>
      <c r="IN145" s="163"/>
      <c r="IO145" s="163"/>
      <c r="IP145" s="163"/>
      <c r="IQ145" s="163"/>
      <c r="IR145" s="163"/>
      <c r="IS145" s="163"/>
      <c r="IT145" s="163"/>
      <c r="IU145" s="163"/>
      <c r="IV145" s="11"/>
      <c r="IW145" s="11"/>
    </row>
    <row r="146" customFormat="false" ht="13.5" hidden="true" customHeight="true" outlineLevel="0" collapsed="false">
      <c r="A146" s="108" t="n">
        <f aca="false">A144+1</f>
        <v>54</v>
      </c>
      <c r="B146" s="310" t="n">
        <f aca="false">IF(ISERROR(VLOOKUP(C146,일용직명단!$A$3:$I$104,2,FALSE())),0,VLOOKUP(C146,일용직명단!$A$3:$I$104,2,FALSE()))</f>
        <v>0</v>
      </c>
      <c r="C146" s="203"/>
      <c r="D146" s="311" t="n">
        <f aca="false">IF(ISERROR(VLOOKUP(C146,[30]일용직명단!$A$3:$K$1182,3,FALSE())),0,VLOOKUP(C146,[30]일용직명단!$A$3:$K$1182,3,FALSE()))</f>
        <v>0</v>
      </c>
      <c r="E146" s="160" t="n">
        <f aca="false">IF(ISERROR(VLOOKUP(C146,[30]일용직명단!$A$3:$K$1185,4,FALSE())),0,VLOOKUP(C146,[30]일용직명단!$A$3:$K$1185,4,FALSE()))</f>
        <v>0</v>
      </c>
      <c r="F146" s="315"/>
      <c r="G146" s="315"/>
      <c r="H146" s="315"/>
      <c r="I146" s="317"/>
      <c r="J146" s="315"/>
      <c r="K146" s="317"/>
      <c r="L146" s="315"/>
      <c r="M146" s="315"/>
      <c r="N146" s="318"/>
      <c r="O146" s="318"/>
      <c r="P146" s="315"/>
      <c r="Q146" s="318"/>
      <c r="R146" s="317"/>
      <c r="S146" s="318"/>
      <c r="T146" s="317"/>
      <c r="U146" s="319"/>
      <c r="V146" s="144" t="n">
        <f aca="false">SUM(F146:U147)</f>
        <v>0</v>
      </c>
      <c r="W146" s="211" t="n">
        <f aca="false">IF(ISERROR(VLOOKUP(C146,[30]일용직명단!$A$3:$K$1185,8,FALSE())),0,VLOOKUP(C146,[30]일용직명단!$A$3:$K$1185,8,FALSE()))</f>
        <v>0</v>
      </c>
      <c r="X146" s="156" t="n">
        <f aca="false">IFERROR(IF(AG146&gt;=65,0,ROUNDDOWN(W147*$Z$4,-1)),0)</f>
        <v>0</v>
      </c>
      <c r="Y146" s="156" t="n">
        <f aca="false">IF(AE146&gt;=8,ROUNDDOWN(W147*$M$4,-1),0)</f>
        <v>0</v>
      </c>
      <c r="Z146" s="156" t="n">
        <f aca="false">IFERROR(IF(AND(COUNT(F146:U147)&gt;=8,$AG146&lt;60,W147&lt;=5530000),ROUNDDOWN(ROUNDDOWN(W147,-3)*4.5%,-1),IF(AND(COUNT(F146:U147)&gt;=8,AG146&lt;60,W147&gt;5530000),248850,0)),0)</f>
        <v>0</v>
      </c>
      <c r="AA146" s="145" t="n">
        <f aca="false">+X146+Y146+X147+Y147+Z146+Z147</f>
        <v>0</v>
      </c>
      <c r="AB146" s="146" t="n">
        <f aca="false">W147-AA146</f>
        <v>0</v>
      </c>
      <c r="AC146" s="157" t="n">
        <f aca="false">IF(ISERROR(VLOOKUP(C146,[30]일용직명단!$A$3:$I$1165,5,FALSE())),0,VLOOKUP(C146,[30]일용직명단!$A$3:$I$1165,5,FALSE()))</f>
        <v>0</v>
      </c>
      <c r="AD146" s="158" t="n">
        <f aca="false">IF(ISERROR(VLOOKUP(C146,[30]일용직명단!$A$3:$I$1165,6,FALSE())),0,VLOOKUP(C146,[30]일용직명단!$A$3:$I$1165,6,FALSE()))</f>
        <v>0</v>
      </c>
      <c r="AE146" s="141" t="n">
        <f aca="false">COUNT(F146:U147)</f>
        <v>0</v>
      </c>
      <c r="AF146" s="129" t="str">
        <f aca="false">IF(OR(MID(D146,8,1)="1",MID(D146,8,1)="2"),19&amp;LEFT(D146,2),20&amp;LEFT(D146,2))&amp;"-"&amp;MID(D146,3,2)&amp;"-"&amp;MID(D146,5,2)</f>
        <v>200--</v>
      </c>
      <c r="AG146" s="129" t="e">
        <f aca="true">INT((TODAY()-AF146)/365.25)</f>
        <v>#VALUE!</v>
      </c>
      <c r="AH146" s="130" t="n">
        <f aca="false">ROUNDDOWN(SUM(AI146:AX147),-1)</f>
        <v>0</v>
      </c>
      <c r="AI146" s="130" t="n">
        <f aca="false">IF($W146*F146&gt;150000,($W146*F146-150000)*6%*45%,0)</f>
        <v>0</v>
      </c>
      <c r="AJ146" s="130" t="n">
        <f aca="false">IF($W146*G146&gt;150000,($W146*G146-150000)*6%*45%,0)</f>
        <v>0</v>
      </c>
      <c r="AK146" s="130" t="n">
        <f aca="false">IF($W146*H146&gt;150000,($W146*H146-150000)*6%*45%,0)</f>
        <v>0</v>
      </c>
      <c r="AL146" s="130" t="n">
        <f aca="false">IF($W146*I146&gt;150000,($W146*I146-150000)*6%*45%,0)</f>
        <v>0</v>
      </c>
      <c r="AM146" s="130" t="n">
        <f aca="false">IF($W146*J146&gt;150000,($W146*J146-150000)*6%*45%,0)</f>
        <v>0</v>
      </c>
      <c r="AN146" s="130" t="n">
        <f aca="false">IF($W146*K146&gt;150000,($W146*K146-150000)*6%*45%,0)</f>
        <v>0</v>
      </c>
      <c r="AO146" s="130" t="n">
        <f aca="false">IF($W146*L146&gt;150000,($W146*L146-150000)*6%*45%,0)</f>
        <v>0</v>
      </c>
      <c r="AP146" s="130" t="n">
        <f aca="false">IF($W146*M146&gt;150000,($W146*M146-150000)*6%*45%,0)</f>
        <v>0</v>
      </c>
      <c r="AQ146" s="130" t="n">
        <f aca="false">IF($W146*N146&gt;150000,($W146*N146-150000)*6%*45%,0)</f>
        <v>0</v>
      </c>
      <c r="AR146" s="130" t="n">
        <f aca="false">IF($W146*O146&gt;150000,($W146*O146-150000)*6%*45%,0)</f>
        <v>0</v>
      </c>
      <c r="AS146" s="130" t="n">
        <f aca="false">IF($W146*P146&gt;150000,($W146*P146-150000)*6%*45%,0)</f>
        <v>0</v>
      </c>
      <c r="AT146" s="130" t="n">
        <f aca="false">IF($W146*Q146&gt;150000,($W146*Q146-150000)*6%*45%,0)</f>
        <v>0</v>
      </c>
      <c r="AU146" s="130" t="n">
        <f aca="false">IF($W146*R146&gt;150000,($W146*R146-150000)*6%*45%,0)</f>
        <v>0</v>
      </c>
      <c r="AV146" s="130" t="n">
        <f aca="false">IF($W146*S146&gt;150000,($W146*S146-150000)*6%*45%,0)</f>
        <v>0</v>
      </c>
      <c r="AW146" s="130" t="n">
        <f aca="false">IF($W146*T146&gt;150000,($W146*T146-150000)*6%*45%,0)</f>
        <v>0</v>
      </c>
      <c r="AX146" s="130"/>
      <c r="AY146" s="131" t="n">
        <f aca="false">IF(ISERROR(VLOOKUP(C146,[26]일용직명단!$A$3:$M$1151,11,FALSE())),0,VLOOKUP(C146,[26]일용직명단!$A$3:$M$1151,11,FALSE()))</f>
        <v>0</v>
      </c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1"/>
      <c r="FC146" s="11"/>
      <c r="FD146" s="11"/>
      <c r="FE146" s="11"/>
      <c r="FF146" s="11"/>
      <c r="FG146" s="11"/>
      <c r="FH146" s="11"/>
      <c r="FI146" s="11"/>
      <c r="FJ146" s="11"/>
      <c r="FK146" s="11"/>
      <c r="FL146" s="11"/>
      <c r="FM146" s="11"/>
      <c r="FN146" s="11"/>
      <c r="FO146" s="11"/>
      <c r="FP146" s="11"/>
      <c r="FQ146" s="11"/>
      <c r="FR146" s="11"/>
      <c r="FS146" s="11"/>
      <c r="FT146" s="11"/>
      <c r="FU146" s="11"/>
      <c r="FV146" s="11"/>
      <c r="FW146" s="11"/>
      <c r="FX146" s="11"/>
      <c r="FY146" s="11"/>
      <c r="FZ146" s="11"/>
      <c r="GA146" s="11"/>
      <c r="GB146" s="11"/>
      <c r="GC146" s="11"/>
      <c r="GD146" s="11"/>
      <c r="GE146" s="11"/>
      <c r="GF146" s="11"/>
      <c r="GG146" s="11"/>
      <c r="GH146" s="11"/>
      <c r="GI146" s="11"/>
      <c r="GJ146" s="11"/>
      <c r="GK146" s="11"/>
      <c r="GL146" s="11"/>
      <c r="GM146" s="11"/>
      <c r="GN146" s="11"/>
      <c r="GO146" s="11"/>
      <c r="GP146" s="11"/>
      <c r="GQ146" s="11"/>
      <c r="GR146" s="11"/>
      <c r="GS146" s="11"/>
      <c r="GT146" s="11"/>
      <c r="GU146" s="11"/>
      <c r="GV146" s="11"/>
      <c r="GW146" s="11"/>
      <c r="GX146" s="11"/>
      <c r="GY146" s="11"/>
      <c r="GZ146" s="11"/>
      <c r="HA146" s="11"/>
      <c r="HB146" s="11"/>
      <c r="HC146" s="11"/>
      <c r="HD146" s="11"/>
      <c r="HE146" s="11"/>
      <c r="HF146" s="11"/>
      <c r="HG146" s="11"/>
      <c r="HH146" s="11"/>
      <c r="HI146" s="11"/>
      <c r="HJ146" s="11"/>
      <c r="HK146" s="11"/>
      <c r="HL146" s="11"/>
      <c r="HM146" s="11"/>
      <c r="HN146" s="11"/>
      <c r="HO146" s="11"/>
      <c r="HP146" s="11"/>
      <c r="HQ146" s="11"/>
      <c r="HR146" s="11"/>
      <c r="HS146" s="11"/>
      <c r="HT146" s="11"/>
      <c r="HU146" s="11"/>
      <c r="HV146" s="11"/>
      <c r="HW146" s="11"/>
      <c r="HX146" s="11"/>
      <c r="HY146" s="11"/>
      <c r="HZ146" s="11"/>
      <c r="IA146" s="11"/>
      <c r="IB146" s="11"/>
      <c r="IC146" s="11"/>
      <c r="ID146" s="11"/>
      <c r="IE146" s="11"/>
      <c r="IF146" s="11"/>
      <c r="IG146" s="11"/>
      <c r="IH146" s="11"/>
      <c r="II146" s="11"/>
      <c r="IJ146" s="11"/>
      <c r="IK146" s="11"/>
      <c r="IL146" s="11"/>
      <c r="IM146" s="11"/>
      <c r="IN146" s="11"/>
      <c r="IO146" s="11"/>
      <c r="IP146" s="11"/>
      <c r="IQ146" s="11"/>
      <c r="IR146" s="11"/>
      <c r="IS146" s="11"/>
      <c r="IT146" s="11"/>
      <c r="IU146" s="11"/>
      <c r="IV146" s="11"/>
      <c r="IW146" s="11"/>
    </row>
    <row r="147" customFormat="false" ht="13.5" hidden="true" customHeight="true" outlineLevel="0" collapsed="false">
      <c r="A147" s="108"/>
      <c r="B147" s="310"/>
      <c r="C147" s="203"/>
      <c r="D147" s="311"/>
      <c r="E147" s="160" t="n">
        <f aca="false">IF(ISERROR(VLOOKUP(C146,[30]일용직명단!$A$3:$K$1185,9,FALSE())),0,VLOOKUP(C146,[30]일용직명단!$A$3:$K$1185,9,FALSE()))</f>
        <v>0</v>
      </c>
      <c r="F147" s="315"/>
      <c r="G147" s="318"/>
      <c r="H147" s="317"/>
      <c r="I147" s="318"/>
      <c r="J147" s="317"/>
      <c r="K147" s="318"/>
      <c r="L147" s="318"/>
      <c r="M147" s="317"/>
      <c r="N147" s="318"/>
      <c r="O147" s="317"/>
      <c r="P147" s="318"/>
      <c r="Q147" s="318"/>
      <c r="R147" s="315"/>
      <c r="S147" s="315"/>
      <c r="T147" s="315"/>
      <c r="U147" s="315"/>
      <c r="V147" s="144"/>
      <c r="W147" s="138" t="n">
        <f aca="false">W146*V146</f>
        <v>0</v>
      </c>
      <c r="X147" s="156" t="n">
        <f aca="false">IF(AH146&lt;1000,0,AH146)</f>
        <v>0</v>
      </c>
      <c r="Y147" s="156" t="n">
        <f aca="false">ROUNDDOWN(X147*10%,-1)</f>
        <v>0</v>
      </c>
      <c r="Z147" s="156" t="n">
        <f aca="false">IF(AE146&gt;=8,ROUNDDOWN(Y146*$Q$4,-1),0)</f>
        <v>0</v>
      </c>
      <c r="AA147" s="145"/>
      <c r="AB147" s="146"/>
      <c r="AC147" s="158" t="n">
        <f aca="false">IF(ISERROR(VLOOKUP(C146,[30]일용직명단!$A$3:$I$1165,7,FALSE())),0,VLOOKUP(C146,[30]일용직명단!$A$3:$I$1165,7,FALSE()))</f>
        <v>0</v>
      </c>
      <c r="AD147" s="158"/>
      <c r="AE147" s="141"/>
      <c r="AF147" s="129"/>
      <c r="AG147" s="129"/>
      <c r="AH147" s="130"/>
      <c r="AI147" s="130" t="n">
        <f aca="false">IF($W146*F147&gt;150000,($W146*F147-150000)*6%*45%,0)</f>
        <v>0</v>
      </c>
      <c r="AJ147" s="130" t="n">
        <f aca="false">IF($W146*G147&gt;150000,($W146*G147-150000)*6%*45%,0)</f>
        <v>0</v>
      </c>
      <c r="AK147" s="130" t="n">
        <f aca="false">IF($W146*H147&gt;150000,($W146*H147-150000)*6%*45%,0)</f>
        <v>0</v>
      </c>
      <c r="AL147" s="130" t="n">
        <f aca="false">IF($W146*I147&gt;150000,($W146*I147-150000)*6%*45%,0)</f>
        <v>0</v>
      </c>
      <c r="AM147" s="130" t="n">
        <f aca="false">IF($W146*J147&gt;150000,($W146*J147-150000)*6%*45%,0)</f>
        <v>0</v>
      </c>
      <c r="AN147" s="130" t="n">
        <f aca="false">IF($W146*K147&gt;150000,($W146*K147-150000)*6%*45%,0)</f>
        <v>0</v>
      </c>
      <c r="AO147" s="130" t="n">
        <f aca="false">IF($W146*L147&gt;150000,($W146*L147-150000)*6%*45%,0)</f>
        <v>0</v>
      </c>
      <c r="AP147" s="130" t="n">
        <f aca="false">IF($W146*M147&gt;150000,($W146*M147-150000)*6%*45%,0)</f>
        <v>0</v>
      </c>
      <c r="AQ147" s="130" t="n">
        <f aca="false">IF($W146*N147&gt;150000,($W146*N147-150000)*6%*45%,0)</f>
        <v>0</v>
      </c>
      <c r="AR147" s="130" t="n">
        <f aca="false">IF($W146*O147&gt;150000,($W146*O147-150000)*6%*45%,0)</f>
        <v>0</v>
      </c>
      <c r="AS147" s="130" t="n">
        <f aca="false">IF($W146*P147&gt;150000,($W146*P147-150000)*6%*45%,0)</f>
        <v>0</v>
      </c>
      <c r="AT147" s="130" t="n">
        <f aca="false">IF($W146*Q147&gt;150000,($W146*Q147-150000)*6%*45%,0)</f>
        <v>0</v>
      </c>
      <c r="AU147" s="130" t="n">
        <f aca="false">IF($W146*R147&gt;150000,($W146*R147-150000)*6%*45%,0)</f>
        <v>0</v>
      </c>
      <c r="AV147" s="130" t="n">
        <f aca="false">IF($W146*S147&gt;150000,($W146*S147-150000)*6%*45%,0)</f>
        <v>0</v>
      </c>
      <c r="AW147" s="130" t="n">
        <f aca="false">IF($W146*T147&gt;150000,($W146*T147-150000)*6%*45%,0)</f>
        <v>0</v>
      </c>
      <c r="AX147" s="130" t="n">
        <f aca="false">IF($W146*U147&gt;150000,($W146*U147-150000)*6%*45%,0)</f>
        <v>0</v>
      </c>
      <c r="AY147" s="13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1"/>
      <c r="FW147" s="11"/>
      <c r="FX147" s="11"/>
      <c r="FY147" s="11"/>
      <c r="FZ147" s="11"/>
      <c r="GA147" s="11"/>
      <c r="GB147" s="11"/>
      <c r="GC147" s="11"/>
      <c r="GD147" s="11"/>
      <c r="GE147" s="11"/>
      <c r="GF147" s="11"/>
      <c r="GG147" s="11"/>
      <c r="GH147" s="11"/>
      <c r="GI147" s="11"/>
      <c r="GJ147" s="11"/>
      <c r="GK147" s="11"/>
      <c r="GL147" s="11"/>
      <c r="GM147" s="11"/>
      <c r="GN147" s="11"/>
      <c r="GO147" s="11"/>
      <c r="GP147" s="11"/>
      <c r="GQ147" s="11"/>
      <c r="GR147" s="11"/>
      <c r="GS147" s="11"/>
      <c r="GT147" s="11"/>
      <c r="GU147" s="11"/>
      <c r="GV147" s="11"/>
      <c r="GW147" s="11"/>
      <c r="GX147" s="11"/>
      <c r="GY147" s="11"/>
      <c r="GZ147" s="11"/>
      <c r="HA147" s="11"/>
      <c r="HB147" s="11"/>
      <c r="HC147" s="11"/>
      <c r="HD147" s="11"/>
      <c r="HE147" s="11"/>
      <c r="HF147" s="11"/>
      <c r="HG147" s="11"/>
      <c r="HH147" s="11"/>
      <c r="HI147" s="11"/>
      <c r="HJ147" s="11"/>
      <c r="HK147" s="11"/>
      <c r="HL147" s="11"/>
      <c r="HM147" s="11"/>
      <c r="HN147" s="11"/>
      <c r="HO147" s="11"/>
      <c r="HP147" s="11"/>
      <c r="HQ147" s="11"/>
      <c r="HR147" s="11"/>
      <c r="HS147" s="11"/>
      <c r="HT147" s="11"/>
      <c r="HU147" s="11"/>
      <c r="HV147" s="11"/>
      <c r="HW147" s="11"/>
      <c r="HX147" s="11"/>
      <c r="HY147" s="11"/>
      <c r="HZ147" s="11"/>
      <c r="IA147" s="11"/>
      <c r="IB147" s="11"/>
      <c r="IC147" s="11"/>
      <c r="ID147" s="11"/>
      <c r="IE147" s="11"/>
      <c r="IF147" s="11"/>
      <c r="IG147" s="11"/>
      <c r="IH147" s="11"/>
      <c r="II147" s="11"/>
      <c r="IJ147" s="11"/>
      <c r="IK147" s="11"/>
      <c r="IL147" s="11"/>
      <c r="IM147" s="11"/>
      <c r="IN147" s="11"/>
      <c r="IO147" s="11"/>
      <c r="IP147" s="11"/>
      <c r="IQ147" s="11"/>
      <c r="IR147" s="11"/>
      <c r="IS147" s="11"/>
      <c r="IT147" s="11"/>
      <c r="IU147" s="11"/>
      <c r="IV147" s="11"/>
      <c r="IW147" s="11"/>
    </row>
    <row r="148" customFormat="false" ht="13.5" hidden="true" customHeight="true" outlineLevel="0" collapsed="false">
      <c r="A148" s="108" t="n">
        <f aca="false">A146+1</f>
        <v>55</v>
      </c>
      <c r="B148" s="310" t="n">
        <f aca="false">IF(ISERROR(VLOOKUP(C148,일용직명단!$A$3:$I$104,2,FALSE())),0,VLOOKUP(C148,일용직명단!$A$3:$I$104,2,FALSE()))</f>
        <v>0</v>
      </c>
      <c r="C148" s="203"/>
      <c r="D148" s="311" t="n">
        <f aca="false">IF(ISERROR(VLOOKUP(C148,[30]일용직명단!$A$3:$K$1182,3,FALSE())),0,VLOOKUP(C148,[30]일용직명단!$A$3:$K$1182,3,FALSE()))</f>
        <v>0</v>
      </c>
      <c r="E148" s="160" t="n">
        <f aca="false">IF(ISERROR(VLOOKUP(C148,[30]일용직명단!$A$3:$K$1185,4,FALSE())),0,VLOOKUP(C148,[30]일용직명단!$A$3:$K$1185,4,FALSE()))</f>
        <v>0</v>
      </c>
      <c r="F148" s="315"/>
      <c r="G148" s="315"/>
      <c r="H148" s="315"/>
      <c r="I148" s="317"/>
      <c r="J148" s="315"/>
      <c r="K148" s="317"/>
      <c r="L148" s="315"/>
      <c r="M148" s="317"/>
      <c r="N148" s="318"/>
      <c r="O148" s="317"/>
      <c r="P148" s="318"/>
      <c r="Q148" s="318"/>
      <c r="R148" s="315"/>
      <c r="S148" s="315"/>
      <c r="T148" s="315"/>
      <c r="U148" s="319"/>
      <c r="V148" s="144" t="n">
        <f aca="false">SUM(F148:U149)</f>
        <v>0</v>
      </c>
      <c r="W148" s="211" t="n">
        <f aca="false">IF(ISERROR(VLOOKUP(C148,[30]일용직명단!$A$3:$K$1185,8,FALSE())),0,VLOOKUP(C148,[30]일용직명단!$A$3:$K$1185,8,FALSE()))</f>
        <v>0</v>
      </c>
      <c r="X148" s="156" t="n">
        <f aca="false">IFERROR(IF(AG148&gt;=65,0,ROUNDDOWN(W149*$Z$4,-1)),0)</f>
        <v>0</v>
      </c>
      <c r="Y148" s="156" t="n">
        <f aca="false">IF(AE148&gt;=8,ROUNDDOWN(W149*$M$4,-1),0)</f>
        <v>0</v>
      </c>
      <c r="Z148" s="156" t="n">
        <f aca="false">IFERROR(IF(AND(COUNT(F148:U149)&gt;=8,$AG148&lt;60,W149&lt;=5530000),ROUNDDOWN(ROUNDDOWN(W149,-3)*4.5%,-1),IF(AND(COUNT(F148:U149)&gt;=8,AG148&lt;60,W149&gt;5530000),248850,0)),0)</f>
        <v>0</v>
      </c>
      <c r="AA148" s="145" t="n">
        <f aca="false">+X148+Y148+X149+Y149+Z148+Z149</f>
        <v>0</v>
      </c>
      <c r="AB148" s="146" t="n">
        <f aca="false">W149-AA148</f>
        <v>0</v>
      </c>
      <c r="AC148" s="157" t="n">
        <f aca="false">IF(ISERROR(VLOOKUP(C148,[30]일용직명단!$A$3:$I$1165,5,FALSE())),0,VLOOKUP(C148,[30]일용직명단!$A$3:$I$1165,5,FALSE()))</f>
        <v>0</v>
      </c>
      <c r="AD148" s="158" t="n">
        <f aca="false">IF(ISERROR(VLOOKUP(C148,[30]일용직명단!$A$3:$I$1165,6,FALSE())),0,VLOOKUP(C148,[30]일용직명단!$A$3:$I$1165,6,FALSE()))</f>
        <v>0</v>
      </c>
      <c r="AE148" s="141" t="n">
        <f aca="false">COUNT(F148:U149)</f>
        <v>0</v>
      </c>
      <c r="AF148" s="129" t="str">
        <f aca="false">IF(OR(MID(D148,8,1)="1",MID(D148,8,1)="2"),19&amp;LEFT(D148,2),20&amp;LEFT(D148,2))&amp;"-"&amp;MID(D148,3,2)&amp;"-"&amp;MID(D148,5,2)</f>
        <v>200--</v>
      </c>
      <c r="AG148" s="129" t="e">
        <f aca="true">INT((TODAY()-AF148)/365.25)</f>
        <v>#VALUE!</v>
      </c>
      <c r="AH148" s="130" t="n">
        <f aca="false">ROUNDDOWN(SUM(AI148:AX149),-1)</f>
        <v>0</v>
      </c>
      <c r="AI148" s="130" t="n">
        <f aca="false">IF($W148*F148&gt;150000,($W148*F148-150000)*6%*45%,0)</f>
        <v>0</v>
      </c>
      <c r="AJ148" s="130" t="n">
        <f aca="false">IF($W148*G148&gt;150000,($W148*G148-150000)*6%*45%,0)</f>
        <v>0</v>
      </c>
      <c r="AK148" s="130" t="n">
        <f aca="false">IF($W148*H148&gt;150000,($W148*H148-150000)*6%*45%,0)</f>
        <v>0</v>
      </c>
      <c r="AL148" s="130" t="n">
        <f aca="false">IF($W148*I148&gt;150000,($W148*I148-150000)*6%*45%,0)</f>
        <v>0</v>
      </c>
      <c r="AM148" s="130" t="n">
        <f aca="false">IF($W148*J148&gt;150000,($W148*J148-150000)*6%*45%,0)</f>
        <v>0</v>
      </c>
      <c r="AN148" s="130" t="n">
        <f aca="false">IF($W148*K148&gt;150000,($W148*K148-150000)*6%*45%,0)</f>
        <v>0</v>
      </c>
      <c r="AO148" s="130" t="n">
        <f aca="false">IF($W148*L148&gt;150000,($W148*L148-150000)*6%*45%,0)</f>
        <v>0</v>
      </c>
      <c r="AP148" s="130" t="n">
        <f aca="false">IF($W148*M148&gt;150000,($W148*M148-150000)*6%*45%,0)</f>
        <v>0</v>
      </c>
      <c r="AQ148" s="130" t="n">
        <f aca="false">IF($W148*N148&gt;150000,($W148*N148-150000)*6%*45%,0)</f>
        <v>0</v>
      </c>
      <c r="AR148" s="130" t="n">
        <f aca="false">IF($W148*O148&gt;150000,($W148*O148-150000)*6%*45%,0)</f>
        <v>0</v>
      </c>
      <c r="AS148" s="130" t="n">
        <f aca="false">IF($W148*P148&gt;150000,($W148*P148-150000)*6%*45%,0)</f>
        <v>0</v>
      </c>
      <c r="AT148" s="130" t="n">
        <f aca="false">IF($W148*Q148&gt;150000,($W148*Q148-150000)*6%*45%,0)</f>
        <v>0</v>
      </c>
      <c r="AU148" s="130" t="n">
        <f aca="false">IF($W148*R148&gt;150000,($W148*R148-150000)*6%*45%,0)</f>
        <v>0</v>
      </c>
      <c r="AV148" s="130" t="n">
        <f aca="false">IF($W148*S148&gt;150000,($W148*S148-150000)*6%*45%,0)</f>
        <v>0</v>
      </c>
      <c r="AW148" s="130" t="n">
        <f aca="false">IF($W148*T148&gt;150000,($W148*T148-150000)*6%*45%,0)</f>
        <v>0</v>
      </c>
      <c r="AX148" s="130"/>
      <c r="AY148" s="131" t="n">
        <f aca="false">IF(ISERROR(VLOOKUP(C148,[26]일용직명단!$A$3:$M$1151,11,FALSE())),0,VLOOKUP(C148,[26]일용직명단!$A$3:$M$1151,11,FALSE()))</f>
        <v>0</v>
      </c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  <c r="EG148" s="11"/>
      <c r="EH148" s="11"/>
      <c r="EI148" s="11"/>
      <c r="EJ148" s="11"/>
      <c r="EK148" s="11"/>
      <c r="EL148" s="11"/>
      <c r="EM148" s="11"/>
      <c r="EN148" s="11"/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1"/>
      <c r="FC148" s="11"/>
      <c r="FD148" s="11"/>
      <c r="FE148" s="11"/>
      <c r="FF148" s="11"/>
      <c r="FG148" s="11"/>
      <c r="FH148" s="11"/>
      <c r="FI148" s="11"/>
      <c r="FJ148" s="11"/>
      <c r="FK148" s="11"/>
      <c r="FL148" s="11"/>
      <c r="FM148" s="11"/>
      <c r="FN148" s="11"/>
      <c r="FO148" s="11"/>
      <c r="FP148" s="11"/>
      <c r="FQ148" s="11"/>
      <c r="FR148" s="11"/>
      <c r="FS148" s="11"/>
      <c r="FT148" s="11"/>
      <c r="FU148" s="11"/>
      <c r="FV148" s="11"/>
      <c r="FW148" s="11"/>
      <c r="FX148" s="11"/>
      <c r="FY148" s="11"/>
      <c r="FZ148" s="11"/>
      <c r="GA148" s="11"/>
      <c r="GB148" s="11"/>
      <c r="GC148" s="11"/>
      <c r="GD148" s="11"/>
      <c r="GE148" s="11"/>
      <c r="GF148" s="11"/>
      <c r="GG148" s="11"/>
      <c r="GH148" s="11"/>
      <c r="GI148" s="11"/>
      <c r="GJ148" s="11"/>
      <c r="GK148" s="11"/>
      <c r="GL148" s="11"/>
      <c r="GM148" s="11"/>
      <c r="GN148" s="11"/>
      <c r="GO148" s="11"/>
      <c r="GP148" s="11"/>
      <c r="GQ148" s="11"/>
      <c r="GR148" s="11"/>
      <c r="GS148" s="11"/>
      <c r="GT148" s="11"/>
      <c r="GU148" s="11"/>
      <c r="GV148" s="11"/>
      <c r="GW148" s="11"/>
      <c r="GX148" s="11"/>
      <c r="GY148" s="11"/>
      <c r="GZ148" s="11"/>
      <c r="HA148" s="11"/>
      <c r="HB148" s="11"/>
      <c r="HC148" s="11"/>
      <c r="HD148" s="11"/>
      <c r="HE148" s="11"/>
      <c r="HF148" s="11"/>
      <c r="HG148" s="11"/>
      <c r="HH148" s="11"/>
      <c r="HI148" s="11"/>
      <c r="HJ148" s="11"/>
      <c r="HK148" s="11"/>
      <c r="HL148" s="11"/>
      <c r="HM148" s="11"/>
      <c r="HN148" s="11"/>
      <c r="HO148" s="11"/>
      <c r="HP148" s="11"/>
      <c r="HQ148" s="11"/>
      <c r="HR148" s="11"/>
      <c r="HS148" s="11"/>
      <c r="HT148" s="11"/>
      <c r="HU148" s="11"/>
      <c r="HV148" s="11"/>
      <c r="HW148" s="11"/>
      <c r="HX148" s="11"/>
      <c r="HY148" s="11"/>
      <c r="HZ148" s="11"/>
      <c r="IA148" s="11"/>
      <c r="IB148" s="11"/>
      <c r="IC148" s="11"/>
      <c r="ID148" s="11"/>
      <c r="IE148" s="11"/>
      <c r="IF148" s="11"/>
      <c r="IG148" s="11"/>
      <c r="IH148" s="11"/>
      <c r="II148" s="11"/>
      <c r="IJ148" s="11"/>
      <c r="IK148" s="11"/>
      <c r="IL148" s="11"/>
      <c r="IM148" s="11"/>
      <c r="IN148" s="11"/>
      <c r="IO148" s="11"/>
      <c r="IP148" s="11"/>
      <c r="IQ148" s="11"/>
      <c r="IR148" s="11"/>
      <c r="IS148" s="11"/>
      <c r="IT148" s="11"/>
      <c r="IU148" s="11"/>
      <c r="IV148" s="11"/>
      <c r="IW148" s="11"/>
    </row>
    <row r="149" customFormat="false" ht="13.5" hidden="true" customHeight="true" outlineLevel="0" collapsed="false">
      <c r="A149" s="108"/>
      <c r="B149" s="310"/>
      <c r="C149" s="203"/>
      <c r="D149" s="311"/>
      <c r="E149" s="160" t="n">
        <f aca="false">IF(ISERROR(VLOOKUP(C148,[30]일용직명단!$A$3:$K$1185,9,FALSE())),0,VLOOKUP(C148,[30]일용직명단!$A$3:$K$1185,9,FALSE()))</f>
        <v>0</v>
      </c>
      <c r="F149" s="315"/>
      <c r="G149" s="318"/>
      <c r="H149" s="317"/>
      <c r="I149" s="318"/>
      <c r="J149" s="317"/>
      <c r="K149" s="318"/>
      <c r="L149" s="318"/>
      <c r="M149" s="315"/>
      <c r="N149" s="318"/>
      <c r="O149" s="318"/>
      <c r="P149" s="315"/>
      <c r="Q149" s="318"/>
      <c r="R149" s="317"/>
      <c r="S149" s="318"/>
      <c r="T149" s="317"/>
      <c r="U149" s="315"/>
      <c r="V149" s="144"/>
      <c r="W149" s="138" t="n">
        <f aca="false">W148*V148</f>
        <v>0</v>
      </c>
      <c r="X149" s="156" t="n">
        <f aca="false">IF(AH148&lt;1000,0,AH148)</f>
        <v>0</v>
      </c>
      <c r="Y149" s="156" t="n">
        <f aca="false">ROUNDDOWN(X149*10%,-1)</f>
        <v>0</v>
      </c>
      <c r="Z149" s="156" t="n">
        <f aca="false">IF(AE148&gt;=8,ROUNDDOWN(Y148*$Q$4,-1),0)</f>
        <v>0</v>
      </c>
      <c r="AA149" s="145"/>
      <c r="AB149" s="146"/>
      <c r="AC149" s="158" t="n">
        <f aca="false">IF(ISERROR(VLOOKUP(C148,[30]일용직명단!$A$3:$I$1165,7,FALSE())),0,VLOOKUP(C148,[30]일용직명단!$A$3:$I$1165,7,FALSE()))</f>
        <v>0</v>
      </c>
      <c r="AD149" s="158"/>
      <c r="AE149" s="141"/>
      <c r="AF149" s="129"/>
      <c r="AG149" s="129"/>
      <c r="AH149" s="130"/>
      <c r="AI149" s="130" t="n">
        <f aca="false">IF($W148*F149&gt;150000,($W148*F149-150000)*6%*45%,0)</f>
        <v>0</v>
      </c>
      <c r="AJ149" s="130" t="n">
        <f aca="false">IF($W148*G149&gt;150000,($W148*G149-150000)*6%*45%,0)</f>
        <v>0</v>
      </c>
      <c r="AK149" s="130" t="n">
        <f aca="false">IF($W148*H149&gt;150000,($W148*H149-150000)*6%*45%,0)</f>
        <v>0</v>
      </c>
      <c r="AL149" s="130" t="n">
        <f aca="false">IF($W148*I149&gt;150000,($W148*I149-150000)*6%*45%,0)</f>
        <v>0</v>
      </c>
      <c r="AM149" s="130" t="n">
        <f aca="false">IF($W148*J149&gt;150000,($W148*J149-150000)*6%*45%,0)</f>
        <v>0</v>
      </c>
      <c r="AN149" s="130" t="n">
        <f aca="false">IF($W148*K149&gt;150000,($W148*K149-150000)*6%*45%,0)</f>
        <v>0</v>
      </c>
      <c r="AO149" s="130" t="n">
        <f aca="false">IF($W148*L149&gt;150000,($W148*L149-150000)*6%*45%,0)</f>
        <v>0</v>
      </c>
      <c r="AP149" s="130" t="n">
        <f aca="false">IF($W148*M149&gt;150000,($W148*M149-150000)*6%*45%,0)</f>
        <v>0</v>
      </c>
      <c r="AQ149" s="130" t="n">
        <f aca="false">IF($W148*N149&gt;150000,($W148*N149-150000)*6%*45%,0)</f>
        <v>0</v>
      </c>
      <c r="AR149" s="130" t="n">
        <f aca="false">IF($W148*O149&gt;150000,($W148*O149-150000)*6%*45%,0)</f>
        <v>0</v>
      </c>
      <c r="AS149" s="130" t="n">
        <f aca="false">IF($W148*P149&gt;150000,($W148*P149-150000)*6%*45%,0)</f>
        <v>0</v>
      </c>
      <c r="AT149" s="130" t="n">
        <f aca="false">IF($W148*Q149&gt;150000,($W148*Q149-150000)*6%*45%,0)</f>
        <v>0</v>
      </c>
      <c r="AU149" s="130" t="n">
        <f aca="false">IF($W148*R149&gt;150000,($W148*R149-150000)*6%*45%,0)</f>
        <v>0</v>
      </c>
      <c r="AV149" s="130" t="n">
        <f aca="false">IF($W148*S149&gt;150000,($W148*S149-150000)*6%*45%,0)</f>
        <v>0</v>
      </c>
      <c r="AW149" s="130" t="n">
        <f aca="false">IF($W148*T149&gt;150000,($W148*T149-150000)*6%*45%,0)</f>
        <v>0</v>
      </c>
      <c r="AX149" s="130" t="n">
        <f aca="false">IF($W148*U149&gt;150000,($W148*U149-150000)*6%*45%,0)</f>
        <v>0</v>
      </c>
      <c r="AY149" s="13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1"/>
      <c r="FW149" s="11"/>
      <c r="FX149" s="11"/>
      <c r="FY149" s="11"/>
      <c r="FZ149" s="11"/>
      <c r="GA149" s="11"/>
      <c r="GB149" s="11"/>
      <c r="GC149" s="11"/>
      <c r="GD149" s="11"/>
      <c r="GE149" s="11"/>
      <c r="GF149" s="11"/>
      <c r="GG149" s="11"/>
      <c r="GH149" s="11"/>
      <c r="GI149" s="11"/>
      <c r="GJ149" s="11"/>
      <c r="GK149" s="11"/>
      <c r="GL149" s="11"/>
      <c r="GM149" s="11"/>
      <c r="GN149" s="11"/>
      <c r="GO149" s="11"/>
      <c r="GP149" s="11"/>
      <c r="GQ149" s="11"/>
      <c r="GR149" s="11"/>
      <c r="GS149" s="11"/>
      <c r="GT149" s="11"/>
      <c r="GU149" s="11"/>
      <c r="GV149" s="11"/>
      <c r="GW149" s="11"/>
      <c r="GX149" s="11"/>
      <c r="GY149" s="11"/>
      <c r="GZ149" s="11"/>
      <c r="HA149" s="11"/>
      <c r="HB149" s="11"/>
      <c r="HC149" s="11"/>
      <c r="HD149" s="11"/>
      <c r="HE149" s="11"/>
      <c r="HF149" s="11"/>
      <c r="HG149" s="11"/>
      <c r="HH149" s="11"/>
      <c r="HI149" s="11"/>
      <c r="HJ149" s="11"/>
      <c r="HK149" s="11"/>
      <c r="HL149" s="11"/>
      <c r="HM149" s="11"/>
      <c r="HN149" s="11"/>
      <c r="HO149" s="11"/>
      <c r="HP149" s="11"/>
      <c r="HQ149" s="11"/>
      <c r="HR149" s="11"/>
      <c r="HS149" s="11"/>
      <c r="HT149" s="11"/>
      <c r="HU149" s="11"/>
      <c r="HV149" s="11"/>
      <c r="HW149" s="11"/>
      <c r="HX149" s="11"/>
      <c r="HY149" s="11"/>
      <c r="HZ149" s="11"/>
      <c r="IA149" s="11"/>
      <c r="IB149" s="11"/>
      <c r="IC149" s="11"/>
      <c r="ID149" s="11"/>
      <c r="IE149" s="11"/>
      <c r="IF149" s="11"/>
      <c r="IG149" s="11"/>
      <c r="IH149" s="11"/>
      <c r="II149" s="11"/>
      <c r="IJ149" s="11"/>
      <c r="IK149" s="11"/>
      <c r="IL149" s="11"/>
      <c r="IM149" s="11"/>
      <c r="IN149" s="11"/>
      <c r="IO149" s="11"/>
      <c r="IP149" s="11"/>
      <c r="IQ149" s="11"/>
      <c r="IR149" s="11"/>
      <c r="IS149" s="11"/>
      <c r="IT149" s="11"/>
      <c r="IU149" s="11"/>
      <c r="IV149" s="11"/>
      <c r="IW149" s="11"/>
    </row>
    <row r="150" customFormat="false" ht="13.5" hidden="true" customHeight="true" outlineLevel="0" collapsed="false">
      <c r="A150" s="217" t="n">
        <f aca="false">A148+1</f>
        <v>56</v>
      </c>
      <c r="B150" s="310" t="n">
        <f aca="false">IF(ISERROR(VLOOKUP(C150,일용직명단!$A$3:$I$104,2,FALSE())),0,VLOOKUP(C150,일용직명단!$A$3:$I$104,2,FALSE()))</f>
        <v>0</v>
      </c>
      <c r="C150" s="203"/>
      <c r="D150" s="311" t="n">
        <f aca="false">IF(ISERROR(VLOOKUP(C150,[30]일용직명단!$A$3:$K$1182,3,FALSE())),0,VLOOKUP(C150,[30]일용직명단!$A$3:$K$1182,3,FALSE()))</f>
        <v>0</v>
      </c>
      <c r="E150" s="160" t="n">
        <f aca="false">IF(ISERROR(VLOOKUP(C150,[30]일용직명단!$A$3:$K$1185,4,FALSE())),0,VLOOKUP(C150,[30]일용직명단!$A$3:$K$1185,4,FALSE()))</f>
        <v>0</v>
      </c>
      <c r="F150" s="315"/>
      <c r="G150" s="315"/>
      <c r="H150" s="315"/>
      <c r="I150" s="317"/>
      <c r="J150" s="315"/>
      <c r="K150" s="317"/>
      <c r="L150" s="315"/>
      <c r="M150" s="315"/>
      <c r="N150" s="318"/>
      <c r="O150" s="318"/>
      <c r="P150" s="315"/>
      <c r="Q150" s="318"/>
      <c r="R150" s="317"/>
      <c r="S150" s="318"/>
      <c r="T150" s="317"/>
      <c r="U150" s="319"/>
      <c r="V150" s="144" t="n">
        <f aca="false">SUM(F150:U151)</f>
        <v>0</v>
      </c>
      <c r="W150" s="211" t="n">
        <f aca="false">IF(ISERROR(VLOOKUP(C150,[30]일용직명단!$A$3:$K$1185,8,FALSE())),0,VLOOKUP(C150,[30]일용직명단!$A$3:$K$1185,8,FALSE()))</f>
        <v>0</v>
      </c>
      <c r="X150" s="156" t="n">
        <f aca="false">IFERROR(IF(AG150&gt;=65,0,ROUNDDOWN(W151*$Z$4,-1)),0)</f>
        <v>0</v>
      </c>
      <c r="Y150" s="156" t="n">
        <f aca="false">IF(AE150&gt;=8,ROUNDDOWN(W151*$M$4,-1),0)</f>
        <v>0</v>
      </c>
      <c r="Z150" s="156" t="n">
        <f aca="false">IFERROR(IF(AND(COUNT(F150:U151)&gt;=8,$AG150&lt;60,W151&lt;=5530000),ROUNDDOWN(ROUNDDOWN(W151,-3)*4.5%,-1),IF(AND(COUNT(F150:U151)&gt;=8,AG150&lt;60,W151&gt;5530000),248850,0)),0)</f>
        <v>0</v>
      </c>
      <c r="AA150" s="145" t="n">
        <f aca="false">+X150+Y150+X151+Y151+Z150+Z151</f>
        <v>0</v>
      </c>
      <c r="AB150" s="146" t="n">
        <f aca="false">W151-AA150</f>
        <v>0</v>
      </c>
      <c r="AC150" s="157" t="n">
        <f aca="false">IF(ISERROR(VLOOKUP(C150,[30]일용직명단!$A$3:$I$1165,5,FALSE())),0,VLOOKUP(C150,[30]일용직명단!$A$3:$I$1165,5,FALSE()))</f>
        <v>0</v>
      </c>
      <c r="AD150" s="158" t="n">
        <f aca="false">IF(ISERROR(VLOOKUP(C150,[30]일용직명단!$A$3:$I$1165,6,FALSE())),0,VLOOKUP(C150,[30]일용직명단!$A$3:$I$1165,6,FALSE()))</f>
        <v>0</v>
      </c>
      <c r="AE150" s="141" t="n">
        <f aca="false">COUNT(F150:U151)</f>
        <v>0</v>
      </c>
      <c r="AF150" s="129" t="str">
        <f aca="false">IF(OR(MID(D150,8,1)="1",MID(D150,8,1)="2"),19&amp;LEFT(D150,2),20&amp;LEFT(D150,2))&amp;"-"&amp;MID(D150,3,2)&amp;"-"&amp;MID(D150,5,2)</f>
        <v>200--</v>
      </c>
      <c r="AG150" s="129" t="e">
        <f aca="true">INT((TODAY()-AF150)/365.25)</f>
        <v>#VALUE!</v>
      </c>
      <c r="AH150" s="130" t="n">
        <f aca="false">ROUNDDOWN(SUM(AI150:AX151),-1)</f>
        <v>0</v>
      </c>
      <c r="AI150" s="130" t="n">
        <f aca="false">IF($W150*F150&gt;150000,($W150*F150-150000)*6%*45%,0)</f>
        <v>0</v>
      </c>
      <c r="AJ150" s="130" t="n">
        <f aca="false">IF($W150*G150&gt;150000,($W150*G150-150000)*6%*45%,0)</f>
        <v>0</v>
      </c>
      <c r="AK150" s="130" t="n">
        <f aca="false">IF($W150*H150&gt;150000,($W150*H150-150000)*6%*45%,0)</f>
        <v>0</v>
      </c>
      <c r="AL150" s="130" t="n">
        <f aca="false">IF($W150*I150&gt;150000,($W150*I150-150000)*6%*45%,0)</f>
        <v>0</v>
      </c>
      <c r="AM150" s="130" t="n">
        <f aca="false">IF($W150*J150&gt;150000,($W150*J150-150000)*6%*45%,0)</f>
        <v>0</v>
      </c>
      <c r="AN150" s="130" t="n">
        <f aca="false">IF($W150*K150&gt;150000,($W150*K150-150000)*6%*45%,0)</f>
        <v>0</v>
      </c>
      <c r="AO150" s="130" t="n">
        <f aca="false">IF($W150*L150&gt;150000,($W150*L150-150000)*6%*45%,0)</f>
        <v>0</v>
      </c>
      <c r="AP150" s="130" t="n">
        <f aca="false">IF($W150*M150&gt;150000,($W150*M150-150000)*6%*45%,0)</f>
        <v>0</v>
      </c>
      <c r="AQ150" s="130" t="n">
        <f aca="false">IF($W150*N150&gt;150000,($W150*N150-150000)*6%*45%,0)</f>
        <v>0</v>
      </c>
      <c r="AR150" s="130" t="n">
        <f aca="false">IF($W150*O150&gt;150000,($W150*O150-150000)*6%*45%,0)</f>
        <v>0</v>
      </c>
      <c r="AS150" s="130" t="n">
        <f aca="false">IF($W150*P150&gt;150000,($W150*P150-150000)*6%*45%,0)</f>
        <v>0</v>
      </c>
      <c r="AT150" s="130" t="n">
        <f aca="false">IF($W150*Q150&gt;150000,($W150*Q150-150000)*6%*45%,0)</f>
        <v>0</v>
      </c>
      <c r="AU150" s="130" t="n">
        <f aca="false">IF($W150*R150&gt;150000,($W150*R150-150000)*6%*45%,0)</f>
        <v>0</v>
      </c>
      <c r="AV150" s="130" t="n">
        <f aca="false">IF($W150*S150&gt;150000,($W150*S150-150000)*6%*45%,0)</f>
        <v>0</v>
      </c>
      <c r="AW150" s="130" t="n">
        <f aca="false">IF($W150*T150&gt;150000,($W150*T150-150000)*6%*45%,0)</f>
        <v>0</v>
      </c>
      <c r="AX150" s="130"/>
      <c r="AY150" s="131" t="n">
        <f aca="false">IF(ISERROR(VLOOKUP(C150,[26]일용직명단!$A$3:$M$1151,11,FALSE())),0,VLOOKUP(C150,[26]일용직명단!$A$3:$M$1151,11,FALSE()))</f>
        <v>0</v>
      </c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/>
      <c r="FC150" s="11"/>
      <c r="FD150" s="11"/>
      <c r="FE150" s="11"/>
      <c r="FF150" s="11"/>
      <c r="FG150" s="11"/>
      <c r="FH150" s="11"/>
      <c r="FI150" s="11"/>
      <c r="FJ150" s="11"/>
      <c r="FK150" s="11"/>
      <c r="FL150" s="11"/>
      <c r="FM150" s="11"/>
      <c r="FN150" s="11"/>
      <c r="FO150" s="11"/>
      <c r="FP150" s="11"/>
      <c r="FQ150" s="11"/>
      <c r="FR150" s="11"/>
      <c r="FS150" s="11"/>
      <c r="FT150" s="11"/>
      <c r="FU150" s="11"/>
      <c r="FV150" s="11"/>
      <c r="FW150" s="11"/>
      <c r="FX150" s="11"/>
      <c r="FY150" s="11"/>
      <c r="FZ150" s="11"/>
      <c r="GA150" s="11"/>
      <c r="GB150" s="11"/>
      <c r="GC150" s="11"/>
      <c r="GD150" s="11"/>
      <c r="GE150" s="11"/>
      <c r="GF150" s="11"/>
      <c r="GG150" s="11"/>
      <c r="GH150" s="11"/>
      <c r="GI150" s="11"/>
      <c r="GJ150" s="11"/>
      <c r="GK150" s="11"/>
      <c r="GL150" s="11"/>
      <c r="GM150" s="11"/>
      <c r="GN150" s="11"/>
      <c r="GO150" s="11"/>
      <c r="GP150" s="11"/>
      <c r="GQ150" s="11"/>
      <c r="GR150" s="11"/>
      <c r="GS150" s="11"/>
      <c r="GT150" s="11"/>
      <c r="GU150" s="11"/>
      <c r="GV150" s="11"/>
      <c r="GW150" s="11"/>
      <c r="GX150" s="11"/>
      <c r="GY150" s="11"/>
      <c r="GZ150" s="11"/>
      <c r="HA150" s="11"/>
      <c r="HB150" s="11"/>
      <c r="HC150" s="11"/>
      <c r="HD150" s="11"/>
      <c r="HE150" s="11"/>
      <c r="HF150" s="11"/>
      <c r="HG150" s="11"/>
      <c r="HH150" s="11"/>
      <c r="HI150" s="11"/>
      <c r="HJ150" s="11"/>
      <c r="HK150" s="11"/>
      <c r="HL150" s="11"/>
      <c r="HM150" s="11"/>
      <c r="HN150" s="11"/>
      <c r="HO150" s="11"/>
      <c r="HP150" s="11"/>
      <c r="HQ150" s="11"/>
      <c r="HR150" s="11"/>
      <c r="HS150" s="11"/>
      <c r="HT150" s="11"/>
      <c r="HU150" s="11"/>
      <c r="HV150" s="11"/>
      <c r="HW150" s="11"/>
      <c r="HX150" s="11"/>
      <c r="HY150" s="11"/>
      <c r="HZ150" s="11"/>
      <c r="IA150" s="11"/>
      <c r="IB150" s="11"/>
      <c r="IC150" s="11"/>
      <c r="ID150" s="11"/>
      <c r="IE150" s="11"/>
      <c r="IF150" s="11"/>
      <c r="IG150" s="11"/>
      <c r="IH150" s="11"/>
      <c r="II150" s="11"/>
      <c r="IJ150" s="11"/>
      <c r="IK150" s="11"/>
      <c r="IL150" s="11"/>
      <c r="IM150" s="11"/>
      <c r="IN150" s="11"/>
      <c r="IO150" s="11"/>
      <c r="IP150" s="11"/>
      <c r="IQ150" s="11"/>
      <c r="IR150" s="11"/>
      <c r="IS150" s="11"/>
      <c r="IT150" s="11"/>
      <c r="IU150" s="11"/>
      <c r="IV150" s="11"/>
      <c r="IW150" s="11"/>
    </row>
    <row r="151" customFormat="false" ht="13.5" hidden="true" customHeight="true" outlineLevel="0" collapsed="false">
      <c r="A151" s="217"/>
      <c r="B151" s="310"/>
      <c r="C151" s="203"/>
      <c r="D151" s="311"/>
      <c r="E151" s="160" t="n">
        <f aca="false">IF(ISERROR(VLOOKUP(C150,[30]일용직명단!$A$3:$K$1185,9,FALSE())),0,VLOOKUP(C150,[30]일용직명단!$A$3:$K$1185,9,FALSE()))</f>
        <v>0</v>
      </c>
      <c r="F151" s="315"/>
      <c r="G151" s="318"/>
      <c r="H151" s="317"/>
      <c r="I151" s="318"/>
      <c r="J151" s="317"/>
      <c r="K151" s="318"/>
      <c r="L151" s="318"/>
      <c r="M151" s="317"/>
      <c r="N151" s="318"/>
      <c r="O151" s="317"/>
      <c r="P151" s="318"/>
      <c r="Q151" s="318"/>
      <c r="R151" s="315"/>
      <c r="S151" s="315"/>
      <c r="T151" s="315"/>
      <c r="U151" s="315"/>
      <c r="V151" s="144"/>
      <c r="W151" s="138" t="n">
        <f aca="false">W150*V150</f>
        <v>0</v>
      </c>
      <c r="X151" s="156" t="n">
        <f aca="false">IF(AH150&lt;1000,0,AH150)</f>
        <v>0</v>
      </c>
      <c r="Y151" s="156" t="n">
        <f aca="false">ROUNDDOWN(X151*10%,-1)</f>
        <v>0</v>
      </c>
      <c r="Z151" s="156" t="n">
        <f aca="false">IF(AE150&gt;=8,ROUNDDOWN(Y150*$Q$4,-1),0)</f>
        <v>0</v>
      </c>
      <c r="AA151" s="145"/>
      <c r="AB151" s="146"/>
      <c r="AC151" s="158" t="n">
        <f aca="false">IF(ISERROR(VLOOKUP(C150,[30]일용직명단!$A$3:$I$1165,7,FALSE())),0,VLOOKUP(C150,[30]일용직명단!$A$3:$I$1165,7,FALSE()))</f>
        <v>0</v>
      </c>
      <c r="AD151" s="158"/>
      <c r="AE151" s="141"/>
      <c r="AF151" s="129"/>
      <c r="AG151" s="129"/>
      <c r="AH151" s="130"/>
      <c r="AI151" s="130" t="n">
        <f aca="false">IF($W150*F151&gt;150000,($W150*F151-150000)*6%*45%,0)</f>
        <v>0</v>
      </c>
      <c r="AJ151" s="130" t="n">
        <f aca="false">IF($W150*G151&gt;150000,($W150*G151-150000)*6%*45%,0)</f>
        <v>0</v>
      </c>
      <c r="AK151" s="130" t="n">
        <f aca="false">IF($W150*H151&gt;150000,($W150*H151-150000)*6%*45%,0)</f>
        <v>0</v>
      </c>
      <c r="AL151" s="130" t="n">
        <f aca="false">IF($W150*I151&gt;150000,($W150*I151-150000)*6%*45%,0)</f>
        <v>0</v>
      </c>
      <c r="AM151" s="130" t="n">
        <f aca="false">IF($W150*J151&gt;150000,($W150*J151-150000)*6%*45%,0)</f>
        <v>0</v>
      </c>
      <c r="AN151" s="130" t="n">
        <f aca="false">IF($W150*K151&gt;150000,($W150*K151-150000)*6%*45%,0)</f>
        <v>0</v>
      </c>
      <c r="AO151" s="130" t="n">
        <f aca="false">IF($W150*L151&gt;150000,($W150*L151-150000)*6%*45%,0)</f>
        <v>0</v>
      </c>
      <c r="AP151" s="130" t="n">
        <f aca="false">IF($W150*M151&gt;150000,($W150*M151-150000)*6%*45%,0)</f>
        <v>0</v>
      </c>
      <c r="AQ151" s="130" t="n">
        <f aca="false">IF($W150*N151&gt;150000,($W150*N151-150000)*6%*45%,0)</f>
        <v>0</v>
      </c>
      <c r="AR151" s="130" t="n">
        <f aca="false">IF($W150*O151&gt;150000,($W150*O151-150000)*6%*45%,0)</f>
        <v>0</v>
      </c>
      <c r="AS151" s="130" t="n">
        <f aca="false">IF($W150*P151&gt;150000,($W150*P151-150000)*6%*45%,0)</f>
        <v>0</v>
      </c>
      <c r="AT151" s="130" t="n">
        <f aca="false">IF($W150*Q151&gt;150000,($W150*Q151-150000)*6%*45%,0)</f>
        <v>0</v>
      </c>
      <c r="AU151" s="130" t="n">
        <f aca="false">IF($W150*R151&gt;150000,($W150*R151-150000)*6%*45%,0)</f>
        <v>0</v>
      </c>
      <c r="AV151" s="130" t="n">
        <f aca="false">IF($W150*S151&gt;150000,($W150*S151-150000)*6%*45%,0)</f>
        <v>0</v>
      </c>
      <c r="AW151" s="130" t="n">
        <f aca="false">IF($W150*T151&gt;150000,($W150*T151-150000)*6%*45%,0)</f>
        <v>0</v>
      </c>
      <c r="AX151" s="130" t="n">
        <f aca="false">IF($W150*U151&gt;150000,($W150*U151-150000)*6%*45%,0)</f>
        <v>0</v>
      </c>
      <c r="AY151" s="13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1"/>
      <c r="FW151" s="11"/>
      <c r="FX151" s="11"/>
      <c r="FY151" s="11"/>
      <c r="FZ151" s="11"/>
      <c r="GA151" s="11"/>
      <c r="GB151" s="11"/>
      <c r="GC151" s="11"/>
      <c r="GD151" s="11"/>
      <c r="GE151" s="11"/>
      <c r="GF151" s="11"/>
      <c r="GG151" s="11"/>
      <c r="GH151" s="11"/>
      <c r="GI151" s="11"/>
      <c r="GJ151" s="11"/>
      <c r="GK151" s="11"/>
      <c r="GL151" s="11"/>
      <c r="GM151" s="11"/>
      <c r="GN151" s="11"/>
      <c r="GO151" s="11"/>
      <c r="GP151" s="11"/>
      <c r="GQ151" s="11"/>
      <c r="GR151" s="11"/>
      <c r="GS151" s="11"/>
      <c r="GT151" s="11"/>
      <c r="GU151" s="11"/>
      <c r="GV151" s="11"/>
      <c r="GW151" s="11"/>
      <c r="GX151" s="11"/>
      <c r="GY151" s="11"/>
      <c r="GZ151" s="11"/>
      <c r="HA151" s="11"/>
      <c r="HB151" s="11"/>
      <c r="HC151" s="11"/>
      <c r="HD151" s="11"/>
      <c r="HE151" s="11"/>
      <c r="HF151" s="11"/>
      <c r="HG151" s="11"/>
      <c r="HH151" s="11"/>
      <c r="HI151" s="11"/>
      <c r="HJ151" s="11"/>
      <c r="HK151" s="11"/>
      <c r="HL151" s="11"/>
      <c r="HM151" s="11"/>
      <c r="HN151" s="11"/>
      <c r="HO151" s="11"/>
      <c r="HP151" s="11"/>
      <c r="HQ151" s="11"/>
      <c r="HR151" s="11"/>
      <c r="HS151" s="11"/>
      <c r="HT151" s="11"/>
      <c r="HU151" s="11"/>
      <c r="HV151" s="11"/>
      <c r="HW151" s="11"/>
      <c r="HX151" s="11"/>
      <c r="HY151" s="11"/>
      <c r="HZ151" s="11"/>
      <c r="IA151" s="11"/>
      <c r="IB151" s="11"/>
      <c r="IC151" s="11"/>
      <c r="ID151" s="11"/>
      <c r="IE151" s="11"/>
      <c r="IF151" s="11"/>
      <c r="IG151" s="11"/>
      <c r="IH151" s="11"/>
      <c r="II151" s="11"/>
      <c r="IJ151" s="11"/>
      <c r="IK151" s="11"/>
      <c r="IL151" s="11"/>
      <c r="IM151" s="11"/>
      <c r="IN151" s="11"/>
      <c r="IO151" s="11"/>
      <c r="IP151" s="11"/>
      <c r="IQ151" s="11"/>
      <c r="IR151" s="11"/>
      <c r="IS151" s="11"/>
      <c r="IT151" s="11"/>
      <c r="IU151" s="11"/>
      <c r="IV151" s="11"/>
      <c r="IW151" s="11"/>
    </row>
    <row r="152" customFormat="false" ht="13.5" hidden="false" customHeight="true" outlineLevel="0" collapsed="false">
      <c r="A152" s="218" t="s">
        <v>80</v>
      </c>
      <c r="B152" s="218"/>
      <c r="C152" s="218"/>
      <c r="D152" s="218"/>
      <c r="E152" s="218"/>
      <c r="F152" s="320" t="n">
        <f aca="false" t="array" ref="F152:F152">SUMPRODUCT(N(MOD(ROW(F10:F151),2)=(MOD(ROW(F152),2))),F10:F151)</f>
        <v>0</v>
      </c>
      <c r="G152" s="320" t="n">
        <f aca="false" t="array" ref="G152:G152">SUMPRODUCT(N(MOD(ROW(G10:G151),2)=(MOD(ROW(G152),2))),G10:G151)</f>
        <v>0</v>
      </c>
      <c r="H152" s="320" t="n">
        <f aca="false" t="array" ref="H152:H152">SUMPRODUCT(N(MOD(ROW(H10:H151),2)=(MOD(ROW(H152),2))),H10:H151)</f>
        <v>15</v>
      </c>
      <c r="I152" s="320" t="n">
        <f aca="false" t="array" ref="I152:I152">SUMPRODUCT(N(MOD(ROW(I10:I151),2)=(MOD(ROW(I152),2))),I10:I151)</f>
        <v>17</v>
      </c>
      <c r="J152" s="320" t="n">
        <f aca="false" t="array" ref="J152:J152">SUMPRODUCT(N(MOD(ROW(J10:J151),2)=(MOD(ROW(J152),2))),J10:J151)</f>
        <v>17</v>
      </c>
      <c r="K152" s="320" t="n">
        <f aca="false" t="array" ref="K152:K152">SUMPRODUCT(N(MOD(ROW(K10:K151),2)=(MOD(ROW(K152),2))),K10:K151)</f>
        <v>24</v>
      </c>
      <c r="L152" s="320" t="n">
        <f aca="false" t="array" ref="L152:L152">SUMPRODUCT(N(MOD(ROW(L10:L151),2)=(MOD(ROW(L152),2))),L10:L151)</f>
        <v>23</v>
      </c>
      <c r="M152" s="320" t="n">
        <f aca="false" t="array" ref="M152:M152">SUMPRODUCT(N(MOD(ROW(M10:M151),2)=(MOD(ROW(M152),2))),M10:M151)</f>
        <v>18</v>
      </c>
      <c r="N152" s="320" t="n">
        <f aca="false" t="array" ref="N152:N152">SUMPRODUCT(N(MOD(ROW(N10:N151),2)=(MOD(ROW(N152),2))),N10:N151)</f>
        <v>0</v>
      </c>
      <c r="O152" s="320" t="n">
        <f aca="false" t="array" ref="O152:O152">SUMPRODUCT(N(MOD(ROW(O10:O151),2)=(MOD(ROW(O152),2))),O10:O151)</f>
        <v>11</v>
      </c>
      <c r="P152" s="320" t="n">
        <f aca="false" t="array" ref="P152:P152">SUMPRODUCT(N(MOD(ROW(P10:P151),2)=(MOD(ROW(P152),2))),P10:P151)</f>
        <v>19</v>
      </c>
      <c r="Q152" s="320" t="n">
        <f aca="false" t="array" ref="Q152:Q152">SUMPRODUCT(N(MOD(ROW(Q10:Q151),2)=(MOD(ROW(Q152),2))),Q10:Q151)</f>
        <v>19</v>
      </c>
      <c r="R152" s="320" t="n">
        <f aca="false" t="array" ref="R152:R152">SUMPRODUCT(N(MOD(ROW(R10:R151),2)=(MOD(ROW(R152),2))),R10:R151)</f>
        <v>19</v>
      </c>
      <c r="S152" s="320" t="n">
        <f aca="false" t="array" ref="S152:S152">SUMPRODUCT(N(MOD(ROW(S10:S151),2)=(MOD(ROW(S152),2))),S10:S151)</f>
        <v>19</v>
      </c>
      <c r="T152" s="320" t="n">
        <f aca="false" t="array" ref="T152:T152">SUMPRODUCT(N(MOD(ROW(T10:T151),2)=(MOD(ROW(T152),2))),T10:T151)</f>
        <v>17</v>
      </c>
      <c r="U152" s="320"/>
      <c r="V152" s="220" t="n">
        <f aca="false">SUM(V10:V151)</f>
        <v>310.5</v>
      </c>
      <c r="W152" s="220" t="n">
        <f aca="false" t="array" ref="W152:W152">SUMPRODUCT((MOD(ROW(W$10:W$151),2)=1)*W$10:W$151)</f>
        <v>32890000</v>
      </c>
      <c r="X152" s="221" t="n">
        <f aca="false" t="array" ref="X152:X152">SUMPRODUCT((MOD(ROW(X$10:X$151),2)=0)*X$10:X$151)</f>
        <v>205560</v>
      </c>
      <c r="Y152" s="221" t="n">
        <f aca="false" t="array" ref="Y152:Y152">SUMPRODUCT((MOD(ROW(Y$10:Y$151),2)=0)*Y$10:Y$151)</f>
        <v>1086180</v>
      </c>
      <c r="Z152" s="221" t="n">
        <f aca="false" t="array" ref="Z152:Z152">SUMPRODUCT((MOD(ROW(Z$10:Z$151),2)=0)*Z$10:Z$151)</f>
        <v>415800</v>
      </c>
      <c r="AA152" s="220" t="n">
        <f aca="false">SUM(AA10:AA151)</f>
        <v>1805750</v>
      </c>
      <c r="AB152" s="220" t="n">
        <f aca="false">SUM(AB10:AB151)</f>
        <v>31084250</v>
      </c>
      <c r="AC152" s="222"/>
      <c r="AD152" s="223"/>
      <c r="AE152" s="224"/>
      <c r="AF152" s="130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  <c r="AT152" s="130"/>
      <c r="AU152" s="130"/>
      <c r="AV152" s="130"/>
      <c r="AW152" s="130"/>
      <c r="AX152" s="130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  <c r="ED152" s="11"/>
      <c r="EE152" s="11"/>
      <c r="EF152" s="11"/>
      <c r="EG152" s="11"/>
      <c r="EH152" s="11"/>
      <c r="EI152" s="11"/>
      <c r="EJ152" s="11"/>
      <c r="EK152" s="11"/>
      <c r="EL152" s="11"/>
      <c r="EM152" s="11"/>
      <c r="EN152" s="11"/>
      <c r="EO152" s="11"/>
      <c r="EP152" s="11"/>
      <c r="EQ152" s="11"/>
      <c r="ER152" s="11"/>
      <c r="ES152" s="11"/>
      <c r="ET152" s="11"/>
      <c r="EU152" s="11"/>
      <c r="EV152" s="11"/>
      <c r="EW152" s="11"/>
      <c r="EX152" s="11"/>
      <c r="EY152" s="11"/>
      <c r="EZ152" s="11"/>
      <c r="FA152" s="11"/>
      <c r="FB152" s="11"/>
      <c r="FC152" s="11"/>
      <c r="FD152" s="11"/>
      <c r="FE152" s="11"/>
      <c r="FF152" s="11"/>
      <c r="FG152" s="11"/>
      <c r="FH152" s="11"/>
      <c r="FI152" s="11"/>
      <c r="FJ152" s="11"/>
      <c r="FK152" s="11"/>
      <c r="FL152" s="11"/>
      <c r="FM152" s="11"/>
      <c r="FN152" s="11"/>
      <c r="FO152" s="11"/>
      <c r="FP152" s="11"/>
      <c r="FQ152" s="11"/>
      <c r="FR152" s="11"/>
      <c r="FS152" s="11"/>
      <c r="FT152" s="11"/>
      <c r="FU152" s="11"/>
      <c r="FV152" s="11"/>
      <c r="FW152" s="11"/>
      <c r="FX152" s="11"/>
      <c r="FY152" s="11"/>
      <c r="FZ152" s="11"/>
      <c r="GA152" s="11"/>
      <c r="GB152" s="11"/>
      <c r="GC152" s="11"/>
      <c r="GD152" s="11"/>
      <c r="GE152" s="11"/>
      <c r="GF152" s="11"/>
      <c r="GG152" s="11"/>
      <c r="GH152" s="11"/>
      <c r="GI152" s="11"/>
      <c r="GJ152" s="11"/>
      <c r="GK152" s="11"/>
      <c r="GL152" s="11"/>
      <c r="GM152" s="11"/>
      <c r="GN152" s="11"/>
      <c r="GO152" s="11"/>
      <c r="GP152" s="11"/>
      <c r="GQ152" s="11"/>
      <c r="GR152" s="11"/>
      <c r="GS152" s="11"/>
      <c r="GT152" s="11"/>
      <c r="GU152" s="11"/>
      <c r="GV152" s="11"/>
      <c r="GW152" s="11"/>
      <c r="GX152" s="11"/>
      <c r="GY152" s="11"/>
      <c r="GZ152" s="11"/>
      <c r="HA152" s="11"/>
      <c r="HB152" s="11"/>
      <c r="HC152" s="11"/>
      <c r="HD152" s="11"/>
      <c r="HE152" s="11"/>
      <c r="HF152" s="11"/>
      <c r="HG152" s="11"/>
      <c r="HH152" s="11"/>
      <c r="HI152" s="11"/>
      <c r="HJ152" s="11"/>
      <c r="HK152" s="11"/>
      <c r="HL152" s="11"/>
      <c r="HM152" s="11"/>
      <c r="HN152" s="11"/>
      <c r="HO152" s="11"/>
      <c r="HP152" s="11"/>
      <c r="HQ152" s="11"/>
      <c r="HR152" s="11"/>
      <c r="HS152" s="11"/>
      <c r="HT152" s="11"/>
      <c r="HU152" s="11"/>
      <c r="HV152" s="11"/>
      <c r="HW152" s="11"/>
      <c r="HX152" s="11"/>
      <c r="HY152" s="11"/>
      <c r="HZ152" s="11"/>
      <c r="IA152" s="11"/>
      <c r="IB152" s="11"/>
      <c r="IC152" s="11"/>
      <c r="ID152" s="11"/>
      <c r="IE152" s="11"/>
      <c r="IF152" s="11"/>
      <c r="IG152" s="11"/>
      <c r="IH152" s="11"/>
      <c r="II152" s="11"/>
      <c r="IJ152" s="11"/>
      <c r="IK152" s="11"/>
      <c r="IL152" s="11"/>
      <c r="IM152" s="11"/>
      <c r="IN152" s="11"/>
      <c r="IO152" s="11"/>
      <c r="IP152" s="11"/>
    </row>
    <row r="153" customFormat="false" ht="13.5" hidden="false" customHeight="true" outlineLevel="0" collapsed="false">
      <c r="A153" s="218"/>
      <c r="B153" s="218"/>
      <c r="C153" s="218"/>
      <c r="D153" s="218"/>
      <c r="E153" s="218"/>
      <c r="F153" s="225" t="n">
        <f aca="false" t="array" ref="F153:F153">SUMPRODUCT(N(MOD(ROW(F10:F151),2)=(MOD(ROW(F153),2))),F10:F151)</f>
        <v>0</v>
      </c>
      <c r="G153" s="225" t="n">
        <f aca="false" t="array" ref="G153:G153">SUMPRODUCT(N(MOD(ROW(G10:G151),2)=(MOD(ROW(G153),2))),G10:G151)</f>
        <v>15</v>
      </c>
      <c r="H153" s="225" t="n">
        <f aca="false" t="array" ref="H153:H153">SUMPRODUCT(N(MOD(ROW(H10:H151),2)=(MOD(ROW(H153),2))),H10:H151)</f>
        <v>15</v>
      </c>
      <c r="I153" s="225" t="n">
        <f aca="false" t="array" ref="I153:I153">SUMPRODUCT(N(MOD(ROW(I10:I151),2)=(MOD(ROW(I153),2))),I10:I151)</f>
        <v>15</v>
      </c>
      <c r="J153" s="225" t="n">
        <f aca="false" t="array" ref="J153:J153">SUMPRODUCT(N(MOD(ROW(J10:J151),2)=(MOD(ROW(J153),2))),J10:J151)</f>
        <v>12</v>
      </c>
      <c r="K153" s="225" t="n">
        <f aca="false" t="array" ref="K153:K153">SUMPRODUCT(N(MOD(ROW(K10:K151),2)=(MOD(ROW(K153),2))),K10:K151)</f>
        <v>1</v>
      </c>
      <c r="L153" s="225" t="n">
        <f aca="false" t="array" ref="L153:L153">SUMPRODUCT(N(MOD(ROW(L10:L151),2)=(MOD(ROW(L153),2))),L10:L151)</f>
        <v>1</v>
      </c>
      <c r="M153" s="225" t="n">
        <f aca="false" t="array" ref="M153:M153">SUMPRODUCT(N(MOD(ROW(M10:M151),2)=(MOD(ROW(M153),2))),M10:M151)</f>
        <v>0</v>
      </c>
      <c r="N153" s="225" t="n">
        <f aca="false" t="array" ref="N153:N153">SUMPRODUCT(N(MOD(ROW(N10:N151),2)=(MOD(ROW(N153),2))),N10:N151)</f>
        <v>5</v>
      </c>
      <c r="O153" s="225" t="n">
        <f aca="false" t="array" ref="O153:O153">SUMPRODUCT(N(MOD(ROW(O10:O151),2)=(MOD(ROW(O153),2))),O10:O151)</f>
        <v>2.5</v>
      </c>
      <c r="P153" s="225" t="n">
        <f aca="false" t="array" ref="P153:P153">SUMPRODUCT(N(MOD(ROW(P10:P151),2)=(MOD(ROW(P153),2))),P10:P151)</f>
        <v>9</v>
      </c>
      <c r="Q153" s="225" t="n">
        <f aca="false" t="array" ref="Q153:Q153">SUMPRODUCT(N(MOD(ROW(Q10:Q151),2)=(MOD(ROW(Q153),2))),Q10:Q151)</f>
        <v>6</v>
      </c>
      <c r="R153" s="225" t="n">
        <f aca="false" t="array" ref="R153:R153">SUMPRODUCT(N(MOD(ROW(R10:R151),2)=(MOD(ROW(R153),2))),R10:R151)</f>
        <v>10</v>
      </c>
      <c r="S153" s="225" t="n">
        <f aca="false" t="array" ref="S153:S153">SUMPRODUCT(N(MOD(ROW(S10:S151),2)=(MOD(ROW(S153),2))),S10:S151)</f>
        <v>1</v>
      </c>
      <c r="T153" s="225" t="n">
        <f aca="false" t="array" ref="T153:T153">SUMPRODUCT(N(MOD(ROW(T10:T151),2)=(MOD(ROW(T153),2))),T10:T151)</f>
        <v>0</v>
      </c>
      <c r="U153" s="225" t="n">
        <f aca="false" t="array" ref="U153:U153">SUMPRODUCT(N(MOD(ROW(U10:U151),2)=(MOD(ROW(U153),2))),U10:U151)</f>
        <v>0</v>
      </c>
      <c r="V153" s="220"/>
      <c r="W153" s="220"/>
      <c r="X153" s="226" t="n">
        <f aca="false" t="array" ref="X153:X153">SUMPRODUCT((MOD(ROW(X$10:X$151),2)=1)*X$10:X$151)</f>
        <v>25380</v>
      </c>
      <c r="Y153" s="226" t="n">
        <f aca="false" t="array" ref="Y153:Y153">SUMPRODUCT((MOD(ROW(Y$10:Y$151),2)=1)*Y$10:Y$151)</f>
        <v>2530</v>
      </c>
      <c r="Z153" s="226" t="n">
        <f aca="false" t="array" ref="Z153:Z153">SUMPRODUCT((MOD(ROW(Z$10:Z$151),2)=1)*Z$10:Z$151)</f>
        <v>70300</v>
      </c>
      <c r="AA153" s="220"/>
      <c r="AB153" s="220"/>
      <c r="AC153" s="227"/>
      <c r="AD153" s="228"/>
      <c r="AE153" s="229"/>
      <c r="AF153" s="129"/>
      <c r="AG153" s="129"/>
      <c r="AI153" s="130"/>
      <c r="AJ153" s="130"/>
      <c r="AK153" s="130"/>
      <c r="AL153" s="130"/>
      <c r="AM153" s="130"/>
      <c r="AN153" s="130"/>
      <c r="AO153" s="130"/>
      <c r="AP153" s="130"/>
      <c r="AQ153" s="130"/>
      <c r="AR153" s="130"/>
      <c r="AS153" s="130"/>
      <c r="AT153" s="130"/>
      <c r="AU153" s="130"/>
      <c r="AV153" s="130"/>
      <c r="AW153" s="130"/>
      <c r="AX153" s="130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1"/>
      <c r="FW153" s="11"/>
      <c r="FX153" s="11"/>
      <c r="FY153" s="11"/>
      <c r="FZ153" s="11"/>
      <c r="GA153" s="11"/>
      <c r="GB153" s="11"/>
      <c r="GC153" s="11"/>
      <c r="GD153" s="11"/>
      <c r="GE153" s="11"/>
      <c r="GF153" s="11"/>
      <c r="GG153" s="11"/>
      <c r="GH153" s="11"/>
      <c r="GI153" s="11"/>
      <c r="GJ153" s="11"/>
      <c r="GK153" s="11"/>
      <c r="GL153" s="11"/>
      <c r="GM153" s="11"/>
      <c r="GN153" s="11"/>
      <c r="GO153" s="11"/>
      <c r="GP153" s="11"/>
      <c r="GQ153" s="11"/>
      <c r="GR153" s="11"/>
      <c r="GS153" s="11"/>
      <c r="GT153" s="11"/>
      <c r="GU153" s="11"/>
      <c r="GV153" s="11"/>
      <c r="GW153" s="11"/>
      <c r="GX153" s="11"/>
      <c r="GY153" s="11"/>
      <c r="GZ153" s="11"/>
      <c r="HA153" s="11"/>
      <c r="HB153" s="11"/>
      <c r="HC153" s="11"/>
      <c r="HD153" s="11"/>
      <c r="HE153" s="11"/>
      <c r="HF153" s="11"/>
      <c r="HG153" s="11"/>
      <c r="HH153" s="11"/>
      <c r="HI153" s="11"/>
      <c r="HJ153" s="11"/>
      <c r="HK153" s="11"/>
      <c r="HL153" s="11"/>
      <c r="HM153" s="11"/>
      <c r="HN153" s="11"/>
      <c r="HO153" s="11"/>
      <c r="HP153" s="11"/>
      <c r="HQ153" s="11"/>
      <c r="HR153" s="11"/>
      <c r="HS153" s="11"/>
      <c r="HT153" s="11"/>
      <c r="HU153" s="11"/>
      <c r="HV153" s="11"/>
      <c r="HW153" s="11"/>
      <c r="HX153" s="11"/>
      <c r="HY153" s="11"/>
      <c r="HZ153" s="11"/>
      <c r="IA153" s="11"/>
      <c r="IB153" s="11"/>
      <c r="IC153" s="11"/>
      <c r="ID153" s="11"/>
      <c r="IE153" s="11"/>
      <c r="IF153" s="11"/>
      <c r="IG153" s="11"/>
      <c r="IH153" s="11"/>
      <c r="II153" s="11"/>
      <c r="IJ153" s="11"/>
      <c r="IK153" s="11"/>
      <c r="IL153" s="11"/>
      <c r="IM153" s="11"/>
      <c r="IN153" s="11"/>
      <c r="IO153" s="11"/>
      <c r="IP153" s="11"/>
    </row>
    <row r="154" customFormat="false" ht="16.5" hidden="false" customHeight="false" outlineLevel="0" collapsed="false">
      <c r="A154" s="230"/>
      <c r="B154" s="230"/>
      <c r="C154" s="230"/>
      <c r="D154" s="230"/>
      <c r="E154" s="230"/>
      <c r="F154" s="230"/>
      <c r="G154" s="230"/>
      <c r="H154" s="230"/>
      <c r="I154" s="230"/>
      <c r="J154" s="230"/>
      <c r="K154" s="230"/>
      <c r="L154" s="230"/>
      <c r="M154" s="230"/>
      <c r="N154" s="231"/>
      <c r="O154" s="230"/>
      <c r="P154" s="230"/>
      <c r="Q154" s="230"/>
      <c r="R154" s="230"/>
      <c r="S154" s="230"/>
      <c r="T154" s="230"/>
      <c r="U154" s="232"/>
      <c r="V154" s="230"/>
      <c r="W154" s="230"/>
      <c r="X154" s="233"/>
      <c r="Y154" s="233"/>
      <c r="Z154" s="230"/>
      <c r="AA154" s="230"/>
      <c r="AB154" s="230"/>
      <c r="AC154" s="230"/>
      <c r="AD154" s="230"/>
      <c r="AE154" s="230"/>
      <c r="AF154" s="129"/>
      <c r="AG154" s="129"/>
      <c r="AH154" s="230"/>
      <c r="AI154" s="230"/>
      <c r="AJ154" s="230"/>
      <c r="AK154" s="230"/>
      <c r="AL154" s="230"/>
      <c r="AM154" s="230"/>
      <c r="AN154" s="230"/>
      <c r="AO154" s="230"/>
      <c r="AP154" s="230"/>
      <c r="AQ154" s="230"/>
      <c r="AR154" s="230"/>
      <c r="AS154" s="230"/>
      <c r="AT154" s="230"/>
      <c r="AU154" s="230"/>
      <c r="AV154" s="230"/>
      <c r="AW154" s="230"/>
      <c r="AX154" s="230"/>
      <c r="AY154" s="230"/>
      <c r="AZ154" s="230"/>
      <c r="BA154" s="230"/>
      <c r="BB154" s="230"/>
      <c r="BC154" s="230"/>
      <c r="BD154" s="230"/>
      <c r="BE154" s="230"/>
      <c r="BF154" s="230"/>
      <c r="BG154" s="230"/>
      <c r="BH154" s="230"/>
      <c r="BI154" s="230"/>
      <c r="BJ154" s="230"/>
      <c r="BK154" s="230"/>
      <c r="BL154" s="230"/>
      <c r="BM154" s="230"/>
      <c r="BN154" s="230"/>
      <c r="BO154" s="230"/>
      <c r="BP154" s="230"/>
      <c r="BQ154" s="230"/>
      <c r="BR154" s="230"/>
      <c r="BS154" s="230"/>
      <c r="BT154" s="230"/>
      <c r="BU154" s="230"/>
      <c r="BV154" s="230"/>
      <c r="BW154" s="230"/>
      <c r="BX154" s="230"/>
      <c r="BY154" s="230"/>
      <c r="BZ154" s="230"/>
      <c r="CA154" s="230"/>
      <c r="CB154" s="230"/>
      <c r="CC154" s="230"/>
      <c r="CD154" s="230"/>
      <c r="CE154" s="230"/>
      <c r="CF154" s="230"/>
      <c r="CG154" s="230"/>
      <c r="CH154" s="230"/>
      <c r="CI154" s="230"/>
      <c r="CJ154" s="230"/>
      <c r="CK154" s="230"/>
      <c r="CL154" s="230"/>
      <c r="CM154" s="230"/>
      <c r="CN154" s="230"/>
      <c r="CO154" s="230"/>
      <c r="CP154" s="230"/>
      <c r="CQ154" s="230"/>
      <c r="CR154" s="230"/>
      <c r="CS154" s="230"/>
      <c r="CT154" s="230"/>
      <c r="CU154" s="230"/>
      <c r="CV154" s="230"/>
      <c r="CW154" s="230"/>
      <c r="CX154" s="230"/>
      <c r="CY154" s="230"/>
      <c r="CZ154" s="230"/>
      <c r="DA154" s="230"/>
      <c r="DB154" s="230"/>
      <c r="DC154" s="230"/>
      <c r="DD154" s="230"/>
      <c r="DE154" s="230"/>
      <c r="DF154" s="230"/>
      <c r="DG154" s="230"/>
      <c r="DH154" s="230"/>
      <c r="DI154" s="230"/>
      <c r="DJ154" s="230"/>
      <c r="DK154" s="230"/>
      <c r="DL154" s="230"/>
      <c r="DM154" s="230"/>
      <c r="DN154" s="230"/>
      <c r="DO154" s="230"/>
      <c r="DP154" s="230"/>
      <c r="DQ154" s="230"/>
      <c r="DR154" s="230"/>
      <c r="DS154" s="230"/>
      <c r="DT154" s="230"/>
      <c r="DU154" s="230"/>
      <c r="DV154" s="230"/>
      <c r="DW154" s="230"/>
      <c r="DX154" s="230"/>
      <c r="DY154" s="230"/>
      <c r="DZ154" s="230"/>
      <c r="EA154" s="230"/>
      <c r="EB154" s="230"/>
      <c r="EC154" s="230"/>
      <c r="ED154" s="230"/>
      <c r="EE154" s="230"/>
      <c r="EF154" s="230"/>
      <c r="EG154" s="230"/>
      <c r="EH154" s="230"/>
      <c r="EI154" s="230"/>
      <c r="EJ154" s="230"/>
      <c r="EK154" s="230"/>
      <c r="EL154" s="230"/>
      <c r="EM154" s="230"/>
      <c r="EN154" s="230"/>
      <c r="EO154" s="230"/>
      <c r="EP154" s="230"/>
      <c r="EQ154" s="230"/>
      <c r="ER154" s="230"/>
      <c r="ES154" s="230"/>
      <c r="ET154" s="230"/>
      <c r="EU154" s="230"/>
      <c r="EV154" s="230"/>
      <c r="EW154" s="230"/>
      <c r="EX154" s="230"/>
      <c r="EY154" s="230"/>
      <c r="EZ154" s="230"/>
      <c r="FA154" s="230"/>
      <c r="FB154" s="230"/>
      <c r="FC154" s="230"/>
      <c r="FD154" s="230"/>
      <c r="FE154" s="230"/>
      <c r="FF154" s="230"/>
      <c r="FG154" s="230"/>
      <c r="FH154" s="230"/>
      <c r="FI154" s="230"/>
      <c r="FJ154" s="230"/>
      <c r="FK154" s="230"/>
      <c r="FL154" s="230"/>
      <c r="FM154" s="230"/>
      <c r="FN154" s="230"/>
      <c r="FO154" s="230"/>
      <c r="FP154" s="230"/>
      <c r="FQ154" s="230"/>
      <c r="FR154" s="230"/>
      <c r="FS154" s="230"/>
      <c r="FT154" s="230"/>
      <c r="FU154" s="230"/>
      <c r="FV154" s="230"/>
      <c r="FW154" s="230"/>
      <c r="FX154" s="230"/>
      <c r="FY154" s="230"/>
      <c r="FZ154" s="230"/>
      <c r="GA154" s="230"/>
      <c r="GB154" s="230"/>
      <c r="GC154" s="230"/>
      <c r="GD154" s="230"/>
      <c r="GE154" s="230"/>
      <c r="GF154" s="230"/>
      <c r="GG154" s="230"/>
      <c r="GH154" s="230"/>
      <c r="GI154" s="230"/>
      <c r="GJ154" s="230"/>
      <c r="GK154" s="230"/>
      <c r="GL154" s="230"/>
      <c r="GM154" s="230"/>
      <c r="GN154" s="230"/>
      <c r="GO154" s="230"/>
      <c r="GP154" s="230"/>
      <c r="GQ154" s="230"/>
      <c r="GR154" s="230"/>
      <c r="GS154" s="230"/>
      <c r="GT154" s="230"/>
      <c r="GU154" s="230"/>
      <c r="GV154" s="230"/>
      <c r="GW154" s="230"/>
      <c r="GX154" s="230"/>
      <c r="GY154" s="230"/>
      <c r="GZ154" s="230"/>
      <c r="HA154" s="230"/>
      <c r="HB154" s="230"/>
      <c r="HC154" s="230"/>
      <c r="HD154" s="230"/>
      <c r="HE154" s="230"/>
      <c r="HF154" s="230"/>
      <c r="HG154" s="230"/>
      <c r="HH154" s="230"/>
      <c r="HI154" s="230"/>
      <c r="HJ154" s="230"/>
      <c r="HK154" s="230"/>
      <c r="HL154" s="230"/>
      <c r="HM154" s="230"/>
      <c r="HN154" s="230"/>
      <c r="HO154" s="230"/>
      <c r="HP154" s="230"/>
      <c r="HQ154" s="230"/>
      <c r="HR154" s="230"/>
      <c r="HS154" s="230"/>
      <c r="HT154" s="230"/>
      <c r="HU154" s="230"/>
      <c r="HV154" s="230"/>
      <c r="HW154" s="230"/>
      <c r="HX154" s="230"/>
      <c r="HY154" s="230"/>
      <c r="HZ154" s="230"/>
      <c r="IA154" s="230"/>
      <c r="IB154" s="230"/>
      <c r="IC154" s="230"/>
      <c r="ID154" s="230"/>
      <c r="IE154" s="230"/>
      <c r="IF154" s="230"/>
      <c r="IG154" s="230"/>
      <c r="IH154" s="230"/>
      <c r="II154" s="230"/>
      <c r="IJ154" s="230"/>
      <c r="IK154" s="230"/>
      <c r="IL154" s="230"/>
      <c r="IM154" s="230"/>
      <c r="IN154" s="230"/>
      <c r="IO154" s="230"/>
      <c r="IP154" s="230"/>
      <c r="IQ154" s="230"/>
      <c r="IR154" s="230"/>
      <c r="IS154" s="230"/>
      <c r="IT154" s="230"/>
      <c r="IU154" s="230"/>
      <c r="IV154" s="230"/>
      <c r="IW154" s="230"/>
    </row>
    <row r="155" customFormat="false" ht="16.5" hidden="false" customHeight="false" outlineLevel="0" collapsed="false">
      <c r="A155" s="230"/>
      <c r="B155" s="230"/>
      <c r="C155" s="230"/>
      <c r="D155" s="230"/>
      <c r="E155" s="230"/>
      <c r="F155" s="230"/>
      <c r="G155" s="230"/>
      <c r="H155" s="230"/>
      <c r="I155" s="230"/>
      <c r="J155" s="230"/>
      <c r="K155" s="230"/>
      <c r="L155" s="230"/>
      <c r="M155" s="230"/>
      <c r="N155" s="231"/>
      <c r="O155" s="230"/>
      <c r="P155" s="230"/>
      <c r="Q155" s="230"/>
      <c r="R155" s="230"/>
      <c r="S155" s="230"/>
      <c r="T155" s="230"/>
      <c r="U155" s="232"/>
      <c r="V155" s="230"/>
      <c r="W155" s="230"/>
      <c r="X155" s="230"/>
      <c r="Y155" s="230"/>
      <c r="Z155" s="230"/>
      <c r="AA155" s="230"/>
      <c r="AB155" s="230"/>
      <c r="AC155" s="230"/>
      <c r="AD155" s="230"/>
      <c r="AE155" s="230"/>
      <c r="AF155" s="129"/>
      <c r="AG155" s="129"/>
      <c r="AH155" s="230"/>
      <c r="AI155" s="230"/>
      <c r="AJ155" s="230"/>
      <c r="AK155" s="230"/>
      <c r="AL155" s="230"/>
      <c r="AM155" s="230"/>
      <c r="AN155" s="230"/>
      <c r="AO155" s="230"/>
      <c r="AP155" s="230"/>
      <c r="AQ155" s="230"/>
      <c r="AR155" s="230"/>
      <c r="AS155" s="230"/>
      <c r="AT155" s="230"/>
      <c r="AU155" s="230"/>
      <c r="AV155" s="230"/>
      <c r="AW155" s="230"/>
      <c r="AX155" s="230"/>
      <c r="AY155" s="230"/>
      <c r="AZ155" s="230"/>
      <c r="BA155" s="230"/>
      <c r="BB155" s="230"/>
      <c r="BC155" s="230"/>
      <c r="BD155" s="230"/>
      <c r="BE155" s="230"/>
      <c r="BF155" s="230"/>
      <c r="BG155" s="230"/>
      <c r="BH155" s="230"/>
      <c r="BI155" s="230"/>
      <c r="BJ155" s="230"/>
      <c r="BK155" s="230"/>
      <c r="BL155" s="230"/>
      <c r="BM155" s="230"/>
      <c r="BN155" s="230"/>
      <c r="BO155" s="230"/>
      <c r="BP155" s="230"/>
      <c r="BQ155" s="230"/>
      <c r="BR155" s="230"/>
      <c r="BS155" s="230"/>
      <c r="BT155" s="230"/>
      <c r="BU155" s="230"/>
      <c r="BV155" s="230"/>
      <c r="BW155" s="230"/>
      <c r="BX155" s="230"/>
      <c r="BY155" s="230"/>
      <c r="BZ155" s="230"/>
      <c r="CA155" s="230"/>
      <c r="CB155" s="230"/>
      <c r="CC155" s="230"/>
      <c r="CD155" s="230"/>
      <c r="CE155" s="230"/>
      <c r="CF155" s="230"/>
      <c r="CG155" s="230"/>
      <c r="CH155" s="230"/>
      <c r="CI155" s="230"/>
      <c r="CJ155" s="230"/>
      <c r="CK155" s="230"/>
      <c r="CL155" s="230"/>
      <c r="CM155" s="230"/>
      <c r="CN155" s="230"/>
      <c r="CO155" s="230"/>
      <c r="CP155" s="230"/>
      <c r="CQ155" s="230"/>
      <c r="CR155" s="230"/>
      <c r="CS155" s="230"/>
      <c r="CT155" s="230"/>
      <c r="CU155" s="230"/>
      <c r="CV155" s="230"/>
      <c r="CW155" s="230"/>
      <c r="CX155" s="230"/>
      <c r="CY155" s="230"/>
      <c r="CZ155" s="230"/>
      <c r="DA155" s="230"/>
      <c r="DB155" s="230"/>
      <c r="DC155" s="230"/>
      <c r="DD155" s="230"/>
      <c r="DE155" s="230"/>
      <c r="DF155" s="230"/>
      <c r="DG155" s="230"/>
      <c r="DH155" s="230"/>
      <c r="DI155" s="230"/>
      <c r="DJ155" s="230"/>
      <c r="DK155" s="230"/>
      <c r="DL155" s="230"/>
      <c r="DM155" s="230"/>
      <c r="DN155" s="230"/>
      <c r="DO155" s="230"/>
      <c r="DP155" s="230"/>
      <c r="DQ155" s="230"/>
      <c r="DR155" s="230"/>
      <c r="DS155" s="230"/>
      <c r="DT155" s="230"/>
      <c r="DU155" s="230"/>
      <c r="DV155" s="230"/>
      <c r="DW155" s="230"/>
      <c r="DX155" s="230"/>
      <c r="DY155" s="230"/>
      <c r="DZ155" s="230"/>
      <c r="EA155" s="230"/>
      <c r="EB155" s="230"/>
      <c r="EC155" s="230"/>
      <c r="ED155" s="230"/>
      <c r="EE155" s="230"/>
      <c r="EF155" s="230"/>
      <c r="EG155" s="230"/>
      <c r="EH155" s="230"/>
      <c r="EI155" s="230"/>
      <c r="EJ155" s="230"/>
      <c r="EK155" s="230"/>
      <c r="EL155" s="230"/>
      <c r="EM155" s="230"/>
      <c r="EN155" s="230"/>
      <c r="EO155" s="230"/>
      <c r="EP155" s="230"/>
      <c r="EQ155" s="230"/>
      <c r="ER155" s="230"/>
      <c r="ES155" s="230"/>
      <c r="ET155" s="230"/>
      <c r="EU155" s="230"/>
      <c r="EV155" s="230"/>
      <c r="EW155" s="230"/>
      <c r="EX155" s="230"/>
      <c r="EY155" s="230"/>
      <c r="EZ155" s="230"/>
      <c r="FA155" s="230"/>
      <c r="FB155" s="230"/>
      <c r="FC155" s="230"/>
      <c r="FD155" s="230"/>
      <c r="FE155" s="230"/>
      <c r="FF155" s="230"/>
      <c r="FG155" s="230"/>
      <c r="FH155" s="230"/>
      <c r="FI155" s="230"/>
      <c r="FJ155" s="230"/>
      <c r="FK155" s="230"/>
      <c r="FL155" s="230"/>
      <c r="FM155" s="230"/>
      <c r="FN155" s="230"/>
      <c r="FO155" s="230"/>
      <c r="FP155" s="230"/>
      <c r="FQ155" s="230"/>
      <c r="FR155" s="230"/>
      <c r="FS155" s="230"/>
      <c r="FT155" s="230"/>
      <c r="FU155" s="230"/>
      <c r="FV155" s="230"/>
      <c r="FW155" s="230"/>
      <c r="FX155" s="230"/>
      <c r="FY155" s="230"/>
      <c r="FZ155" s="230"/>
      <c r="GA155" s="230"/>
      <c r="GB155" s="230"/>
      <c r="GC155" s="230"/>
      <c r="GD155" s="230"/>
      <c r="GE155" s="230"/>
      <c r="GF155" s="230"/>
      <c r="GG155" s="230"/>
      <c r="GH155" s="230"/>
      <c r="GI155" s="230"/>
      <c r="GJ155" s="230"/>
      <c r="GK155" s="230"/>
      <c r="GL155" s="230"/>
      <c r="GM155" s="230"/>
      <c r="GN155" s="230"/>
      <c r="GO155" s="230"/>
      <c r="GP155" s="230"/>
      <c r="GQ155" s="230"/>
      <c r="GR155" s="230"/>
      <c r="GS155" s="230"/>
      <c r="GT155" s="230"/>
      <c r="GU155" s="230"/>
      <c r="GV155" s="230"/>
      <c r="GW155" s="230"/>
      <c r="GX155" s="230"/>
      <c r="GY155" s="230"/>
      <c r="GZ155" s="230"/>
      <c r="HA155" s="230"/>
      <c r="HB155" s="230"/>
      <c r="HC155" s="230"/>
      <c r="HD155" s="230"/>
      <c r="HE155" s="230"/>
      <c r="HF155" s="230"/>
      <c r="HG155" s="230"/>
      <c r="HH155" s="230"/>
      <c r="HI155" s="230"/>
      <c r="HJ155" s="230"/>
      <c r="HK155" s="230"/>
      <c r="HL155" s="230"/>
      <c r="HM155" s="230"/>
      <c r="HN155" s="230"/>
      <c r="HO155" s="230"/>
      <c r="HP155" s="230"/>
      <c r="HQ155" s="230"/>
      <c r="HR155" s="230"/>
      <c r="HS155" s="230"/>
      <c r="HT155" s="230"/>
      <c r="HU155" s="230"/>
      <c r="HV155" s="230"/>
      <c r="HW155" s="230"/>
      <c r="HX155" s="230"/>
      <c r="HY155" s="230"/>
      <c r="HZ155" s="230"/>
      <c r="IA155" s="230"/>
      <c r="IB155" s="230"/>
      <c r="IC155" s="230"/>
      <c r="ID155" s="230"/>
      <c r="IE155" s="230"/>
      <c r="IF155" s="230"/>
      <c r="IG155" s="230"/>
      <c r="IH155" s="230"/>
      <c r="II155" s="230"/>
      <c r="IJ155" s="230"/>
      <c r="IK155" s="230"/>
      <c r="IL155" s="230"/>
      <c r="IM155" s="230"/>
      <c r="IN155" s="230"/>
      <c r="IO155" s="230"/>
      <c r="IP155" s="230"/>
      <c r="IQ155" s="230"/>
      <c r="IR155" s="230"/>
      <c r="IS155" s="230"/>
      <c r="IT155" s="230"/>
      <c r="IU155" s="230"/>
      <c r="IV155" s="230"/>
      <c r="IW155" s="230"/>
    </row>
    <row r="156" customFormat="false" ht="16.5" hidden="false" customHeight="false" outlineLevel="0" collapsed="false">
      <c r="A156" s="230"/>
      <c r="B156" s="230"/>
      <c r="C156" s="230"/>
      <c r="D156" s="230"/>
      <c r="E156" s="230"/>
      <c r="F156" s="230"/>
      <c r="G156" s="230"/>
      <c r="H156" s="230"/>
      <c r="I156" s="230"/>
      <c r="J156" s="230"/>
      <c r="K156" s="230"/>
      <c r="L156" s="230"/>
      <c r="M156" s="230"/>
      <c r="N156" s="231"/>
      <c r="O156" s="230"/>
      <c r="P156" s="230"/>
      <c r="Q156" s="230"/>
      <c r="R156" s="230"/>
      <c r="S156" s="230"/>
      <c r="T156" s="230"/>
      <c r="U156" s="232"/>
      <c r="V156" s="230"/>
      <c r="W156" s="230"/>
      <c r="X156" s="230"/>
      <c r="Y156" s="230"/>
      <c r="Z156" s="230"/>
      <c r="AA156" s="230"/>
      <c r="AB156" s="230"/>
      <c r="AC156" s="230"/>
      <c r="AD156" s="230"/>
      <c r="AE156" s="230"/>
      <c r="AF156" s="129"/>
      <c r="AG156" s="129"/>
      <c r="AH156" s="230"/>
      <c r="AI156" s="230"/>
      <c r="AJ156" s="230"/>
      <c r="AK156" s="230"/>
      <c r="AL156" s="230"/>
      <c r="AM156" s="230"/>
      <c r="AN156" s="230"/>
      <c r="AO156" s="230"/>
      <c r="AP156" s="230"/>
      <c r="AQ156" s="230"/>
      <c r="AR156" s="230"/>
      <c r="AS156" s="230"/>
      <c r="AT156" s="230"/>
      <c r="AU156" s="230"/>
      <c r="AV156" s="230"/>
      <c r="AW156" s="230"/>
      <c r="AX156" s="230"/>
      <c r="AY156" s="230"/>
      <c r="AZ156" s="230"/>
      <c r="BA156" s="230"/>
      <c r="BB156" s="230"/>
      <c r="BC156" s="230"/>
      <c r="BD156" s="230"/>
      <c r="BE156" s="230"/>
      <c r="BF156" s="230"/>
      <c r="BG156" s="230"/>
      <c r="BH156" s="230"/>
      <c r="BI156" s="230"/>
      <c r="BJ156" s="230"/>
      <c r="BK156" s="230"/>
      <c r="BL156" s="230"/>
      <c r="BM156" s="230"/>
      <c r="BN156" s="230"/>
      <c r="BO156" s="230"/>
      <c r="BP156" s="230"/>
      <c r="BQ156" s="230"/>
      <c r="BR156" s="230"/>
      <c r="BS156" s="230"/>
      <c r="BT156" s="230"/>
      <c r="BU156" s="230"/>
      <c r="BV156" s="230"/>
      <c r="BW156" s="230"/>
      <c r="BX156" s="230"/>
      <c r="BY156" s="230"/>
      <c r="BZ156" s="230"/>
      <c r="CA156" s="230"/>
      <c r="CB156" s="230"/>
      <c r="CC156" s="230"/>
      <c r="CD156" s="230"/>
      <c r="CE156" s="230"/>
      <c r="CF156" s="230"/>
      <c r="CG156" s="230"/>
      <c r="CH156" s="230"/>
      <c r="CI156" s="230"/>
      <c r="CJ156" s="230"/>
      <c r="CK156" s="230"/>
      <c r="CL156" s="230"/>
      <c r="CM156" s="230"/>
      <c r="CN156" s="230"/>
      <c r="CO156" s="230"/>
      <c r="CP156" s="230"/>
      <c r="CQ156" s="230"/>
      <c r="CR156" s="230"/>
      <c r="CS156" s="230"/>
      <c r="CT156" s="230"/>
      <c r="CU156" s="230"/>
      <c r="CV156" s="230"/>
      <c r="CW156" s="230"/>
      <c r="CX156" s="230"/>
      <c r="CY156" s="230"/>
      <c r="CZ156" s="230"/>
      <c r="DA156" s="230"/>
      <c r="DB156" s="230"/>
      <c r="DC156" s="230"/>
      <c r="DD156" s="230"/>
      <c r="DE156" s="230"/>
      <c r="DF156" s="230"/>
      <c r="DG156" s="230"/>
      <c r="DH156" s="230"/>
      <c r="DI156" s="230"/>
      <c r="DJ156" s="230"/>
      <c r="DK156" s="230"/>
      <c r="DL156" s="230"/>
      <c r="DM156" s="230"/>
      <c r="DN156" s="230"/>
      <c r="DO156" s="230"/>
      <c r="DP156" s="230"/>
      <c r="DQ156" s="230"/>
      <c r="DR156" s="230"/>
      <c r="DS156" s="230"/>
      <c r="DT156" s="230"/>
      <c r="DU156" s="230"/>
      <c r="DV156" s="230"/>
      <c r="DW156" s="230"/>
      <c r="DX156" s="230"/>
      <c r="DY156" s="230"/>
      <c r="DZ156" s="230"/>
      <c r="EA156" s="230"/>
      <c r="EB156" s="230"/>
      <c r="EC156" s="230"/>
      <c r="ED156" s="230"/>
      <c r="EE156" s="230"/>
      <c r="EF156" s="230"/>
      <c r="EG156" s="230"/>
      <c r="EH156" s="230"/>
      <c r="EI156" s="230"/>
      <c r="EJ156" s="230"/>
      <c r="EK156" s="230"/>
      <c r="EL156" s="230"/>
      <c r="EM156" s="230"/>
      <c r="EN156" s="230"/>
      <c r="EO156" s="230"/>
      <c r="EP156" s="230"/>
      <c r="EQ156" s="230"/>
      <c r="ER156" s="230"/>
      <c r="ES156" s="230"/>
      <c r="ET156" s="230"/>
      <c r="EU156" s="230"/>
      <c r="EV156" s="230"/>
      <c r="EW156" s="230"/>
      <c r="EX156" s="230"/>
      <c r="EY156" s="230"/>
      <c r="EZ156" s="230"/>
      <c r="FA156" s="230"/>
      <c r="FB156" s="230"/>
      <c r="FC156" s="230"/>
      <c r="FD156" s="230"/>
      <c r="FE156" s="230"/>
      <c r="FF156" s="230"/>
      <c r="FG156" s="230"/>
      <c r="FH156" s="230"/>
      <c r="FI156" s="230"/>
      <c r="FJ156" s="230"/>
      <c r="FK156" s="230"/>
      <c r="FL156" s="230"/>
      <c r="FM156" s="230"/>
      <c r="FN156" s="230"/>
      <c r="FO156" s="230"/>
      <c r="FP156" s="230"/>
      <c r="FQ156" s="230"/>
      <c r="FR156" s="230"/>
      <c r="FS156" s="230"/>
      <c r="FT156" s="230"/>
      <c r="FU156" s="230"/>
      <c r="FV156" s="230"/>
      <c r="FW156" s="230"/>
      <c r="FX156" s="230"/>
      <c r="FY156" s="230"/>
      <c r="FZ156" s="230"/>
      <c r="GA156" s="230"/>
      <c r="GB156" s="230"/>
      <c r="GC156" s="230"/>
      <c r="GD156" s="230"/>
      <c r="GE156" s="230"/>
      <c r="GF156" s="230"/>
      <c r="GG156" s="230"/>
      <c r="GH156" s="230"/>
      <c r="GI156" s="230"/>
      <c r="GJ156" s="230"/>
      <c r="GK156" s="230"/>
      <c r="GL156" s="230"/>
      <c r="GM156" s="230"/>
      <c r="GN156" s="230"/>
      <c r="GO156" s="230"/>
      <c r="GP156" s="230"/>
      <c r="GQ156" s="230"/>
      <c r="GR156" s="230"/>
      <c r="GS156" s="230"/>
      <c r="GT156" s="230"/>
      <c r="GU156" s="230"/>
      <c r="GV156" s="230"/>
      <c r="GW156" s="230"/>
      <c r="GX156" s="230"/>
      <c r="GY156" s="230"/>
      <c r="GZ156" s="230"/>
      <c r="HA156" s="230"/>
      <c r="HB156" s="230"/>
      <c r="HC156" s="230"/>
      <c r="HD156" s="230"/>
      <c r="HE156" s="230"/>
      <c r="HF156" s="230"/>
      <c r="HG156" s="230"/>
      <c r="HH156" s="230"/>
      <c r="HI156" s="230"/>
      <c r="HJ156" s="230"/>
      <c r="HK156" s="230"/>
      <c r="HL156" s="230"/>
      <c r="HM156" s="230"/>
      <c r="HN156" s="230"/>
      <c r="HO156" s="230"/>
      <c r="HP156" s="230"/>
      <c r="HQ156" s="230"/>
      <c r="HR156" s="230"/>
      <c r="HS156" s="230"/>
      <c r="HT156" s="230"/>
      <c r="HU156" s="230"/>
      <c r="HV156" s="230"/>
      <c r="HW156" s="230"/>
      <c r="HX156" s="230"/>
      <c r="HY156" s="230"/>
      <c r="HZ156" s="230"/>
      <c r="IA156" s="230"/>
      <c r="IB156" s="230"/>
      <c r="IC156" s="230"/>
      <c r="ID156" s="230"/>
      <c r="IE156" s="230"/>
      <c r="IF156" s="230"/>
      <c r="IG156" s="230"/>
      <c r="IH156" s="230"/>
      <c r="II156" s="230"/>
      <c r="IJ156" s="230"/>
      <c r="IK156" s="230"/>
      <c r="IL156" s="230"/>
      <c r="IM156" s="230"/>
      <c r="IN156" s="230"/>
      <c r="IO156" s="230"/>
      <c r="IP156" s="230"/>
      <c r="IQ156" s="230"/>
      <c r="IR156" s="230"/>
      <c r="IS156" s="230"/>
      <c r="IT156" s="230"/>
      <c r="IU156" s="230"/>
      <c r="IV156" s="230"/>
      <c r="IW156" s="230"/>
    </row>
    <row r="157" customFormat="false" ht="16.5" hidden="false" customHeight="false" outlineLevel="0" collapsed="false">
      <c r="A157" s="230"/>
      <c r="B157" s="230"/>
      <c r="C157" s="230"/>
      <c r="D157" s="230"/>
      <c r="E157" s="230"/>
      <c r="F157" s="230"/>
      <c r="G157" s="230"/>
      <c r="H157" s="230"/>
      <c r="I157" s="230"/>
      <c r="J157" s="230"/>
      <c r="K157" s="230"/>
      <c r="L157" s="230"/>
      <c r="M157" s="230"/>
      <c r="N157" s="231"/>
      <c r="O157" s="230"/>
      <c r="P157" s="230"/>
      <c r="Q157" s="230"/>
      <c r="R157" s="230"/>
      <c r="S157" s="230"/>
      <c r="T157" s="230"/>
      <c r="U157" s="232"/>
      <c r="V157" s="230"/>
      <c r="W157" s="230"/>
      <c r="X157" s="230"/>
      <c r="Y157" s="230"/>
      <c r="Z157" s="230"/>
      <c r="AA157" s="230"/>
      <c r="AB157" s="230"/>
      <c r="AC157" s="230"/>
      <c r="AD157" s="230"/>
      <c r="AE157" s="230"/>
      <c r="AF157" s="129"/>
      <c r="AG157" s="129"/>
      <c r="AH157" s="230"/>
      <c r="AI157" s="230"/>
      <c r="AJ157" s="230"/>
      <c r="AK157" s="230"/>
      <c r="AL157" s="230"/>
      <c r="AM157" s="230"/>
      <c r="AN157" s="230"/>
      <c r="AO157" s="230"/>
      <c r="AP157" s="230"/>
      <c r="AQ157" s="230"/>
      <c r="AR157" s="230"/>
      <c r="AS157" s="230"/>
      <c r="AT157" s="230"/>
      <c r="AU157" s="230"/>
      <c r="AV157" s="230"/>
      <c r="AW157" s="230"/>
      <c r="AX157" s="230"/>
      <c r="AY157" s="230"/>
      <c r="AZ157" s="230"/>
      <c r="BA157" s="230"/>
      <c r="BB157" s="230"/>
      <c r="BC157" s="230"/>
      <c r="BD157" s="230"/>
      <c r="BE157" s="230"/>
      <c r="BF157" s="230"/>
      <c r="BG157" s="230"/>
      <c r="BH157" s="230"/>
      <c r="BI157" s="230"/>
      <c r="BJ157" s="230"/>
      <c r="BK157" s="230"/>
      <c r="BL157" s="230"/>
      <c r="BM157" s="230"/>
      <c r="BN157" s="230"/>
      <c r="BO157" s="230"/>
      <c r="BP157" s="230"/>
      <c r="BQ157" s="230"/>
      <c r="BR157" s="230"/>
      <c r="BS157" s="230"/>
      <c r="BT157" s="230"/>
      <c r="BU157" s="230"/>
      <c r="BV157" s="230"/>
      <c r="BW157" s="230"/>
      <c r="BX157" s="230"/>
      <c r="BY157" s="230"/>
      <c r="BZ157" s="230"/>
      <c r="CA157" s="230"/>
      <c r="CB157" s="230"/>
      <c r="CC157" s="230"/>
      <c r="CD157" s="230"/>
      <c r="CE157" s="230"/>
      <c r="CF157" s="230"/>
      <c r="CG157" s="230"/>
      <c r="CH157" s="230"/>
      <c r="CI157" s="230"/>
      <c r="CJ157" s="230"/>
      <c r="CK157" s="230"/>
      <c r="CL157" s="230"/>
      <c r="CM157" s="230"/>
      <c r="CN157" s="230"/>
      <c r="CO157" s="230"/>
      <c r="CP157" s="230"/>
      <c r="CQ157" s="230"/>
      <c r="CR157" s="230"/>
      <c r="CS157" s="230"/>
      <c r="CT157" s="230"/>
      <c r="CU157" s="230"/>
      <c r="CV157" s="230"/>
      <c r="CW157" s="230"/>
      <c r="CX157" s="230"/>
      <c r="CY157" s="230"/>
      <c r="CZ157" s="230"/>
      <c r="DA157" s="230"/>
      <c r="DB157" s="230"/>
      <c r="DC157" s="230"/>
      <c r="DD157" s="230"/>
      <c r="DE157" s="230"/>
      <c r="DF157" s="230"/>
      <c r="DG157" s="230"/>
      <c r="DH157" s="230"/>
      <c r="DI157" s="230"/>
      <c r="DJ157" s="230"/>
      <c r="DK157" s="230"/>
      <c r="DL157" s="230"/>
      <c r="DM157" s="230"/>
      <c r="DN157" s="230"/>
      <c r="DO157" s="230"/>
      <c r="DP157" s="230"/>
      <c r="DQ157" s="230"/>
      <c r="DR157" s="230"/>
      <c r="DS157" s="230"/>
      <c r="DT157" s="230"/>
      <c r="DU157" s="230"/>
      <c r="DV157" s="230"/>
      <c r="DW157" s="230"/>
      <c r="DX157" s="230"/>
      <c r="DY157" s="230"/>
      <c r="DZ157" s="230"/>
      <c r="EA157" s="230"/>
      <c r="EB157" s="230"/>
      <c r="EC157" s="230"/>
      <c r="ED157" s="230"/>
      <c r="EE157" s="230"/>
      <c r="EF157" s="230"/>
      <c r="EG157" s="230"/>
      <c r="EH157" s="230"/>
      <c r="EI157" s="230"/>
      <c r="EJ157" s="230"/>
      <c r="EK157" s="230"/>
      <c r="EL157" s="230"/>
      <c r="EM157" s="230"/>
      <c r="EN157" s="230"/>
      <c r="EO157" s="230"/>
      <c r="EP157" s="230"/>
      <c r="EQ157" s="230"/>
      <c r="ER157" s="230"/>
      <c r="ES157" s="230"/>
      <c r="ET157" s="230"/>
      <c r="EU157" s="230"/>
      <c r="EV157" s="230"/>
      <c r="EW157" s="230"/>
      <c r="EX157" s="230"/>
      <c r="EY157" s="230"/>
      <c r="EZ157" s="230"/>
      <c r="FA157" s="230"/>
      <c r="FB157" s="230"/>
      <c r="FC157" s="230"/>
      <c r="FD157" s="230"/>
      <c r="FE157" s="230"/>
      <c r="FF157" s="230"/>
      <c r="FG157" s="230"/>
      <c r="FH157" s="230"/>
      <c r="FI157" s="230"/>
      <c r="FJ157" s="230"/>
      <c r="FK157" s="230"/>
      <c r="FL157" s="230"/>
      <c r="FM157" s="230"/>
      <c r="FN157" s="230"/>
      <c r="FO157" s="230"/>
      <c r="FP157" s="230"/>
      <c r="FQ157" s="230"/>
      <c r="FR157" s="230"/>
      <c r="FS157" s="230"/>
      <c r="FT157" s="230"/>
      <c r="FU157" s="230"/>
      <c r="FV157" s="230"/>
      <c r="FW157" s="230"/>
      <c r="FX157" s="230"/>
      <c r="FY157" s="230"/>
      <c r="FZ157" s="230"/>
      <c r="GA157" s="230"/>
      <c r="GB157" s="230"/>
      <c r="GC157" s="230"/>
      <c r="GD157" s="230"/>
      <c r="GE157" s="230"/>
      <c r="GF157" s="230"/>
      <c r="GG157" s="230"/>
      <c r="GH157" s="230"/>
      <c r="GI157" s="230"/>
      <c r="GJ157" s="230"/>
      <c r="GK157" s="230"/>
      <c r="GL157" s="230"/>
      <c r="GM157" s="230"/>
      <c r="GN157" s="230"/>
      <c r="GO157" s="230"/>
      <c r="GP157" s="230"/>
      <c r="GQ157" s="230"/>
      <c r="GR157" s="230"/>
      <c r="GS157" s="230"/>
      <c r="GT157" s="230"/>
      <c r="GU157" s="230"/>
      <c r="GV157" s="230"/>
      <c r="GW157" s="230"/>
      <c r="GX157" s="230"/>
      <c r="GY157" s="230"/>
      <c r="GZ157" s="230"/>
      <c r="HA157" s="230"/>
      <c r="HB157" s="230"/>
      <c r="HC157" s="230"/>
      <c r="HD157" s="230"/>
      <c r="HE157" s="230"/>
      <c r="HF157" s="230"/>
      <c r="HG157" s="230"/>
      <c r="HH157" s="230"/>
      <c r="HI157" s="230"/>
      <c r="HJ157" s="230"/>
      <c r="HK157" s="230"/>
      <c r="HL157" s="230"/>
      <c r="HM157" s="230"/>
      <c r="HN157" s="230"/>
      <c r="HO157" s="230"/>
      <c r="HP157" s="230"/>
      <c r="HQ157" s="230"/>
      <c r="HR157" s="230"/>
      <c r="HS157" s="230"/>
      <c r="HT157" s="230"/>
      <c r="HU157" s="230"/>
      <c r="HV157" s="230"/>
      <c r="HW157" s="230"/>
      <c r="HX157" s="230"/>
      <c r="HY157" s="230"/>
      <c r="HZ157" s="230"/>
      <c r="IA157" s="230"/>
      <c r="IB157" s="230"/>
      <c r="IC157" s="230"/>
      <c r="ID157" s="230"/>
      <c r="IE157" s="230"/>
      <c r="IF157" s="230"/>
      <c r="IG157" s="230"/>
      <c r="IH157" s="230"/>
      <c r="II157" s="230"/>
      <c r="IJ157" s="230"/>
      <c r="IK157" s="230"/>
      <c r="IL157" s="230"/>
      <c r="IM157" s="230"/>
      <c r="IN157" s="230"/>
      <c r="IO157" s="230"/>
      <c r="IP157" s="230"/>
      <c r="IQ157" s="230"/>
      <c r="IR157" s="230"/>
      <c r="IS157" s="230"/>
      <c r="IT157" s="230"/>
      <c r="IU157" s="230"/>
      <c r="IV157" s="230"/>
      <c r="IW157" s="230"/>
    </row>
    <row r="158" customFormat="false" ht="16.5" hidden="false" customHeight="false" outlineLevel="0" collapsed="false">
      <c r="A158" s="230"/>
      <c r="B158" s="230"/>
      <c r="C158" s="230"/>
      <c r="D158" s="230"/>
      <c r="E158" s="230"/>
      <c r="F158" s="230"/>
      <c r="G158" s="230"/>
      <c r="H158" s="230"/>
      <c r="I158" s="230"/>
      <c r="J158" s="230"/>
      <c r="K158" s="230"/>
      <c r="L158" s="230"/>
      <c r="M158" s="230"/>
      <c r="N158" s="231"/>
      <c r="O158" s="230"/>
      <c r="P158" s="230"/>
      <c r="Q158" s="230"/>
      <c r="R158" s="230"/>
      <c r="S158" s="230"/>
      <c r="T158" s="230"/>
      <c r="U158" s="232"/>
      <c r="V158" s="230"/>
      <c r="W158" s="230"/>
      <c r="X158" s="230"/>
      <c r="Y158" s="230"/>
      <c r="Z158" s="230"/>
      <c r="AA158" s="230"/>
      <c r="AB158" s="230"/>
      <c r="AC158" s="230"/>
      <c r="AD158" s="230"/>
      <c r="AE158" s="230"/>
      <c r="AF158" s="129"/>
      <c r="AG158" s="129"/>
      <c r="AH158" s="230"/>
      <c r="AI158" s="230"/>
      <c r="AJ158" s="230"/>
      <c r="AK158" s="230"/>
      <c r="AL158" s="230"/>
      <c r="AM158" s="230"/>
      <c r="AN158" s="230"/>
      <c r="AO158" s="230"/>
      <c r="AP158" s="230"/>
      <c r="AQ158" s="230"/>
      <c r="AR158" s="230"/>
      <c r="AS158" s="230"/>
      <c r="AT158" s="230"/>
      <c r="AU158" s="230"/>
      <c r="AV158" s="230"/>
      <c r="AW158" s="230"/>
      <c r="AX158" s="230"/>
      <c r="AY158" s="230"/>
      <c r="AZ158" s="230"/>
      <c r="BA158" s="230"/>
      <c r="BB158" s="230"/>
      <c r="BC158" s="230"/>
      <c r="BD158" s="230"/>
      <c r="BE158" s="230"/>
      <c r="BF158" s="230"/>
      <c r="BG158" s="230"/>
      <c r="BH158" s="230"/>
      <c r="BI158" s="230"/>
      <c r="BJ158" s="230"/>
      <c r="BK158" s="230"/>
      <c r="BL158" s="230"/>
      <c r="BM158" s="230"/>
      <c r="BN158" s="230"/>
      <c r="BO158" s="230"/>
      <c r="BP158" s="230"/>
      <c r="BQ158" s="230"/>
      <c r="BR158" s="230"/>
      <c r="BS158" s="230"/>
      <c r="BT158" s="230"/>
      <c r="BU158" s="230"/>
      <c r="BV158" s="230"/>
      <c r="BW158" s="230"/>
      <c r="BX158" s="230"/>
      <c r="BY158" s="230"/>
      <c r="BZ158" s="230"/>
      <c r="CA158" s="230"/>
      <c r="CB158" s="230"/>
      <c r="CC158" s="230"/>
      <c r="CD158" s="230"/>
      <c r="CE158" s="230"/>
      <c r="CF158" s="230"/>
      <c r="CG158" s="230"/>
      <c r="CH158" s="230"/>
      <c r="CI158" s="230"/>
      <c r="CJ158" s="230"/>
      <c r="CK158" s="230"/>
      <c r="CL158" s="230"/>
      <c r="CM158" s="230"/>
      <c r="CN158" s="230"/>
      <c r="CO158" s="230"/>
      <c r="CP158" s="230"/>
      <c r="CQ158" s="230"/>
      <c r="CR158" s="230"/>
      <c r="CS158" s="230"/>
      <c r="CT158" s="230"/>
      <c r="CU158" s="230"/>
      <c r="CV158" s="230"/>
      <c r="CW158" s="230"/>
      <c r="CX158" s="230"/>
      <c r="CY158" s="230"/>
      <c r="CZ158" s="230"/>
      <c r="DA158" s="230"/>
      <c r="DB158" s="230"/>
      <c r="DC158" s="230"/>
      <c r="DD158" s="230"/>
      <c r="DE158" s="230"/>
      <c r="DF158" s="230"/>
      <c r="DG158" s="230"/>
      <c r="DH158" s="230"/>
      <c r="DI158" s="230"/>
      <c r="DJ158" s="230"/>
      <c r="DK158" s="230"/>
      <c r="DL158" s="230"/>
      <c r="DM158" s="230"/>
      <c r="DN158" s="230"/>
      <c r="DO158" s="230"/>
      <c r="DP158" s="230"/>
      <c r="DQ158" s="230"/>
      <c r="DR158" s="230"/>
      <c r="DS158" s="230"/>
      <c r="DT158" s="230"/>
      <c r="DU158" s="230"/>
      <c r="DV158" s="230"/>
      <c r="DW158" s="230"/>
      <c r="DX158" s="230"/>
      <c r="DY158" s="230"/>
      <c r="DZ158" s="230"/>
      <c r="EA158" s="230"/>
      <c r="EB158" s="230"/>
      <c r="EC158" s="230"/>
      <c r="ED158" s="230"/>
      <c r="EE158" s="230"/>
      <c r="EF158" s="230"/>
      <c r="EG158" s="230"/>
      <c r="EH158" s="230"/>
      <c r="EI158" s="230"/>
      <c r="EJ158" s="230"/>
      <c r="EK158" s="230"/>
      <c r="EL158" s="230"/>
      <c r="EM158" s="230"/>
      <c r="EN158" s="230"/>
      <c r="EO158" s="230"/>
      <c r="EP158" s="230"/>
      <c r="EQ158" s="230"/>
      <c r="ER158" s="230"/>
      <c r="ES158" s="230"/>
      <c r="ET158" s="230"/>
      <c r="EU158" s="230"/>
      <c r="EV158" s="230"/>
      <c r="EW158" s="230"/>
      <c r="EX158" s="230"/>
      <c r="EY158" s="230"/>
      <c r="EZ158" s="230"/>
      <c r="FA158" s="230"/>
      <c r="FB158" s="230"/>
      <c r="FC158" s="230"/>
      <c r="FD158" s="230"/>
      <c r="FE158" s="230"/>
      <c r="FF158" s="230"/>
      <c r="FG158" s="230"/>
      <c r="FH158" s="230"/>
      <c r="FI158" s="230"/>
      <c r="FJ158" s="230"/>
      <c r="FK158" s="230"/>
      <c r="FL158" s="230"/>
      <c r="FM158" s="230"/>
      <c r="FN158" s="230"/>
      <c r="FO158" s="230"/>
      <c r="FP158" s="230"/>
      <c r="FQ158" s="230"/>
      <c r="FR158" s="230"/>
      <c r="FS158" s="230"/>
      <c r="FT158" s="230"/>
      <c r="FU158" s="230"/>
      <c r="FV158" s="230"/>
      <c r="FW158" s="230"/>
      <c r="FX158" s="230"/>
      <c r="FY158" s="230"/>
      <c r="FZ158" s="230"/>
      <c r="GA158" s="230"/>
      <c r="GB158" s="230"/>
      <c r="GC158" s="230"/>
      <c r="GD158" s="230"/>
      <c r="GE158" s="230"/>
      <c r="GF158" s="230"/>
      <c r="GG158" s="230"/>
      <c r="GH158" s="230"/>
      <c r="GI158" s="230"/>
      <c r="GJ158" s="230"/>
      <c r="GK158" s="230"/>
      <c r="GL158" s="230"/>
      <c r="GM158" s="230"/>
      <c r="GN158" s="230"/>
      <c r="GO158" s="230"/>
      <c r="GP158" s="230"/>
      <c r="GQ158" s="230"/>
      <c r="GR158" s="230"/>
      <c r="GS158" s="230"/>
      <c r="GT158" s="230"/>
      <c r="GU158" s="230"/>
      <c r="GV158" s="230"/>
      <c r="GW158" s="230"/>
      <c r="GX158" s="230"/>
      <c r="GY158" s="230"/>
      <c r="GZ158" s="230"/>
      <c r="HA158" s="230"/>
      <c r="HB158" s="230"/>
      <c r="HC158" s="230"/>
      <c r="HD158" s="230"/>
      <c r="HE158" s="230"/>
      <c r="HF158" s="230"/>
      <c r="HG158" s="230"/>
      <c r="HH158" s="230"/>
      <c r="HI158" s="230"/>
      <c r="HJ158" s="230"/>
      <c r="HK158" s="230"/>
      <c r="HL158" s="230"/>
      <c r="HM158" s="230"/>
      <c r="HN158" s="230"/>
      <c r="HO158" s="230"/>
      <c r="HP158" s="230"/>
      <c r="HQ158" s="230"/>
      <c r="HR158" s="230"/>
      <c r="HS158" s="230"/>
      <c r="HT158" s="230"/>
      <c r="HU158" s="230"/>
      <c r="HV158" s="230"/>
      <c r="HW158" s="230"/>
      <c r="HX158" s="230"/>
      <c r="HY158" s="230"/>
      <c r="HZ158" s="230"/>
      <c r="IA158" s="230"/>
      <c r="IB158" s="230"/>
      <c r="IC158" s="230"/>
      <c r="ID158" s="230"/>
      <c r="IE158" s="230"/>
      <c r="IF158" s="230"/>
      <c r="IG158" s="230"/>
      <c r="IH158" s="230"/>
      <c r="II158" s="230"/>
      <c r="IJ158" s="230"/>
      <c r="IK158" s="230"/>
      <c r="IL158" s="230"/>
      <c r="IM158" s="230"/>
      <c r="IN158" s="230"/>
      <c r="IO158" s="230"/>
      <c r="IP158" s="230"/>
      <c r="IQ158" s="230"/>
      <c r="IR158" s="230"/>
      <c r="IS158" s="230"/>
      <c r="IT158" s="230"/>
      <c r="IU158" s="230"/>
      <c r="IV158" s="230"/>
      <c r="IW158" s="230"/>
    </row>
    <row r="159" customFormat="false" ht="16.5" hidden="false" customHeight="false" outlineLevel="0" collapsed="false">
      <c r="A159" s="230"/>
      <c r="B159" s="230"/>
      <c r="C159" s="230"/>
      <c r="D159" s="230"/>
      <c r="E159" s="230"/>
      <c r="F159" s="230"/>
      <c r="G159" s="230"/>
      <c r="H159" s="230"/>
      <c r="I159" s="230"/>
      <c r="J159" s="230"/>
      <c r="K159" s="230"/>
      <c r="L159" s="230"/>
      <c r="M159" s="230"/>
      <c r="N159" s="231"/>
      <c r="O159" s="230"/>
      <c r="P159" s="230"/>
      <c r="Q159" s="230"/>
      <c r="R159" s="230"/>
      <c r="S159" s="230"/>
      <c r="T159" s="230"/>
      <c r="U159" s="232"/>
      <c r="V159" s="230"/>
      <c r="W159" s="230"/>
      <c r="X159" s="230"/>
      <c r="Y159" s="230"/>
      <c r="Z159" s="230"/>
      <c r="AA159" s="230"/>
      <c r="AB159" s="230"/>
      <c r="AC159" s="230"/>
      <c r="AD159" s="230"/>
      <c r="AE159" s="230"/>
      <c r="AF159" s="129"/>
      <c r="AG159" s="129"/>
      <c r="AH159" s="230"/>
      <c r="AI159" s="230"/>
      <c r="AJ159" s="230"/>
      <c r="AK159" s="230"/>
      <c r="AL159" s="230"/>
      <c r="AM159" s="230"/>
      <c r="AN159" s="230"/>
      <c r="AO159" s="230"/>
      <c r="AP159" s="230"/>
      <c r="AQ159" s="230"/>
      <c r="AR159" s="230"/>
      <c r="AS159" s="230"/>
      <c r="AT159" s="230"/>
      <c r="AU159" s="230"/>
      <c r="AV159" s="230"/>
      <c r="AW159" s="230"/>
      <c r="AX159" s="230"/>
      <c r="AY159" s="230"/>
      <c r="AZ159" s="230"/>
      <c r="BA159" s="230"/>
      <c r="BB159" s="230"/>
      <c r="BC159" s="230"/>
      <c r="BD159" s="230"/>
      <c r="BE159" s="230"/>
      <c r="BF159" s="230"/>
      <c r="BG159" s="230"/>
      <c r="BH159" s="230"/>
      <c r="BI159" s="230"/>
      <c r="BJ159" s="230"/>
      <c r="BK159" s="230"/>
      <c r="BL159" s="230"/>
      <c r="BM159" s="230"/>
      <c r="BN159" s="230"/>
      <c r="BO159" s="230"/>
      <c r="BP159" s="230"/>
      <c r="BQ159" s="230"/>
      <c r="BR159" s="230"/>
      <c r="BS159" s="230"/>
      <c r="BT159" s="230"/>
      <c r="BU159" s="230"/>
      <c r="BV159" s="230"/>
      <c r="BW159" s="230"/>
      <c r="BX159" s="230"/>
      <c r="BY159" s="230"/>
      <c r="BZ159" s="230"/>
      <c r="CA159" s="230"/>
      <c r="CB159" s="230"/>
      <c r="CC159" s="230"/>
      <c r="CD159" s="230"/>
      <c r="CE159" s="230"/>
      <c r="CF159" s="230"/>
      <c r="CG159" s="230"/>
      <c r="CH159" s="230"/>
      <c r="CI159" s="230"/>
      <c r="CJ159" s="230"/>
      <c r="CK159" s="230"/>
      <c r="CL159" s="230"/>
      <c r="CM159" s="230"/>
      <c r="CN159" s="230"/>
      <c r="CO159" s="230"/>
      <c r="CP159" s="230"/>
      <c r="CQ159" s="230"/>
      <c r="CR159" s="230"/>
      <c r="CS159" s="230"/>
      <c r="CT159" s="230"/>
      <c r="CU159" s="230"/>
      <c r="CV159" s="230"/>
      <c r="CW159" s="230"/>
      <c r="CX159" s="230"/>
      <c r="CY159" s="230"/>
      <c r="CZ159" s="230"/>
      <c r="DA159" s="230"/>
      <c r="DB159" s="230"/>
      <c r="DC159" s="230"/>
      <c r="DD159" s="230"/>
      <c r="DE159" s="230"/>
      <c r="DF159" s="230"/>
      <c r="DG159" s="230"/>
      <c r="DH159" s="230"/>
      <c r="DI159" s="230"/>
      <c r="DJ159" s="230"/>
      <c r="DK159" s="230"/>
      <c r="DL159" s="230"/>
      <c r="DM159" s="230"/>
      <c r="DN159" s="230"/>
      <c r="DO159" s="230"/>
      <c r="DP159" s="230"/>
      <c r="DQ159" s="230"/>
      <c r="DR159" s="230"/>
      <c r="DS159" s="230"/>
      <c r="DT159" s="230"/>
      <c r="DU159" s="230"/>
      <c r="DV159" s="230"/>
      <c r="DW159" s="230"/>
      <c r="DX159" s="230"/>
      <c r="DY159" s="230"/>
      <c r="DZ159" s="230"/>
      <c r="EA159" s="230"/>
      <c r="EB159" s="230"/>
      <c r="EC159" s="230"/>
      <c r="ED159" s="230"/>
      <c r="EE159" s="230"/>
      <c r="EF159" s="230"/>
      <c r="EG159" s="230"/>
      <c r="EH159" s="230"/>
      <c r="EI159" s="230"/>
      <c r="EJ159" s="230"/>
      <c r="EK159" s="230"/>
      <c r="EL159" s="230"/>
      <c r="EM159" s="230"/>
      <c r="EN159" s="230"/>
      <c r="EO159" s="230"/>
      <c r="EP159" s="230"/>
      <c r="EQ159" s="230"/>
      <c r="ER159" s="230"/>
      <c r="ES159" s="230"/>
      <c r="ET159" s="230"/>
      <c r="EU159" s="230"/>
      <c r="EV159" s="230"/>
      <c r="EW159" s="230"/>
      <c r="EX159" s="230"/>
      <c r="EY159" s="230"/>
      <c r="EZ159" s="230"/>
      <c r="FA159" s="230"/>
      <c r="FB159" s="230"/>
      <c r="FC159" s="230"/>
      <c r="FD159" s="230"/>
      <c r="FE159" s="230"/>
      <c r="FF159" s="230"/>
      <c r="FG159" s="230"/>
      <c r="FH159" s="230"/>
      <c r="FI159" s="230"/>
      <c r="FJ159" s="230"/>
      <c r="FK159" s="230"/>
      <c r="FL159" s="230"/>
      <c r="FM159" s="230"/>
      <c r="FN159" s="230"/>
      <c r="FO159" s="230"/>
      <c r="FP159" s="230"/>
      <c r="FQ159" s="230"/>
      <c r="FR159" s="230"/>
      <c r="FS159" s="230"/>
      <c r="FT159" s="230"/>
      <c r="FU159" s="230"/>
      <c r="FV159" s="230"/>
      <c r="FW159" s="230"/>
      <c r="FX159" s="230"/>
      <c r="FY159" s="230"/>
      <c r="FZ159" s="230"/>
      <c r="GA159" s="230"/>
      <c r="GB159" s="230"/>
      <c r="GC159" s="230"/>
      <c r="GD159" s="230"/>
      <c r="GE159" s="230"/>
      <c r="GF159" s="230"/>
      <c r="GG159" s="230"/>
      <c r="GH159" s="230"/>
      <c r="GI159" s="230"/>
      <c r="GJ159" s="230"/>
      <c r="GK159" s="230"/>
      <c r="GL159" s="230"/>
      <c r="GM159" s="230"/>
      <c r="GN159" s="230"/>
      <c r="GO159" s="230"/>
      <c r="GP159" s="230"/>
      <c r="GQ159" s="230"/>
      <c r="GR159" s="230"/>
      <c r="GS159" s="230"/>
      <c r="GT159" s="230"/>
      <c r="GU159" s="230"/>
      <c r="GV159" s="230"/>
      <c r="GW159" s="230"/>
      <c r="GX159" s="230"/>
      <c r="GY159" s="230"/>
      <c r="GZ159" s="230"/>
      <c r="HA159" s="230"/>
      <c r="HB159" s="230"/>
      <c r="HC159" s="230"/>
      <c r="HD159" s="230"/>
      <c r="HE159" s="230"/>
      <c r="HF159" s="230"/>
      <c r="HG159" s="230"/>
      <c r="HH159" s="230"/>
      <c r="HI159" s="230"/>
      <c r="HJ159" s="230"/>
      <c r="HK159" s="230"/>
      <c r="HL159" s="230"/>
      <c r="HM159" s="230"/>
      <c r="HN159" s="230"/>
      <c r="HO159" s="230"/>
      <c r="HP159" s="230"/>
      <c r="HQ159" s="230"/>
      <c r="HR159" s="230"/>
      <c r="HS159" s="230"/>
      <c r="HT159" s="230"/>
      <c r="HU159" s="230"/>
      <c r="HV159" s="230"/>
      <c r="HW159" s="230"/>
      <c r="HX159" s="230"/>
      <c r="HY159" s="230"/>
      <c r="HZ159" s="230"/>
      <c r="IA159" s="230"/>
      <c r="IB159" s="230"/>
      <c r="IC159" s="230"/>
      <c r="ID159" s="230"/>
      <c r="IE159" s="230"/>
      <c r="IF159" s="230"/>
      <c r="IG159" s="230"/>
      <c r="IH159" s="230"/>
      <c r="II159" s="230"/>
      <c r="IJ159" s="230"/>
      <c r="IK159" s="230"/>
      <c r="IL159" s="230"/>
      <c r="IM159" s="230"/>
      <c r="IN159" s="230"/>
      <c r="IO159" s="230"/>
      <c r="IP159" s="230"/>
      <c r="IQ159" s="230"/>
      <c r="IR159" s="230"/>
      <c r="IS159" s="230"/>
      <c r="IT159" s="230"/>
      <c r="IU159" s="230"/>
      <c r="IV159" s="230"/>
      <c r="IW159" s="230"/>
    </row>
    <row r="160" customFormat="false" ht="16.5" hidden="false" customHeight="false" outlineLevel="0" collapsed="false">
      <c r="AF160" s="129"/>
      <c r="AG160" s="129"/>
    </row>
    <row r="161" customFormat="false" ht="16.5" hidden="false" customHeight="false" outlineLevel="0" collapsed="false">
      <c r="AF161" s="129"/>
      <c r="AG161" s="129"/>
    </row>
    <row r="162" customFormat="false" ht="16.5" hidden="false" customHeight="false" outlineLevel="0" collapsed="false">
      <c r="AF162" s="129"/>
      <c r="AG162" s="129"/>
    </row>
    <row r="163" customFormat="false" ht="16.5" hidden="false" customHeight="false" outlineLevel="0" collapsed="false">
      <c r="AF163" s="129"/>
      <c r="AG163" s="129"/>
    </row>
    <row r="164" customFormat="false" ht="16.5" hidden="false" customHeight="false" outlineLevel="0" collapsed="false">
      <c r="AF164" s="130"/>
      <c r="AG164" s="130"/>
    </row>
    <row r="165" customFormat="false" ht="16.5" hidden="false" customHeight="false" outlineLevel="0" collapsed="false">
      <c r="AF165" s="129"/>
      <c r="AG165" s="129"/>
    </row>
    <row r="166" customFormat="false" ht="16.5" hidden="false" customHeight="false" outlineLevel="0" collapsed="false">
      <c r="AF166" s="129"/>
      <c r="AG166" s="129"/>
    </row>
    <row r="167" customFormat="false" ht="16.5" hidden="false" customHeight="false" outlineLevel="0" collapsed="false">
      <c r="AF167" s="129"/>
      <c r="AG167" s="129"/>
    </row>
    <row r="168" customFormat="false" ht="16.5" hidden="false" customHeight="false" outlineLevel="0" collapsed="false">
      <c r="AF168" s="129"/>
      <c r="AG168" s="129"/>
    </row>
    <row r="169" customFormat="false" ht="16.5" hidden="false" customHeight="false" outlineLevel="0" collapsed="false">
      <c r="AF169" s="129"/>
      <c r="AG169" s="129"/>
    </row>
    <row r="170" customFormat="false" ht="16.5" hidden="false" customHeight="false" outlineLevel="0" collapsed="false">
      <c r="AF170" s="129"/>
      <c r="AG170" s="129"/>
    </row>
  </sheetData>
  <mergeCells count="779">
    <mergeCell ref="A1:D1"/>
    <mergeCell ref="F1:J1"/>
    <mergeCell ref="K1:O1"/>
    <mergeCell ref="P1:U1"/>
    <mergeCell ref="V1:Y1"/>
    <mergeCell ref="Z1:AB1"/>
    <mergeCell ref="AC1:AD1"/>
    <mergeCell ref="A2:D2"/>
    <mergeCell ref="F2:J2"/>
    <mergeCell ref="K2:O2"/>
    <mergeCell ref="P2:U2"/>
    <mergeCell ref="V2:Y2"/>
    <mergeCell ref="Z2:AB2"/>
    <mergeCell ref="AC2:AD2"/>
    <mergeCell ref="AK2:AM2"/>
    <mergeCell ref="AY2:BB2"/>
    <mergeCell ref="A3:C4"/>
    <mergeCell ref="D3:G4"/>
    <mergeCell ref="H3:I4"/>
    <mergeCell ref="J3:L3"/>
    <mergeCell ref="M3:O3"/>
    <mergeCell ref="P3:R3"/>
    <mergeCell ref="S3:U3"/>
    <mergeCell ref="V3:W3"/>
    <mergeCell ref="X3:Y3"/>
    <mergeCell ref="Z3:AA3"/>
    <mergeCell ref="AB3:AD4"/>
    <mergeCell ref="AF3:AH6"/>
    <mergeCell ref="AI3:AU3"/>
    <mergeCell ref="AY3:BB3"/>
    <mergeCell ref="J4:L4"/>
    <mergeCell ref="M4:O4"/>
    <mergeCell ref="Q4:R4"/>
    <mergeCell ref="S4:U4"/>
    <mergeCell ref="V4:W4"/>
    <mergeCell ref="X4:Y4"/>
    <mergeCell ref="Z4:AA4"/>
    <mergeCell ref="AI4:AU4"/>
    <mergeCell ref="AY4:BB4"/>
    <mergeCell ref="A5:B6"/>
    <mergeCell ref="C5:E6"/>
    <mergeCell ref="F5:G6"/>
    <mergeCell ref="H5:N5"/>
    <mergeCell ref="O5:P6"/>
    <mergeCell ref="Q5:R6"/>
    <mergeCell ref="S5:V5"/>
    <mergeCell ref="W5:AD5"/>
    <mergeCell ref="AJ5:AJ6"/>
    <mergeCell ref="AK5:AM5"/>
    <mergeCell ref="H6:N6"/>
    <mergeCell ref="S6:V6"/>
    <mergeCell ref="W6:AD6"/>
    <mergeCell ref="AK6:AM6"/>
    <mergeCell ref="A7:A9"/>
    <mergeCell ref="B7:B9"/>
    <mergeCell ref="C7:C9"/>
    <mergeCell ref="D7:D9"/>
    <mergeCell ref="E7:E8"/>
    <mergeCell ref="F7:U7"/>
    <mergeCell ref="V7:V9"/>
    <mergeCell ref="X7:Z7"/>
    <mergeCell ref="AA7:AA9"/>
    <mergeCell ref="AB7:AB9"/>
    <mergeCell ref="AC7:AD7"/>
    <mergeCell ref="AE7:AE9"/>
    <mergeCell ref="AY8:AY9"/>
    <mergeCell ref="AC9:AD9"/>
    <mergeCell ref="A10:A11"/>
    <mergeCell ref="B10:B11"/>
    <mergeCell ref="C10:C11"/>
    <mergeCell ref="D10:D11"/>
    <mergeCell ref="V10:V11"/>
    <mergeCell ref="AA10:AA11"/>
    <mergeCell ref="AB10:AB11"/>
    <mergeCell ref="AE10:AE11"/>
    <mergeCell ref="AY10:AY11"/>
    <mergeCell ref="AC11:AD11"/>
    <mergeCell ref="A12:A13"/>
    <mergeCell ref="B12:B13"/>
    <mergeCell ref="C12:C13"/>
    <mergeCell ref="D12:D13"/>
    <mergeCell ref="V12:V13"/>
    <mergeCell ref="AA12:AA13"/>
    <mergeCell ref="AB12:AB13"/>
    <mergeCell ref="AE12:AE13"/>
    <mergeCell ref="AY12:AY13"/>
    <mergeCell ref="AC13:AD13"/>
    <mergeCell ref="A14:A15"/>
    <mergeCell ref="B14:B15"/>
    <mergeCell ref="C14:C15"/>
    <mergeCell ref="D14:D15"/>
    <mergeCell ref="V14:V15"/>
    <mergeCell ref="AA14:AA15"/>
    <mergeCell ref="AB14:AB15"/>
    <mergeCell ref="AE14:AE15"/>
    <mergeCell ref="AY14:AY15"/>
    <mergeCell ref="AC15:AD15"/>
    <mergeCell ref="A16:A17"/>
    <mergeCell ref="B16:B17"/>
    <mergeCell ref="C16:C17"/>
    <mergeCell ref="D16:D17"/>
    <mergeCell ref="V16:V17"/>
    <mergeCell ref="AA16:AA17"/>
    <mergeCell ref="AB16:AB17"/>
    <mergeCell ref="AC17:AD17"/>
    <mergeCell ref="A18:A19"/>
    <mergeCell ref="B18:B19"/>
    <mergeCell ref="C18:C19"/>
    <mergeCell ref="D18:D19"/>
    <mergeCell ref="V18:V19"/>
    <mergeCell ref="AA18:AA19"/>
    <mergeCell ref="AB18:AB19"/>
    <mergeCell ref="AE18:AE19"/>
    <mergeCell ref="AY18:AY19"/>
    <mergeCell ref="AC19:AD19"/>
    <mergeCell ref="A20:A21"/>
    <mergeCell ref="B20:B21"/>
    <mergeCell ref="C20:C21"/>
    <mergeCell ref="D20:D21"/>
    <mergeCell ref="V20:V21"/>
    <mergeCell ref="AA20:AA21"/>
    <mergeCell ref="AB20:AB21"/>
    <mergeCell ref="AE20:AE21"/>
    <mergeCell ref="AY20:AY21"/>
    <mergeCell ref="AC21:AD21"/>
    <mergeCell ref="A22:A23"/>
    <mergeCell ref="B22:B23"/>
    <mergeCell ref="C22:C23"/>
    <mergeCell ref="D22:D23"/>
    <mergeCell ref="V22:V23"/>
    <mergeCell ref="AA22:AA23"/>
    <mergeCell ref="AB22:AB23"/>
    <mergeCell ref="AE22:AE23"/>
    <mergeCell ref="AY22:AY23"/>
    <mergeCell ref="AC23:AD23"/>
    <mergeCell ref="A24:A25"/>
    <mergeCell ref="B24:B25"/>
    <mergeCell ref="C24:C25"/>
    <mergeCell ref="D24:D25"/>
    <mergeCell ref="V24:V25"/>
    <mergeCell ref="AA24:AA25"/>
    <mergeCell ref="AB24:AB25"/>
    <mergeCell ref="AE24:AE25"/>
    <mergeCell ref="AY24:AY25"/>
    <mergeCell ref="AC25:AD25"/>
    <mergeCell ref="A26:A27"/>
    <mergeCell ref="B26:B27"/>
    <mergeCell ref="C26:C27"/>
    <mergeCell ref="D26:D27"/>
    <mergeCell ref="V26:V27"/>
    <mergeCell ref="AA26:AA27"/>
    <mergeCell ref="AB26:AB27"/>
    <mergeCell ref="AE26:AE27"/>
    <mergeCell ref="AY26:AY27"/>
    <mergeCell ref="AC27:AD27"/>
    <mergeCell ref="A28:A29"/>
    <mergeCell ref="B28:B29"/>
    <mergeCell ref="C28:C29"/>
    <mergeCell ref="D28:D29"/>
    <mergeCell ref="V28:V29"/>
    <mergeCell ref="AA28:AA29"/>
    <mergeCell ref="AB28:AB29"/>
    <mergeCell ref="AE28:AE29"/>
    <mergeCell ref="AY28:AY29"/>
    <mergeCell ref="AC29:AD29"/>
    <mergeCell ref="A30:A31"/>
    <mergeCell ref="B30:B31"/>
    <mergeCell ref="C30:C31"/>
    <mergeCell ref="D30:D31"/>
    <mergeCell ref="V30:V31"/>
    <mergeCell ref="AA30:AA31"/>
    <mergeCell ref="AB30:AB31"/>
    <mergeCell ref="AE30:AE31"/>
    <mergeCell ref="AY30:AY31"/>
    <mergeCell ref="AC31:AD31"/>
    <mergeCell ref="A32:A33"/>
    <mergeCell ref="B32:B33"/>
    <mergeCell ref="C32:C33"/>
    <mergeCell ref="D32:D33"/>
    <mergeCell ref="V32:V33"/>
    <mergeCell ref="AA32:AA33"/>
    <mergeCell ref="AB32:AB33"/>
    <mergeCell ref="AE32:AE33"/>
    <mergeCell ref="AY32:AY33"/>
    <mergeCell ref="AC33:AD33"/>
    <mergeCell ref="A34:A35"/>
    <mergeCell ref="B34:B35"/>
    <mergeCell ref="C34:C35"/>
    <mergeCell ref="D34:D35"/>
    <mergeCell ref="V34:V35"/>
    <mergeCell ref="AA34:AA35"/>
    <mergeCell ref="AB34:AB35"/>
    <mergeCell ref="AE34:AE35"/>
    <mergeCell ref="AY34:AY35"/>
    <mergeCell ref="AC35:AD35"/>
    <mergeCell ref="A36:A37"/>
    <mergeCell ref="B36:B37"/>
    <mergeCell ref="C36:C37"/>
    <mergeCell ref="D36:D37"/>
    <mergeCell ref="V36:V37"/>
    <mergeCell ref="AA36:AA37"/>
    <mergeCell ref="AB36:AB37"/>
    <mergeCell ref="AE36:AE37"/>
    <mergeCell ref="AY36:AY37"/>
    <mergeCell ref="AC37:AD37"/>
    <mergeCell ref="A38:A39"/>
    <mergeCell ref="B38:B39"/>
    <mergeCell ref="C38:C39"/>
    <mergeCell ref="D38:D39"/>
    <mergeCell ref="V38:V39"/>
    <mergeCell ref="AA38:AA39"/>
    <mergeCell ref="AB38:AB39"/>
    <mergeCell ref="AE38:AE39"/>
    <mergeCell ref="AY38:AY39"/>
    <mergeCell ref="AC39:AD39"/>
    <mergeCell ref="A40:A41"/>
    <mergeCell ref="B40:B41"/>
    <mergeCell ref="C40:C41"/>
    <mergeCell ref="D40:D41"/>
    <mergeCell ref="V40:V41"/>
    <mergeCell ref="AA40:AA41"/>
    <mergeCell ref="AB40:AB41"/>
    <mergeCell ref="AE40:AE41"/>
    <mergeCell ref="AY40:AY41"/>
    <mergeCell ref="AC41:AD41"/>
    <mergeCell ref="A42:A43"/>
    <mergeCell ref="B42:B43"/>
    <mergeCell ref="C42:C43"/>
    <mergeCell ref="D42:D43"/>
    <mergeCell ref="V42:V43"/>
    <mergeCell ref="AA42:AA43"/>
    <mergeCell ref="AB42:AB43"/>
    <mergeCell ref="AE42:AE43"/>
    <mergeCell ref="AY42:AY43"/>
    <mergeCell ref="AC43:AD43"/>
    <mergeCell ref="A44:A45"/>
    <mergeCell ref="B44:B45"/>
    <mergeCell ref="C44:C45"/>
    <mergeCell ref="D44:D45"/>
    <mergeCell ref="V44:V45"/>
    <mergeCell ref="AA44:AA45"/>
    <mergeCell ref="AB44:AB45"/>
    <mergeCell ref="AE44:AE45"/>
    <mergeCell ref="AY44:AY45"/>
    <mergeCell ref="AC45:AD45"/>
    <mergeCell ref="A46:A47"/>
    <mergeCell ref="B46:B47"/>
    <mergeCell ref="C46:C47"/>
    <mergeCell ref="D46:D47"/>
    <mergeCell ref="V46:V47"/>
    <mergeCell ref="AA46:AA47"/>
    <mergeCell ref="AB46:AB47"/>
    <mergeCell ref="AC47:AD47"/>
    <mergeCell ref="A48:A49"/>
    <mergeCell ref="B48:B49"/>
    <mergeCell ref="C48:C49"/>
    <mergeCell ref="D48:D49"/>
    <mergeCell ref="V48:V49"/>
    <mergeCell ref="AA48:AA49"/>
    <mergeCell ref="AB48:AB49"/>
    <mergeCell ref="AE48:AE49"/>
    <mergeCell ref="AY48:AY49"/>
    <mergeCell ref="AC49:AD49"/>
    <mergeCell ref="A50:A51"/>
    <mergeCell ref="B50:B51"/>
    <mergeCell ref="C50:C51"/>
    <mergeCell ref="D50:D51"/>
    <mergeCell ref="V50:V51"/>
    <mergeCell ref="AA50:AA51"/>
    <mergeCell ref="AB50:AB51"/>
    <mergeCell ref="AE50:AE51"/>
    <mergeCell ref="AY50:AY51"/>
    <mergeCell ref="AC51:AD51"/>
    <mergeCell ref="A52:A53"/>
    <mergeCell ref="B52:B53"/>
    <mergeCell ref="C52:C53"/>
    <mergeCell ref="D52:D53"/>
    <mergeCell ref="V52:V53"/>
    <mergeCell ref="AA52:AA53"/>
    <mergeCell ref="AB52:AB53"/>
    <mergeCell ref="AE52:AE53"/>
    <mergeCell ref="AY52:AY53"/>
    <mergeCell ref="AC53:AD53"/>
    <mergeCell ref="A54:A55"/>
    <mergeCell ref="B54:B55"/>
    <mergeCell ref="C54:C55"/>
    <mergeCell ref="D54:D55"/>
    <mergeCell ref="V54:V55"/>
    <mergeCell ref="AA54:AA55"/>
    <mergeCell ref="AB54:AB55"/>
    <mergeCell ref="AE54:AE55"/>
    <mergeCell ref="AY54:AY55"/>
    <mergeCell ref="AC55:AD55"/>
    <mergeCell ref="A56:A57"/>
    <mergeCell ref="B56:B57"/>
    <mergeCell ref="C56:C57"/>
    <mergeCell ref="D56:D57"/>
    <mergeCell ref="V56:V57"/>
    <mergeCell ref="AA56:AA57"/>
    <mergeCell ref="AB56:AB57"/>
    <mergeCell ref="AE56:AE57"/>
    <mergeCell ref="AY56:AY57"/>
    <mergeCell ref="AC57:AD57"/>
    <mergeCell ref="A58:A59"/>
    <mergeCell ref="B58:B59"/>
    <mergeCell ref="C58:C59"/>
    <mergeCell ref="D58:D59"/>
    <mergeCell ref="V58:V59"/>
    <mergeCell ref="AA58:AA59"/>
    <mergeCell ref="AB58:AB59"/>
    <mergeCell ref="AE58:AE59"/>
    <mergeCell ref="AY58:AY59"/>
    <mergeCell ref="AC59:AD59"/>
    <mergeCell ref="A60:A61"/>
    <mergeCell ref="B60:B61"/>
    <mergeCell ref="C60:C61"/>
    <mergeCell ref="D60:D61"/>
    <mergeCell ref="V60:V61"/>
    <mergeCell ref="AA60:AA61"/>
    <mergeCell ref="AB60:AB61"/>
    <mergeCell ref="AE60:AE61"/>
    <mergeCell ref="AY60:AY61"/>
    <mergeCell ref="AC61:AD61"/>
    <mergeCell ref="A62:A63"/>
    <mergeCell ref="B62:B63"/>
    <mergeCell ref="C62:C63"/>
    <mergeCell ref="D62:D63"/>
    <mergeCell ref="V62:V63"/>
    <mergeCell ref="AA62:AA63"/>
    <mergeCell ref="AB62:AB63"/>
    <mergeCell ref="AE62:AE63"/>
    <mergeCell ref="AY62:AY63"/>
    <mergeCell ref="AC63:AD63"/>
    <mergeCell ref="A64:A65"/>
    <mergeCell ref="B64:B65"/>
    <mergeCell ref="C64:C65"/>
    <mergeCell ref="D64:D65"/>
    <mergeCell ref="V64:V65"/>
    <mergeCell ref="AA64:AA65"/>
    <mergeCell ref="AB64:AB65"/>
    <mergeCell ref="AE64:AE65"/>
    <mergeCell ref="AY64:AY65"/>
    <mergeCell ref="AC65:AD65"/>
    <mergeCell ref="A66:A67"/>
    <mergeCell ref="B66:B67"/>
    <mergeCell ref="C66:C67"/>
    <mergeCell ref="D66:D67"/>
    <mergeCell ref="V66:V67"/>
    <mergeCell ref="AA66:AA67"/>
    <mergeCell ref="AB66:AB67"/>
    <mergeCell ref="AE66:AE67"/>
    <mergeCell ref="AY66:AY67"/>
    <mergeCell ref="AC67:AD67"/>
    <mergeCell ref="A68:A69"/>
    <mergeCell ref="B68:B69"/>
    <mergeCell ref="C68:C69"/>
    <mergeCell ref="D68:D69"/>
    <mergeCell ref="V68:V69"/>
    <mergeCell ref="AA68:AA69"/>
    <mergeCell ref="AB68:AB69"/>
    <mergeCell ref="AE68:AE69"/>
    <mergeCell ref="AY68:AY69"/>
    <mergeCell ref="AC69:AD69"/>
    <mergeCell ref="A70:A71"/>
    <mergeCell ref="B70:B71"/>
    <mergeCell ref="C70:C71"/>
    <mergeCell ref="D70:D71"/>
    <mergeCell ref="V70:V71"/>
    <mergeCell ref="AA70:AA71"/>
    <mergeCell ref="AB70:AB71"/>
    <mergeCell ref="AE70:AE71"/>
    <mergeCell ref="AY70:AY71"/>
    <mergeCell ref="AC71:AD71"/>
    <mergeCell ref="A72:A73"/>
    <mergeCell ref="B72:B73"/>
    <mergeCell ref="C72:C73"/>
    <mergeCell ref="D72:D73"/>
    <mergeCell ref="V72:V73"/>
    <mergeCell ref="AA72:AA73"/>
    <mergeCell ref="AB72:AB73"/>
    <mergeCell ref="AE72:AE73"/>
    <mergeCell ref="AY72:AY73"/>
    <mergeCell ref="AC73:AD73"/>
    <mergeCell ref="A74:A75"/>
    <mergeCell ref="B74:B75"/>
    <mergeCell ref="C74:C75"/>
    <mergeCell ref="D74:D75"/>
    <mergeCell ref="V74:V75"/>
    <mergeCell ref="AA74:AA75"/>
    <mergeCell ref="AB74:AB75"/>
    <mergeCell ref="AE74:AE75"/>
    <mergeCell ref="AY74:AY75"/>
    <mergeCell ref="AC75:AD75"/>
    <mergeCell ref="A76:A77"/>
    <mergeCell ref="B76:B77"/>
    <mergeCell ref="C76:C77"/>
    <mergeCell ref="D76:D77"/>
    <mergeCell ref="V76:V77"/>
    <mergeCell ref="AA76:AA77"/>
    <mergeCell ref="AB76:AB77"/>
    <mergeCell ref="AE76:AE77"/>
    <mergeCell ref="AY76:AY77"/>
    <mergeCell ref="AC77:AD77"/>
    <mergeCell ref="A78:A79"/>
    <mergeCell ref="B78:B79"/>
    <mergeCell ref="C78:C79"/>
    <mergeCell ref="D78:D79"/>
    <mergeCell ref="V78:V79"/>
    <mergeCell ref="AA78:AA79"/>
    <mergeCell ref="AB78:AB79"/>
    <mergeCell ref="AE78:AE79"/>
    <mergeCell ref="AY78:AY79"/>
    <mergeCell ref="AC79:AD79"/>
    <mergeCell ref="A80:A81"/>
    <mergeCell ref="B80:B81"/>
    <mergeCell ref="C80:C81"/>
    <mergeCell ref="D80:D81"/>
    <mergeCell ref="V80:V81"/>
    <mergeCell ref="AA80:AA81"/>
    <mergeCell ref="AB80:AB81"/>
    <mergeCell ref="AE80:AE81"/>
    <mergeCell ref="AY80:AY81"/>
    <mergeCell ref="AC81:AD81"/>
    <mergeCell ref="A82:A83"/>
    <mergeCell ref="B82:B83"/>
    <mergeCell ref="C82:C83"/>
    <mergeCell ref="D82:D83"/>
    <mergeCell ref="V82:V83"/>
    <mergeCell ref="AA82:AA83"/>
    <mergeCell ref="AB82:AB83"/>
    <mergeCell ref="AE82:AE83"/>
    <mergeCell ref="AY82:AY83"/>
    <mergeCell ref="AC83:AD83"/>
    <mergeCell ref="A84:A85"/>
    <mergeCell ref="B84:B85"/>
    <mergeCell ref="C84:C85"/>
    <mergeCell ref="D84:D85"/>
    <mergeCell ref="V84:V85"/>
    <mergeCell ref="AA84:AA85"/>
    <mergeCell ref="AB84:AB85"/>
    <mergeCell ref="AE84:AE85"/>
    <mergeCell ref="AY84:AY85"/>
    <mergeCell ref="AC85:AD85"/>
    <mergeCell ref="A86:A87"/>
    <mergeCell ref="B86:B87"/>
    <mergeCell ref="C86:C87"/>
    <mergeCell ref="D86:D87"/>
    <mergeCell ref="V86:V87"/>
    <mergeCell ref="AA86:AA87"/>
    <mergeCell ref="AB86:AB87"/>
    <mergeCell ref="AE86:AE87"/>
    <mergeCell ref="AY86:AY87"/>
    <mergeCell ref="AC87:AD87"/>
    <mergeCell ref="A88:A89"/>
    <mergeCell ref="B88:B89"/>
    <mergeCell ref="C88:C89"/>
    <mergeCell ref="D88:D89"/>
    <mergeCell ref="V88:V89"/>
    <mergeCell ref="AA88:AA89"/>
    <mergeCell ref="AB88:AB89"/>
    <mergeCell ref="AE88:AE89"/>
    <mergeCell ref="AY88:AY89"/>
    <mergeCell ref="AC89:AD89"/>
    <mergeCell ref="A90:A91"/>
    <mergeCell ref="B90:B91"/>
    <mergeCell ref="C90:C91"/>
    <mergeCell ref="D90:D91"/>
    <mergeCell ref="V90:V91"/>
    <mergeCell ref="AA90:AA91"/>
    <mergeCell ref="AB90:AB91"/>
    <mergeCell ref="AE90:AE91"/>
    <mergeCell ref="AY90:AY91"/>
    <mergeCell ref="AC91:AD91"/>
    <mergeCell ref="A92:A93"/>
    <mergeCell ref="B92:B93"/>
    <mergeCell ref="C92:C93"/>
    <mergeCell ref="D92:D93"/>
    <mergeCell ref="V92:V93"/>
    <mergeCell ref="AA92:AA93"/>
    <mergeCell ref="AB92:AB93"/>
    <mergeCell ref="AE92:AE93"/>
    <mergeCell ref="AY92:AY93"/>
    <mergeCell ref="AC93:AD93"/>
    <mergeCell ref="A94:A95"/>
    <mergeCell ref="B94:B95"/>
    <mergeCell ref="C94:C95"/>
    <mergeCell ref="D94:D95"/>
    <mergeCell ref="V94:V95"/>
    <mergeCell ref="AA94:AA95"/>
    <mergeCell ref="AB94:AB95"/>
    <mergeCell ref="AE94:AE95"/>
    <mergeCell ref="AY94:AY95"/>
    <mergeCell ref="AC95:AD95"/>
    <mergeCell ref="A96:A97"/>
    <mergeCell ref="B96:B97"/>
    <mergeCell ref="C96:C97"/>
    <mergeCell ref="D96:D97"/>
    <mergeCell ref="V96:V97"/>
    <mergeCell ref="AA96:AA97"/>
    <mergeCell ref="AB96:AB97"/>
    <mergeCell ref="AE96:AE97"/>
    <mergeCell ref="AY96:AY97"/>
    <mergeCell ref="AC97:AD97"/>
    <mergeCell ref="A98:A99"/>
    <mergeCell ref="B98:B99"/>
    <mergeCell ref="C98:C99"/>
    <mergeCell ref="D98:D99"/>
    <mergeCell ref="V98:V99"/>
    <mergeCell ref="AA98:AA99"/>
    <mergeCell ref="AB98:AB99"/>
    <mergeCell ref="AE98:AE99"/>
    <mergeCell ref="AY98:AY99"/>
    <mergeCell ref="AC99:AD99"/>
    <mergeCell ref="A100:A101"/>
    <mergeCell ref="B100:B101"/>
    <mergeCell ref="C100:C101"/>
    <mergeCell ref="D100:D101"/>
    <mergeCell ref="V100:V101"/>
    <mergeCell ref="AA100:AA101"/>
    <mergeCell ref="AB100:AB101"/>
    <mergeCell ref="AE100:AE101"/>
    <mergeCell ref="AY100:AY101"/>
    <mergeCell ref="AC101:AD101"/>
    <mergeCell ref="A102:A103"/>
    <mergeCell ref="B102:B103"/>
    <mergeCell ref="C102:C103"/>
    <mergeCell ref="D102:D103"/>
    <mergeCell ref="V102:V103"/>
    <mergeCell ref="AA102:AA103"/>
    <mergeCell ref="AB102:AB103"/>
    <mergeCell ref="AE102:AE103"/>
    <mergeCell ref="AY102:AY103"/>
    <mergeCell ref="AC103:AD103"/>
    <mergeCell ref="A104:A105"/>
    <mergeCell ref="B104:B105"/>
    <mergeCell ref="C104:C105"/>
    <mergeCell ref="D104:D105"/>
    <mergeCell ref="V104:V105"/>
    <mergeCell ref="AA104:AA105"/>
    <mergeCell ref="AB104:AB105"/>
    <mergeCell ref="AE104:AE105"/>
    <mergeCell ref="AY104:AY105"/>
    <mergeCell ref="AC105:AD105"/>
    <mergeCell ref="A106:A107"/>
    <mergeCell ref="B106:B107"/>
    <mergeCell ref="C106:C107"/>
    <mergeCell ref="D106:D107"/>
    <mergeCell ref="V106:V107"/>
    <mergeCell ref="AA106:AA107"/>
    <mergeCell ref="AB106:AB107"/>
    <mergeCell ref="AE106:AE107"/>
    <mergeCell ref="AY106:AY107"/>
    <mergeCell ref="AC107:AD107"/>
    <mergeCell ref="A108:A109"/>
    <mergeCell ref="B108:B109"/>
    <mergeCell ref="C108:C109"/>
    <mergeCell ref="D108:D109"/>
    <mergeCell ref="V108:V109"/>
    <mergeCell ref="AA108:AA109"/>
    <mergeCell ref="AB108:AB109"/>
    <mergeCell ref="AE108:AE109"/>
    <mergeCell ref="AY108:AY109"/>
    <mergeCell ref="AC109:AD109"/>
    <mergeCell ref="A110:A111"/>
    <mergeCell ref="B110:B111"/>
    <mergeCell ref="C110:C111"/>
    <mergeCell ref="D110:D111"/>
    <mergeCell ref="V110:V111"/>
    <mergeCell ref="AA110:AA111"/>
    <mergeCell ref="AB110:AB111"/>
    <mergeCell ref="AE110:AE111"/>
    <mergeCell ref="AY110:AY111"/>
    <mergeCell ref="AC111:AD111"/>
    <mergeCell ref="A112:A113"/>
    <mergeCell ref="B112:B113"/>
    <mergeCell ref="C112:C113"/>
    <mergeCell ref="D112:D113"/>
    <mergeCell ref="V112:V113"/>
    <mergeCell ref="AA112:AA113"/>
    <mergeCell ref="AB112:AB113"/>
    <mergeCell ref="AE112:AE113"/>
    <mergeCell ref="AY112:AY113"/>
    <mergeCell ref="AC113:AD113"/>
    <mergeCell ref="A114:A115"/>
    <mergeCell ref="B114:B115"/>
    <mergeCell ref="C114:C115"/>
    <mergeCell ref="D114:D115"/>
    <mergeCell ref="V114:V115"/>
    <mergeCell ref="AA114:AA115"/>
    <mergeCell ref="AB114:AB115"/>
    <mergeCell ref="AE114:AE115"/>
    <mergeCell ref="AY114:AY115"/>
    <mergeCell ref="AC115:AD115"/>
    <mergeCell ref="A116:A117"/>
    <mergeCell ref="B116:B117"/>
    <mergeCell ref="C116:C117"/>
    <mergeCell ref="D116:D117"/>
    <mergeCell ref="V116:V117"/>
    <mergeCell ref="AA116:AA117"/>
    <mergeCell ref="AB116:AB117"/>
    <mergeCell ref="AE116:AE117"/>
    <mergeCell ref="AY116:AY117"/>
    <mergeCell ref="AC117:AD117"/>
    <mergeCell ref="A118:A119"/>
    <mergeCell ref="B118:B119"/>
    <mergeCell ref="C118:C119"/>
    <mergeCell ref="D118:D119"/>
    <mergeCell ref="V118:V119"/>
    <mergeCell ref="AA118:AA119"/>
    <mergeCell ref="AB118:AB119"/>
    <mergeCell ref="AE118:AE119"/>
    <mergeCell ref="AY118:AY119"/>
    <mergeCell ref="AC119:AD119"/>
    <mergeCell ref="A120:A121"/>
    <mergeCell ref="B120:B121"/>
    <mergeCell ref="C120:C121"/>
    <mergeCell ref="D120:D121"/>
    <mergeCell ref="V120:V121"/>
    <mergeCell ref="AA120:AA121"/>
    <mergeCell ref="AB120:AB121"/>
    <mergeCell ref="AE120:AE121"/>
    <mergeCell ref="AY120:AY121"/>
    <mergeCell ref="AC121:AD121"/>
    <mergeCell ref="A122:A123"/>
    <mergeCell ref="B122:B123"/>
    <mergeCell ref="C122:C123"/>
    <mergeCell ref="D122:D123"/>
    <mergeCell ref="V122:V123"/>
    <mergeCell ref="AA122:AA123"/>
    <mergeCell ref="AB122:AB123"/>
    <mergeCell ref="AE122:AE123"/>
    <mergeCell ref="AY122:AY123"/>
    <mergeCell ref="AC123:AD123"/>
    <mergeCell ref="A124:A125"/>
    <mergeCell ref="B124:B125"/>
    <mergeCell ref="C124:C125"/>
    <mergeCell ref="D124:D125"/>
    <mergeCell ref="V124:V125"/>
    <mergeCell ref="AA124:AA125"/>
    <mergeCell ref="AB124:AB125"/>
    <mergeCell ref="AE124:AE125"/>
    <mergeCell ref="AY124:AY125"/>
    <mergeCell ref="AC125:AD125"/>
    <mergeCell ref="A126:A127"/>
    <mergeCell ref="B126:B127"/>
    <mergeCell ref="C126:C127"/>
    <mergeCell ref="D126:D127"/>
    <mergeCell ref="V126:V127"/>
    <mergeCell ref="AA126:AA127"/>
    <mergeCell ref="AB126:AB127"/>
    <mergeCell ref="AE126:AE127"/>
    <mergeCell ref="AY126:AY127"/>
    <mergeCell ref="AC127:AD127"/>
    <mergeCell ref="A128:A129"/>
    <mergeCell ref="B128:B129"/>
    <mergeCell ref="C128:C129"/>
    <mergeCell ref="D128:D129"/>
    <mergeCell ref="V128:V129"/>
    <mergeCell ref="AA128:AA129"/>
    <mergeCell ref="AB128:AB129"/>
    <mergeCell ref="AE128:AE129"/>
    <mergeCell ref="AY128:AY129"/>
    <mergeCell ref="AC129:AD129"/>
    <mergeCell ref="A130:A131"/>
    <mergeCell ref="B130:B131"/>
    <mergeCell ref="C130:C131"/>
    <mergeCell ref="D130:D131"/>
    <mergeCell ref="V130:V131"/>
    <mergeCell ref="AA130:AA131"/>
    <mergeCell ref="AB130:AB131"/>
    <mergeCell ref="AE130:AE131"/>
    <mergeCell ref="AY130:AY131"/>
    <mergeCell ref="AC131:AD131"/>
    <mergeCell ref="A132:A133"/>
    <mergeCell ref="B132:B133"/>
    <mergeCell ref="C132:C133"/>
    <mergeCell ref="D132:D133"/>
    <mergeCell ref="V132:V133"/>
    <mergeCell ref="AA132:AA133"/>
    <mergeCell ref="AB132:AB133"/>
    <mergeCell ref="AE132:AE133"/>
    <mergeCell ref="AY132:AY133"/>
    <mergeCell ref="AC133:AD133"/>
    <mergeCell ref="A134:A135"/>
    <mergeCell ref="B134:B135"/>
    <mergeCell ref="C134:C135"/>
    <mergeCell ref="D134:D135"/>
    <mergeCell ref="V134:V135"/>
    <mergeCell ref="AA134:AA135"/>
    <mergeCell ref="AB134:AB135"/>
    <mergeCell ref="AE134:AE135"/>
    <mergeCell ref="AY134:AY135"/>
    <mergeCell ref="AC135:AD135"/>
    <mergeCell ref="A136:A137"/>
    <mergeCell ref="B136:B137"/>
    <mergeCell ref="C136:C137"/>
    <mergeCell ref="D136:D137"/>
    <mergeCell ref="V136:V137"/>
    <mergeCell ref="AA136:AA137"/>
    <mergeCell ref="AB136:AB137"/>
    <mergeCell ref="AE136:AE137"/>
    <mergeCell ref="AY136:AY137"/>
    <mergeCell ref="AC137:AD137"/>
    <mergeCell ref="A138:A139"/>
    <mergeCell ref="B138:B139"/>
    <mergeCell ref="C138:C139"/>
    <mergeCell ref="D138:D139"/>
    <mergeCell ref="V138:V139"/>
    <mergeCell ref="AA138:AA139"/>
    <mergeCell ref="AB138:AB139"/>
    <mergeCell ref="AE138:AE139"/>
    <mergeCell ref="AY138:AY139"/>
    <mergeCell ref="AC139:AD139"/>
    <mergeCell ref="A140:A141"/>
    <mergeCell ref="B140:B141"/>
    <mergeCell ref="C140:C141"/>
    <mergeCell ref="D140:D141"/>
    <mergeCell ref="V140:V141"/>
    <mergeCell ref="AA140:AA141"/>
    <mergeCell ref="AB140:AB141"/>
    <mergeCell ref="AE140:AE141"/>
    <mergeCell ref="AY140:AY141"/>
    <mergeCell ref="AC141:AD141"/>
    <mergeCell ref="A142:A143"/>
    <mergeCell ref="B142:B143"/>
    <mergeCell ref="C142:C143"/>
    <mergeCell ref="D142:D143"/>
    <mergeCell ref="V142:V143"/>
    <mergeCell ref="AA142:AA143"/>
    <mergeCell ref="AB142:AB143"/>
    <mergeCell ref="AE142:AE143"/>
    <mergeCell ref="AY142:AY143"/>
    <mergeCell ref="AC143:AD143"/>
    <mergeCell ref="A144:A145"/>
    <mergeCell ref="B144:B145"/>
    <mergeCell ref="C144:C145"/>
    <mergeCell ref="D144:D145"/>
    <mergeCell ref="V144:V145"/>
    <mergeCell ref="AA144:AA145"/>
    <mergeCell ref="AB144:AB145"/>
    <mergeCell ref="AE144:AE145"/>
    <mergeCell ref="AY144:AY145"/>
    <mergeCell ref="AC145:AD145"/>
    <mergeCell ref="A146:A147"/>
    <mergeCell ref="B146:B147"/>
    <mergeCell ref="C146:C147"/>
    <mergeCell ref="D146:D147"/>
    <mergeCell ref="V146:V147"/>
    <mergeCell ref="AA146:AA147"/>
    <mergeCell ref="AB146:AB147"/>
    <mergeCell ref="AE146:AE147"/>
    <mergeCell ref="AY146:AY147"/>
    <mergeCell ref="AC147:AD147"/>
    <mergeCell ref="A148:A149"/>
    <mergeCell ref="B148:B149"/>
    <mergeCell ref="C148:C149"/>
    <mergeCell ref="D148:D149"/>
    <mergeCell ref="V148:V149"/>
    <mergeCell ref="AA148:AA149"/>
    <mergeCell ref="AB148:AB149"/>
    <mergeCell ref="AE148:AE149"/>
    <mergeCell ref="AY148:AY149"/>
    <mergeCell ref="AC149:AD149"/>
    <mergeCell ref="A150:A151"/>
    <mergeCell ref="B150:B151"/>
    <mergeCell ref="C150:C151"/>
    <mergeCell ref="D150:D151"/>
    <mergeCell ref="V150:V151"/>
    <mergeCell ref="AA150:AA151"/>
    <mergeCell ref="AB150:AB151"/>
    <mergeCell ref="AE150:AE151"/>
    <mergeCell ref="AY150:AY151"/>
    <mergeCell ref="AC151:AD151"/>
    <mergeCell ref="A152:E153"/>
    <mergeCell ref="V152:V153"/>
    <mergeCell ref="W152:W153"/>
    <mergeCell ref="AA152:AA153"/>
    <mergeCell ref="AB152:AB153"/>
    <mergeCell ref="X154:Y154"/>
  </mergeCells>
  <printOptions headings="false" gridLines="false" gridLinesSet="true" horizontalCentered="false" verticalCentered="false"/>
  <pageMargins left="0.7" right="0.7" top="0.170138888888889" bottom="0.170138888888889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7890625" defaultRowHeight="24" customHeight="true" zeroHeight="false" outlineLevelRow="0" outlineLevelCol="0"/>
  <cols>
    <col collapsed="false" customWidth="true" hidden="false" outlineLevel="0" max="1" min="1" style="321" width="8.44"/>
    <col collapsed="false" customWidth="true" hidden="false" outlineLevel="0" max="2" min="2" style="321" width="18.66"/>
    <col collapsed="false" customWidth="true" hidden="false" outlineLevel="0" max="3" min="3" style="321" width="16.77"/>
    <col collapsed="false" customWidth="true" hidden="false" outlineLevel="0" max="6" min="4" style="321" width="15.1"/>
    <col collapsed="false" customWidth="true" hidden="false" outlineLevel="0" max="7" min="7" style="321" width="36.21"/>
    <col collapsed="false" customWidth="true" hidden="false" outlineLevel="0" max="8" min="8" style="321" width="12.1"/>
    <col collapsed="false" customWidth="false" hidden="false" outlineLevel="0" max="257" min="9" style="321" width="8.88"/>
  </cols>
  <sheetData>
    <row r="1" customFormat="false" ht="55.5" hidden="false" customHeight="true" outlineLevel="0" collapsed="false">
      <c r="B1" s="322" t="s">
        <v>119</v>
      </c>
      <c r="C1" s="322"/>
      <c r="D1" s="322"/>
      <c r="E1" s="322"/>
      <c r="F1" s="322"/>
      <c r="G1" s="322"/>
      <c r="H1" s="323"/>
    </row>
    <row r="2" customFormat="false" ht="28.5" hidden="false" customHeight="true" outlineLevel="0" collapsed="false">
      <c r="A2" s="324" t="s">
        <v>120</v>
      </c>
      <c r="B2" s="325" t="s">
        <v>121</v>
      </c>
      <c r="C2" s="326" t="s">
        <v>122</v>
      </c>
      <c r="D2" s="327" t="s">
        <v>123</v>
      </c>
      <c r="E2" s="327"/>
      <c r="F2" s="327"/>
      <c r="G2" s="326" t="s">
        <v>50</v>
      </c>
      <c r="H2" s="328" t="s">
        <v>124</v>
      </c>
    </row>
    <row r="3" customFormat="false" ht="28.5" hidden="false" customHeight="true" outlineLevel="0" collapsed="false">
      <c r="A3" s="324"/>
      <c r="B3" s="325"/>
      <c r="C3" s="326"/>
      <c r="D3" s="329" t="s">
        <v>125</v>
      </c>
      <c r="E3" s="329" t="s">
        <v>126</v>
      </c>
      <c r="F3" s="329" t="s">
        <v>127</v>
      </c>
      <c r="G3" s="326"/>
      <c r="H3" s="328"/>
    </row>
    <row r="4" customFormat="false" ht="21" hidden="false" customHeight="true" outlineLevel="0" collapsed="false">
      <c r="A4" s="330"/>
      <c r="B4" s="331" t="e">
        <f aca="false">#REF!</f>
        <v>#REF!</v>
      </c>
      <c r="C4" s="332" t="s">
        <v>128</v>
      </c>
      <c r="D4" s="332"/>
      <c r="E4" s="333" t="e">
        <f aca="false">#REF!</f>
        <v>#REF!</v>
      </c>
      <c r="F4" s="333" t="e">
        <f aca="false">SUM(D4:E4)</f>
        <v>#REF!</v>
      </c>
      <c r="G4" s="334" t="s">
        <v>129</v>
      </c>
      <c r="H4" s="335"/>
    </row>
    <row r="5" customFormat="false" ht="21" hidden="false" customHeight="true" outlineLevel="0" collapsed="false">
      <c r="A5" s="330"/>
      <c r="B5" s="332" t="e">
        <f aca="false">#REF!</f>
        <v>#REF!</v>
      </c>
      <c r="C5" s="332" t="s">
        <v>128</v>
      </c>
      <c r="D5" s="332"/>
      <c r="E5" s="333" t="e">
        <f aca="false">#REF!</f>
        <v>#REF!</v>
      </c>
      <c r="F5" s="333" t="e">
        <f aca="false">SUM(D5:E5)</f>
        <v>#REF!</v>
      </c>
      <c r="G5" s="334" t="s">
        <v>130</v>
      </c>
      <c r="H5" s="335"/>
    </row>
    <row r="6" customFormat="false" ht="21" hidden="false" customHeight="true" outlineLevel="0" collapsed="false">
      <c r="A6" s="330"/>
      <c r="B6" s="332" t="e">
        <f aca="false">#REF!</f>
        <v>#REF!</v>
      </c>
      <c r="C6" s="332" t="s">
        <v>128</v>
      </c>
      <c r="D6" s="332"/>
      <c r="E6" s="333" t="e">
        <f aca="false">#REF!</f>
        <v>#REF!</v>
      </c>
      <c r="F6" s="333" t="e">
        <f aca="false">SUM(D6:E6)</f>
        <v>#REF!</v>
      </c>
      <c r="G6" s="334" t="s">
        <v>131</v>
      </c>
      <c r="H6" s="335"/>
    </row>
    <row r="7" customFormat="false" ht="21" hidden="false" customHeight="true" outlineLevel="0" collapsed="false">
      <c r="A7" s="330"/>
      <c r="B7" s="332" t="e">
        <f aca="false">#REF!</f>
        <v>#REF!</v>
      </c>
      <c r="C7" s="332" t="s">
        <v>128</v>
      </c>
      <c r="D7" s="332"/>
      <c r="E7" s="333" t="e">
        <f aca="false">#REF!</f>
        <v>#REF!</v>
      </c>
      <c r="F7" s="333" t="e">
        <f aca="false">SUM(D7:E7)</f>
        <v>#REF!</v>
      </c>
      <c r="G7" s="334" t="s">
        <v>132</v>
      </c>
      <c r="H7" s="335"/>
    </row>
    <row r="8" customFormat="false" ht="21" hidden="false" customHeight="true" outlineLevel="0" collapsed="false">
      <c r="A8" s="330"/>
      <c r="B8" s="332" t="e">
        <f aca="false">#REF!</f>
        <v>#REF!</v>
      </c>
      <c r="C8" s="332" t="s">
        <v>128</v>
      </c>
      <c r="D8" s="332"/>
      <c r="E8" s="333" t="e">
        <f aca="false">#REF!</f>
        <v>#REF!</v>
      </c>
      <c r="F8" s="333" t="e">
        <f aca="false">SUM(D8:E8)</f>
        <v>#REF!</v>
      </c>
      <c r="G8" s="334" t="s">
        <v>133</v>
      </c>
      <c r="H8" s="335"/>
    </row>
    <row r="9" customFormat="false" ht="21" hidden="false" customHeight="true" outlineLevel="0" collapsed="false">
      <c r="A9" s="336"/>
      <c r="B9" s="332" t="e">
        <f aca="false">#REF!</f>
        <v>#REF!</v>
      </c>
      <c r="C9" s="332" t="s">
        <v>128</v>
      </c>
      <c r="D9" s="332"/>
      <c r="E9" s="333" t="e">
        <f aca="false">#REF!</f>
        <v>#REF!</v>
      </c>
      <c r="F9" s="333" t="e">
        <f aca="false">SUM(D9:E9)</f>
        <v>#REF!</v>
      </c>
      <c r="G9" s="334" t="s">
        <v>134</v>
      </c>
      <c r="H9" s="335"/>
    </row>
    <row r="10" customFormat="false" ht="21" hidden="false" customHeight="true" outlineLevel="0" collapsed="false">
      <c r="A10" s="336"/>
      <c r="B10" s="332" t="e">
        <f aca="false">#REF!</f>
        <v>#REF!</v>
      </c>
      <c r="C10" s="332" t="s">
        <v>128</v>
      </c>
      <c r="D10" s="332"/>
      <c r="E10" s="333" t="e">
        <f aca="false">#REF!</f>
        <v>#REF!</v>
      </c>
      <c r="F10" s="333" t="e">
        <f aca="false">SUM(D10:E10)</f>
        <v>#REF!</v>
      </c>
      <c r="G10" s="334" t="s">
        <v>135</v>
      </c>
      <c r="H10" s="335"/>
    </row>
    <row r="11" customFormat="false" ht="21" hidden="false" customHeight="true" outlineLevel="0" collapsed="false">
      <c r="A11" s="336"/>
      <c r="B11" s="332"/>
      <c r="C11" s="332"/>
      <c r="D11" s="332"/>
      <c r="E11" s="333"/>
      <c r="F11" s="333"/>
      <c r="G11" s="334"/>
      <c r="H11" s="335"/>
    </row>
    <row r="12" customFormat="false" ht="21" hidden="true" customHeight="true" outlineLevel="0" collapsed="false">
      <c r="A12" s="336"/>
      <c r="B12" s="332" t="e">
        <f aca="false">#REF!</f>
        <v>#REF!</v>
      </c>
      <c r="C12" s="332"/>
      <c r="D12" s="332"/>
      <c r="E12" s="333" t="e">
        <f aca="false">#REF!</f>
        <v>#REF!</v>
      </c>
      <c r="F12" s="333"/>
      <c r="G12" s="334"/>
      <c r="H12" s="335"/>
    </row>
    <row r="13" customFormat="false" ht="21" hidden="true" customHeight="true" outlineLevel="0" collapsed="false">
      <c r="A13" s="336"/>
      <c r="B13" s="332" t="e">
        <f aca="false">#REF!</f>
        <v>#REF!</v>
      </c>
      <c r="C13" s="332"/>
      <c r="D13" s="332"/>
      <c r="E13" s="333" t="e">
        <f aca="false">#REF!</f>
        <v>#REF!</v>
      </c>
      <c r="F13" s="333"/>
      <c r="G13" s="334"/>
      <c r="H13" s="335"/>
    </row>
    <row r="14" customFormat="false" ht="21" hidden="true" customHeight="true" outlineLevel="0" collapsed="false">
      <c r="A14" s="336"/>
      <c r="B14" s="332" t="e">
        <f aca="false">#REF!</f>
        <v>#REF!</v>
      </c>
      <c r="C14" s="332"/>
      <c r="D14" s="332"/>
      <c r="E14" s="333" t="e">
        <f aca="false">#REF!</f>
        <v>#REF!</v>
      </c>
      <c r="F14" s="333"/>
      <c r="G14" s="334"/>
      <c r="H14" s="335"/>
    </row>
    <row r="15" customFormat="false" ht="21" hidden="true" customHeight="true" outlineLevel="0" collapsed="false">
      <c r="A15" s="330"/>
      <c r="B15" s="332" t="e">
        <f aca="false">#REF!</f>
        <v>#REF!</v>
      </c>
      <c r="C15" s="332"/>
      <c r="D15" s="332"/>
      <c r="E15" s="333" t="e">
        <f aca="false">#REF!</f>
        <v>#REF!</v>
      </c>
      <c r="F15" s="333"/>
      <c r="G15" s="334"/>
      <c r="H15" s="335"/>
    </row>
    <row r="16" customFormat="false" ht="21" hidden="true" customHeight="true" outlineLevel="0" collapsed="false">
      <c r="A16" s="337"/>
      <c r="B16" s="332" t="e">
        <f aca="false">#REF!</f>
        <v>#REF!</v>
      </c>
      <c r="C16" s="338"/>
      <c r="D16" s="338"/>
      <c r="E16" s="333" t="e">
        <f aca="false">#REF!</f>
        <v>#REF!</v>
      </c>
      <c r="F16" s="333"/>
      <c r="G16" s="339"/>
      <c r="H16" s="335"/>
    </row>
    <row r="17" customFormat="false" ht="21" hidden="true" customHeight="true" outlineLevel="0" collapsed="false">
      <c r="A17" s="330"/>
      <c r="B17" s="332" t="e">
        <f aca="false">#REF!</f>
        <v>#REF!</v>
      </c>
      <c r="C17" s="332"/>
      <c r="D17" s="332"/>
      <c r="E17" s="333" t="e">
        <f aca="false">#REF!</f>
        <v>#REF!</v>
      </c>
      <c r="F17" s="333"/>
      <c r="G17" s="334"/>
      <c r="H17" s="335"/>
    </row>
    <row r="18" customFormat="false" ht="21" hidden="true" customHeight="true" outlineLevel="0" collapsed="false">
      <c r="A18" s="330"/>
      <c r="B18" s="332" t="e">
        <f aca="false">#REF!</f>
        <v>#REF!</v>
      </c>
      <c r="C18" s="332"/>
      <c r="D18" s="332"/>
      <c r="E18" s="333" t="e">
        <f aca="false">#REF!</f>
        <v>#REF!</v>
      </c>
      <c r="F18" s="333"/>
      <c r="G18" s="334"/>
      <c r="H18" s="335"/>
    </row>
    <row r="19" customFormat="false" ht="21" hidden="true" customHeight="true" outlineLevel="0" collapsed="false">
      <c r="A19" s="330"/>
      <c r="B19" s="332" t="e">
        <f aca="false">#REF!</f>
        <v>#REF!</v>
      </c>
      <c r="C19" s="332"/>
      <c r="D19" s="332"/>
      <c r="E19" s="333" t="e">
        <f aca="false">#REF!</f>
        <v>#REF!</v>
      </c>
      <c r="F19" s="333"/>
      <c r="G19" s="334"/>
      <c r="H19" s="335"/>
    </row>
    <row r="20" customFormat="false" ht="21" hidden="true" customHeight="true" outlineLevel="0" collapsed="false">
      <c r="A20" s="330"/>
      <c r="B20" s="332" t="e">
        <f aca="false">#REF!</f>
        <v>#REF!</v>
      </c>
      <c r="C20" s="332"/>
      <c r="D20" s="332"/>
      <c r="E20" s="333" t="e">
        <f aca="false">#REF!</f>
        <v>#REF!</v>
      </c>
      <c r="F20" s="333"/>
      <c r="G20" s="334"/>
      <c r="H20" s="335"/>
    </row>
    <row r="21" customFormat="false" ht="21" hidden="true" customHeight="true" outlineLevel="0" collapsed="false">
      <c r="A21" s="330"/>
      <c r="B21" s="332" t="e">
        <f aca="false">#REF!</f>
        <v>#REF!</v>
      </c>
      <c r="C21" s="332"/>
      <c r="D21" s="332"/>
      <c r="E21" s="333" t="e">
        <f aca="false">#REF!</f>
        <v>#REF!</v>
      </c>
      <c r="F21" s="333"/>
      <c r="G21" s="334"/>
      <c r="H21" s="335"/>
    </row>
    <row r="22" customFormat="false" ht="21" hidden="true" customHeight="true" outlineLevel="0" collapsed="false">
      <c r="A22" s="330"/>
      <c r="B22" s="332" t="e">
        <f aca="false">#REF!</f>
        <v>#REF!</v>
      </c>
      <c r="C22" s="332"/>
      <c r="D22" s="332"/>
      <c r="E22" s="333" t="e">
        <f aca="false">#REF!</f>
        <v>#REF!</v>
      </c>
      <c r="F22" s="333"/>
      <c r="G22" s="334"/>
      <c r="H22" s="335"/>
    </row>
    <row r="23" customFormat="false" ht="21" hidden="true" customHeight="true" outlineLevel="0" collapsed="false">
      <c r="A23" s="330"/>
      <c r="B23" s="332" t="e">
        <f aca="false">#REF!</f>
        <v>#REF!</v>
      </c>
      <c r="C23" s="332"/>
      <c r="D23" s="332"/>
      <c r="E23" s="333" t="e">
        <f aca="false">#REF!</f>
        <v>#REF!</v>
      </c>
      <c r="F23" s="333"/>
      <c r="G23" s="334"/>
      <c r="H23" s="335"/>
    </row>
    <row r="24" customFormat="false" ht="21" hidden="true" customHeight="true" outlineLevel="0" collapsed="false">
      <c r="A24" s="330"/>
      <c r="B24" s="332" t="e">
        <f aca="false">#REF!</f>
        <v>#REF!</v>
      </c>
      <c r="C24" s="332"/>
      <c r="D24" s="332"/>
      <c r="E24" s="333" t="e">
        <f aca="false">#REF!</f>
        <v>#REF!</v>
      </c>
      <c r="F24" s="333"/>
      <c r="G24" s="334"/>
      <c r="H24" s="335"/>
    </row>
    <row r="25" customFormat="false" ht="21" hidden="false" customHeight="true" outlineLevel="0" collapsed="false">
      <c r="A25" s="330"/>
      <c r="B25" s="332"/>
      <c r="C25" s="332"/>
      <c r="D25" s="332"/>
      <c r="E25" s="333"/>
      <c r="F25" s="333"/>
      <c r="G25" s="334"/>
      <c r="H25" s="335"/>
    </row>
    <row r="26" customFormat="false" ht="21" hidden="false" customHeight="true" outlineLevel="0" collapsed="false">
      <c r="A26" s="330"/>
      <c r="B26" s="332"/>
      <c r="C26" s="332"/>
      <c r="D26" s="332"/>
      <c r="E26" s="333"/>
      <c r="F26" s="333"/>
      <c r="G26" s="334"/>
      <c r="H26" s="340"/>
    </row>
    <row r="27" customFormat="false" ht="21" hidden="false" customHeight="true" outlineLevel="0" collapsed="false">
      <c r="A27" s="337"/>
      <c r="B27" s="341"/>
      <c r="C27" s="338"/>
      <c r="D27" s="338"/>
      <c r="E27" s="342"/>
      <c r="F27" s="333"/>
      <c r="G27" s="343"/>
      <c r="H27" s="344"/>
    </row>
    <row r="28" customFormat="false" ht="21" hidden="false" customHeight="true" outlineLevel="0" collapsed="false">
      <c r="A28" s="330"/>
      <c r="B28" s="345"/>
      <c r="C28" s="332"/>
      <c r="D28" s="332"/>
      <c r="E28" s="333"/>
      <c r="F28" s="333"/>
      <c r="G28" s="334"/>
      <c r="H28" s="340"/>
    </row>
    <row r="29" customFormat="false" ht="21" hidden="false" customHeight="true" outlineLevel="0" collapsed="false">
      <c r="A29" s="330"/>
      <c r="B29" s="345"/>
      <c r="C29" s="332"/>
      <c r="D29" s="332"/>
      <c r="E29" s="333"/>
      <c r="F29" s="333"/>
      <c r="G29" s="334"/>
      <c r="H29" s="340"/>
    </row>
    <row r="30" customFormat="false" ht="21" hidden="false" customHeight="true" outlineLevel="0" collapsed="false">
      <c r="A30" s="330"/>
      <c r="B30" s="345"/>
      <c r="C30" s="332"/>
      <c r="D30" s="332"/>
      <c r="E30" s="333"/>
      <c r="F30" s="333"/>
      <c r="G30" s="334"/>
      <c r="H30" s="340"/>
    </row>
    <row r="31" customFormat="false" ht="21" hidden="false" customHeight="true" outlineLevel="0" collapsed="false">
      <c r="A31" s="330"/>
      <c r="B31" s="345"/>
      <c r="C31" s="332"/>
      <c r="D31" s="332"/>
      <c r="E31" s="333"/>
      <c r="F31" s="333"/>
      <c r="G31" s="334"/>
      <c r="H31" s="340"/>
    </row>
    <row r="32" customFormat="false" ht="21" hidden="false" customHeight="true" outlineLevel="0" collapsed="false">
      <c r="A32" s="346"/>
      <c r="B32" s="347"/>
      <c r="C32" s="348"/>
      <c r="D32" s="348"/>
      <c r="E32" s="349"/>
      <c r="F32" s="349" t="n">
        <f aca="false">SUM(D32:E32)</f>
        <v>0</v>
      </c>
      <c r="G32" s="350"/>
      <c r="H32" s="351"/>
    </row>
    <row r="33" customFormat="false" ht="27.75" hidden="false" customHeight="true" outlineLevel="0" collapsed="false">
      <c r="A33" s="352"/>
      <c r="B33" s="353" t="s">
        <v>136</v>
      </c>
      <c r="C33" s="329"/>
      <c r="D33" s="354" t="n">
        <f aca="false">SUM(D4:D32)</f>
        <v>0</v>
      </c>
      <c r="E33" s="354" t="e">
        <f aca="false">SUM(E4:E32)</f>
        <v>#REF!</v>
      </c>
      <c r="F33" s="354" t="e">
        <f aca="false">SUM(F4:F32)</f>
        <v>#REF!</v>
      </c>
      <c r="G33" s="355"/>
      <c r="H33" s="356"/>
    </row>
    <row r="34" customFormat="false" ht="6" hidden="false" customHeight="true" outlineLevel="0" collapsed="false"/>
    <row r="35" customFormat="false" ht="24" hidden="false" customHeight="true" outlineLevel="0" collapsed="false">
      <c r="F35" s="357" t="s">
        <v>137</v>
      </c>
      <c r="G35" s="357" t="s">
        <v>138</v>
      </c>
      <c r="H35" s="321" t="s">
        <v>139</v>
      </c>
    </row>
  </sheetData>
  <mergeCells count="7">
    <mergeCell ref="B1:G1"/>
    <mergeCell ref="A2:A3"/>
    <mergeCell ref="B2:B3"/>
    <mergeCell ref="C2:C3"/>
    <mergeCell ref="D2:F2"/>
    <mergeCell ref="G2:G3"/>
    <mergeCell ref="H2:H3"/>
  </mergeCells>
  <printOptions headings="false" gridLines="false" gridLinesSet="true" horizontalCentered="true" verticalCentered="false"/>
  <pageMargins left="0.315277777777778" right="0.157638888888889" top="0.590277777777778" bottom="0.354166666666667" header="0.511811023622047" footer="0.511811023622047"/>
  <pageSetup paperSize="9" scale="8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80"/>
    <pageSetUpPr fitToPage="true"/>
  </sheetPr>
  <dimension ref="A1:IW20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06" activeCellId="0" sqref="A106:E106"/>
    </sheetView>
  </sheetViews>
  <sheetFormatPr defaultColWidth="7.7734375" defaultRowHeight="16.5" customHeight="false" zeroHeight="false" outlineLevelRow="0" outlineLevelCol="0"/>
  <cols>
    <col collapsed="false" customWidth="true" hidden="false" outlineLevel="0" max="1" min="1" style="1" width="2.43"/>
    <col collapsed="false" customWidth="true" hidden="true" outlineLevel="0" max="2" min="2" style="9" width="2.43"/>
    <col collapsed="false" customWidth="true" hidden="false" outlineLevel="0" max="3" min="3" style="2" width="5.32"/>
    <col collapsed="false" customWidth="true" hidden="false" outlineLevel="0" max="4" min="4" style="2" width="6.43"/>
    <col collapsed="false" customWidth="false" hidden="false" outlineLevel="0" max="5" min="5" style="3" width="7.77"/>
    <col collapsed="false" customWidth="true" hidden="false" outlineLevel="0" max="6" min="6" style="4" width="38.99"/>
    <col collapsed="false" customWidth="true" hidden="false" outlineLevel="0" max="14" min="7" style="5" width="3.77"/>
    <col collapsed="false" customWidth="true" hidden="false" outlineLevel="0" max="15" min="15" style="6" width="3.77"/>
    <col collapsed="false" customWidth="true" hidden="false" outlineLevel="0" max="22" min="16" style="5" width="3.77"/>
    <col collapsed="false" customWidth="true" hidden="false" outlineLevel="0" max="23" min="23" style="8" width="5.1"/>
    <col collapsed="false" customWidth="true" hidden="false" outlineLevel="0" max="24" min="24" style="9" width="9.55"/>
    <col collapsed="false" customWidth="true" hidden="false" outlineLevel="0" max="25" min="25" style="9" width="7.22"/>
    <col collapsed="false" customWidth="true" hidden="false" outlineLevel="0" max="27" min="26" style="9" width="7.43"/>
    <col collapsed="false" customWidth="true" hidden="false" outlineLevel="0" max="28" min="28" style="9" width="8.88"/>
    <col collapsed="false" customWidth="true" hidden="false" outlineLevel="0" max="29" min="29" style="9" width="9.44"/>
    <col collapsed="false" customWidth="true" hidden="false" outlineLevel="0" max="30" min="30" style="9" width="6.99"/>
    <col collapsed="false" customWidth="true" hidden="false" outlineLevel="0" max="31" min="31" style="9" width="9.1"/>
    <col collapsed="false" customWidth="true" hidden="true" outlineLevel="0" max="32" min="32" style="9" width="3.32"/>
    <col collapsed="false" customWidth="true" hidden="false" outlineLevel="0" max="33" min="33" style="10" width="7.55"/>
    <col collapsed="false" customWidth="true" hidden="false" outlineLevel="0" max="34" min="34" style="10" width="7.88"/>
    <col collapsed="false" customWidth="true" hidden="false" outlineLevel="0" max="35" min="35" style="10" width="6.55"/>
    <col collapsed="false" customWidth="true" hidden="false" outlineLevel="0" max="51" min="36" style="10" width="4.1"/>
    <col collapsed="false" customWidth="false" hidden="false" outlineLevel="0" max="52" min="52" style="11" width="7.77"/>
    <col collapsed="false" customWidth="false" hidden="false" outlineLevel="0" max="251" min="53" style="9" width="7.77"/>
    <col collapsed="false" customWidth="false" hidden="false" outlineLevel="0" max="257" min="252" style="358" width="7.77"/>
  </cols>
  <sheetData>
    <row r="1" customFormat="false" ht="16.5" hidden="false" customHeight="true" outlineLevel="0" collapsed="false">
      <c r="A1" s="359" t="s">
        <v>2</v>
      </c>
      <c r="B1" s="359"/>
      <c r="C1" s="359"/>
      <c r="D1" s="359"/>
      <c r="E1" s="359"/>
      <c r="F1" s="360"/>
      <c r="G1" s="361"/>
      <c r="H1" s="361"/>
      <c r="I1" s="361"/>
      <c r="J1" s="361"/>
      <c r="K1" s="361"/>
      <c r="L1" s="362"/>
      <c r="M1" s="362"/>
      <c r="N1" s="362"/>
      <c r="O1" s="362"/>
      <c r="P1" s="362"/>
      <c r="Q1" s="363"/>
      <c r="R1" s="363"/>
      <c r="S1" s="363"/>
      <c r="T1" s="363"/>
      <c r="U1" s="363"/>
      <c r="V1" s="363"/>
      <c r="W1" s="364"/>
      <c r="X1" s="364"/>
      <c r="Y1" s="364"/>
      <c r="Z1" s="364"/>
      <c r="AA1" s="365"/>
      <c r="AB1" s="365"/>
      <c r="AC1" s="365"/>
      <c r="AD1" s="20"/>
      <c r="AE1" s="20"/>
      <c r="AF1" s="21"/>
      <c r="AG1" s="22"/>
      <c r="AH1" s="22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4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</row>
    <row r="2" customFormat="false" ht="16.5" hidden="false" customHeight="true" outlineLevel="0" collapsed="false">
      <c r="A2" s="366" t="s">
        <v>140</v>
      </c>
      <c r="B2" s="366"/>
      <c r="C2" s="366"/>
      <c r="D2" s="366"/>
      <c r="E2" s="366"/>
      <c r="F2" s="367"/>
      <c r="G2" s="368"/>
      <c r="H2" s="368"/>
      <c r="I2" s="368"/>
      <c r="J2" s="368"/>
      <c r="K2" s="368"/>
      <c r="L2" s="369"/>
      <c r="M2" s="369"/>
      <c r="N2" s="369"/>
      <c r="O2" s="369"/>
      <c r="P2" s="369"/>
      <c r="Q2" s="370"/>
      <c r="R2" s="370"/>
      <c r="S2" s="370"/>
      <c r="T2" s="370"/>
      <c r="U2" s="370"/>
      <c r="V2" s="370"/>
      <c r="W2" s="371"/>
      <c r="X2" s="371"/>
      <c r="Y2" s="371"/>
      <c r="Z2" s="371"/>
      <c r="AA2" s="372"/>
      <c r="AB2" s="372"/>
      <c r="AC2" s="372"/>
      <c r="AD2" s="32"/>
      <c r="AE2" s="32"/>
      <c r="AF2" s="33"/>
      <c r="AG2" s="22"/>
      <c r="AH2" s="22"/>
      <c r="AI2" s="23"/>
      <c r="AJ2" s="23"/>
      <c r="AK2" s="23"/>
      <c r="AL2" s="373"/>
      <c r="AM2" s="373"/>
      <c r="AN2" s="373"/>
      <c r="AO2" s="23"/>
      <c r="AP2" s="23"/>
      <c r="AQ2" s="23"/>
      <c r="AR2" s="23"/>
      <c r="AS2" s="23"/>
      <c r="AT2" s="23"/>
      <c r="AU2" s="23"/>
      <c r="AV2" s="36" t="s">
        <v>6</v>
      </c>
      <c r="AW2" s="36"/>
      <c r="AX2" s="36"/>
      <c r="AY2" s="36"/>
      <c r="AZ2" s="24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</row>
    <row r="3" customFormat="false" ht="15.75" hidden="false" customHeight="true" outlineLevel="0" collapsed="false">
      <c r="A3" s="374" t="n">
        <f aca="false">I5</f>
        <v>45901</v>
      </c>
      <c r="B3" s="374"/>
      <c r="C3" s="374"/>
      <c r="D3" s="374"/>
      <c r="E3" s="375" t="s">
        <v>7</v>
      </c>
      <c r="F3" s="375"/>
      <c r="G3" s="375"/>
      <c r="H3" s="375"/>
      <c r="I3" s="376" t="s">
        <v>8</v>
      </c>
      <c r="J3" s="376"/>
      <c r="K3" s="377" t="s">
        <v>9</v>
      </c>
      <c r="L3" s="377"/>
      <c r="M3" s="377"/>
      <c r="N3" s="378" t="s">
        <v>10</v>
      </c>
      <c r="O3" s="378"/>
      <c r="P3" s="378"/>
      <c r="Q3" s="42" t="s">
        <v>11</v>
      </c>
      <c r="R3" s="42"/>
      <c r="S3" s="42"/>
      <c r="T3" s="42" t="s">
        <v>12</v>
      </c>
      <c r="U3" s="42"/>
      <c r="V3" s="42"/>
      <c r="W3" s="42" t="s">
        <v>13</v>
      </c>
      <c r="X3" s="42"/>
      <c r="Y3" s="42" t="s">
        <v>14</v>
      </c>
      <c r="Z3" s="42"/>
      <c r="AA3" s="79" t="s">
        <v>15</v>
      </c>
      <c r="AB3" s="79"/>
      <c r="AC3" s="44" t="s">
        <v>16</v>
      </c>
      <c r="AD3" s="44"/>
      <c r="AE3" s="44"/>
      <c r="AF3" s="45"/>
      <c r="AG3" s="46" t="s">
        <v>17</v>
      </c>
      <c r="AH3" s="46"/>
      <c r="AI3" s="46"/>
      <c r="AJ3" s="50"/>
      <c r="AK3" s="50"/>
      <c r="AL3" s="379"/>
      <c r="AM3" s="379"/>
      <c r="AN3" s="379"/>
      <c r="AO3" s="50"/>
      <c r="AP3" s="50"/>
      <c r="AQ3" s="50"/>
      <c r="AR3" s="50"/>
      <c r="AS3" s="50"/>
      <c r="AT3" s="50"/>
      <c r="AU3" s="50"/>
      <c r="AV3" s="49" t="s">
        <v>19</v>
      </c>
      <c r="AW3" s="49"/>
      <c r="AX3" s="49"/>
      <c r="AY3" s="49"/>
      <c r="AZ3" s="38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48"/>
    </row>
    <row r="4" customFormat="false" ht="15.75" hidden="false" customHeight="true" outlineLevel="0" collapsed="false">
      <c r="A4" s="374"/>
      <c r="B4" s="374"/>
      <c r="C4" s="374"/>
      <c r="D4" s="374"/>
      <c r="E4" s="375"/>
      <c r="F4" s="375"/>
      <c r="G4" s="375"/>
      <c r="H4" s="375"/>
      <c r="I4" s="376"/>
      <c r="J4" s="376"/>
      <c r="K4" s="381" t="n">
        <v>0.045</v>
      </c>
      <c r="L4" s="381"/>
      <c r="M4" s="381"/>
      <c r="N4" s="382" t="n">
        <v>0.03545</v>
      </c>
      <c r="O4" s="382"/>
      <c r="P4" s="382"/>
      <c r="Q4" s="53" t="s">
        <v>20</v>
      </c>
      <c r="R4" s="54" t="n">
        <f aca="false">12.95%/2</f>
        <v>0.06475</v>
      </c>
      <c r="S4" s="54"/>
      <c r="T4" s="55" t="n">
        <v>0.027</v>
      </c>
      <c r="U4" s="55"/>
      <c r="V4" s="55"/>
      <c r="W4" s="53" t="s">
        <v>21</v>
      </c>
      <c r="X4" s="53"/>
      <c r="Y4" s="56" t="n">
        <v>150000</v>
      </c>
      <c r="Z4" s="56"/>
      <c r="AA4" s="57" t="n">
        <v>0.009</v>
      </c>
      <c r="AB4" s="57"/>
      <c r="AC4" s="44"/>
      <c r="AD4" s="44"/>
      <c r="AE4" s="44"/>
      <c r="AF4" s="58"/>
      <c r="AG4" s="46"/>
      <c r="AH4" s="46"/>
      <c r="AI4" s="46"/>
      <c r="AJ4" s="50"/>
      <c r="AK4" s="50"/>
      <c r="AL4" s="379"/>
      <c r="AM4" s="379"/>
      <c r="AN4" s="379"/>
      <c r="AO4" s="383"/>
      <c r="AP4" s="50"/>
      <c r="AQ4" s="50"/>
      <c r="AR4" s="50"/>
      <c r="AS4" s="50"/>
      <c r="AT4" s="50"/>
      <c r="AU4" s="50"/>
      <c r="AV4" s="59" t="s">
        <v>23</v>
      </c>
      <c r="AW4" s="59"/>
      <c r="AX4" s="59"/>
      <c r="AY4" s="59"/>
      <c r="AZ4" s="38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0"/>
      <c r="CP4" s="50"/>
      <c r="CQ4" s="50"/>
      <c r="CR4" s="50"/>
      <c r="CS4" s="50"/>
      <c r="CT4" s="50"/>
      <c r="CU4" s="50"/>
      <c r="CV4" s="50"/>
      <c r="CW4" s="50"/>
      <c r="CX4" s="50"/>
      <c r="CY4" s="50"/>
      <c r="CZ4" s="50"/>
      <c r="DA4" s="50"/>
      <c r="DB4" s="50"/>
      <c r="DC4" s="50"/>
      <c r="DD4" s="50"/>
      <c r="DE4" s="50"/>
      <c r="DF4" s="50"/>
      <c r="DG4" s="50"/>
      <c r="DH4" s="50"/>
      <c r="DI4" s="50"/>
      <c r="DJ4" s="50"/>
      <c r="DK4" s="50"/>
      <c r="DL4" s="50"/>
      <c r="DM4" s="50"/>
      <c r="DN4" s="50"/>
      <c r="DO4" s="50"/>
      <c r="DP4" s="50"/>
      <c r="DQ4" s="50"/>
      <c r="DR4" s="50"/>
      <c r="DS4" s="50"/>
      <c r="DT4" s="50"/>
      <c r="DU4" s="50"/>
      <c r="DV4" s="50"/>
      <c r="DW4" s="50"/>
      <c r="DX4" s="50"/>
      <c r="DY4" s="50"/>
      <c r="DZ4" s="50"/>
      <c r="EA4" s="50"/>
      <c r="EB4" s="50"/>
      <c r="EC4" s="50"/>
      <c r="ED4" s="50"/>
      <c r="EE4" s="50"/>
      <c r="EF4" s="50"/>
      <c r="EG4" s="50"/>
      <c r="EH4" s="50"/>
      <c r="EI4" s="50"/>
      <c r="EJ4" s="50"/>
      <c r="EK4" s="50"/>
      <c r="EL4" s="50"/>
      <c r="EM4" s="50"/>
      <c r="EN4" s="50"/>
      <c r="EO4" s="50"/>
      <c r="EP4" s="50"/>
      <c r="EQ4" s="50"/>
      <c r="ER4" s="50"/>
      <c r="ES4" s="50"/>
      <c r="ET4" s="50"/>
      <c r="EU4" s="50"/>
      <c r="EV4" s="50"/>
      <c r="EW4" s="50"/>
      <c r="EX4" s="50"/>
      <c r="EY4" s="50"/>
      <c r="EZ4" s="50"/>
      <c r="FA4" s="50"/>
      <c r="FB4" s="50"/>
      <c r="FC4" s="50"/>
      <c r="FD4" s="50"/>
      <c r="FE4" s="50"/>
      <c r="FF4" s="50"/>
      <c r="FG4" s="50"/>
      <c r="FH4" s="50"/>
      <c r="FI4" s="50"/>
      <c r="FJ4" s="50"/>
      <c r="FK4" s="50"/>
      <c r="FL4" s="50"/>
      <c r="FM4" s="50"/>
      <c r="FN4" s="50"/>
      <c r="FO4" s="50"/>
      <c r="FP4" s="50"/>
      <c r="FQ4" s="50"/>
      <c r="FR4" s="50"/>
      <c r="FS4" s="50"/>
      <c r="FT4" s="50"/>
      <c r="FU4" s="50"/>
      <c r="FV4" s="50"/>
      <c r="FW4" s="50"/>
      <c r="FX4" s="50"/>
      <c r="FY4" s="50"/>
      <c r="FZ4" s="50"/>
      <c r="GA4" s="50"/>
      <c r="GB4" s="50"/>
      <c r="GC4" s="50"/>
      <c r="GD4" s="50"/>
      <c r="GE4" s="50"/>
      <c r="GF4" s="50"/>
      <c r="GG4" s="50"/>
      <c r="GH4" s="50"/>
      <c r="GI4" s="50"/>
      <c r="GJ4" s="50"/>
      <c r="GK4" s="50"/>
      <c r="GL4" s="50"/>
      <c r="GM4" s="50"/>
      <c r="GN4" s="50"/>
      <c r="GO4" s="50"/>
      <c r="GP4" s="50"/>
      <c r="GQ4" s="50"/>
      <c r="GR4" s="50"/>
      <c r="GS4" s="50"/>
      <c r="GT4" s="50"/>
      <c r="GU4" s="50"/>
      <c r="GV4" s="50"/>
      <c r="GW4" s="50"/>
      <c r="GX4" s="50"/>
      <c r="GY4" s="50"/>
      <c r="GZ4" s="50"/>
      <c r="HA4" s="50"/>
      <c r="HB4" s="50"/>
      <c r="HC4" s="50"/>
      <c r="HD4" s="50"/>
      <c r="HE4" s="50"/>
      <c r="HF4" s="50"/>
      <c r="HG4" s="50"/>
      <c r="HH4" s="50"/>
      <c r="HI4" s="50"/>
      <c r="HJ4" s="50"/>
      <c r="HK4" s="50"/>
      <c r="HL4" s="50"/>
      <c r="HM4" s="50"/>
      <c r="HN4" s="50"/>
      <c r="HO4" s="50"/>
      <c r="HP4" s="50"/>
      <c r="HQ4" s="50"/>
      <c r="HR4" s="50"/>
      <c r="HS4" s="50"/>
      <c r="HT4" s="50"/>
      <c r="HU4" s="50"/>
      <c r="HV4" s="50"/>
      <c r="HW4" s="50"/>
      <c r="HX4" s="50"/>
      <c r="HY4" s="50"/>
      <c r="HZ4" s="50"/>
      <c r="IA4" s="50"/>
      <c r="IB4" s="50"/>
      <c r="IC4" s="50"/>
      <c r="ID4" s="50"/>
      <c r="IE4" s="50"/>
      <c r="IF4" s="50"/>
      <c r="IG4" s="50"/>
      <c r="IH4" s="50"/>
      <c r="II4" s="50"/>
      <c r="IJ4" s="50"/>
      <c r="IK4" s="50"/>
      <c r="IL4" s="50"/>
      <c r="IM4" s="50"/>
      <c r="IN4" s="50"/>
      <c r="IO4" s="50"/>
      <c r="IP4" s="50"/>
      <c r="IQ4" s="50"/>
      <c r="IR4" s="50"/>
      <c r="IS4" s="50"/>
      <c r="IT4" s="50"/>
      <c r="IU4" s="50"/>
      <c r="IV4" s="50"/>
      <c r="IW4" s="48"/>
    </row>
    <row r="5" customFormat="false" ht="15.75" hidden="false" customHeight="true" outlineLevel="0" collapsed="false">
      <c r="A5" s="60" t="s">
        <v>24</v>
      </c>
      <c r="B5" s="60"/>
      <c r="C5" s="60"/>
      <c r="D5" s="61" t="s">
        <v>2</v>
      </c>
      <c r="E5" s="61"/>
      <c r="F5" s="61"/>
      <c r="G5" s="62" t="s">
        <v>26</v>
      </c>
      <c r="H5" s="62"/>
      <c r="I5" s="63" t="n">
        <v>45901</v>
      </c>
      <c r="J5" s="63"/>
      <c r="K5" s="63"/>
      <c r="L5" s="63"/>
      <c r="M5" s="63"/>
      <c r="N5" s="63"/>
      <c r="O5" s="63"/>
      <c r="P5" s="64" t="n">
        <f aca="false">I6</f>
        <v>45930</v>
      </c>
      <c r="Q5" s="64"/>
      <c r="R5" s="62" t="s">
        <v>27</v>
      </c>
      <c r="S5" s="62"/>
      <c r="T5" s="65" t="s">
        <v>28</v>
      </c>
      <c r="U5" s="65"/>
      <c r="V5" s="65"/>
      <c r="W5" s="65"/>
      <c r="X5" s="384" t="s">
        <v>141</v>
      </c>
      <c r="Y5" s="384"/>
      <c r="Z5" s="384"/>
      <c r="AA5" s="384"/>
      <c r="AB5" s="384"/>
      <c r="AC5" s="384"/>
      <c r="AD5" s="384"/>
      <c r="AE5" s="384"/>
      <c r="AF5" s="67"/>
      <c r="AG5" s="46"/>
      <c r="AH5" s="46"/>
      <c r="AI5" s="46"/>
      <c r="AJ5" s="72"/>
      <c r="AK5" s="385"/>
      <c r="AL5" s="379"/>
      <c r="AM5" s="379"/>
      <c r="AN5" s="379"/>
      <c r="AO5" s="50"/>
      <c r="AP5" s="50"/>
      <c r="AQ5" s="50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  <c r="BS5" s="72"/>
      <c r="BT5" s="72"/>
      <c r="BU5" s="72"/>
      <c r="BV5" s="72"/>
      <c r="BW5" s="72"/>
      <c r="BX5" s="72"/>
      <c r="BY5" s="72"/>
      <c r="BZ5" s="72"/>
      <c r="CA5" s="72"/>
      <c r="CB5" s="72"/>
      <c r="CC5" s="72"/>
      <c r="CD5" s="72"/>
      <c r="CE5" s="72"/>
      <c r="CF5" s="72"/>
      <c r="CG5" s="72"/>
      <c r="CH5" s="72"/>
      <c r="CI5" s="72"/>
      <c r="CJ5" s="72"/>
      <c r="CK5" s="72"/>
      <c r="CL5" s="72"/>
      <c r="CM5" s="72"/>
      <c r="CN5" s="72"/>
      <c r="CO5" s="72"/>
      <c r="CP5" s="72"/>
      <c r="CQ5" s="72"/>
      <c r="CR5" s="72"/>
      <c r="CS5" s="72"/>
      <c r="CT5" s="72"/>
      <c r="CU5" s="72"/>
      <c r="CV5" s="72"/>
      <c r="CW5" s="72"/>
      <c r="CX5" s="72"/>
      <c r="CY5" s="72"/>
      <c r="CZ5" s="72"/>
      <c r="DA5" s="72"/>
      <c r="DB5" s="72"/>
      <c r="DC5" s="72"/>
      <c r="DD5" s="72"/>
      <c r="DE5" s="72"/>
      <c r="DF5" s="72"/>
      <c r="DG5" s="72"/>
      <c r="DH5" s="72"/>
      <c r="DI5" s="72"/>
      <c r="DJ5" s="72"/>
      <c r="DK5" s="72"/>
      <c r="DL5" s="72"/>
      <c r="DM5" s="72"/>
      <c r="DN5" s="72"/>
      <c r="DO5" s="72"/>
      <c r="DP5" s="72"/>
      <c r="DQ5" s="72"/>
      <c r="DR5" s="72"/>
      <c r="DS5" s="72"/>
      <c r="DT5" s="72"/>
      <c r="DU5" s="72"/>
      <c r="DV5" s="72"/>
      <c r="DW5" s="72"/>
      <c r="DX5" s="72"/>
      <c r="DY5" s="72"/>
      <c r="DZ5" s="72"/>
      <c r="EA5" s="72"/>
      <c r="EB5" s="72"/>
      <c r="EC5" s="72"/>
      <c r="ED5" s="72"/>
      <c r="EE5" s="72"/>
      <c r="EF5" s="72"/>
      <c r="EG5" s="72"/>
      <c r="EH5" s="72"/>
      <c r="EI5" s="72"/>
      <c r="EJ5" s="72"/>
      <c r="EK5" s="72"/>
      <c r="EL5" s="72"/>
      <c r="EM5" s="72"/>
      <c r="EN5" s="72"/>
      <c r="EO5" s="72"/>
      <c r="EP5" s="72"/>
      <c r="EQ5" s="72"/>
      <c r="ER5" s="72"/>
      <c r="ES5" s="72"/>
      <c r="ET5" s="72"/>
      <c r="EU5" s="72"/>
      <c r="EV5" s="72"/>
      <c r="EW5" s="72"/>
      <c r="EX5" s="72"/>
      <c r="EY5" s="72"/>
      <c r="EZ5" s="72"/>
      <c r="FA5" s="72"/>
      <c r="FB5" s="72"/>
      <c r="FC5" s="72"/>
      <c r="FD5" s="72"/>
      <c r="FE5" s="72"/>
      <c r="FF5" s="72"/>
      <c r="FG5" s="72"/>
      <c r="FH5" s="72"/>
      <c r="FI5" s="72"/>
      <c r="FJ5" s="72"/>
      <c r="FK5" s="72"/>
      <c r="FL5" s="72"/>
      <c r="FM5" s="72"/>
      <c r="FN5" s="72"/>
      <c r="FO5" s="72"/>
      <c r="FP5" s="72"/>
      <c r="FQ5" s="72"/>
      <c r="FR5" s="72"/>
      <c r="FS5" s="72"/>
      <c r="FT5" s="72"/>
      <c r="FU5" s="72"/>
      <c r="FV5" s="72"/>
      <c r="FW5" s="72"/>
      <c r="FX5" s="72"/>
      <c r="FY5" s="72"/>
      <c r="FZ5" s="72"/>
      <c r="GA5" s="72"/>
      <c r="GB5" s="72"/>
      <c r="GC5" s="72"/>
      <c r="GD5" s="72"/>
      <c r="GE5" s="72"/>
      <c r="GF5" s="72"/>
      <c r="GG5" s="72"/>
      <c r="GH5" s="72"/>
      <c r="GI5" s="72"/>
      <c r="GJ5" s="72"/>
      <c r="GK5" s="72"/>
      <c r="GL5" s="72"/>
      <c r="GM5" s="72"/>
      <c r="GN5" s="72"/>
      <c r="GO5" s="72"/>
      <c r="GP5" s="72"/>
      <c r="GQ5" s="72"/>
      <c r="GR5" s="72"/>
      <c r="GS5" s="72"/>
      <c r="GT5" s="72"/>
      <c r="GU5" s="72"/>
      <c r="GV5" s="72"/>
      <c r="GW5" s="72"/>
      <c r="GX5" s="72"/>
      <c r="GY5" s="72"/>
      <c r="GZ5" s="72"/>
      <c r="HA5" s="72"/>
      <c r="HB5" s="72"/>
      <c r="HC5" s="72"/>
      <c r="HD5" s="72"/>
      <c r="HE5" s="72"/>
      <c r="HF5" s="72"/>
      <c r="HG5" s="72"/>
      <c r="HH5" s="72"/>
      <c r="HI5" s="72"/>
      <c r="HJ5" s="72"/>
      <c r="HK5" s="72"/>
      <c r="HL5" s="72"/>
      <c r="HM5" s="72"/>
      <c r="HN5" s="72"/>
      <c r="HO5" s="72"/>
      <c r="HP5" s="72"/>
      <c r="HQ5" s="72"/>
      <c r="HR5" s="72"/>
      <c r="HS5" s="72"/>
      <c r="HT5" s="72"/>
      <c r="HU5" s="72"/>
      <c r="HV5" s="72"/>
      <c r="HW5" s="72"/>
      <c r="HX5" s="72"/>
      <c r="HY5" s="72"/>
      <c r="HZ5" s="72"/>
      <c r="IA5" s="72"/>
      <c r="IB5" s="72"/>
      <c r="IC5" s="72"/>
      <c r="ID5" s="72"/>
      <c r="IE5" s="72"/>
      <c r="IF5" s="72"/>
      <c r="IG5" s="72"/>
      <c r="IH5" s="72"/>
      <c r="II5" s="72"/>
      <c r="IJ5" s="72"/>
      <c r="IK5" s="72"/>
      <c r="IL5" s="72"/>
      <c r="IM5" s="72"/>
      <c r="IN5" s="72"/>
      <c r="IO5" s="72"/>
      <c r="IP5" s="72"/>
      <c r="IQ5" s="72"/>
      <c r="IR5" s="72"/>
      <c r="IS5" s="72"/>
      <c r="IT5" s="72"/>
      <c r="IU5" s="72"/>
      <c r="IV5" s="72"/>
      <c r="IW5" s="73"/>
    </row>
    <row r="6" customFormat="false" ht="15.75" hidden="false" customHeight="true" outlineLevel="0" collapsed="false">
      <c r="A6" s="60"/>
      <c r="B6" s="60"/>
      <c r="C6" s="60"/>
      <c r="D6" s="61"/>
      <c r="E6" s="61"/>
      <c r="F6" s="61"/>
      <c r="G6" s="62"/>
      <c r="H6" s="62"/>
      <c r="I6" s="74" t="n">
        <v>45930</v>
      </c>
      <c r="J6" s="74"/>
      <c r="K6" s="74"/>
      <c r="L6" s="74"/>
      <c r="M6" s="74"/>
      <c r="N6" s="74"/>
      <c r="O6" s="74"/>
      <c r="P6" s="64"/>
      <c r="Q6" s="64"/>
      <c r="R6" s="62"/>
      <c r="S6" s="62"/>
      <c r="T6" s="75" t="s">
        <v>29</v>
      </c>
      <c r="U6" s="75"/>
      <c r="V6" s="75"/>
      <c r="W6" s="75"/>
      <c r="X6" s="76"/>
      <c r="Y6" s="76"/>
      <c r="Z6" s="76"/>
      <c r="AA6" s="76"/>
      <c r="AB6" s="76"/>
      <c r="AC6" s="76"/>
      <c r="AD6" s="76"/>
      <c r="AE6" s="76"/>
      <c r="AF6" s="77"/>
      <c r="AG6" s="46"/>
      <c r="AH6" s="46"/>
      <c r="AI6" s="46"/>
      <c r="AJ6" s="72"/>
      <c r="AK6" s="385"/>
      <c r="AL6" s="379"/>
      <c r="AM6" s="379"/>
      <c r="AN6" s="379"/>
      <c r="AO6" s="50"/>
      <c r="AP6" s="50"/>
      <c r="AQ6" s="50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72"/>
      <c r="CW6" s="72"/>
      <c r="CX6" s="72"/>
      <c r="CY6" s="72"/>
      <c r="CZ6" s="72"/>
      <c r="DA6" s="72"/>
      <c r="DB6" s="72"/>
      <c r="DC6" s="72"/>
      <c r="DD6" s="72"/>
      <c r="DE6" s="72"/>
      <c r="DF6" s="72"/>
      <c r="DG6" s="72"/>
      <c r="DH6" s="72"/>
      <c r="DI6" s="72"/>
      <c r="DJ6" s="72"/>
      <c r="DK6" s="72"/>
      <c r="DL6" s="72"/>
      <c r="DM6" s="72"/>
      <c r="DN6" s="72"/>
      <c r="DO6" s="72"/>
      <c r="DP6" s="72"/>
      <c r="DQ6" s="72"/>
      <c r="DR6" s="72"/>
      <c r="DS6" s="72"/>
      <c r="DT6" s="72"/>
      <c r="DU6" s="72"/>
      <c r="DV6" s="72"/>
      <c r="DW6" s="72"/>
      <c r="DX6" s="72"/>
      <c r="DY6" s="72"/>
      <c r="DZ6" s="72"/>
      <c r="EA6" s="72"/>
      <c r="EB6" s="72"/>
      <c r="EC6" s="72"/>
      <c r="ED6" s="72"/>
      <c r="EE6" s="72"/>
      <c r="EF6" s="72"/>
      <c r="EG6" s="72"/>
      <c r="EH6" s="72"/>
      <c r="EI6" s="72"/>
      <c r="EJ6" s="72"/>
      <c r="EK6" s="72"/>
      <c r="EL6" s="72"/>
      <c r="EM6" s="72"/>
      <c r="EN6" s="72"/>
      <c r="EO6" s="72"/>
      <c r="EP6" s="72"/>
      <c r="EQ6" s="72"/>
      <c r="ER6" s="72"/>
      <c r="ES6" s="72"/>
      <c r="ET6" s="72"/>
      <c r="EU6" s="72"/>
      <c r="EV6" s="72"/>
      <c r="EW6" s="72"/>
      <c r="EX6" s="72"/>
      <c r="EY6" s="72"/>
      <c r="EZ6" s="72"/>
      <c r="FA6" s="72"/>
      <c r="FB6" s="72"/>
      <c r="FC6" s="72"/>
      <c r="FD6" s="72"/>
      <c r="FE6" s="72"/>
      <c r="FF6" s="72"/>
      <c r="FG6" s="72"/>
      <c r="FH6" s="72"/>
      <c r="FI6" s="72"/>
      <c r="FJ6" s="72"/>
      <c r="FK6" s="72"/>
      <c r="FL6" s="72"/>
      <c r="FM6" s="72"/>
      <c r="FN6" s="72"/>
      <c r="FO6" s="72"/>
      <c r="FP6" s="72"/>
      <c r="FQ6" s="72"/>
      <c r="FR6" s="72"/>
      <c r="FS6" s="72"/>
      <c r="FT6" s="72"/>
      <c r="FU6" s="72"/>
      <c r="FV6" s="72"/>
      <c r="FW6" s="72"/>
      <c r="FX6" s="72"/>
      <c r="FY6" s="72"/>
      <c r="FZ6" s="72"/>
      <c r="GA6" s="72"/>
      <c r="GB6" s="72"/>
      <c r="GC6" s="72"/>
      <c r="GD6" s="72"/>
      <c r="GE6" s="72"/>
      <c r="GF6" s="72"/>
      <c r="GG6" s="72"/>
      <c r="GH6" s="72"/>
      <c r="GI6" s="72"/>
      <c r="GJ6" s="72"/>
      <c r="GK6" s="72"/>
      <c r="GL6" s="72"/>
      <c r="GM6" s="72"/>
      <c r="GN6" s="72"/>
      <c r="GO6" s="72"/>
      <c r="GP6" s="72"/>
      <c r="GQ6" s="72"/>
      <c r="GR6" s="72"/>
      <c r="GS6" s="72"/>
      <c r="GT6" s="72"/>
      <c r="GU6" s="72"/>
      <c r="GV6" s="72"/>
      <c r="GW6" s="72"/>
      <c r="GX6" s="72"/>
      <c r="GY6" s="72"/>
      <c r="GZ6" s="72"/>
      <c r="HA6" s="72"/>
      <c r="HB6" s="72"/>
      <c r="HC6" s="72"/>
      <c r="HD6" s="72"/>
      <c r="HE6" s="72"/>
      <c r="HF6" s="72"/>
      <c r="HG6" s="72"/>
      <c r="HH6" s="72"/>
      <c r="HI6" s="72"/>
      <c r="HJ6" s="72"/>
      <c r="HK6" s="72"/>
      <c r="HL6" s="72"/>
      <c r="HM6" s="72"/>
      <c r="HN6" s="72"/>
      <c r="HO6" s="72"/>
      <c r="HP6" s="72"/>
      <c r="HQ6" s="72"/>
      <c r="HR6" s="72"/>
      <c r="HS6" s="72"/>
      <c r="HT6" s="72"/>
      <c r="HU6" s="72"/>
      <c r="HV6" s="72"/>
      <c r="HW6" s="72"/>
      <c r="HX6" s="72"/>
      <c r="HY6" s="72"/>
      <c r="HZ6" s="72"/>
      <c r="IA6" s="72"/>
      <c r="IB6" s="72"/>
      <c r="IC6" s="72"/>
      <c r="ID6" s="72"/>
      <c r="IE6" s="72"/>
      <c r="IF6" s="72"/>
      <c r="IG6" s="72"/>
      <c r="IH6" s="72"/>
      <c r="II6" s="72"/>
      <c r="IJ6" s="72"/>
      <c r="IK6" s="72"/>
      <c r="IL6" s="72"/>
      <c r="IM6" s="72"/>
      <c r="IN6" s="72"/>
      <c r="IO6" s="72"/>
      <c r="IP6" s="72"/>
      <c r="IQ6" s="72"/>
      <c r="IR6" s="72"/>
      <c r="IS6" s="72"/>
      <c r="IT6" s="72"/>
      <c r="IU6" s="72"/>
      <c r="IV6" s="72"/>
      <c r="IW6" s="73"/>
    </row>
    <row r="7" customFormat="false" ht="18" hidden="false" customHeight="true" outlineLevel="0" collapsed="false">
      <c r="A7" s="78" t="s">
        <v>30</v>
      </c>
      <c r="B7" s="80" t="s">
        <v>142</v>
      </c>
      <c r="C7" s="79" t="s">
        <v>31</v>
      </c>
      <c r="D7" s="79" t="s">
        <v>32</v>
      </c>
      <c r="E7" s="80" t="s">
        <v>33</v>
      </c>
      <c r="F7" s="79" t="s">
        <v>34</v>
      </c>
      <c r="G7" s="79" t="s">
        <v>35</v>
      </c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80" t="s">
        <v>36</v>
      </c>
      <c r="X7" s="81" t="s">
        <v>37</v>
      </c>
      <c r="Y7" s="81" t="s">
        <v>38</v>
      </c>
      <c r="Z7" s="81"/>
      <c r="AA7" s="81"/>
      <c r="AB7" s="82" t="s">
        <v>39</v>
      </c>
      <c r="AC7" s="80" t="s">
        <v>40</v>
      </c>
      <c r="AD7" s="83" t="s">
        <v>41</v>
      </c>
      <c r="AE7" s="83"/>
      <c r="AF7" s="84" t="s">
        <v>42</v>
      </c>
      <c r="AG7" s="85"/>
      <c r="AH7" s="85"/>
      <c r="AI7" s="85"/>
      <c r="AJ7" s="85"/>
      <c r="AK7" s="85"/>
      <c r="AL7" s="85"/>
      <c r="AM7" s="85"/>
      <c r="AN7" s="85"/>
      <c r="AO7" s="50"/>
      <c r="AP7" s="50"/>
      <c r="AQ7" s="50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  <c r="BT7" s="85"/>
      <c r="BU7" s="85"/>
      <c r="BV7" s="85"/>
      <c r="BW7" s="85"/>
      <c r="BX7" s="85"/>
      <c r="BY7" s="85"/>
      <c r="BZ7" s="85"/>
      <c r="CA7" s="85"/>
      <c r="CB7" s="85"/>
      <c r="CC7" s="85"/>
      <c r="CD7" s="85"/>
      <c r="CE7" s="85"/>
      <c r="CF7" s="85"/>
      <c r="CG7" s="85"/>
      <c r="CH7" s="85"/>
      <c r="CI7" s="85"/>
      <c r="CJ7" s="85"/>
      <c r="CK7" s="85"/>
      <c r="CL7" s="85"/>
      <c r="CM7" s="85"/>
      <c r="CN7" s="85"/>
      <c r="CO7" s="85"/>
      <c r="CP7" s="85"/>
      <c r="CQ7" s="85"/>
      <c r="CR7" s="85"/>
      <c r="CS7" s="85"/>
      <c r="CT7" s="85"/>
      <c r="CU7" s="85"/>
      <c r="CV7" s="85"/>
      <c r="CW7" s="85"/>
      <c r="CX7" s="85"/>
      <c r="CY7" s="85"/>
      <c r="CZ7" s="85"/>
      <c r="DA7" s="85"/>
      <c r="DB7" s="85"/>
      <c r="DC7" s="85"/>
      <c r="DD7" s="85"/>
      <c r="DE7" s="85"/>
      <c r="DF7" s="85"/>
      <c r="DG7" s="85"/>
      <c r="DH7" s="85"/>
      <c r="DI7" s="85"/>
      <c r="DJ7" s="85"/>
      <c r="DK7" s="85"/>
      <c r="DL7" s="85"/>
      <c r="DM7" s="85"/>
      <c r="DN7" s="85"/>
      <c r="DO7" s="85"/>
      <c r="DP7" s="85"/>
      <c r="DQ7" s="85"/>
      <c r="DR7" s="85"/>
      <c r="DS7" s="85"/>
      <c r="DT7" s="85"/>
      <c r="DU7" s="85"/>
      <c r="DV7" s="85"/>
      <c r="DW7" s="85"/>
      <c r="DX7" s="85"/>
      <c r="DY7" s="85"/>
      <c r="DZ7" s="85"/>
      <c r="EA7" s="85"/>
      <c r="EB7" s="85"/>
      <c r="EC7" s="85"/>
      <c r="ED7" s="85"/>
      <c r="EE7" s="85"/>
      <c r="EF7" s="85"/>
      <c r="EG7" s="85"/>
      <c r="EH7" s="85"/>
      <c r="EI7" s="85"/>
      <c r="EJ7" s="85"/>
      <c r="EK7" s="85"/>
      <c r="EL7" s="85"/>
      <c r="EM7" s="85"/>
      <c r="EN7" s="85"/>
      <c r="EO7" s="85"/>
      <c r="EP7" s="85"/>
      <c r="EQ7" s="85"/>
      <c r="ER7" s="85"/>
      <c r="ES7" s="85"/>
      <c r="ET7" s="85"/>
      <c r="EU7" s="85"/>
      <c r="EV7" s="85"/>
      <c r="EW7" s="85"/>
      <c r="EX7" s="85"/>
      <c r="EY7" s="85"/>
      <c r="EZ7" s="85"/>
      <c r="FA7" s="85"/>
      <c r="FB7" s="85"/>
      <c r="FC7" s="85"/>
      <c r="FD7" s="85"/>
      <c r="FE7" s="85"/>
      <c r="FF7" s="85"/>
      <c r="FG7" s="85"/>
      <c r="FH7" s="85"/>
      <c r="FI7" s="85"/>
      <c r="FJ7" s="85"/>
      <c r="FK7" s="85"/>
      <c r="FL7" s="85"/>
      <c r="FM7" s="85"/>
      <c r="FN7" s="85"/>
      <c r="FO7" s="85"/>
      <c r="FP7" s="85"/>
      <c r="FQ7" s="85"/>
      <c r="FR7" s="85"/>
      <c r="FS7" s="85"/>
      <c r="FT7" s="85"/>
      <c r="FU7" s="85"/>
      <c r="FV7" s="85"/>
      <c r="FW7" s="85"/>
      <c r="FX7" s="85"/>
      <c r="FY7" s="85"/>
      <c r="FZ7" s="85"/>
      <c r="GA7" s="85"/>
      <c r="GB7" s="85"/>
      <c r="GC7" s="85"/>
      <c r="GD7" s="85"/>
      <c r="GE7" s="85"/>
      <c r="GF7" s="85"/>
      <c r="GG7" s="85"/>
      <c r="GH7" s="85"/>
      <c r="GI7" s="85"/>
      <c r="GJ7" s="85"/>
      <c r="GK7" s="85"/>
      <c r="GL7" s="85"/>
      <c r="GM7" s="85"/>
      <c r="GN7" s="85"/>
      <c r="GO7" s="85"/>
      <c r="GP7" s="85"/>
      <c r="GQ7" s="85"/>
      <c r="GR7" s="85"/>
      <c r="GS7" s="85"/>
      <c r="GT7" s="85"/>
      <c r="GU7" s="85"/>
      <c r="GV7" s="85"/>
      <c r="GW7" s="85"/>
      <c r="GX7" s="85"/>
      <c r="GY7" s="85"/>
      <c r="GZ7" s="85"/>
      <c r="HA7" s="85"/>
      <c r="HB7" s="85"/>
      <c r="HC7" s="85"/>
      <c r="HD7" s="85"/>
      <c r="HE7" s="85"/>
      <c r="HF7" s="85"/>
      <c r="HG7" s="85"/>
      <c r="HH7" s="85"/>
      <c r="HI7" s="85"/>
      <c r="HJ7" s="85"/>
      <c r="HK7" s="85"/>
      <c r="HL7" s="85"/>
      <c r="HM7" s="85"/>
      <c r="HN7" s="85"/>
      <c r="HO7" s="85"/>
      <c r="HP7" s="85"/>
      <c r="HQ7" s="85"/>
      <c r="HR7" s="85"/>
      <c r="HS7" s="85"/>
      <c r="HT7" s="85"/>
      <c r="HU7" s="85"/>
      <c r="HV7" s="85"/>
      <c r="HW7" s="85"/>
      <c r="HX7" s="85"/>
      <c r="HY7" s="85"/>
      <c r="HZ7" s="85"/>
      <c r="IA7" s="85"/>
      <c r="IB7" s="85"/>
      <c r="IC7" s="85"/>
      <c r="ID7" s="85"/>
      <c r="IE7" s="85"/>
      <c r="IF7" s="85"/>
      <c r="IG7" s="85"/>
      <c r="IH7" s="85"/>
      <c r="II7" s="85"/>
      <c r="IJ7" s="85"/>
      <c r="IK7" s="85"/>
      <c r="IL7" s="85"/>
      <c r="IM7" s="85"/>
      <c r="IN7" s="85"/>
      <c r="IO7" s="85"/>
      <c r="IP7" s="85"/>
      <c r="IQ7" s="85"/>
      <c r="IR7" s="85"/>
      <c r="IS7" s="85"/>
      <c r="IT7" s="85"/>
      <c r="IU7" s="85"/>
      <c r="IV7" s="85"/>
      <c r="IW7" s="86"/>
    </row>
    <row r="8" customFormat="false" ht="18" hidden="false" customHeight="true" outlineLevel="0" collapsed="false">
      <c r="A8" s="78"/>
      <c r="B8" s="80"/>
      <c r="C8" s="80"/>
      <c r="D8" s="80"/>
      <c r="E8" s="80"/>
      <c r="F8" s="80"/>
      <c r="G8" s="386" t="n">
        <v>1</v>
      </c>
      <c r="H8" s="386" t="n">
        <v>2</v>
      </c>
      <c r="I8" s="386" t="n">
        <v>3</v>
      </c>
      <c r="J8" s="386" t="n">
        <v>4</v>
      </c>
      <c r="K8" s="386" t="n">
        <v>5</v>
      </c>
      <c r="L8" s="89" t="n">
        <v>6</v>
      </c>
      <c r="M8" s="88" t="n">
        <v>7</v>
      </c>
      <c r="N8" s="386" t="n">
        <v>8</v>
      </c>
      <c r="O8" s="386" t="n">
        <v>9</v>
      </c>
      <c r="P8" s="386" t="n">
        <v>10</v>
      </c>
      <c r="Q8" s="386" t="n">
        <v>11</v>
      </c>
      <c r="R8" s="386" t="n">
        <v>12</v>
      </c>
      <c r="S8" s="89" t="n">
        <v>13</v>
      </c>
      <c r="T8" s="88" t="n">
        <v>14</v>
      </c>
      <c r="U8" s="386" t="n">
        <v>15</v>
      </c>
      <c r="V8" s="387"/>
      <c r="W8" s="80"/>
      <c r="X8" s="91" t="s">
        <v>43</v>
      </c>
      <c r="Y8" s="92" t="s">
        <v>44</v>
      </c>
      <c r="Z8" s="92" t="s">
        <v>10</v>
      </c>
      <c r="AA8" s="92" t="s">
        <v>9</v>
      </c>
      <c r="AB8" s="82"/>
      <c r="AC8" s="80"/>
      <c r="AD8" s="91" t="s">
        <v>45</v>
      </c>
      <c r="AE8" s="93" t="s">
        <v>46</v>
      </c>
      <c r="AF8" s="84"/>
      <c r="AG8" s="94"/>
      <c r="AH8" s="94"/>
      <c r="AI8" s="95"/>
      <c r="AJ8" s="96" t="n">
        <v>1</v>
      </c>
      <c r="AK8" s="97" t="n">
        <v>2</v>
      </c>
      <c r="AL8" s="97" t="n">
        <v>3</v>
      </c>
      <c r="AM8" s="97" t="n">
        <v>4</v>
      </c>
      <c r="AN8" s="97" t="n">
        <v>5</v>
      </c>
      <c r="AO8" s="97" t="n">
        <v>6</v>
      </c>
      <c r="AP8" s="97" t="n">
        <v>7</v>
      </c>
      <c r="AQ8" s="97" t="n">
        <v>8</v>
      </c>
      <c r="AR8" s="97" t="n">
        <v>9</v>
      </c>
      <c r="AS8" s="97" t="n">
        <v>10</v>
      </c>
      <c r="AT8" s="97" t="n">
        <v>11</v>
      </c>
      <c r="AU8" s="97" t="n">
        <v>12</v>
      </c>
      <c r="AV8" s="97" t="n">
        <v>13</v>
      </c>
      <c r="AW8" s="97" t="n">
        <v>14</v>
      </c>
      <c r="AX8" s="97" t="n">
        <v>15</v>
      </c>
      <c r="AY8" s="98"/>
      <c r="AZ8" s="99" t="s">
        <v>47</v>
      </c>
      <c r="BA8" s="100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5"/>
      <c r="BQ8" s="95"/>
      <c r="BR8" s="95"/>
      <c r="BS8" s="95"/>
      <c r="BT8" s="95"/>
      <c r="BU8" s="95"/>
      <c r="BV8" s="95"/>
      <c r="BW8" s="95"/>
      <c r="BX8" s="95"/>
      <c r="BY8" s="95"/>
      <c r="BZ8" s="95"/>
      <c r="CA8" s="95"/>
      <c r="CB8" s="95"/>
      <c r="CC8" s="95"/>
      <c r="CD8" s="95"/>
      <c r="CE8" s="95"/>
      <c r="CF8" s="95"/>
      <c r="CG8" s="95"/>
      <c r="CH8" s="95"/>
      <c r="CI8" s="95"/>
      <c r="CJ8" s="95"/>
      <c r="CK8" s="95"/>
      <c r="CL8" s="95"/>
      <c r="CM8" s="95"/>
      <c r="CN8" s="95"/>
      <c r="CO8" s="95"/>
      <c r="CP8" s="95"/>
      <c r="CQ8" s="95"/>
      <c r="CR8" s="95"/>
      <c r="CS8" s="95"/>
      <c r="CT8" s="95"/>
      <c r="CU8" s="95"/>
      <c r="CV8" s="95"/>
      <c r="CW8" s="95"/>
      <c r="CX8" s="95"/>
      <c r="CY8" s="95"/>
      <c r="CZ8" s="95"/>
      <c r="DA8" s="95"/>
      <c r="DB8" s="95"/>
      <c r="DC8" s="95"/>
      <c r="DD8" s="95"/>
      <c r="DE8" s="95"/>
      <c r="DF8" s="95"/>
      <c r="DG8" s="95"/>
      <c r="DH8" s="95"/>
      <c r="DI8" s="95"/>
      <c r="DJ8" s="95"/>
      <c r="DK8" s="95"/>
      <c r="DL8" s="95"/>
      <c r="DM8" s="95"/>
      <c r="DN8" s="95"/>
      <c r="DO8" s="95"/>
      <c r="DP8" s="95"/>
      <c r="DQ8" s="95"/>
      <c r="DR8" s="95"/>
      <c r="DS8" s="95"/>
      <c r="DT8" s="95"/>
      <c r="DU8" s="95"/>
      <c r="DV8" s="95"/>
      <c r="DW8" s="95"/>
      <c r="DX8" s="95"/>
      <c r="DY8" s="95"/>
      <c r="DZ8" s="95"/>
      <c r="EA8" s="95"/>
      <c r="EB8" s="95"/>
      <c r="EC8" s="95"/>
      <c r="ED8" s="95"/>
      <c r="EE8" s="95"/>
      <c r="EF8" s="95"/>
      <c r="EG8" s="95"/>
      <c r="EH8" s="95"/>
      <c r="EI8" s="95"/>
      <c r="EJ8" s="95"/>
      <c r="EK8" s="95"/>
      <c r="EL8" s="95"/>
      <c r="EM8" s="95"/>
      <c r="EN8" s="95"/>
      <c r="EO8" s="95"/>
      <c r="EP8" s="95"/>
      <c r="EQ8" s="95"/>
      <c r="ER8" s="95"/>
      <c r="ES8" s="95"/>
      <c r="ET8" s="95"/>
      <c r="EU8" s="95"/>
      <c r="EV8" s="95"/>
      <c r="EW8" s="95"/>
      <c r="EX8" s="95"/>
      <c r="EY8" s="95"/>
      <c r="EZ8" s="95"/>
      <c r="FA8" s="95"/>
      <c r="FB8" s="95"/>
      <c r="FC8" s="95"/>
      <c r="FD8" s="95"/>
      <c r="FE8" s="95"/>
      <c r="FF8" s="95"/>
      <c r="FG8" s="95"/>
      <c r="FH8" s="95"/>
      <c r="FI8" s="95"/>
      <c r="FJ8" s="95"/>
      <c r="FK8" s="95"/>
      <c r="FL8" s="95"/>
      <c r="FM8" s="95"/>
      <c r="FN8" s="95"/>
      <c r="FO8" s="95"/>
      <c r="FP8" s="95"/>
      <c r="FQ8" s="95"/>
      <c r="FR8" s="95"/>
      <c r="FS8" s="95"/>
      <c r="FT8" s="95"/>
      <c r="FU8" s="95"/>
      <c r="FV8" s="95"/>
      <c r="FW8" s="95"/>
      <c r="FX8" s="95"/>
      <c r="FY8" s="95"/>
      <c r="FZ8" s="95"/>
      <c r="GA8" s="95"/>
      <c r="GB8" s="95"/>
      <c r="GC8" s="95"/>
      <c r="GD8" s="95"/>
      <c r="GE8" s="95"/>
      <c r="GF8" s="95"/>
      <c r="GG8" s="95"/>
      <c r="GH8" s="95"/>
      <c r="GI8" s="95"/>
      <c r="GJ8" s="95"/>
      <c r="GK8" s="95"/>
      <c r="GL8" s="95"/>
      <c r="GM8" s="95"/>
      <c r="GN8" s="95"/>
      <c r="GO8" s="95"/>
      <c r="GP8" s="95"/>
      <c r="GQ8" s="95"/>
      <c r="GR8" s="95"/>
      <c r="GS8" s="95"/>
      <c r="GT8" s="95"/>
      <c r="GU8" s="95"/>
      <c r="GV8" s="95"/>
      <c r="GW8" s="95"/>
      <c r="GX8" s="95"/>
      <c r="GY8" s="95"/>
      <c r="GZ8" s="95"/>
      <c r="HA8" s="95"/>
      <c r="HB8" s="95"/>
      <c r="HC8" s="95"/>
      <c r="HD8" s="95"/>
      <c r="HE8" s="95"/>
      <c r="HF8" s="95"/>
      <c r="HG8" s="95"/>
      <c r="HH8" s="95"/>
      <c r="HI8" s="95"/>
      <c r="HJ8" s="95"/>
      <c r="HK8" s="95"/>
      <c r="HL8" s="95"/>
      <c r="HM8" s="95"/>
      <c r="HN8" s="95"/>
      <c r="HO8" s="95"/>
      <c r="HP8" s="95"/>
      <c r="HQ8" s="95"/>
      <c r="HR8" s="95"/>
      <c r="HS8" s="95"/>
      <c r="HT8" s="95"/>
      <c r="HU8" s="95"/>
      <c r="HV8" s="95"/>
      <c r="HW8" s="95"/>
      <c r="HX8" s="95"/>
      <c r="HY8" s="95"/>
      <c r="HZ8" s="95"/>
      <c r="IA8" s="95"/>
      <c r="IB8" s="95"/>
      <c r="IC8" s="95"/>
      <c r="ID8" s="95"/>
      <c r="IE8" s="95"/>
      <c r="IF8" s="95"/>
      <c r="IG8" s="95"/>
      <c r="IH8" s="95"/>
      <c r="II8" s="95"/>
      <c r="IJ8" s="95"/>
      <c r="IK8" s="95"/>
      <c r="IL8" s="95"/>
      <c r="IM8" s="95"/>
      <c r="IN8" s="95"/>
      <c r="IO8" s="95"/>
      <c r="IP8" s="95"/>
      <c r="IQ8" s="95"/>
      <c r="IR8" s="101"/>
      <c r="IS8" s="101"/>
      <c r="IT8" s="101"/>
      <c r="IU8" s="101"/>
      <c r="IV8" s="101"/>
      <c r="IW8" s="101"/>
    </row>
    <row r="9" customFormat="false" ht="17.25" hidden="false" customHeight="true" outlineLevel="0" collapsed="false">
      <c r="A9" s="78"/>
      <c r="B9" s="80"/>
      <c r="C9" s="80"/>
      <c r="D9" s="80"/>
      <c r="E9" s="80"/>
      <c r="F9" s="102" t="s">
        <v>48</v>
      </c>
      <c r="G9" s="386" t="n">
        <v>16</v>
      </c>
      <c r="H9" s="386" t="n">
        <v>17</v>
      </c>
      <c r="I9" s="386" t="n">
        <v>18</v>
      </c>
      <c r="J9" s="386" t="n">
        <v>19</v>
      </c>
      <c r="K9" s="89" t="n">
        <v>20</v>
      </c>
      <c r="L9" s="88" t="n">
        <v>21</v>
      </c>
      <c r="M9" s="386" t="n">
        <v>22</v>
      </c>
      <c r="N9" s="386" t="n">
        <v>23</v>
      </c>
      <c r="O9" s="386" t="n">
        <v>24</v>
      </c>
      <c r="P9" s="386" t="n">
        <v>25</v>
      </c>
      <c r="Q9" s="388" t="n">
        <v>26</v>
      </c>
      <c r="R9" s="89" t="n">
        <v>27</v>
      </c>
      <c r="S9" s="88" t="n">
        <v>28</v>
      </c>
      <c r="T9" s="386" t="n">
        <v>29</v>
      </c>
      <c r="U9" s="386" t="n">
        <v>30</v>
      </c>
      <c r="V9" s="387"/>
      <c r="W9" s="80"/>
      <c r="X9" s="91" t="s">
        <v>49</v>
      </c>
      <c r="Y9" s="92" t="s">
        <v>12</v>
      </c>
      <c r="Z9" s="92" t="s">
        <v>13</v>
      </c>
      <c r="AA9" s="92" t="s">
        <v>11</v>
      </c>
      <c r="AB9" s="82"/>
      <c r="AC9" s="80"/>
      <c r="AD9" s="93" t="s">
        <v>50</v>
      </c>
      <c r="AE9" s="93"/>
      <c r="AF9" s="84"/>
      <c r="AG9" s="104" t="s">
        <v>51</v>
      </c>
      <c r="AH9" s="104" t="s">
        <v>52</v>
      </c>
      <c r="AI9" s="95"/>
      <c r="AJ9" s="105" t="n">
        <v>16</v>
      </c>
      <c r="AK9" s="106" t="n">
        <v>17</v>
      </c>
      <c r="AL9" s="106" t="n">
        <v>18</v>
      </c>
      <c r="AM9" s="106" t="n">
        <v>19</v>
      </c>
      <c r="AN9" s="106" t="n">
        <v>20</v>
      </c>
      <c r="AO9" s="106" t="n">
        <v>21</v>
      </c>
      <c r="AP9" s="106" t="n">
        <v>22</v>
      </c>
      <c r="AQ9" s="106" t="n">
        <v>23</v>
      </c>
      <c r="AR9" s="106" t="n">
        <v>24</v>
      </c>
      <c r="AS9" s="106" t="n">
        <v>25</v>
      </c>
      <c r="AT9" s="106" t="n">
        <v>26</v>
      </c>
      <c r="AU9" s="106" t="n">
        <v>27</v>
      </c>
      <c r="AV9" s="106" t="n">
        <v>28</v>
      </c>
      <c r="AW9" s="106" t="n">
        <v>29</v>
      </c>
      <c r="AX9" s="106" t="n">
        <v>30</v>
      </c>
      <c r="AY9" s="107" t="n">
        <v>31</v>
      </c>
      <c r="AZ9" s="99"/>
      <c r="BA9" s="100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5"/>
      <c r="BQ9" s="95"/>
      <c r="BR9" s="95"/>
      <c r="BS9" s="95"/>
      <c r="BT9" s="95"/>
      <c r="BU9" s="95"/>
      <c r="BV9" s="95"/>
      <c r="BW9" s="95"/>
      <c r="BX9" s="95"/>
      <c r="BY9" s="95"/>
      <c r="BZ9" s="95"/>
      <c r="CA9" s="95"/>
      <c r="CB9" s="95"/>
      <c r="CC9" s="95"/>
      <c r="CD9" s="95"/>
      <c r="CE9" s="95"/>
      <c r="CF9" s="95"/>
      <c r="CG9" s="95"/>
      <c r="CH9" s="95"/>
      <c r="CI9" s="95"/>
      <c r="CJ9" s="95"/>
      <c r="CK9" s="95"/>
      <c r="CL9" s="95"/>
      <c r="CM9" s="95"/>
      <c r="CN9" s="95"/>
      <c r="CO9" s="95"/>
      <c r="CP9" s="95"/>
      <c r="CQ9" s="95"/>
      <c r="CR9" s="95"/>
      <c r="CS9" s="95"/>
      <c r="CT9" s="95"/>
      <c r="CU9" s="95"/>
      <c r="CV9" s="95"/>
      <c r="CW9" s="95"/>
      <c r="CX9" s="95"/>
      <c r="CY9" s="95"/>
      <c r="CZ9" s="95"/>
      <c r="DA9" s="95"/>
      <c r="DB9" s="95"/>
      <c r="DC9" s="95"/>
      <c r="DD9" s="95"/>
      <c r="DE9" s="95"/>
      <c r="DF9" s="95"/>
      <c r="DG9" s="95"/>
      <c r="DH9" s="95"/>
      <c r="DI9" s="95"/>
      <c r="DJ9" s="95"/>
      <c r="DK9" s="95"/>
      <c r="DL9" s="95"/>
      <c r="DM9" s="95"/>
      <c r="DN9" s="95"/>
      <c r="DO9" s="95"/>
      <c r="DP9" s="95"/>
      <c r="DQ9" s="95"/>
      <c r="DR9" s="95"/>
      <c r="DS9" s="95"/>
      <c r="DT9" s="95"/>
      <c r="DU9" s="95"/>
      <c r="DV9" s="95"/>
      <c r="DW9" s="95"/>
      <c r="DX9" s="95"/>
      <c r="DY9" s="95"/>
      <c r="DZ9" s="95"/>
      <c r="EA9" s="95"/>
      <c r="EB9" s="95"/>
      <c r="EC9" s="95"/>
      <c r="ED9" s="95"/>
      <c r="EE9" s="95"/>
      <c r="EF9" s="95"/>
      <c r="EG9" s="95"/>
      <c r="EH9" s="95"/>
      <c r="EI9" s="95"/>
      <c r="EJ9" s="95"/>
      <c r="EK9" s="95"/>
      <c r="EL9" s="95"/>
      <c r="EM9" s="95"/>
      <c r="EN9" s="95"/>
      <c r="EO9" s="95"/>
      <c r="EP9" s="95"/>
      <c r="EQ9" s="95"/>
      <c r="ER9" s="95"/>
      <c r="ES9" s="95"/>
      <c r="ET9" s="95"/>
      <c r="EU9" s="95"/>
      <c r="EV9" s="95"/>
      <c r="EW9" s="95"/>
      <c r="EX9" s="95"/>
      <c r="EY9" s="95"/>
      <c r="EZ9" s="95"/>
      <c r="FA9" s="95"/>
      <c r="FB9" s="95"/>
      <c r="FC9" s="95"/>
      <c r="FD9" s="95"/>
      <c r="FE9" s="95"/>
      <c r="FF9" s="95"/>
      <c r="FG9" s="95"/>
      <c r="FH9" s="95"/>
      <c r="FI9" s="95"/>
      <c r="FJ9" s="95"/>
      <c r="FK9" s="95"/>
      <c r="FL9" s="95"/>
      <c r="FM9" s="95"/>
      <c r="FN9" s="95"/>
      <c r="FO9" s="95"/>
      <c r="FP9" s="95"/>
      <c r="FQ9" s="95"/>
      <c r="FR9" s="95"/>
      <c r="FS9" s="95"/>
      <c r="FT9" s="95"/>
      <c r="FU9" s="95"/>
      <c r="FV9" s="95"/>
      <c r="FW9" s="95"/>
      <c r="FX9" s="95"/>
      <c r="FY9" s="95"/>
      <c r="FZ9" s="95"/>
      <c r="GA9" s="95"/>
      <c r="GB9" s="95"/>
      <c r="GC9" s="95"/>
      <c r="GD9" s="95"/>
      <c r="GE9" s="95"/>
      <c r="GF9" s="95"/>
      <c r="GG9" s="95"/>
      <c r="GH9" s="95"/>
      <c r="GI9" s="95"/>
      <c r="GJ9" s="95"/>
      <c r="GK9" s="95"/>
      <c r="GL9" s="95"/>
      <c r="GM9" s="95"/>
      <c r="GN9" s="95"/>
      <c r="GO9" s="95"/>
      <c r="GP9" s="95"/>
      <c r="GQ9" s="95"/>
      <c r="GR9" s="95"/>
      <c r="GS9" s="95"/>
      <c r="GT9" s="95"/>
      <c r="GU9" s="95"/>
      <c r="GV9" s="95"/>
      <c r="GW9" s="95"/>
      <c r="GX9" s="95"/>
      <c r="GY9" s="95"/>
      <c r="GZ9" s="95"/>
      <c r="HA9" s="95"/>
      <c r="HB9" s="95"/>
      <c r="HC9" s="95"/>
      <c r="HD9" s="95"/>
      <c r="HE9" s="95"/>
      <c r="HF9" s="95"/>
      <c r="HG9" s="95"/>
      <c r="HH9" s="95"/>
      <c r="HI9" s="95"/>
      <c r="HJ9" s="95"/>
      <c r="HK9" s="95"/>
      <c r="HL9" s="95"/>
      <c r="HM9" s="95"/>
      <c r="HN9" s="95"/>
      <c r="HO9" s="95"/>
      <c r="HP9" s="95"/>
      <c r="HQ9" s="95"/>
      <c r="HR9" s="95"/>
      <c r="HS9" s="95"/>
      <c r="HT9" s="95"/>
      <c r="HU9" s="95"/>
      <c r="HV9" s="95"/>
      <c r="HW9" s="95"/>
      <c r="HX9" s="95"/>
      <c r="HY9" s="95"/>
      <c r="HZ9" s="95"/>
      <c r="IA9" s="95"/>
      <c r="IB9" s="95"/>
      <c r="IC9" s="95"/>
      <c r="ID9" s="95"/>
      <c r="IE9" s="95"/>
      <c r="IF9" s="95"/>
      <c r="IG9" s="95"/>
      <c r="IH9" s="95"/>
      <c r="II9" s="95"/>
      <c r="IJ9" s="95"/>
      <c r="IK9" s="95"/>
      <c r="IL9" s="95"/>
      <c r="IM9" s="95"/>
      <c r="IN9" s="95"/>
      <c r="IO9" s="95"/>
      <c r="IP9" s="95"/>
      <c r="IQ9" s="95"/>
      <c r="IR9" s="101"/>
      <c r="IS9" s="101"/>
      <c r="IT9" s="101"/>
      <c r="IU9" s="101"/>
      <c r="IV9" s="101"/>
      <c r="IW9" s="101"/>
    </row>
    <row r="10" customFormat="false" ht="12.6" hidden="false" customHeight="true" outlineLevel="0" collapsed="false">
      <c r="A10" s="108" t="n">
        <v>1</v>
      </c>
      <c r="B10" s="389" t="e">
        <f aca="false">#REF!+1</f>
        <v>#REF!</v>
      </c>
      <c r="C10" s="310" t="n">
        <f aca="false">IF(ISERROR(VLOOKUP(D10,일용직명단!$A$3:$I$104,2,FALSE())),0,VLOOKUP(D10,일용직명단!$A$3:$I$104,2,FALSE()))</f>
        <v>0</v>
      </c>
      <c r="D10" s="143" t="s">
        <v>78</v>
      </c>
      <c r="E10" s="311" t="str">
        <f aca="false">IF(ISERROR(VLOOKUP(D10,일용직명단!$A$3:$K$1246,3,FALSE())),0,VLOOKUP(D10,일용직명단!$A$3:$K$1246,3,FALSE()))</f>
        <v>640430-1449018</v>
      </c>
      <c r="F10" s="140" t="str">
        <f aca="false">IF(ISERROR(VLOOKUP(D10,일용직명단!$A$3:$K$1246,4,FALSE())),0,VLOOKUP(D10,일용직명단!$A$3:$K$1246,4,FALSE()))</f>
        <v>대전광역시 중구 보문산로245번길 3-18, 1층(문화동)</v>
      </c>
      <c r="G10" s="153"/>
      <c r="H10" s="152"/>
      <c r="I10" s="154"/>
      <c r="J10" s="181" t="n">
        <v>1</v>
      </c>
      <c r="K10" s="184" t="n">
        <v>1</v>
      </c>
      <c r="L10" s="181" t="n">
        <v>1</v>
      </c>
      <c r="M10" s="153"/>
      <c r="N10" s="184" t="n">
        <v>1</v>
      </c>
      <c r="O10" s="190" t="n">
        <v>1</v>
      </c>
      <c r="P10" s="152"/>
      <c r="Q10" s="153"/>
      <c r="R10" s="152"/>
      <c r="S10" s="154"/>
      <c r="T10" s="152"/>
      <c r="U10" s="154"/>
      <c r="V10" s="390"/>
      <c r="W10" s="120" t="n">
        <f aca="false">SUM(G10:V11)</f>
        <v>5</v>
      </c>
      <c r="X10" s="121" t="n">
        <f aca="false">IF(ISERROR(VLOOKUP(D10,일용직명단!$A$3:$K$1246,8,FALSE())),0,VLOOKUP(D10,일용직명단!$A$3:$K$1246,8,FALSE()))</f>
        <v>170000</v>
      </c>
      <c r="Y10" s="122"/>
      <c r="Z10" s="122" t="n">
        <f aca="false">IF(AF10&gt;=8,ROUNDDOWN(X11*$N$4,-1),0)</f>
        <v>0</v>
      </c>
      <c r="AA10" s="123" t="n">
        <f aca="false">IFERROR(IF(AND(COUNT(G10:V11)&gt;=8,$AH10&lt;60,X11&lt;=5530000),ROUNDDOWN(ROUNDDOWN(X11,-3)*4.5%,-1),IF(AND(COUNT(G10:V11)&gt;=8,AH10&lt;60,X11&gt;5530000),248850,0)),0)</f>
        <v>0</v>
      </c>
      <c r="AB10" s="124" t="n">
        <f aca="false">+Y10+Z10+Y11+Z11+AA10+AA11</f>
        <v>0</v>
      </c>
      <c r="AC10" s="125" t="n">
        <f aca="false">X11-AB10</f>
        <v>850000</v>
      </c>
      <c r="AD10" s="126" t="str">
        <f aca="false">IF(ISERROR(VLOOKUP(D10,일용직명단!$A$3:$I$1226,5,FALSE())),0,VLOOKUP(D10,일용직명단!$A$3:$I$1226,5,FALSE()))</f>
        <v>농협</v>
      </c>
      <c r="AE10" s="127" t="str">
        <f aca="false">IF(ISERROR(VLOOKUP(D10,일용직명단!$A$3:$I$1226,6,FALSE())),0,VLOOKUP(D10,일용직명단!$A$3:$I$1226,6,FALSE()))</f>
        <v>박원용</v>
      </c>
      <c r="AF10" s="128" t="n">
        <f aca="false">COUNT(G10:V11)</f>
        <v>5</v>
      </c>
      <c r="AG10" s="129" t="str">
        <f aca="false">IF(OR(MID(E10,8,1)="1",MID(E10,8,1)="2"),19&amp;LEFT(E10,2),20&amp;LEFT(E10,2))&amp;"-"&amp;MID(E10,3,2)&amp;"-"&amp;MID(E10,5,2)</f>
        <v>1964-04-30</v>
      </c>
      <c r="AH10" s="129" t="n">
        <f aca="true">INT((TODAY()-AG10)/365.25)</f>
        <v>61</v>
      </c>
      <c r="AI10" s="130" t="n">
        <f aca="false">ROUNDDOWN(SUM(AJ10:AY11),-1)</f>
        <v>2700</v>
      </c>
      <c r="AJ10" s="130" t="n">
        <f aca="false">IF($X10*G10&gt;150000,($X10*G10-150000)*6%*45%,0)</f>
        <v>0</v>
      </c>
      <c r="AK10" s="130" t="n">
        <f aca="false">IF($X10*H10&gt;150000,($X10*H10-150000)*6%*45%,0)</f>
        <v>0</v>
      </c>
      <c r="AL10" s="130" t="n">
        <f aca="false">IF($X10*I10&gt;150000,($X10*I10-150000)*6%*45%,0)</f>
        <v>0</v>
      </c>
      <c r="AM10" s="130" t="n">
        <f aca="false">IF($X10*J10&gt;150000,($X10*J10-150000)*6%*45%,0)</f>
        <v>540</v>
      </c>
      <c r="AN10" s="130" t="n">
        <f aca="false">IF($X10*K10&gt;150000,($X10*K10-150000)*6%*45%,0)</f>
        <v>540</v>
      </c>
      <c r="AO10" s="130" t="n">
        <f aca="false">IF($X10*L10&gt;150000,($X10*L10-150000)*6%*45%,0)</f>
        <v>540</v>
      </c>
      <c r="AP10" s="130" t="n">
        <f aca="false">IF($X10*M10&gt;150000,($X10*M10-150000)*6%*45%,0)</f>
        <v>0</v>
      </c>
      <c r="AQ10" s="130" t="n">
        <f aca="false">IF($X10*N10&gt;150000,($X10*N10-150000)*6%*45%,0)</f>
        <v>540</v>
      </c>
      <c r="AR10" s="130" t="n">
        <f aca="false">IF($X10*O10&gt;150000,($X10*O10-150000)*6%*45%,0)</f>
        <v>540</v>
      </c>
      <c r="AS10" s="130" t="n">
        <f aca="false">IF($X10*P10&gt;150000,($X10*P10-150000)*6%*45%,0)</f>
        <v>0</v>
      </c>
      <c r="AT10" s="130" t="n">
        <f aca="false">IF($X10*Q10&gt;150000,($X10*Q10-150000)*6%*45%,0)</f>
        <v>0</v>
      </c>
      <c r="AU10" s="130" t="n">
        <f aca="false">IF($X10*R10&gt;150000,($X10*R10-150000)*6%*45%,0)</f>
        <v>0</v>
      </c>
      <c r="AV10" s="130" t="n">
        <f aca="false">IF($X10*S10&gt;150000,($X10*S10-150000)*6%*45%,0)</f>
        <v>0</v>
      </c>
      <c r="AW10" s="130" t="n">
        <f aca="false">IF($X10*T10&gt;150000,($X10*T10-150000)*6%*45%,0)</f>
        <v>0</v>
      </c>
      <c r="AX10" s="130" t="n">
        <f aca="false">IF($X10*U10&gt;150000,($X10*U10-150000)*6%*45%,0)</f>
        <v>0</v>
      </c>
      <c r="AY10" s="130"/>
      <c r="AZ10" s="131" t="n">
        <f aca="false">IF(ISERROR(VLOOKUP(D10,[26]일용직명단!$A$3:$M$1151,11,FALSE())),0,VLOOKUP(D10,[26]일용직명단!$A$3:$M$1151,11,FALSE()))</f>
        <v>0</v>
      </c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</row>
    <row r="11" customFormat="false" ht="12.6" hidden="false" customHeight="true" outlineLevel="0" collapsed="false">
      <c r="A11" s="108"/>
      <c r="B11" s="389"/>
      <c r="C11" s="310"/>
      <c r="D11" s="143"/>
      <c r="E11" s="311"/>
      <c r="F11" s="140" t="str">
        <f aca="false">IF(ISERROR(VLOOKUP(D10,일용직명단!$A$3:$K$1246,9,FALSE())),0,VLOOKUP(D10,일용직명단!$A$3:$K$1246,9,FALSE()))</f>
        <v>010-3034-8317</v>
      </c>
      <c r="G11" s="391"/>
      <c r="H11" s="392"/>
      <c r="I11" s="392"/>
      <c r="J11" s="152"/>
      <c r="K11" s="154"/>
      <c r="L11" s="152"/>
      <c r="M11" s="153"/>
      <c r="N11" s="153"/>
      <c r="O11" s="152"/>
      <c r="P11" s="154"/>
      <c r="Q11" s="152"/>
      <c r="R11" s="152"/>
      <c r="S11" s="153"/>
      <c r="T11" s="153"/>
      <c r="U11" s="153"/>
      <c r="V11" s="154"/>
      <c r="W11" s="120"/>
      <c r="X11" s="138" t="n">
        <f aca="false">X10*W10</f>
        <v>850000</v>
      </c>
      <c r="Y11" s="122"/>
      <c r="Z11" s="122" t="n">
        <f aca="false">ROUNDDOWN(Y11*10%,-1)</f>
        <v>0</v>
      </c>
      <c r="AA11" s="123" t="n">
        <f aca="false">IF(AF10&gt;=8,ROUNDDOWN(Z10*$R$4,-1),0)</f>
        <v>0</v>
      </c>
      <c r="AB11" s="124"/>
      <c r="AC11" s="125"/>
      <c r="AD11" s="127" t="str">
        <f aca="false">IF(ISERROR(VLOOKUP(D10,일용직명단!$A$3:$I$1226,7,FALSE())),0,VLOOKUP(D10,일용직명단!$A$3:$I$1226,7,FALSE()))</f>
        <v>352-0194-1212-63</v>
      </c>
      <c r="AE11" s="127"/>
      <c r="AF11" s="128"/>
      <c r="AG11" s="129"/>
      <c r="AH11" s="129"/>
      <c r="AI11" s="130"/>
      <c r="AJ11" s="130" t="n">
        <f aca="false">IF($X10*G11&gt;150000,($X10*G11-150000)*6%*45%,0)</f>
        <v>0</v>
      </c>
      <c r="AK11" s="130" t="n">
        <f aca="false">IF($X10*H11&gt;150000,($X10*H11-150000)*6%*45%,0)</f>
        <v>0</v>
      </c>
      <c r="AL11" s="130" t="n">
        <f aca="false">IF($X10*I11&gt;150000,($X10*I11-150000)*6%*45%,0)</f>
        <v>0</v>
      </c>
      <c r="AM11" s="130" t="n">
        <f aca="false">IF($X10*J11&gt;150000,($X10*J11-150000)*6%*45%,0)</f>
        <v>0</v>
      </c>
      <c r="AN11" s="130" t="n">
        <f aca="false">IF($X10*K11&gt;150000,($X10*K11-150000)*6%*45%,0)</f>
        <v>0</v>
      </c>
      <c r="AO11" s="130" t="n">
        <f aca="false">IF($X10*L11&gt;150000,($X10*L11-150000)*6%*45%,0)</f>
        <v>0</v>
      </c>
      <c r="AP11" s="130" t="n">
        <f aca="false">IF($X10*M11&gt;150000,($X10*M11-150000)*6%*45%,0)</f>
        <v>0</v>
      </c>
      <c r="AQ11" s="130" t="n">
        <f aca="false">IF($X10*N11&gt;150000,($X10*N11-150000)*6%*45%,0)</f>
        <v>0</v>
      </c>
      <c r="AR11" s="130" t="n">
        <f aca="false">IF($X10*O11&gt;150000,($X10*O11-150000)*6%*45%,0)</f>
        <v>0</v>
      </c>
      <c r="AS11" s="130" t="n">
        <f aca="false">IF($X10*P11&gt;150000,($X10*P11-150000)*6%*45%,0)</f>
        <v>0</v>
      </c>
      <c r="AT11" s="130" t="n">
        <f aca="false">IF($X10*Q11&gt;150000,($X10*Q11-150000)*6%*45%,0)</f>
        <v>0</v>
      </c>
      <c r="AU11" s="130" t="n">
        <f aca="false">IF($X10*R11&gt;150000,($X10*R11-150000)*6%*45%,0)</f>
        <v>0</v>
      </c>
      <c r="AV11" s="130" t="n">
        <f aca="false">IF($X10*S11&gt;150000,($X10*S11-150000)*6%*45%,0)</f>
        <v>0</v>
      </c>
      <c r="AW11" s="130" t="n">
        <f aca="false">IF($X10*T11&gt;150000,($X10*T11-150000)*6%*45%,0)</f>
        <v>0</v>
      </c>
      <c r="AX11" s="130" t="n">
        <f aca="false">IF($X10*U11&gt;150000,($X10*U11-150000)*6%*45%,0)</f>
        <v>0</v>
      </c>
      <c r="AY11" s="130" t="n">
        <f aca="false">IF($X10*V11&gt;150000,($X10*V11-150000)*6%*45%,0)</f>
        <v>0</v>
      </c>
      <c r="AZ11" s="13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</row>
    <row r="12" customFormat="false" ht="13.5" hidden="false" customHeight="true" outlineLevel="0" collapsed="false">
      <c r="A12" s="108" t="n">
        <f aca="false">A10+1</f>
        <v>2</v>
      </c>
      <c r="B12" s="393"/>
      <c r="C12" s="159" t="n">
        <f aca="false">IF(ISERROR(VLOOKUP(D12,[31]일용직명단!$A$3:$I$105,2,FALSE())),0,VLOOKUP(D12,[31]일용직명단!$A$3:$I$105,2,FALSE()))</f>
        <v>0</v>
      </c>
      <c r="D12" s="394"/>
      <c r="E12" s="311" t="n">
        <f aca="false">IF(ISERROR(VLOOKUP(D12,일용직명단!$A$3:$K$1246,3,FALSE())),0,VLOOKUP(D12,일용직명단!$A$3:$K$1246,3,FALSE()))</f>
        <v>0</v>
      </c>
      <c r="F12" s="112" t="n">
        <f aca="false">IF(ISERROR(VLOOKUP(D12,일용직명단!$A$3:$K$1246,4,FALSE())),0,VLOOKUP(D12,일용직명단!$A$3:$K$1246,4,FALSE()))</f>
        <v>0</v>
      </c>
      <c r="G12" s="395"/>
      <c r="H12" s="396"/>
      <c r="I12" s="198"/>
      <c r="J12" s="397"/>
      <c r="K12" s="395"/>
      <c r="L12" s="397"/>
      <c r="M12" s="395"/>
      <c r="N12" s="395"/>
      <c r="O12" s="193"/>
      <c r="P12" s="193"/>
      <c r="Q12" s="395"/>
      <c r="R12" s="193"/>
      <c r="S12" s="397"/>
      <c r="T12" s="193"/>
      <c r="U12" s="397"/>
      <c r="V12" s="194"/>
      <c r="W12" s="120" t="n">
        <f aca="false">SUM(G12:V13)</f>
        <v>0</v>
      </c>
      <c r="X12" s="121" t="n">
        <f aca="false">IF(ISERROR(VLOOKUP(D12,일용직명단!$A$3:$K$1246,8,FALSE())),0,VLOOKUP(D12,일용직명단!$A$3:$K$1246,8,FALSE()))</f>
        <v>0</v>
      </c>
      <c r="Y12" s="122" t="n">
        <f aca="false">IFERROR(IF(AH12&gt;=65,0,ROUNDDOWN(X13*$AA$4,-1)),0)</f>
        <v>0</v>
      </c>
      <c r="Z12" s="122" t="n">
        <f aca="false">IF(AF12&gt;=8,ROUNDDOWN(X13*$N$4,-1),0)</f>
        <v>0</v>
      </c>
      <c r="AA12" s="123" t="n">
        <f aca="false">IFERROR(IF(AND(COUNT(G12:V13)&gt;=8,$AH12&lt;60,X13&lt;=5530000),ROUNDDOWN(ROUNDDOWN(X13,-3)*4.5%,-1),IF(AND(COUNT(G12:V13)&gt;=8,AH12&lt;60,X13&gt;5530000),248850,0)),0)</f>
        <v>0</v>
      </c>
      <c r="AB12" s="124" t="n">
        <f aca="false">+Y12+Z12+Y13+Z13+AA12+AA13</f>
        <v>0</v>
      </c>
      <c r="AC12" s="125" t="n">
        <f aca="false">X13-AB12</f>
        <v>0</v>
      </c>
      <c r="AD12" s="126" t="n">
        <f aca="false">IF(ISERROR(VLOOKUP(D12,일용직명단!$A$3:$I$1226,5,FALSE())),0,VLOOKUP(D12,일용직명단!$A$3:$I$1226,5,FALSE()))</f>
        <v>0</v>
      </c>
      <c r="AE12" s="127" t="n">
        <f aca="false">IF(ISERROR(VLOOKUP(D12,일용직명단!$A$3:$I$1226,6,FALSE())),0,VLOOKUP(D12,일용직명단!$A$3:$I$1226,6,FALSE()))</f>
        <v>0</v>
      </c>
      <c r="AF12" s="141" t="n">
        <f aca="false">COUNT(G12:V13)</f>
        <v>0</v>
      </c>
      <c r="AG12" s="129" t="str">
        <f aca="false">IF(OR(MID(E12,8,1)="1",MID(E12,8,1)="2"),19&amp;LEFT(E12,2),20&amp;LEFT(E12,2))&amp;"-"&amp;MID(E12,3,2)&amp;"-"&amp;MID(E12,5,2)</f>
        <v>200--</v>
      </c>
      <c r="AH12" s="129" t="e">
        <f aca="true">INT((TODAY()-AG12)/365.25)</f>
        <v>#VALUE!</v>
      </c>
      <c r="AI12" s="130" t="n">
        <f aca="false">ROUNDDOWN(SUM(AJ12:AY13),-1)</f>
        <v>0</v>
      </c>
      <c r="AJ12" s="130" t="n">
        <f aca="false">IF($X12*G12&gt;150000,($X12*G12-150000)*6%*45%,0)</f>
        <v>0</v>
      </c>
      <c r="AK12" s="130" t="n">
        <f aca="false">IF($X12*H12&gt;150000,($X12*H12-150000)*6%*45%,0)</f>
        <v>0</v>
      </c>
      <c r="AL12" s="130" t="n">
        <f aca="false">IF($X12*I12&gt;150000,($X12*I12-150000)*6%*45%,0)</f>
        <v>0</v>
      </c>
      <c r="AM12" s="130" t="n">
        <f aca="false">IF($X12*J12&gt;150000,($X12*J12-150000)*6%*45%,0)</f>
        <v>0</v>
      </c>
      <c r="AN12" s="130" t="n">
        <f aca="false">IF($X12*K12&gt;150000,($X12*K12-150000)*6%*45%,0)</f>
        <v>0</v>
      </c>
      <c r="AO12" s="130" t="n">
        <f aca="false">IF($X12*L12&gt;150000,($X12*L12-150000)*6%*45%,0)</f>
        <v>0</v>
      </c>
      <c r="AP12" s="130" t="n">
        <f aca="false">IF($X12*M12&gt;150000,($X12*M12-150000)*6%*45%,0)</f>
        <v>0</v>
      </c>
      <c r="AQ12" s="130" t="n">
        <f aca="false">IF($X12*N12&gt;150000,($X12*N12-150000)*6%*45%,0)</f>
        <v>0</v>
      </c>
      <c r="AR12" s="130" t="n">
        <f aca="false">IF($X12*O12&gt;150000,($X12*O12-150000)*6%*45%,0)</f>
        <v>0</v>
      </c>
      <c r="AS12" s="130" t="n">
        <f aca="false">IF($X12*P12&gt;150000,($X12*P12-150000)*6%*45%,0)</f>
        <v>0</v>
      </c>
      <c r="AT12" s="130" t="n">
        <f aca="false">IF($X12*Q12&gt;150000,($X12*Q12-150000)*6%*45%,0)</f>
        <v>0</v>
      </c>
      <c r="AU12" s="130" t="n">
        <f aca="false">IF($X12*R12&gt;150000,($X12*R12-150000)*6%*45%,0)</f>
        <v>0</v>
      </c>
      <c r="AV12" s="130" t="n">
        <f aca="false">IF($X12*S12&gt;150000,($X12*S12-150000)*6%*45%,0)</f>
        <v>0</v>
      </c>
      <c r="AW12" s="130" t="n">
        <f aca="false">IF($X12*T12&gt;150000,($X12*T12-150000)*6%*45%,0)</f>
        <v>0</v>
      </c>
      <c r="AX12" s="130" t="n">
        <f aca="false">IF($X12*U12&gt;150000,($X12*U12-150000)*6%*45%,0)</f>
        <v>0</v>
      </c>
      <c r="AY12" s="130"/>
      <c r="AZ12" s="131" t="n">
        <f aca="false">IF(ISERROR(VLOOKUP(D12,[32]일용직명단!$A$3:$M$1151,11,FALSE())),0,VLOOKUP(D12,[32]일용직명단!$A$3:$M$1151,11,FALSE()))</f>
        <v>0</v>
      </c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</row>
    <row r="13" customFormat="false" ht="13.5" hidden="false" customHeight="true" outlineLevel="0" collapsed="false">
      <c r="A13" s="108"/>
      <c r="B13" s="393"/>
      <c r="C13" s="159"/>
      <c r="D13" s="394"/>
      <c r="E13" s="311"/>
      <c r="F13" s="112" t="n">
        <f aca="false">IF(ISERROR(VLOOKUP(D12,일용직명단!$A$3:$K$1246,9,FALSE())),0,VLOOKUP(D12,일용직명단!$A$3:$K$1246,9,FALSE()))</f>
        <v>0</v>
      </c>
      <c r="G13" s="398"/>
      <c r="H13" s="399"/>
      <c r="I13" s="398"/>
      <c r="J13" s="198"/>
      <c r="K13" s="400"/>
      <c r="L13" s="198"/>
      <c r="M13" s="395"/>
      <c r="N13" s="395"/>
      <c r="O13" s="193"/>
      <c r="P13" s="397"/>
      <c r="Q13" s="193"/>
      <c r="R13" s="193"/>
      <c r="S13" s="395"/>
      <c r="T13" s="395"/>
      <c r="U13" s="395"/>
      <c r="V13" s="401"/>
      <c r="W13" s="120"/>
      <c r="X13" s="138" t="n">
        <f aca="false">X12*W12</f>
        <v>0</v>
      </c>
      <c r="Y13" s="122" t="n">
        <f aca="false">IF(AI12&lt;1000,0,AI12)</f>
        <v>0</v>
      </c>
      <c r="Z13" s="122" t="n">
        <f aca="false">ROUNDDOWN(Y13*10%,-1)</f>
        <v>0</v>
      </c>
      <c r="AA13" s="123" t="n">
        <f aca="false">IF(AF12&gt;=8,ROUNDDOWN(Z12*$R$4,-1),0)</f>
        <v>0</v>
      </c>
      <c r="AB13" s="124"/>
      <c r="AC13" s="125"/>
      <c r="AD13" s="127" t="n">
        <f aca="false">IF(ISERROR(VLOOKUP(D12,일용직명단!$A$3:$I$1226,7,FALSE())),0,VLOOKUP(D12,일용직명단!$A$3:$I$1226,7,FALSE()))</f>
        <v>0</v>
      </c>
      <c r="AE13" s="127"/>
      <c r="AF13" s="141"/>
      <c r="AG13" s="129"/>
      <c r="AH13" s="129"/>
      <c r="AI13" s="130"/>
      <c r="AJ13" s="130" t="n">
        <f aca="false">IF($X12*G13&gt;150000,($X12*G13-150000)*6%*45%,0)</f>
        <v>0</v>
      </c>
      <c r="AK13" s="130" t="n">
        <f aca="false">IF($X12*H13&gt;150000,($X12*H13-150000)*6%*45%,0)</f>
        <v>0</v>
      </c>
      <c r="AL13" s="130" t="n">
        <f aca="false">IF($X12*I13&gt;150000,($X12*I13-150000)*6%*45%,0)</f>
        <v>0</v>
      </c>
      <c r="AM13" s="130" t="n">
        <f aca="false">IF($X12*J13&gt;150000,($X12*J13-150000)*6%*45%,0)</f>
        <v>0</v>
      </c>
      <c r="AN13" s="130" t="n">
        <f aca="false">IF($X12*K13&gt;150000,($X12*K13-150000)*6%*45%,0)</f>
        <v>0</v>
      </c>
      <c r="AO13" s="130" t="n">
        <f aca="false">IF($X12*L13&gt;150000,($X12*L13-150000)*6%*45%,0)</f>
        <v>0</v>
      </c>
      <c r="AP13" s="130" t="n">
        <f aca="false">IF($X12*M13&gt;150000,($X12*M13-150000)*6%*45%,0)</f>
        <v>0</v>
      </c>
      <c r="AQ13" s="130" t="n">
        <f aca="false">IF($X12*N13&gt;150000,($X12*N13-150000)*6%*45%,0)</f>
        <v>0</v>
      </c>
      <c r="AR13" s="130" t="n">
        <f aca="false">IF($X12*O13&gt;150000,($X12*O13-150000)*6%*45%,0)</f>
        <v>0</v>
      </c>
      <c r="AS13" s="130" t="n">
        <f aca="false">IF($X12*P13&gt;150000,($X12*P13-150000)*6%*45%,0)</f>
        <v>0</v>
      </c>
      <c r="AT13" s="130" t="n">
        <f aca="false">IF($X12*Q13&gt;150000,($X12*Q13-150000)*6%*45%,0)</f>
        <v>0</v>
      </c>
      <c r="AU13" s="130" t="n">
        <f aca="false">IF($X12*R13&gt;150000,($X12*R13-150000)*6%*45%,0)</f>
        <v>0</v>
      </c>
      <c r="AV13" s="130" t="n">
        <f aca="false">IF($X12*S13&gt;150000,($X12*S13-150000)*6%*45%,0)</f>
        <v>0</v>
      </c>
      <c r="AW13" s="130" t="n">
        <f aca="false">IF($X12*T13&gt;150000,($X12*T13-150000)*6%*45%,0)</f>
        <v>0</v>
      </c>
      <c r="AX13" s="130" t="n">
        <f aca="false">IF($X12*U13&gt;150000,($X12*U13-150000)*6%*45%,0)</f>
        <v>0</v>
      </c>
      <c r="AY13" s="130" t="n">
        <f aca="false">IF($X12*V13&gt;150000,($X12*V13-150000)*6%*45%,0)</f>
        <v>0</v>
      </c>
      <c r="AZ13" s="13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</row>
    <row r="14" customFormat="false" ht="13.5" hidden="false" customHeight="true" outlineLevel="0" collapsed="false">
      <c r="A14" s="108" t="n">
        <f aca="false">A12+1</f>
        <v>3</v>
      </c>
      <c r="B14" s="402"/>
      <c r="C14" s="403"/>
      <c r="D14" s="110"/>
      <c r="E14" s="311" t="n">
        <f aca="false">IF(ISERROR(VLOOKUP(D14,일용직명단!$A$3:$K$1246,3,FALSE())),0,VLOOKUP(D14,일용직명단!$A$3:$K$1246,3,FALSE()))</f>
        <v>0</v>
      </c>
      <c r="F14" s="112" t="n">
        <f aca="false">IF(ISERROR(VLOOKUP(D14,일용직명단!$A$3:$K$1246,4,FALSE())),0,VLOOKUP(D14,일용직명단!$A$3:$K$1246,4,FALSE()))</f>
        <v>0</v>
      </c>
      <c r="G14" s="395"/>
      <c r="H14" s="396"/>
      <c r="I14" s="198"/>
      <c r="J14" s="397"/>
      <c r="K14" s="395"/>
      <c r="L14" s="397"/>
      <c r="M14" s="395"/>
      <c r="N14" s="395"/>
      <c r="O14" s="193"/>
      <c r="P14" s="193"/>
      <c r="Q14" s="395"/>
      <c r="R14" s="193"/>
      <c r="S14" s="397"/>
      <c r="T14" s="193"/>
      <c r="U14" s="397"/>
      <c r="V14" s="194"/>
      <c r="W14" s="120" t="n">
        <f aca="false">SUM(G14:V15)</f>
        <v>0</v>
      </c>
      <c r="X14" s="121" t="n">
        <f aca="false">IF(ISERROR(VLOOKUP(D14,일용직명단!$A$3:$K$1246,8,FALSE())),0,VLOOKUP(D14,일용직명단!$A$3:$K$1246,8,FALSE()))</f>
        <v>0</v>
      </c>
      <c r="Y14" s="122" t="n">
        <f aca="false">IFERROR(IF(AH14&gt;=65,0,ROUNDDOWN(X15*$AA$4,-1)),0)</f>
        <v>0</v>
      </c>
      <c r="Z14" s="122" t="n">
        <f aca="false">IF(AF14&gt;=8,ROUNDDOWN(X15*$N$4,-1),0)</f>
        <v>0</v>
      </c>
      <c r="AA14" s="123" t="n">
        <f aca="false">IFERROR(IF(AND(COUNT(G14:V15)&gt;=8,$AH14&lt;60,X15&lt;=5530000),ROUNDDOWN(ROUNDDOWN(X15,-3)*4.5%,-1),IF(AND(COUNT(G14:V15)&gt;=8,AH14&lt;60,X15&gt;5530000),248850,0)),0)</f>
        <v>0</v>
      </c>
      <c r="AB14" s="124" t="n">
        <f aca="false">+Y14+Z14+Y15+Z15+AA14+AA15</f>
        <v>0</v>
      </c>
      <c r="AC14" s="125" t="n">
        <f aca="false">X15-AB14</f>
        <v>0</v>
      </c>
      <c r="AD14" s="126" t="n">
        <f aca="false">IF(ISERROR(VLOOKUP(D14,일용직명단!$A$3:$I$1226,5,FALSE())),0,VLOOKUP(D14,일용직명단!$A$3:$I$1226,5,FALSE()))</f>
        <v>0</v>
      </c>
      <c r="AE14" s="127" t="n">
        <f aca="false">IF(ISERROR(VLOOKUP(D14,일용직명단!$A$3:$I$1226,6,FALSE())),0,VLOOKUP(D14,일용직명단!$A$3:$I$1226,6,FALSE()))</f>
        <v>0</v>
      </c>
      <c r="AF14" s="141" t="n">
        <f aca="false">COUNT(G14:V15)</f>
        <v>0</v>
      </c>
      <c r="AG14" s="169" t="str">
        <f aca="false">IF(OR(MID(E14,8,1)="1",MID(E14,8,1)="2"),19&amp;LEFT(E14,2),20&amp;LEFT(E14,2))&amp;"-"&amp;MID(E14,3,2)&amp;"-"&amp;MID(E14,5,2)</f>
        <v>200--</v>
      </c>
      <c r="AH14" s="169" t="e">
        <f aca="true">INT((TODAY()-AG14)/365.25)</f>
        <v>#VALUE!</v>
      </c>
      <c r="AI14" s="130" t="n">
        <f aca="false">ROUNDDOWN(SUM(AJ14:AY15),-1)</f>
        <v>0</v>
      </c>
      <c r="AJ14" s="130" t="n">
        <f aca="false">IF($X14*G14&gt;150000,($X14*G14-150000)*6%*45%,0)</f>
        <v>0</v>
      </c>
      <c r="AK14" s="130" t="n">
        <f aca="false">IF($X14*H14&gt;150000,($X14*H14-150000)*6%*45%,0)</f>
        <v>0</v>
      </c>
      <c r="AL14" s="130" t="n">
        <f aca="false">IF($X14*I14&gt;150000,($X14*I14-150000)*6%*45%,0)</f>
        <v>0</v>
      </c>
      <c r="AM14" s="130" t="n">
        <f aca="false">IF($X14*J14&gt;150000,($X14*J14-150000)*6%*45%,0)</f>
        <v>0</v>
      </c>
      <c r="AN14" s="130" t="n">
        <f aca="false">IF($X14*K14&gt;150000,($X14*K14-150000)*6%*45%,0)</f>
        <v>0</v>
      </c>
      <c r="AO14" s="130" t="n">
        <f aca="false">IF($X14*L14&gt;150000,($X14*L14-150000)*6%*45%,0)</f>
        <v>0</v>
      </c>
      <c r="AP14" s="130" t="n">
        <f aca="false">IF($X14*M14&gt;150000,($X14*M14-150000)*6%*45%,0)</f>
        <v>0</v>
      </c>
      <c r="AQ14" s="130" t="n">
        <f aca="false">IF($X14*N14&gt;150000,($X14*N14-150000)*6%*45%,0)</f>
        <v>0</v>
      </c>
      <c r="AR14" s="130" t="n">
        <f aca="false">IF($X14*O14&gt;150000,($X14*O14-150000)*6%*45%,0)</f>
        <v>0</v>
      </c>
      <c r="AS14" s="130" t="n">
        <f aca="false">IF($X14*P14&gt;150000,($X14*P14-150000)*6%*45%,0)</f>
        <v>0</v>
      </c>
      <c r="AT14" s="130" t="n">
        <f aca="false">IF($X14*Q14&gt;150000,($X14*Q14-150000)*6%*45%,0)</f>
        <v>0</v>
      </c>
      <c r="AU14" s="130" t="n">
        <f aca="false">IF($X14*R14&gt;150000,($X14*R14-150000)*6%*45%,0)</f>
        <v>0</v>
      </c>
      <c r="AV14" s="130" t="n">
        <f aca="false">IF($X14*S14&gt;150000,($X14*S14-150000)*6%*45%,0)</f>
        <v>0</v>
      </c>
      <c r="AW14" s="130" t="n">
        <f aca="false">IF($X14*T14&gt;150000,($X14*T14-150000)*6%*45%,0)</f>
        <v>0</v>
      </c>
      <c r="AX14" s="130" t="n">
        <f aca="false">IF($X14*U14&gt;150000,($X14*U14-150000)*6%*45%,0)</f>
        <v>0</v>
      </c>
      <c r="AY14" s="130"/>
      <c r="AZ14" s="131" t="n">
        <f aca="false">IF(ISERROR(VLOOKUP(D14,[32]일용직명단!$A$3:$M$1151,11,FALSE())),0,VLOOKUP(D14,[32]일용직명단!$A$3:$M$1151,11,FALSE()))</f>
        <v>0</v>
      </c>
      <c r="BA14" s="11"/>
      <c r="BC14" s="358"/>
      <c r="BD14" s="358"/>
      <c r="BE14" s="358"/>
      <c r="BF14" s="358"/>
      <c r="BG14" s="358"/>
      <c r="BH14" s="358"/>
      <c r="BI14" s="358"/>
      <c r="BJ14" s="358"/>
      <c r="BK14" s="358"/>
      <c r="BL14" s="358"/>
      <c r="BM14" s="358"/>
      <c r="BN14" s="358"/>
      <c r="BO14" s="358"/>
      <c r="BP14" s="358"/>
      <c r="BQ14" s="358"/>
      <c r="BR14" s="358"/>
      <c r="BS14" s="358"/>
      <c r="BT14" s="358"/>
      <c r="BU14" s="358"/>
      <c r="BV14" s="358"/>
      <c r="BW14" s="358"/>
      <c r="BX14" s="358"/>
      <c r="BY14" s="358"/>
      <c r="BZ14" s="358"/>
      <c r="CA14" s="358"/>
      <c r="CB14" s="358"/>
      <c r="CC14" s="358"/>
      <c r="CD14" s="358"/>
      <c r="CE14" s="358"/>
      <c r="CF14" s="358"/>
      <c r="CG14" s="358"/>
      <c r="CH14" s="358"/>
      <c r="CI14" s="358"/>
      <c r="CJ14" s="358"/>
      <c r="CK14" s="358"/>
      <c r="CL14" s="358"/>
      <c r="CM14" s="358"/>
      <c r="CN14" s="358"/>
      <c r="CO14" s="358"/>
      <c r="CP14" s="358"/>
      <c r="CQ14" s="358"/>
      <c r="CR14" s="358"/>
      <c r="CS14" s="358"/>
      <c r="CT14" s="358"/>
      <c r="CU14" s="358"/>
      <c r="CV14" s="358"/>
      <c r="CW14" s="358"/>
      <c r="CX14" s="358"/>
      <c r="CY14" s="358"/>
      <c r="CZ14" s="358"/>
      <c r="DA14" s="358"/>
      <c r="DB14" s="358"/>
      <c r="DC14" s="358"/>
      <c r="DD14" s="358"/>
      <c r="DE14" s="358"/>
      <c r="DF14" s="358"/>
      <c r="DG14" s="358"/>
      <c r="DH14" s="358"/>
      <c r="DI14" s="358"/>
      <c r="DJ14" s="358"/>
      <c r="DK14" s="358"/>
      <c r="DL14" s="358"/>
      <c r="DM14" s="358"/>
      <c r="DN14" s="358"/>
      <c r="DO14" s="358"/>
      <c r="DP14" s="358"/>
      <c r="DQ14" s="358"/>
      <c r="DR14" s="358"/>
      <c r="DS14" s="358"/>
      <c r="DT14" s="358"/>
      <c r="DU14" s="358"/>
      <c r="DV14" s="358"/>
      <c r="DW14" s="358"/>
      <c r="DX14" s="358"/>
      <c r="DY14" s="358"/>
      <c r="DZ14" s="358"/>
      <c r="EA14" s="358"/>
      <c r="EB14" s="358"/>
      <c r="EC14" s="358"/>
      <c r="ED14" s="358"/>
      <c r="EE14" s="358"/>
      <c r="EF14" s="358"/>
      <c r="EG14" s="358"/>
      <c r="EH14" s="358"/>
      <c r="EI14" s="358"/>
      <c r="EJ14" s="358"/>
      <c r="EK14" s="358"/>
      <c r="EL14" s="358"/>
      <c r="EM14" s="358"/>
      <c r="EN14" s="358"/>
      <c r="EO14" s="358"/>
      <c r="EP14" s="358"/>
      <c r="EQ14" s="358"/>
      <c r="ER14" s="358"/>
      <c r="ES14" s="358"/>
      <c r="ET14" s="358"/>
      <c r="EU14" s="358"/>
      <c r="EV14" s="358"/>
      <c r="EW14" s="358"/>
      <c r="EX14" s="358"/>
      <c r="EY14" s="358"/>
      <c r="EZ14" s="358"/>
      <c r="FA14" s="358"/>
      <c r="FB14" s="358"/>
      <c r="FC14" s="358"/>
      <c r="FD14" s="358"/>
      <c r="FE14" s="358"/>
      <c r="FF14" s="358"/>
      <c r="FG14" s="358"/>
      <c r="FH14" s="358"/>
      <c r="FI14" s="358"/>
      <c r="FJ14" s="358"/>
      <c r="FK14" s="358"/>
      <c r="FL14" s="358"/>
      <c r="FM14" s="358"/>
      <c r="FN14" s="358"/>
      <c r="FO14" s="358"/>
      <c r="FP14" s="358"/>
      <c r="FQ14" s="358"/>
      <c r="FR14" s="358"/>
      <c r="FS14" s="358"/>
      <c r="FT14" s="358"/>
      <c r="FU14" s="358"/>
      <c r="FV14" s="358"/>
      <c r="FW14" s="358"/>
      <c r="FX14" s="358"/>
      <c r="FY14" s="358"/>
      <c r="FZ14" s="358"/>
      <c r="GA14" s="358"/>
      <c r="GB14" s="358"/>
      <c r="GC14" s="358"/>
      <c r="GD14" s="358"/>
      <c r="GE14" s="358"/>
      <c r="GF14" s="358"/>
      <c r="GG14" s="358"/>
      <c r="GH14" s="358"/>
      <c r="GI14" s="358"/>
      <c r="GJ14" s="358"/>
      <c r="GK14" s="358"/>
      <c r="GL14" s="358"/>
      <c r="GM14" s="358"/>
      <c r="GN14" s="358"/>
      <c r="GO14" s="358"/>
      <c r="GP14" s="358"/>
      <c r="GQ14" s="358"/>
      <c r="GR14" s="358"/>
      <c r="GS14" s="358"/>
      <c r="GT14" s="358"/>
      <c r="GU14" s="358"/>
      <c r="GV14" s="358"/>
      <c r="GW14" s="358"/>
      <c r="GX14" s="358"/>
      <c r="GY14" s="358"/>
      <c r="GZ14" s="358"/>
      <c r="HA14" s="358"/>
      <c r="HB14" s="358"/>
      <c r="HC14" s="358"/>
      <c r="HD14" s="358"/>
      <c r="HE14" s="358"/>
      <c r="HF14" s="358"/>
      <c r="HG14" s="358"/>
      <c r="HH14" s="358"/>
      <c r="HI14" s="358"/>
      <c r="HJ14" s="358"/>
      <c r="HK14" s="358"/>
      <c r="HL14" s="358"/>
      <c r="HM14" s="358"/>
      <c r="HN14" s="358"/>
      <c r="HO14" s="358"/>
      <c r="HP14" s="358"/>
      <c r="HQ14" s="358"/>
      <c r="HR14" s="358"/>
      <c r="HS14" s="358"/>
      <c r="HT14" s="358"/>
      <c r="HU14" s="358"/>
      <c r="HV14" s="358"/>
      <c r="HW14" s="358"/>
      <c r="HX14" s="358"/>
      <c r="HY14" s="358"/>
      <c r="HZ14" s="358"/>
      <c r="IA14" s="358"/>
      <c r="IB14" s="358"/>
      <c r="IC14" s="358"/>
      <c r="ID14" s="358"/>
      <c r="IE14" s="358"/>
      <c r="IF14" s="358"/>
      <c r="IG14" s="358"/>
      <c r="IH14" s="358"/>
      <c r="II14" s="358"/>
      <c r="IJ14" s="358"/>
      <c r="IK14" s="358"/>
      <c r="IL14" s="358"/>
      <c r="IM14" s="358"/>
      <c r="IN14" s="358"/>
      <c r="IO14" s="358"/>
      <c r="IP14" s="358"/>
      <c r="IQ14" s="358"/>
    </row>
    <row r="15" customFormat="false" ht="13.5" hidden="false" customHeight="true" outlineLevel="0" collapsed="false">
      <c r="A15" s="108"/>
      <c r="B15" s="402"/>
      <c r="C15" s="403"/>
      <c r="D15" s="110"/>
      <c r="E15" s="311"/>
      <c r="F15" s="112" t="n">
        <f aca="false">IF(ISERROR(VLOOKUP(D14,일용직명단!$A$3:$K$1246,9,FALSE())),0,VLOOKUP(D14,일용직명단!$A$3:$K$1246,9,FALSE()))</f>
        <v>0</v>
      </c>
      <c r="G15" s="398"/>
      <c r="H15" s="399"/>
      <c r="I15" s="398"/>
      <c r="J15" s="198"/>
      <c r="K15" s="400"/>
      <c r="L15" s="198"/>
      <c r="M15" s="395"/>
      <c r="N15" s="395"/>
      <c r="O15" s="193"/>
      <c r="P15" s="397"/>
      <c r="Q15" s="193"/>
      <c r="R15" s="193"/>
      <c r="S15" s="395"/>
      <c r="T15" s="395"/>
      <c r="U15" s="395"/>
      <c r="V15" s="401"/>
      <c r="W15" s="120"/>
      <c r="X15" s="138" t="n">
        <f aca="false">X14*W14</f>
        <v>0</v>
      </c>
      <c r="Y15" s="122" t="n">
        <f aca="false">IF(AI14&lt;1000,0,AI14)</f>
        <v>0</v>
      </c>
      <c r="Z15" s="122" t="n">
        <f aca="false">ROUNDDOWN(Y15*10%,-1)</f>
        <v>0</v>
      </c>
      <c r="AA15" s="123" t="n">
        <f aca="false">IF(AF14&gt;=8,ROUNDDOWN(Z14*$R$4,-1),0)</f>
        <v>0</v>
      </c>
      <c r="AB15" s="124"/>
      <c r="AC15" s="125"/>
      <c r="AD15" s="127" t="n">
        <f aca="false">IF(ISERROR(VLOOKUP(D14,일용직명단!$A$3:$I$1226,7,FALSE())),0,VLOOKUP(D14,일용직명단!$A$3:$I$1226,7,FALSE()))</f>
        <v>0</v>
      </c>
      <c r="AE15" s="127"/>
      <c r="AF15" s="141"/>
      <c r="AG15" s="169"/>
      <c r="AH15" s="169"/>
      <c r="AI15" s="130"/>
      <c r="AJ15" s="130" t="n">
        <f aca="false">IF($X14*G15&gt;150000,($X14*G15-150000)*6%*45%,0)</f>
        <v>0</v>
      </c>
      <c r="AK15" s="130" t="n">
        <f aca="false">IF($X14*H15&gt;150000,($X14*H15-150000)*6%*45%,0)</f>
        <v>0</v>
      </c>
      <c r="AL15" s="130" t="n">
        <f aca="false">IF($X14*I15&gt;150000,($X14*I15-150000)*6%*45%,0)</f>
        <v>0</v>
      </c>
      <c r="AM15" s="130" t="n">
        <f aca="false">IF($X14*J15&gt;150000,($X14*J15-150000)*6%*45%,0)</f>
        <v>0</v>
      </c>
      <c r="AN15" s="130" t="n">
        <f aca="false">IF($X14*K15&gt;150000,($X14*K15-150000)*6%*45%,0)</f>
        <v>0</v>
      </c>
      <c r="AO15" s="130" t="n">
        <f aca="false">IF($X14*L15&gt;150000,($X14*L15-150000)*6%*45%,0)</f>
        <v>0</v>
      </c>
      <c r="AP15" s="130" t="n">
        <f aca="false">IF($X14*M15&gt;150000,($X14*M15-150000)*6%*45%,0)</f>
        <v>0</v>
      </c>
      <c r="AQ15" s="130" t="n">
        <f aca="false">IF($X14*N15&gt;150000,($X14*N15-150000)*6%*45%,0)</f>
        <v>0</v>
      </c>
      <c r="AR15" s="130" t="n">
        <f aca="false">IF($X14*O15&gt;150000,($X14*O15-150000)*6%*45%,0)</f>
        <v>0</v>
      </c>
      <c r="AS15" s="130" t="n">
        <f aca="false">IF($X14*P15&gt;150000,($X14*P15-150000)*6%*45%,0)</f>
        <v>0</v>
      </c>
      <c r="AT15" s="130" t="n">
        <f aca="false">IF($X14*Q15&gt;150000,($X14*Q15-150000)*6%*45%,0)</f>
        <v>0</v>
      </c>
      <c r="AU15" s="130" t="n">
        <f aca="false">IF($X14*R15&gt;150000,($X14*R15-150000)*6%*45%,0)</f>
        <v>0</v>
      </c>
      <c r="AV15" s="130" t="n">
        <f aca="false">IF($X14*S15&gt;150000,($X14*S15-150000)*6%*45%,0)</f>
        <v>0</v>
      </c>
      <c r="AW15" s="130" t="n">
        <f aca="false">IF($X14*T15&gt;150000,($X14*T15-150000)*6%*45%,0)</f>
        <v>0</v>
      </c>
      <c r="AX15" s="130" t="n">
        <f aca="false">IF($X14*U15&gt;150000,($X14*U15-150000)*6%*45%,0)</f>
        <v>0</v>
      </c>
      <c r="AY15" s="130" t="n">
        <f aca="false">IF($X14*V15&gt;150000,($X14*V15-150000)*6%*45%,0)</f>
        <v>0</v>
      </c>
      <c r="AZ15" s="131"/>
      <c r="BA15" s="11"/>
      <c r="BC15" s="358"/>
      <c r="BD15" s="358"/>
      <c r="BE15" s="358"/>
      <c r="BF15" s="358"/>
      <c r="BG15" s="358"/>
      <c r="BH15" s="358"/>
      <c r="BI15" s="358"/>
      <c r="BJ15" s="358"/>
      <c r="BK15" s="358"/>
      <c r="BL15" s="358"/>
      <c r="BM15" s="358"/>
      <c r="BN15" s="358"/>
      <c r="BO15" s="358"/>
      <c r="BP15" s="358"/>
      <c r="BQ15" s="358"/>
      <c r="BR15" s="358"/>
      <c r="BS15" s="358"/>
      <c r="BT15" s="358"/>
      <c r="BU15" s="358"/>
      <c r="BV15" s="358"/>
      <c r="BW15" s="358"/>
      <c r="BX15" s="358"/>
      <c r="BY15" s="358"/>
      <c r="BZ15" s="358"/>
      <c r="CA15" s="358"/>
      <c r="CB15" s="358"/>
      <c r="CC15" s="358"/>
      <c r="CD15" s="358"/>
      <c r="CE15" s="358"/>
      <c r="CF15" s="358"/>
      <c r="CG15" s="358"/>
      <c r="CH15" s="358"/>
      <c r="CI15" s="358"/>
      <c r="CJ15" s="358"/>
      <c r="CK15" s="358"/>
      <c r="CL15" s="358"/>
      <c r="CM15" s="358"/>
      <c r="CN15" s="358"/>
      <c r="CO15" s="358"/>
      <c r="CP15" s="358"/>
      <c r="CQ15" s="358"/>
      <c r="CR15" s="358"/>
      <c r="CS15" s="358"/>
      <c r="CT15" s="358"/>
      <c r="CU15" s="358"/>
      <c r="CV15" s="358"/>
      <c r="CW15" s="358"/>
      <c r="CX15" s="358"/>
      <c r="CY15" s="358"/>
      <c r="CZ15" s="358"/>
      <c r="DA15" s="358"/>
      <c r="DB15" s="358"/>
      <c r="DC15" s="358"/>
      <c r="DD15" s="358"/>
      <c r="DE15" s="358"/>
      <c r="DF15" s="358"/>
      <c r="DG15" s="358"/>
      <c r="DH15" s="358"/>
      <c r="DI15" s="358"/>
      <c r="DJ15" s="358"/>
      <c r="DK15" s="358"/>
      <c r="DL15" s="358"/>
      <c r="DM15" s="358"/>
      <c r="DN15" s="358"/>
      <c r="DO15" s="358"/>
      <c r="DP15" s="358"/>
      <c r="DQ15" s="358"/>
      <c r="DR15" s="358"/>
      <c r="DS15" s="358"/>
      <c r="DT15" s="358"/>
      <c r="DU15" s="358"/>
      <c r="DV15" s="358"/>
      <c r="DW15" s="358"/>
      <c r="DX15" s="358"/>
      <c r="DY15" s="358"/>
      <c r="DZ15" s="358"/>
      <c r="EA15" s="358"/>
      <c r="EB15" s="358"/>
      <c r="EC15" s="358"/>
      <c r="ED15" s="358"/>
      <c r="EE15" s="358"/>
      <c r="EF15" s="358"/>
      <c r="EG15" s="358"/>
      <c r="EH15" s="358"/>
      <c r="EI15" s="358"/>
      <c r="EJ15" s="358"/>
      <c r="EK15" s="358"/>
      <c r="EL15" s="358"/>
      <c r="EM15" s="358"/>
      <c r="EN15" s="358"/>
      <c r="EO15" s="358"/>
      <c r="EP15" s="358"/>
      <c r="EQ15" s="358"/>
      <c r="ER15" s="358"/>
      <c r="ES15" s="358"/>
      <c r="ET15" s="358"/>
      <c r="EU15" s="358"/>
      <c r="EV15" s="358"/>
      <c r="EW15" s="358"/>
      <c r="EX15" s="358"/>
      <c r="EY15" s="358"/>
      <c r="EZ15" s="358"/>
      <c r="FA15" s="358"/>
      <c r="FB15" s="358"/>
      <c r="FC15" s="358"/>
      <c r="FD15" s="358"/>
      <c r="FE15" s="358"/>
      <c r="FF15" s="358"/>
      <c r="FG15" s="358"/>
      <c r="FH15" s="358"/>
      <c r="FI15" s="358"/>
      <c r="FJ15" s="358"/>
      <c r="FK15" s="358"/>
      <c r="FL15" s="358"/>
      <c r="FM15" s="358"/>
      <c r="FN15" s="358"/>
      <c r="FO15" s="358"/>
      <c r="FP15" s="358"/>
      <c r="FQ15" s="358"/>
      <c r="FR15" s="358"/>
      <c r="FS15" s="358"/>
      <c r="FT15" s="358"/>
      <c r="FU15" s="358"/>
      <c r="FV15" s="358"/>
      <c r="FW15" s="358"/>
      <c r="FX15" s="358"/>
      <c r="FY15" s="358"/>
      <c r="FZ15" s="358"/>
      <c r="GA15" s="358"/>
      <c r="GB15" s="358"/>
      <c r="GC15" s="358"/>
      <c r="GD15" s="358"/>
      <c r="GE15" s="358"/>
      <c r="GF15" s="358"/>
      <c r="GG15" s="358"/>
      <c r="GH15" s="358"/>
      <c r="GI15" s="358"/>
      <c r="GJ15" s="358"/>
      <c r="GK15" s="358"/>
      <c r="GL15" s="358"/>
      <c r="GM15" s="358"/>
      <c r="GN15" s="358"/>
      <c r="GO15" s="358"/>
      <c r="GP15" s="358"/>
      <c r="GQ15" s="358"/>
      <c r="GR15" s="358"/>
      <c r="GS15" s="358"/>
      <c r="GT15" s="358"/>
      <c r="GU15" s="358"/>
      <c r="GV15" s="358"/>
      <c r="GW15" s="358"/>
      <c r="GX15" s="358"/>
      <c r="GY15" s="358"/>
      <c r="GZ15" s="358"/>
      <c r="HA15" s="358"/>
      <c r="HB15" s="358"/>
      <c r="HC15" s="358"/>
      <c r="HD15" s="358"/>
      <c r="HE15" s="358"/>
      <c r="HF15" s="358"/>
      <c r="HG15" s="358"/>
      <c r="HH15" s="358"/>
      <c r="HI15" s="358"/>
      <c r="HJ15" s="358"/>
      <c r="HK15" s="358"/>
      <c r="HL15" s="358"/>
      <c r="HM15" s="358"/>
      <c r="HN15" s="358"/>
      <c r="HO15" s="358"/>
      <c r="HP15" s="358"/>
      <c r="HQ15" s="358"/>
      <c r="HR15" s="358"/>
      <c r="HS15" s="358"/>
      <c r="HT15" s="358"/>
      <c r="HU15" s="358"/>
      <c r="HV15" s="358"/>
      <c r="HW15" s="358"/>
      <c r="HX15" s="358"/>
      <c r="HY15" s="358"/>
      <c r="HZ15" s="358"/>
      <c r="IA15" s="358"/>
      <c r="IB15" s="358"/>
      <c r="IC15" s="358"/>
      <c r="ID15" s="358"/>
      <c r="IE15" s="358"/>
      <c r="IF15" s="358"/>
      <c r="IG15" s="358"/>
      <c r="IH15" s="358"/>
      <c r="II15" s="358"/>
      <c r="IJ15" s="358"/>
      <c r="IK15" s="358"/>
      <c r="IL15" s="358"/>
      <c r="IM15" s="358"/>
      <c r="IN15" s="358"/>
      <c r="IO15" s="358"/>
      <c r="IP15" s="358"/>
      <c r="IQ15" s="358"/>
    </row>
    <row r="16" customFormat="false" ht="13.5" hidden="false" customHeight="true" outlineLevel="0" collapsed="false">
      <c r="A16" s="108" t="n">
        <f aca="false">A14+1</f>
        <v>4</v>
      </c>
      <c r="B16" s="402"/>
      <c r="C16" s="403"/>
      <c r="D16" s="110"/>
      <c r="E16" s="311" t="n">
        <f aca="false">IF(ISERROR(VLOOKUP(D16,일용직명단!$A$3:$K$1246,3,FALSE())),0,VLOOKUP(D16,일용직명단!$A$3:$K$1246,3,FALSE()))</f>
        <v>0</v>
      </c>
      <c r="F16" s="112" t="n">
        <f aca="false">IF(ISERROR(VLOOKUP(D16,일용직명단!$A$3:$K$1246,4,FALSE())),0,VLOOKUP(D16,일용직명단!$A$3:$K$1246,4,FALSE()))</f>
        <v>0</v>
      </c>
      <c r="G16" s="395"/>
      <c r="H16" s="396"/>
      <c r="I16" s="198"/>
      <c r="J16" s="397"/>
      <c r="K16" s="395"/>
      <c r="L16" s="397"/>
      <c r="M16" s="395"/>
      <c r="N16" s="395"/>
      <c r="O16" s="193"/>
      <c r="P16" s="193"/>
      <c r="Q16" s="395"/>
      <c r="R16" s="193"/>
      <c r="S16" s="397"/>
      <c r="T16" s="193"/>
      <c r="U16" s="397"/>
      <c r="V16" s="194"/>
      <c r="W16" s="120" t="n">
        <f aca="false">SUM(G16:V17)</f>
        <v>0</v>
      </c>
      <c r="X16" s="121" t="n">
        <f aca="false">IF(ISERROR(VLOOKUP(D16,일용직명단!$A$3:$K$1246,8,FALSE())),0,VLOOKUP(D16,일용직명단!$A$3:$K$1246,8,FALSE()))</f>
        <v>0</v>
      </c>
      <c r="Y16" s="122" t="n">
        <f aca="false">IFERROR(IF(AH16&gt;=65,0,ROUNDDOWN(X17*$AA$4,-1)),0)</f>
        <v>0</v>
      </c>
      <c r="Z16" s="122" t="n">
        <f aca="false">IF(AF16&gt;=8,ROUNDDOWN(X17*$N$4,-1),0)</f>
        <v>0</v>
      </c>
      <c r="AA16" s="123" t="n">
        <f aca="false">IFERROR(IF(AND(COUNT(G16:V17)&gt;=8,$AH16&lt;60,X17&lt;=5530000),ROUNDDOWN(ROUNDDOWN(X17,-3)*4.5%,-1),IF(AND(COUNT(G16:V17)&gt;=8,AH16&lt;60,X17&gt;5530000),248850,0)),0)</f>
        <v>0</v>
      </c>
      <c r="AB16" s="124" t="n">
        <f aca="false">+Y16+Z16+Y17+Z17+AA16+AA17</f>
        <v>0</v>
      </c>
      <c r="AC16" s="125" t="n">
        <f aca="false">X17-AB16</f>
        <v>0</v>
      </c>
      <c r="AD16" s="126" t="n">
        <f aca="false">IF(ISERROR(VLOOKUP(D16,일용직명단!$A$3:$I$1226,5,FALSE())),0,VLOOKUP(D16,일용직명단!$A$3:$I$1226,5,FALSE()))</f>
        <v>0</v>
      </c>
      <c r="AE16" s="127" t="n">
        <f aca="false">IF(ISERROR(VLOOKUP(D16,일용직명단!$A$3:$I$1226,6,FALSE())),0,VLOOKUP(D16,일용직명단!$A$3:$I$1226,6,FALSE()))</f>
        <v>0</v>
      </c>
      <c r="AF16" s="141" t="n">
        <f aca="false">COUNT(G16:V17)</f>
        <v>0</v>
      </c>
      <c r="AG16" s="169" t="str">
        <f aca="false">IF(OR(MID(E16,8,1)="1",MID(E16,8,1)="2"),19&amp;LEFT(E16,2),20&amp;LEFT(E16,2))&amp;"-"&amp;MID(E16,3,2)&amp;"-"&amp;MID(E16,5,2)</f>
        <v>200--</v>
      </c>
      <c r="AH16" s="169" t="e">
        <f aca="true">INT((TODAY()-AG16)/365.25)</f>
        <v>#VALUE!</v>
      </c>
      <c r="AI16" s="130" t="n">
        <f aca="false">ROUNDDOWN(SUM(AJ16:AY17),-1)</f>
        <v>0</v>
      </c>
      <c r="AJ16" s="130" t="n">
        <f aca="false">IF($X16*G16&gt;150000,($X16*G16-150000)*6%*45%,0)</f>
        <v>0</v>
      </c>
      <c r="AK16" s="130" t="n">
        <f aca="false">IF($X16*H16&gt;150000,($X16*H16-150000)*6%*45%,0)</f>
        <v>0</v>
      </c>
      <c r="AL16" s="130" t="n">
        <f aca="false">IF($X16*I16&gt;150000,($X16*I16-150000)*6%*45%,0)</f>
        <v>0</v>
      </c>
      <c r="AM16" s="130" t="n">
        <f aca="false">IF($X16*J16&gt;150000,($X16*J16-150000)*6%*45%,0)</f>
        <v>0</v>
      </c>
      <c r="AN16" s="130" t="n">
        <f aca="false">IF($X16*K16&gt;150000,($X16*K16-150000)*6%*45%,0)</f>
        <v>0</v>
      </c>
      <c r="AO16" s="130" t="n">
        <f aca="false">IF($X16*L16&gt;150000,($X16*L16-150000)*6%*45%,0)</f>
        <v>0</v>
      </c>
      <c r="AP16" s="130" t="n">
        <f aca="false">IF($X16*M16&gt;150000,($X16*M16-150000)*6%*45%,0)</f>
        <v>0</v>
      </c>
      <c r="AQ16" s="130" t="n">
        <f aca="false">IF($X16*N16&gt;150000,($X16*N16-150000)*6%*45%,0)</f>
        <v>0</v>
      </c>
      <c r="AR16" s="130" t="n">
        <f aca="false">IF($X16*O16&gt;150000,($X16*O16-150000)*6%*45%,0)</f>
        <v>0</v>
      </c>
      <c r="AS16" s="130" t="n">
        <f aca="false">IF($X16*P16&gt;150000,($X16*P16-150000)*6%*45%,0)</f>
        <v>0</v>
      </c>
      <c r="AT16" s="130" t="n">
        <f aca="false">IF($X16*Q16&gt;150000,($X16*Q16-150000)*6%*45%,0)</f>
        <v>0</v>
      </c>
      <c r="AU16" s="130" t="n">
        <f aca="false">IF($X16*R16&gt;150000,($X16*R16-150000)*6%*45%,0)</f>
        <v>0</v>
      </c>
      <c r="AV16" s="130" t="n">
        <f aca="false">IF($X16*S16&gt;150000,($X16*S16-150000)*6%*45%,0)</f>
        <v>0</v>
      </c>
      <c r="AW16" s="130" t="n">
        <f aca="false">IF($X16*T16&gt;150000,($X16*T16-150000)*6%*45%,0)</f>
        <v>0</v>
      </c>
      <c r="AX16" s="130" t="n">
        <f aca="false">IF($X16*U16&gt;150000,($X16*U16-150000)*6%*45%,0)</f>
        <v>0</v>
      </c>
      <c r="AY16" s="130"/>
      <c r="AZ16" s="131" t="n">
        <f aca="false">IF(ISERROR(VLOOKUP(D16,[32]일용직명단!$A$3:$M$1151,11,FALSE())),0,VLOOKUP(D16,[32]일용직명단!$A$3:$M$1151,11,FALSE()))</f>
        <v>0</v>
      </c>
      <c r="BA16" s="11"/>
      <c r="BC16" s="358"/>
      <c r="BD16" s="358"/>
      <c r="BE16" s="358"/>
      <c r="BF16" s="358"/>
      <c r="BG16" s="358"/>
      <c r="BH16" s="358"/>
      <c r="BI16" s="358"/>
      <c r="BJ16" s="358"/>
      <c r="BK16" s="358"/>
      <c r="BL16" s="358"/>
      <c r="BM16" s="358"/>
      <c r="BN16" s="358"/>
      <c r="BO16" s="358"/>
      <c r="BP16" s="358"/>
      <c r="BQ16" s="358"/>
      <c r="BR16" s="358"/>
      <c r="BS16" s="358"/>
      <c r="BT16" s="358"/>
      <c r="BU16" s="358"/>
      <c r="BV16" s="358"/>
      <c r="BW16" s="358"/>
      <c r="BX16" s="358"/>
      <c r="BY16" s="358"/>
      <c r="BZ16" s="358"/>
      <c r="CA16" s="358"/>
      <c r="CB16" s="358"/>
      <c r="CC16" s="358"/>
      <c r="CD16" s="358"/>
      <c r="CE16" s="358"/>
      <c r="CF16" s="358"/>
      <c r="CG16" s="358"/>
      <c r="CH16" s="358"/>
      <c r="CI16" s="358"/>
      <c r="CJ16" s="358"/>
      <c r="CK16" s="358"/>
      <c r="CL16" s="358"/>
      <c r="CM16" s="358"/>
      <c r="CN16" s="358"/>
      <c r="CO16" s="358"/>
      <c r="CP16" s="358"/>
      <c r="CQ16" s="358"/>
      <c r="CR16" s="358"/>
      <c r="CS16" s="358"/>
      <c r="CT16" s="358"/>
      <c r="CU16" s="358"/>
      <c r="CV16" s="358"/>
      <c r="CW16" s="358"/>
      <c r="CX16" s="358"/>
      <c r="CY16" s="358"/>
      <c r="CZ16" s="358"/>
      <c r="DA16" s="358"/>
      <c r="DB16" s="358"/>
      <c r="DC16" s="358"/>
      <c r="DD16" s="358"/>
      <c r="DE16" s="358"/>
      <c r="DF16" s="358"/>
      <c r="DG16" s="358"/>
      <c r="DH16" s="358"/>
      <c r="DI16" s="358"/>
      <c r="DJ16" s="358"/>
      <c r="DK16" s="358"/>
      <c r="DL16" s="358"/>
      <c r="DM16" s="358"/>
      <c r="DN16" s="358"/>
      <c r="DO16" s="358"/>
      <c r="DP16" s="358"/>
      <c r="DQ16" s="358"/>
      <c r="DR16" s="358"/>
      <c r="DS16" s="358"/>
      <c r="DT16" s="358"/>
      <c r="DU16" s="358"/>
      <c r="DV16" s="358"/>
      <c r="DW16" s="358"/>
      <c r="DX16" s="358"/>
      <c r="DY16" s="358"/>
      <c r="DZ16" s="358"/>
      <c r="EA16" s="358"/>
      <c r="EB16" s="358"/>
      <c r="EC16" s="358"/>
      <c r="ED16" s="358"/>
      <c r="EE16" s="358"/>
      <c r="EF16" s="358"/>
      <c r="EG16" s="358"/>
      <c r="EH16" s="358"/>
      <c r="EI16" s="358"/>
      <c r="EJ16" s="358"/>
      <c r="EK16" s="358"/>
      <c r="EL16" s="358"/>
      <c r="EM16" s="358"/>
      <c r="EN16" s="358"/>
      <c r="EO16" s="358"/>
      <c r="EP16" s="358"/>
      <c r="EQ16" s="358"/>
      <c r="ER16" s="358"/>
      <c r="ES16" s="358"/>
      <c r="ET16" s="358"/>
      <c r="EU16" s="358"/>
      <c r="EV16" s="358"/>
      <c r="EW16" s="358"/>
      <c r="EX16" s="358"/>
      <c r="EY16" s="358"/>
      <c r="EZ16" s="358"/>
      <c r="FA16" s="358"/>
      <c r="FB16" s="358"/>
      <c r="FC16" s="358"/>
      <c r="FD16" s="358"/>
      <c r="FE16" s="358"/>
      <c r="FF16" s="358"/>
      <c r="FG16" s="358"/>
      <c r="FH16" s="358"/>
      <c r="FI16" s="358"/>
      <c r="FJ16" s="358"/>
      <c r="FK16" s="358"/>
      <c r="FL16" s="358"/>
      <c r="FM16" s="358"/>
      <c r="FN16" s="358"/>
      <c r="FO16" s="358"/>
      <c r="FP16" s="358"/>
      <c r="FQ16" s="358"/>
      <c r="FR16" s="358"/>
      <c r="FS16" s="358"/>
      <c r="FT16" s="358"/>
      <c r="FU16" s="358"/>
      <c r="FV16" s="358"/>
      <c r="FW16" s="358"/>
      <c r="FX16" s="358"/>
      <c r="FY16" s="358"/>
      <c r="FZ16" s="358"/>
      <c r="GA16" s="358"/>
      <c r="GB16" s="358"/>
      <c r="GC16" s="358"/>
      <c r="GD16" s="358"/>
      <c r="GE16" s="358"/>
      <c r="GF16" s="358"/>
      <c r="GG16" s="358"/>
      <c r="GH16" s="358"/>
      <c r="GI16" s="358"/>
      <c r="GJ16" s="358"/>
      <c r="GK16" s="358"/>
      <c r="GL16" s="358"/>
      <c r="GM16" s="358"/>
      <c r="GN16" s="358"/>
      <c r="GO16" s="358"/>
      <c r="GP16" s="358"/>
      <c r="GQ16" s="358"/>
      <c r="GR16" s="358"/>
      <c r="GS16" s="358"/>
      <c r="GT16" s="358"/>
      <c r="GU16" s="358"/>
      <c r="GV16" s="358"/>
      <c r="GW16" s="358"/>
      <c r="GX16" s="358"/>
      <c r="GY16" s="358"/>
      <c r="GZ16" s="358"/>
      <c r="HA16" s="358"/>
      <c r="HB16" s="358"/>
      <c r="HC16" s="358"/>
      <c r="HD16" s="358"/>
      <c r="HE16" s="358"/>
      <c r="HF16" s="358"/>
      <c r="HG16" s="358"/>
      <c r="HH16" s="358"/>
      <c r="HI16" s="358"/>
      <c r="HJ16" s="358"/>
      <c r="HK16" s="358"/>
      <c r="HL16" s="358"/>
      <c r="HM16" s="358"/>
      <c r="HN16" s="358"/>
      <c r="HO16" s="358"/>
      <c r="HP16" s="358"/>
      <c r="HQ16" s="358"/>
      <c r="HR16" s="358"/>
      <c r="HS16" s="358"/>
      <c r="HT16" s="358"/>
      <c r="HU16" s="358"/>
      <c r="HV16" s="358"/>
      <c r="HW16" s="358"/>
      <c r="HX16" s="358"/>
      <c r="HY16" s="358"/>
      <c r="HZ16" s="358"/>
      <c r="IA16" s="358"/>
      <c r="IB16" s="358"/>
      <c r="IC16" s="358"/>
      <c r="ID16" s="358"/>
      <c r="IE16" s="358"/>
      <c r="IF16" s="358"/>
      <c r="IG16" s="358"/>
      <c r="IH16" s="358"/>
      <c r="II16" s="358"/>
      <c r="IJ16" s="358"/>
      <c r="IK16" s="358"/>
      <c r="IL16" s="358"/>
      <c r="IM16" s="358"/>
      <c r="IN16" s="358"/>
      <c r="IO16" s="358"/>
      <c r="IP16" s="358"/>
      <c r="IQ16" s="358"/>
    </row>
    <row r="17" customFormat="false" ht="13.5" hidden="false" customHeight="true" outlineLevel="0" collapsed="false">
      <c r="A17" s="108"/>
      <c r="B17" s="402"/>
      <c r="C17" s="403"/>
      <c r="D17" s="110"/>
      <c r="E17" s="311"/>
      <c r="F17" s="112" t="n">
        <f aca="false">IF(ISERROR(VLOOKUP(D16,일용직명단!$A$3:$K$1246,9,FALSE())),0,VLOOKUP(D16,일용직명단!$A$3:$K$1246,9,FALSE()))</f>
        <v>0</v>
      </c>
      <c r="G17" s="398"/>
      <c r="H17" s="399"/>
      <c r="I17" s="398"/>
      <c r="J17" s="198"/>
      <c r="K17" s="400"/>
      <c r="L17" s="198"/>
      <c r="M17" s="395"/>
      <c r="N17" s="395"/>
      <c r="O17" s="395"/>
      <c r="P17" s="397"/>
      <c r="Q17" s="193"/>
      <c r="R17" s="193"/>
      <c r="S17" s="395"/>
      <c r="T17" s="395"/>
      <c r="U17" s="395"/>
      <c r="V17" s="401"/>
      <c r="W17" s="120"/>
      <c r="X17" s="138" t="n">
        <f aca="false">X16*W16</f>
        <v>0</v>
      </c>
      <c r="Y17" s="122" t="n">
        <f aca="false">IF(AI16&lt;1000,0,AI16)</f>
        <v>0</v>
      </c>
      <c r="Z17" s="122" t="n">
        <f aca="false">ROUNDDOWN(Y17*10%,-1)</f>
        <v>0</v>
      </c>
      <c r="AA17" s="123" t="n">
        <f aca="false">IF(AF16&gt;=8,ROUNDDOWN(Z16*$R$4,-1),0)</f>
        <v>0</v>
      </c>
      <c r="AB17" s="124"/>
      <c r="AC17" s="125"/>
      <c r="AD17" s="127" t="n">
        <f aca="false">IF(ISERROR(VLOOKUP(D16,일용직명단!$A$3:$I$1226,7,FALSE())),0,VLOOKUP(D16,일용직명단!$A$3:$I$1226,7,FALSE()))</f>
        <v>0</v>
      </c>
      <c r="AE17" s="127"/>
      <c r="AF17" s="141"/>
      <c r="AG17" s="169"/>
      <c r="AH17" s="169"/>
      <c r="AI17" s="130"/>
      <c r="AJ17" s="130" t="n">
        <f aca="false">IF($X16*G17&gt;150000,($X16*G17-150000)*6%*45%,0)</f>
        <v>0</v>
      </c>
      <c r="AK17" s="130" t="n">
        <f aca="false">IF($X16*H17&gt;150000,($X16*H17-150000)*6%*45%,0)</f>
        <v>0</v>
      </c>
      <c r="AL17" s="130" t="n">
        <f aca="false">IF($X16*I17&gt;150000,($X16*I17-150000)*6%*45%,0)</f>
        <v>0</v>
      </c>
      <c r="AM17" s="130" t="n">
        <f aca="false">IF($X16*J17&gt;150000,($X16*J17-150000)*6%*45%,0)</f>
        <v>0</v>
      </c>
      <c r="AN17" s="130" t="n">
        <f aca="false">IF($X16*K17&gt;150000,($X16*K17-150000)*6%*45%,0)</f>
        <v>0</v>
      </c>
      <c r="AO17" s="130" t="n">
        <f aca="false">IF($X16*L17&gt;150000,($X16*L17-150000)*6%*45%,0)</f>
        <v>0</v>
      </c>
      <c r="AP17" s="130" t="n">
        <f aca="false">IF($X16*M17&gt;150000,($X16*M17-150000)*6%*45%,0)</f>
        <v>0</v>
      </c>
      <c r="AQ17" s="130" t="n">
        <f aca="false">IF($X16*N17&gt;150000,($X16*N17-150000)*6%*45%,0)</f>
        <v>0</v>
      </c>
      <c r="AR17" s="130" t="n">
        <f aca="false">IF($X16*O17&gt;150000,($X16*O17-150000)*6%*45%,0)</f>
        <v>0</v>
      </c>
      <c r="AS17" s="130" t="n">
        <f aca="false">IF($X16*P17&gt;150000,($X16*P17-150000)*6%*45%,0)</f>
        <v>0</v>
      </c>
      <c r="AT17" s="130" t="n">
        <f aca="false">IF($X16*Q17&gt;150000,($X16*Q17-150000)*6%*45%,0)</f>
        <v>0</v>
      </c>
      <c r="AU17" s="130" t="n">
        <f aca="false">IF($X16*R17&gt;150000,($X16*R17-150000)*6%*45%,0)</f>
        <v>0</v>
      </c>
      <c r="AV17" s="130" t="n">
        <f aca="false">IF($X16*S17&gt;150000,($X16*S17-150000)*6%*45%,0)</f>
        <v>0</v>
      </c>
      <c r="AW17" s="130" t="n">
        <f aca="false">IF($X16*T17&gt;150000,($X16*T17-150000)*6%*45%,0)</f>
        <v>0</v>
      </c>
      <c r="AX17" s="130" t="n">
        <f aca="false">IF($X16*U17&gt;150000,($X16*U17-150000)*6%*45%,0)</f>
        <v>0</v>
      </c>
      <c r="AY17" s="130" t="n">
        <f aca="false">IF($X16*V17&gt;150000,($X16*V17-150000)*6%*45%,0)</f>
        <v>0</v>
      </c>
      <c r="AZ17" s="131"/>
      <c r="BA17" s="11"/>
      <c r="BC17" s="358"/>
      <c r="BD17" s="358"/>
      <c r="BE17" s="358"/>
      <c r="BF17" s="358"/>
      <c r="BG17" s="358"/>
      <c r="BH17" s="358"/>
      <c r="BI17" s="358"/>
      <c r="BJ17" s="358"/>
      <c r="BK17" s="358"/>
      <c r="BL17" s="358"/>
      <c r="BM17" s="358"/>
      <c r="BN17" s="358"/>
      <c r="BO17" s="358"/>
      <c r="BP17" s="358"/>
      <c r="BQ17" s="358"/>
      <c r="BR17" s="358"/>
      <c r="BS17" s="358"/>
      <c r="BT17" s="358"/>
      <c r="BU17" s="358"/>
      <c r="BV17" s="358"/>
      <c r="BW17" s="358"/>
      <c r="BX17" s="358"/>
      <c r="BY17" s="358"/>
      <c r="BZ17" s="358"/>
      <c r="CA17" s="358"/>
      <c r="CB17" s="358"/>
      <c r="CC17" s="358"/>
      <c r="CD17" s="358"/>
      <c r="CE17" s="358"/>
      <c r="CF17" s="358"/>
      <c r="CG17" s="358"/>
      <c r="CH17" s="358"/>
      <c r="CI17" s="358"/>
      <c r="CJ17" s="358"/>
      <c r="CK17" s="358"/>
      <c r="CL17" s="358"/>
      <c r="CM17" s="358"/>
      <c r="CN17" s="358"/>
      <c r="CO17" s="358"/>
      <c r="CP17" s="358"/>
      <c r="CQ17" s="358"/>
      <c r="CR17" s="358"/>
      <c r="CS17" s="358"/>
      <c r="CT17" s="358"/>
      <c r="CU17" s="358"/>
      <c r="CV17" s="358"/>
      <c r="CW17" s="358"/>
      <c r="CX17" s="358"/>
      <c r="CY17" s="358"/>
      <c r="CZ17" s="358"/>
      <c r="DA17" s="358"/>
      <c r="DB17" s="358"/>
      <c r="DC17" s="358"/>
      <c r="DD17" s="358"/>
      <c r="DE17" s="358"/>
      <c r="DF17" s="358"/>
      <c r="DG17" s="358"/>
      <c r="DH17" s="358"/>
      <c r="DI17" s="358"/>
      <c r="DJ17" s="358"/>
      <c r="DK17" s="358"/>
      <c r="DL17" s="358"/>
      <c r="DM17" s="358"/>
      <c r="DN17" s="358"/>
      <c r="DO17" s="358"/>
      <c r="DP17" s="358"/>
      <c r="DQ17" s="358"/>
      <c r="DR17" s="358"/>
      <c r="DS17" s="358"/>
      <c r="DT17" s="358"/>
      <c r="DU17" s="358"/>
      <c r="DV17" s="358"/>
      <c r="DW17" s="358"/>
      <c r="DX17" s="358"/>
      <c r="DY17" s="358"/>
      <c r="DZ17" s="358"/>
      <c r="EA17" s="358"/>
      <c r="EB17" s="358"/>
      <c r="EC17" s="358"/>
      <c r="ED17" s="358"/>
      <c r="EE17" s="358"/>
      <c r="EF17" s="358"/>
      <c r="EG17" s="358"/>
      <c r="EH17" s="358"/>
      <c r="EI17" s="358"/>
      <c r="EJ17" s="358"/>
      <c r="EK17" s="358"/>
      <c r="EL17" s="358"/>
      <c r="EM17" s="358"/>
      <c r="EN17" s="358"/>
      <c r="EO17" s="358"/>
      <c r="EP17" s="358"/>
      <c r="EQ17" s="358"/>
      <c r="ER17" s="358"/>
      <c r="ES17" s="358"/>
      <c r="ET17" s="358"/>
      <c r="EU17" s="358"/>
      <c r="EV17" s="358"/>
      <c r="EW17" s="358"/>
      <c r="EX17" s="358"/>
      <c r="EY17" s="358"/>
      <c r="EZ17" s="358"/>
      <c r="FA17" s="358"/>
      <c r="FB17" s="358"/>
      <c r="FC17" s="358"/>
      <c r="FD17" s="358"/>
      <c r="FE17" s="358"/>
      <c r="FF17" s="358"/>
      <c r="FG17" s="358"/>
      <c r="FH17" s="358"/>
      <c r="FI17" s="358"/>
      <c r="FJ17" s="358"/>
      <c r="FK17" s="358"/>
      <c r="FL17" s="358"/>
      <c r="FM17" s="358"/>
      <c r="FN17" s="358"/>
      <c r="FO17" s="358"/>
      <c r="FP17" s="358"/>
      <c r="FQ17" s="358"/>
      <c r="FR17" s="358"/>
      <c r="FS17" s="358"/>
      <c r="FT17" s="358"/>
      <c r="FU17" s="358"/>
      <c r="FV17" s="358"/>
      <c r="FW17" s="358"/>
      <c r="FX17" s="358"/>
      <c r="FY17" s="358"/>
      <c r="FZ17" s="358"/>
      <c r="GA17" s="358"/>
      <c r="GB17" s="358"/>
      <c r="GC17" s="358"/>
      <c r="GD17" s="358"/>
      <c r="GE17" s="358"/>
      <c r="GF17" s="358"/>
      <c r="GG17" s="358"/>
      <c r="GH17" s="358"/>
      <c r="GI17" s="358"/>
      <c r="GJ17" s="358"/>
      <c r="GK17" s="358"/>
      <c r="GL17" s="358"/>
      <c r="GM17" s="358"/>
      <c r="GN17" s="358"/>
      <c r="GO17" s="358"/>
      <c r="GP17" s="358"/>
      <c r="GQ17" s="358"/>
      <c r="GR17" s="358"/>
      <c r="GS17" s="358"/>
      <c r="GT17" s="358"/>
      <c r="GU17" s="358"/>
      <c r="GV17" s="358"/>
      <c r="GW17" s="358"/>
      <c r="GX17" s="358"/>
      <c r="GY17" s="358"/>
      <c r="GZ17" s="358"/>
      <c r="HA17" s="358"/>
      <c r="HB17" s="358"/>
      <c r="HC17" s="358"/>
      <c r="HD17" s="358"/>
      <c r="HE17" s="358"/>
      <c r="HF17" s="358"/>
      <c r="HG17" s="358"/>
      <c r="HH17" s="358"/>
      <c r="HI17" s="358"/>
      <c r="HJ17" s="358"/>
      <c r="HK17" s="358"/>
      <c r="HL17" s="358"/>
      <c r="HM17" s="358"/>
      <c r="HN17" s="358"/>
      <c r="HO17" s="358"/>
      <c r="HP17" s="358"/>
      <c r="HQ17" s="358"/>
      <c r="HR17" s="358"/>
      <c r="HS17" s="358"/>
      <c r="HT17" s="358"/>
      <c r="HU17" s="358"/>
      <c r="HV17" s="358"/>
      <c r="HW17" s="358"/>
      <c r="HX17" s="358"/>
      <c r="HY17" s="358"/>
      <c r="HZ17" s="358"/>
      <c r="IA17" s="358"/>
      <c r="IB17" s="358"/>
      <c r="IC17" s="358"/>
      <c r="ID17" s="358"/>
      <c r="IE17" s="358"/>
      <c r="IF17" s="358"/>
      <c r="IG17" s="358"/>
      <c r="IH17" s="358"/>
      <c r="II17" s="358"/>
      <c r="IJ17" s="358"/>
      <c r="IK17" s="358"/>
      <c r="IL17" s="358"/>
      <c r="IM17" s="358"/>
      <c r="IN17" s="358"/>
      <c r="IO17" s="358"/>
      <c r="IP17" s="358"/>
      <c r="IQ17" s="358"/>
    </row>
    <row r="18" customFormat="false" ht="13.5" hidden="false" customHeight="true" outlineLevel="0" collapsed="false">
      <c r="A18" s="108" t="n">
        <f aca="false">A16+1</f>
        <v>5</v>
      </c>
      <c r="B18" s="402"/>
      <c r="C18" s="403"/>
      <c r="D18" s="110"/>
      <c r="E18" s="311" t="n">
        <f aca="false">IF(ISERROR(VLOOKUP(D18,일용직명단!$A$3:$K$1246,3,FALSE())),0,VLOOKUP(D18,일용직명단!$A$3:$K$1246,3,FALSE()))</f>
        <v>0</v>
      </c>
      <c r="F18" s="112" t="n">
        <f aca="false">IF(ISERROR(VLOOKUP(D18,일용직명단!$A$3:$K$1246,4,FALSE())),0,VLOOKUP(D18,일용직명단!$A$3:$K$1246,4,FALSE()))</f>
        <v>0</v>
      </c>
      <c r="G18" s="395"/>
      <c r="H18" s="396"/>
      <c r="I18" s="198"/>
      <c r="J18" s="397"/>
      <c r="K18" s="395"/>
      <c r="L18" s="397"/>
      <c r="M18" s="395"/>
      <c r="N18" s="395"/>
      <c r="O18" s="193"/>
      <c r="P18" s="193"/>
      <c r="Q18" s="395"/>
      <c r="R18" s="193"/>
      <c r="S18" s="397"/>
      <c r="T18" s="193"/>
      <c r="U18" s="397"/>
      <c r="V18" s="194"/>
      <c r="W18" s="120" t="n">
        <f aca="false">SUM(G18:V19)</f>
        <v>0</v>
      </c>
      <c r="X18" s="121" t="n">
        <f aca="false">IF(ISERROR(VLOOKUP(D18,일용직명단!$A$3:$K$1246,8,FALSE())),0,VLOOKUP(D18,일용직명단!$A$3:$K$1246,8,FALSE()))</f>
        <v>0</v>
      </c>
      <c r="Y18" s="122" t="n">
        <f aca="false">IFERROR(IF(AH18&gt;=65,0,ROUNDDOWN(X19*$AA$4,-1)),0)</f>
        <v>0</v>
      </c>
      <c r="Z18" s="122" t="n">
        <f aca="false">IF(AF18&gt;=8,ROUNDDOWN(X19*$N$4,-1),0)</f>
        <v>0</v>
      </c>
      <c r="AA18" s="123" t="n">
        <f aca="false">IFERROR(IF(AND(COUNT(G18:V19)&gt;=8,$AH18&lt;60,X19&lt;=5530000),ROUNDDOWN(ROUNDDOWN(X19,-3)*4.5%,-1),IF(AND(COUNT(G18:V19)&gt;=8,AH18&lt;60,X19&gt;5530000),248850,0)),0)</f>
        <v>0</v>
      </c>
      <c r="AB18" s="124" t="n">
        <f aca="false">+Y18+Z18+Y19+Z19+AA18+AA19</f>
        <v>0</v>
      </c>
      <c r="AC18" s="125" t="n">
        <f aca="false">X19-AB18</f>
        <v>0</v>
      </c>
      <c r="AD18" s="126" t="n">
        <f aca="false">IF(ISERROR(VLOOKUP(D18,일용직명단!$A$3:$I$1226,5,FALSE())),0,VLOOKUP(D18,일용직명단!$A$3:$I$1226,5,FALSE()))</f>
        <v>0</v>
      </c>
      <c r="AE18" s="127" t="n">
        <f aca="false">IF(ISERROR(VLOOKUP(D18,일용직명단!$A$3:$I$1226,6,FALSE())),0,VLOOKUP(D18,일용직명단!$A$3:$I$1226,6,FALSE()))</f>
        <v>0</v>
      </c>
      <c r="AF18" s="141" t="n">
        <f aca="false">COUNT(G18:V19)</f>
        <v>0</v>
      </c>
      <c r="AG18" s="169" t="str">
        <f aca="false">IF(OR(MID(E18,8,1)="1",MID(E18,8,1)="2"),19&amp;LEFT(E18,2),20&amp;LEFT(E18,2))&amp;"-"&amp;MID(E18,3,2)&amp;"-"&amp;MID(E18,5,2)</f>
        <v>200--</v>
      </c>
      <c r="AH18" s="169" t="e">
        <f aca="true">INT((TODAY()-AG18)/365.25)</f>
        <v>#VALUE!</v>
      </c>
      <c r="AI18" s="130" t="n">
        <f aca="false">ROUNDDOWN(SUM(AJ18:AY19),-1)</f>
        <v>0</v>
      </c>
      <c r="AJ18" s="130" t="n">
        <f aca="false">IF($X18*G18&gt;150000,($X18*G18-150000)*6%*45%,0)</f>
        <v>0</v>
      </c>
      <c r="AK18" s="130" t="n">
        <f aca="false">IF($X18*H18&gt;150000,($X18*H18-150000)*6%*45%,0)</f>
        <v>0</v>
      </c>
      <c r="AL18" s="130" t="n">
        <f aca="false">IF($X18*I18&gt;150000,($X18*I18-150000)*6%*45%,0)</f>
        <v>0</v>
      </c>
      <c r="AM18" s="130" t="n">
        <f aca="false">IF($X18*J18&gt;150000,($X18*J18-150000)*6%*45%,0)</f>
        <v>0</v>
      </c>
      <c r="AN18" s="130" t="n">
        <f aca="false">IF($X18*K18&gt;150000,($X18*K18-150000)*6%*45%,0)</f>
        <v>0</v>
      </c>
      <c r="AO18" s="130" t="n">
        <f aca="false">IF($X18*L18&gt;150000,($X18*L18-150000)*6%*45%,0)</f>
        <v>0</v>
      </c>
      <c r="AP18" s="130" t="n">
        <f aca="false">IF($X18*M18&gt;150000,($X18*M18-150000)*6%*45%,0)</f>
        <v>0</v>
      </c>
      <c r="AQ18" s="130" t="n">
        <f aca="false">IF($X18*N18&gt;150000,($X18*N18-150000)*6%*45%,0)</f>
        <v>0</v>
      </c>
      <c r="AR18" s="130" t="n">
        <f aca="false">IF($X18*O18&gt;150000,($X18*O18-150000)*6%*45%,0)</f>
        <v>0</v>
      </c>
      <c r="AS18" s="130" t="n">
        <f aca="false">IF($X18*P18&gt;150000,($X18*P18-150000)*6%*45%,0)</f>
        <v>0</v>
      </c>
      <c r="AT18" s="130" t="n">
        <f aca="false">IF($X18*Q18&gt;150000,($X18*Q18-150000)*6%*45%,0)</f>
        <v>0</v>
      </c>
      <c r="AU18" s="130" t="n">
        <f aca="false">IF($X18*R18&gt;150000,($X18*R18-150000)*6%*45%,0)</f>
        <v>0</v>
      </c>
      <c r="AV18" s="130" t="n">
        <f aca="false">IF($X18*S18&gt;150000,($X18*S18-150000)*6%*45%,0)</f>
        <v>0</v>
      </c>
      <c r="AW18" s="130" t="n">
        <f aca="false">IF($X18*T18&gt;150000,($X18*T18-150000)*6%*45%,0)</f>
        <v>0</v>
      </c>
      <c r="AX18" s="130" t="n">
        <f aca="false">IF($X18*U18&gt;150000,($X18*U18-150000)*6%*45%,0)</f>
        <v>0</v>
      </c>
      <c r="AY18" s="130"/>
      <c r="AZ18" s="131" t="n">
        <f aca="false">IF(ISERROR(VLOOKUP(D18,[32]일용직명단!$A$3:$M$1151,11,FALSE())),0,VLOOKUP(D18,[32]일용직명단!$A$3:$M$1151,11,FALSE()))</f>
        <v>0</v>
      </c>
      <c r="BA18" s="11"/>
      <c r="BC18" s="358"/>
      <c r="BD18" s="358"/>
      <c r="BE18" s="358"/>
      <c r="BF18" s="358"/>
      <c r="BG18" s="358"/>
      <c r="BH18" s="358"/>
      <c r="BI18" s="358"/>
      <c r="BJ18" s="358"/>
      <c r="BK18" s="358"/>
      <c r="BL18" s="358"/>
      <c r="BM18" s="358"/>
      <c r="BN18" s="358"/>
      <c r="BO18" s="358"/>
      <c r="BP18" s="358"/>
      <c r="BQ18" s="358"/>
      <c r="BR18" s="358"/>
      <c r="BS18" s="358"/>
      <c r="BT18" s="358"/>
      <c r="BU18" s="358"/>
      <c r="BV18" s="358"/>
      <c r="BW18" s="358"/>
      <c r="BX18" s="358"/>
      <c r="BY18" s="358"/>
      <c r="BZ18" s="358"/>
      <c r="CA18" s="358"/>
      <c r="CB18" s="358"/>
      <c r="CC18" s="358"/>
      <c r="CD18" s="358"/>
      <c r="CE18" s="358"/>
      <c r="CF18" s="358"/>
      <c r="CG18" s="358"/>
      <c r="CH18" s="358"/>
      <c r="CI18" s="358"/>
      <c r="CJ18" s="358"/>
      <c r="CK18" s="358"/>
      <c r="CL18" s="358"/>
      <c r="CM18" s="358"/>
      <c r="CN18" s="358"/>
      <c r="CO18" s="358"/>
      <c r="CP18" s="358"/>
      <c r="CQ18" s="358"/>
      <c r="CR18" s="358"/>
      <c r="CS18" s="358"/>
      <c r="CT18" s="358"/>
      <c r="CU18" s="358"/>
      <c r="CV18" s="358"/>
      <c r="CW18" s="358"/>
      <c r="CX18" s="358"/>
      <c r="CY18" s="358"/>
      <c r="CZ18" s="358"/>
      <c r="DA18" s="358"/>
      <c r="DB18" s="358"/>
      <c r="DC18" s="358"/>
      <c r="DD18" s="358"/>
      <c r="DE18" s="358"/>
      <c r="DF18" s="358"/>
      <c r="DG18" s="358"/>
      <c r="DH18" s="358"/>
      <c r="DI18" s="358"/>
      <c r="DJ18" s="358"/>
      <c r="DK18" s="358"/>
      <c r="DL18" s="358"/>
      <c r="DM18" s="358"/>
      <c r="DN18" s="358"/>
      <c r="DO18" s="358"/>
      <c r="DP18" s="358"/>
      <c r="DQ18" s="358"/>
      <c r="DR18" s="358"/>
      <c r="DS18" s="358"/>
      <c r="DT18" s="358"/>
      <c r="DU18" s="358"/>
      <c r="DV18" s="358"/>
      <c r="DW18" s="358"/>
      <c r="DX18" s="358"/>
      <c r="DY18" s="358"/>
      <c r="DZ18" s="358"/>
      <c r="EA18" s="358"/>
      <c r="EB18" s="358"/>
      <c r="EC18" s="358"/>
      <c r="ED18" s="358"/>
      <c r="EE18" s="358"/>
      <c r="EF18" s="358"/>
      <c r="EG18" s="358"/>
      <c r="EH18" s="358"/>
      <c r="EI18" s="358"/>
      <c r="EJ18" s="358"/>
      <c r="EK18" s="358"/>
      <c r="EL18" s="358"/>
      <c r="EM18" s="358"/>
      <c r="EN18" s="358"/>
      <c r="EO18" s="358"/>
      <c r="EP18" s="358"/>
      <c r="EQ18" s="358"/>
      <c r="ER18" s="358"/>
      <c r="ES18" s="358"/>
      <c r="ET18" s="358"/>
      <c r="EU18" s="358"/>
      <c r="EV18" s="358"/>
      <c r="EW18" s="358"/>
      <c r="EX18" s="358"/>
      <c r="EY18" s="358"/>
      <c r="EZ18" s="358"/>
      <c r="FA18" s="358"/>
      <c r="FB18" s="358"/>
      <c r="FC18" s="358"/>
      <c r="FD18" s="358"/>
      <c r="FE18" s="358"/>
      <c r="FF18" s="358"/>
      <c r="FG18" s="358"/>
      <c r="FH18" s="358"/>
      <c r="FI18" s="358"/>
      <c r="FJ18" s="358"/>
      <c r="FK18" s="358"/>
      <c r="FL18" s="358"/>
      <c r="FM18" s="358"/>
      <c r="FN18" s="358"/>
      <c r="FO18" s="358"/>
      <c r="FP18" s="358"/>
      <c r="FQ18" s="358"/>
      <c r="FR18" s="358"/>
      <c r="FS18" s="358"/>
      <c r="FT18" s="358"/>
      <c r="FU18" s="358"/>
      <c r="FV18" s="358"/>
      <c r="FW18" s="358"/>
      <c r="FX18" s="358"/>
      <c r="FY18" s="358"/>
      <c r="FZ18" s="358"/>
      <c r="GA18" s="358"/>
      <c r="GB18" s="358"/>
      <c r="GC18" s="358"/>
      <c r="GD18" s="358"/>
      <c r="GE18" s="358"/>
      <c r="GF18" s="358"/>
      <c r="GG18" s="358"/>
      <c r="GH18" s="358"/>
      <c r="GI18" s="358"/>
      <c r="GJ18" s="358"/>
      <c r="GK18" s="358"/>
      <c r="GL18" s="358"/>
      <c r="GM18" s="358"/>
      <c r="GN18" s="358"/>
      <c r="GO18" s="358"/>
      <c r="GP18" s="358"/>
      <c r="GQ18" s="358"/>
      <c r="GR18" s="358"/>
      <c r="GS18" s="358"/>
      <c r="GT18" s="358"/>
      <c r="GU18" s="358"/>
      <c r="GV18" s="358"/>
      <c r="GW18" s="358"/>
      <c r="GX18" s="358"/>
      <c r="GY18" s="358"/>
      <c r="GZ18" s="358"/>
      <c r="HA18" s="358"/>
      <c r="HB18" s="358"/>
      <c r="HC18" s="358"/>
      <c r="HD18" s="358"/>
      <c r="HE18" s="358"/>
      <c r="HF18" s="358"/>
      <c r="HG18" s="358"/>
      <c r="HH18" s="358"/>
      <c r="HI18" s="358"/>
      <c r="HJ18" s="358"/>
      <c r="HK18" s="358"/>
      <c r="HL18" s="358"/>
      <c r="HM18" s="358"/>
      <c r="HN18" s="358"/>
      <c r="HO18" s="358"/>
      <c r="HP18" s="358"/>
      <c r="HQ18" s="358"/>
      <c r="HR18" s="358"/>
      <c r="HS18" s="358"/>
      <c r="HT18" s="358"/>
      <c r="HU18" s="358"/>
      <c r="HV18" s="358"/>
      <c r="HW18" s="358"/>
      <c r="HX18" s="358"/>
      <c r="HY18" s="358"/>
      <c r="HZ18" s="358"/>
      <c r="IA18" s="358"/>
      <c r="IB18" s="358"/>
      <c r="IC18" s="358"/>
      <c r="ID18" s="358"/>
      <c r="IE18" s="358"/>
      <c r="IF18" s="358"/>
      <c r="IG18" s="358"/>
      <c r="IH18" s="358"/>
      <c r="II18" s="358"/>
      <c r="IJ18" s="358"/>
      <c r="IK18" s="358"/>
      <c r="IL18" s="358"/>
      <c r="IM18" s="358"/>
      <c r="IN18" s="358"/>
      <c r="IO18" s="358"/>
      <c r="IP18" s="358"/>
      <c r="IQ18" s="358"/>
    </row>
    <row r="19" customFormat="false" ht="13.5" hidden="false" customHeight="true" outlineLevel="0" collapsed="false">
      <c r="A19" s="108"/>
      <c r="B19" s="402"/>
      <c r="C19" s="403"/>
      <c r="D19" s="110"/>
      <c r="E19" s="311"/>
      <c r="F19" s="112" t="n">
        <f aca="false">IF(ISERROR(VLOOKUP(D18,일용직명단!$A$3:$K$1246,9,FALSE())),0,VLOOKUP(D18,일용직명단!$A$3:$K$1246,9,FALSE()))</f>
        <v>0</v>
      </c>
      <c r="G19" s="398"/>
      <c r="H19" s="399"/>
      <c r="I19" s="398"/>
      <c r="J19" s="198"/>
      <c r="K19" s="400"/>
      <c r="L19" s="198"/>
      <c r="M19" s="395"/>
      <c r="N19" s="395"/>
      <c r="O19" s="193"/>
      <c r="P19" s="397"/>
      <c r="Q19" s="193"/>
      <c r="R19" s="193"/>
      <c r="S19" s="395"/>
      <c r="T19" s="395"/>
      <c r="U19" s="395"/>
      <c r="V19" s="401"/>
      <c r="W19" s="120"/>
      <c r="X19" s="138" t="n">
        <f aca="false">X18*W18</f>
        <v>0</v>
      </c>
      <c r="Y19" s="122" t="n">
        <f aca="false">IF(AI18&lt;1000,0,AI18)</f>
        <v>0</v>
      </c>
      <c r="Z19" s="122" t="n">
        <f aca="false">ROUNDDOWN(Y19*10%,-1)</f>
        <v>0</v>
      </c>
      <c r="AA19" s="123" t="n">
        <f aca="false">IF(AF18&gt;=8,ROUNDDOWN(Z18*$R$4,-1),0)</f>
        <v>0</v>
      </c>
      <c r="AB19" s="124"/>
      <c r="AC19" s="125"/>
      <c r="AD19" s="127" t="n">
        <f aca="false">IF(ISERROR(VLOOKUP(D18,일용직명단!$A$3:$I$1226,7,FALSE())),0,VLOOKUP(D18,일용직명단!$A$3:$I$1226,7,FALSE()))</f>
        <v>0</v>
      </c>
      <c r="AE19" s="127"/>
      <c r="AF19" s="141"/>
      <c r="AG19" s="169"/>
      <c r="AH19" s="169"/>
      <c r="AI19" s="130"/>
      <c r="AJ19" s="130" t="n">
        <f aca="false">IF($X18*G19&gt;150000,($X18*G19-150000)*6%*45%,0)</f>
        <v>0</v>
      </c>
      <c r="AK19" s="130" t="n">
        <f aca="false">IF($X18*H19&gt;150000,($X18*H19-150000)*6%*45%,0)</f>
        <v>0</v>
      </c>
      <c r="AL19" s="130" t="n">
        <f aca="false">IF($X18*I19&gt;150000,($X18*I19-150000)*6%*45%,0)</f>
        <v>0</v>
      </c>
      <c r="AM19" s="130" t="n">
        <f aca="false">IF($X18*J19&gt;150000,($X18*J19-150000)*6%*45%,0)</f>
        <v>0</v>
      </c>
      <c r="AN19" s="130" t="n">
        <f aca="false">IF($X18*K19&gt;150000,($X18*K19-150000)*6%*45%,0)</f>
        <v>0</v>
      </c>
      <c r="AO19" s="130" t="n">
        <f aca="false">IF($X18*L19&gt;150000,($X18*L19-150000)*6%*45%,0)</f>
        <v>0</v>
      </c>
      <c r="AP19" s="130" t="n">
        <f aca="false">IF($X18*M19&gt;150000,($X18*M19-150000)*6%*45%,0)</f>
        <v>0</v>
      </c>
      <c r="AQ19" s="130" t="n">
        <f aca="false">IF($X18*N19&gt;150000,($X18*N19-150000)*6%*45%,0)</f>
        <v>0</v>
      </c>
      <c r="AR19" s="130" t="n">
        <f aca="false">IF($X18*O19&gt;150000,($X18*O19-150000)*6%*45%,0)</f>
        <v>0</v>
      </c>
      <c r="AS19" s="130" t="n">
        <f aca="false">IF($X18*P19&gt;150000,($X18*P19-150000)*6%*45%,0)</f>
        <v>0</v>
      </c>
      <c r="AT19" s="130" t="n">
        <f aca="false">IF($X18*Q19&gt;150000,($X18*Q19-150000)*6%*45%,0)</f>
        <v>0</v>
      </c>
      <c r="AU19" s="130" t="n">
        <f aca="false">IF($X18*R19&gt;150000,($X18*R19-150000)*6%*45%,0)</f>
        <v>0</v>
      </c>
      <c r="AV19" s="130" t="n">
        <f aca="false">IF($X18*S19&gt;150000,($X18*S19-150000)*6%*45%,0)</f>
        <v>0</v>
      </c>
      <c r="AW19" s="130" t="n">
        <f aca="false">IF($X18*T19&gt;150000,($X18*T19-150000)*6%*45%,0)</f>
        <v>0</v>
      </c>
      <c r="AX19" s="130" t="n">
        <f aca="false">IF($X18*U19&gt;150000,($X18*U19-150000)*6%*45%,0)</f>
        <v>0</v>
      </c>
      <c r="AY19" s="130" t="n">
        <f aca="false">IF($X18*V19&gt;150000,($X18*V19-150000)*6%*45%,0)</f>
        <v>0</v>
      </c>
      <c r="AZ19" s="131"/>
      <c r="BA19" s="11"/>
      <c r="BC19" s="358"/>
      <c r="BD19" s="358"/>
      <c r="BE19" s="358"/>
      <c r="BF19" s="358"/>
      <c r="BG19" s="358"/>
      <c r="BH19" s="358"/>
      <c r="BI19" s="358"/>
      <c r="BJ19" s="358"/>
      <c r="BK19" s="358"/>
      <c r="BL19" s="358"/>
      <c r="BM19" s="358"/>
      <c r="BN19" s="358"/>
      <c r="BO19" s="358"/>
      <c r="BP19" s="358"/>
      <c r="BQ19" s="358"/>
      <c r="BR19" s="358"/>
      <c r="BS19" s="358"/>
      <c r="BT19" s="358"/>
      <c r="BU19" s="358"/>
      <c r="BV19" s="358"/>
      <c r="BW19" s="358"/>
      <c r="BX19" s="358"/>
      <c r="BY19" s="358"/>
      <c r="BZ19" s="358"/>
      <c r="CA19" s="358"/>
      <c r="CB19" s="358"/>
      <c r="CC19" s="358"/>
      <c r="CD19" s="358"/>
      <c r="CE19" s="358"/>
      <c r="CF19" s="358"/>
      <c r="CG19" s="358"/>
      <c r="CH19" s="358"/>
      <c r="CI19" s="358"/>
      <c r="CJ19" s="358"/>
      <c r="CK19" s="358"/>
      <c r="CL19" s="358"/>
      <c r="CM19" s="358"/>
      <c r="CN19" s="358"/>
      <c r="CO19" s="358"/>
      <c r="CP19" s="358"/>
      <c r="CQ19" s="358"/>
      <c r="CR19" s="358"/>
      <c r="CS19" s="358"/>
      <c r="CT19" s="358"/>
      <c r="CU19" s="358"/>
      <c r="CV19" s="358"/>
      <c r="CW19" s="358"/>
      <c r="CX19" s="358"/>
      <c r="CY19" s="358"/>
      <c r="CZ19" s="358"/>
      <c r="DA19" s="358"/>
      <c r="DB19" s="358"/>
      <c r="DC19" s="358"/>
      <c r="DD19" s="358"/>
      <c r="DE19" s="358"/>
      <c r="DF19" s="358"/>
      <c r="DG19" s="358"/>
      <c r="DH19" s="358"/>
      <c r="DI19" s="358"/>
      <c r="DJ19" s="358"/>
      <c r="DK19" s="358"/>
      <c r="DL19" s="358"/>
      <c r="DM19" s="358"/>
      <c r="DN19" s="358"/>
      <c r="DO19" s="358"/>
      <c r="DP19" s="358"/>
      <c r="DQ19" s="358"/>
      <c r="DR19" s="358"/>
      <c r="DS19" s="358"/>
      <c r="DT19" s="358"/>
      <c r="DU19" s="358"/>
      <c r="DV19" s="358"/>
      <c r="DW19" s="358"/>
      <c r="DX19" s="358"/>
      <c r="DY19" s="358"/>
      <c r="DZ19" s="358"/>
      <c r="EA19" s="358"/>
      <c r="EB19" s="358"/>
      <c r="EC19" s="358"/>
      <c r="ED19" s="358"/>
      <c r="EE19" s="358"/>
      <c r="EF19" s="358"/>
      <c r="EG19" s="358"/>
      <c r="EH19" s="358"/>
      <c r="EI19" s="358"/>
      <c r="EJ19" s="358"/>
      <c r="EK19" s="358"/>
      <c r="EL19" s="358"/>
      <c r="EM19" s="358"/>
      <c r="EN19" s="358"/>
      <c r="EO19" s="358"/>
      <c r="EP19" s="358"/>
      <c r="EQ19" s="358"/>
      <c r="ER19" s="358"/>
      <c r="ES19" s="358"/>
      <c r="ET19" s="358"/>
      <c r="EU19" s="358"/>
      <c r="EV19" s="358"/>
      <c r="EW19" s="358"/>
      <c r="EX19" s="358"/>
      <c r="EY19" s="358"/>
      <c r="EZ19" s="358"/>
      <c r="FA19" s="358"/>
      <c r="FB19" s="358"/>
      <c r="FC19" s="358"/>
      <c r="FD19" s="358"/>
      <c r="FE19" s="358"/>
      <c r="FF19" s="358"/>
      <c r="FG19" s="358"/>
      <c r="FH19" s="358"/>
      <c r="FI19" s="358"/>
      <c r="FJ19" s="358"/>
      <c r="FK19" s="358"/>
      <c r="FL19" s="358"/>
      <c r="FM19" s="358"/>
      <c r="FN19" s="358"/>
      <c r="FO19" s="358"/>
      <c r="FP19" s="358"/>
      <c r="FQ19" s="358"/>
      <c r="FR19" s="358"/>
      <c r="FS19" s="358"/>
      <c r="FT19" s="358"/>
      <c r="FU19" s="358"/>
      <c r="FV19" s="358"/>
      <c r="FW19" s="358"/>
      <c r="FX19" s="358"/>
      <c r="FY19" s="358"/>
      <c r="FZ19" s="358"/>
      <c r="GA19" s="358"/>
      <c r="GB19" s="358"/>
      <c r="GC19" s="358"/>
      <c r="GD19" s="358"/>
      <c r="GE19" s="358"/>
      <c r="GF19" s="358"/>
      <c r="GG19" s="358"/>
      <c r="GH19" s="358"/>
      <c r="GI19" s="358"/>
      <c r="GJ19" s="358"/>
      <c r="GK19" s="358"/>
      <c r="GL19" s="358"/>
      <c r="GM19" s="358"/>
      <c r="GN19" s="358"/>
      <c r="GO19" s="358"/>
      <c r="GP19" s="358"/>
      <c r="GQ19" s="358"/>
      <c r="GR19" s="358"/>
      <c r="GS19" s="358"/>
      <c r="GT19" s="358"/>
      <c r="GU19" s="358"/>
      <c r="GV19" s="358"/>
      <c r="GW19" s="358"/>
      <c r="GX19" s="358"/>
      <c r="GY19" s="358"/>
      <c r="GZ19" s="358"/>
      <c r="HA19" s="358"/>
      <c r="HB19" s="358"/>
      <c r="HC19" s="358"/>
      <c r="HD19" s="358"/>
      <c r="HE19" s="358"/>
      <c r="HF19" s="358"/>
      <c r="HG19" s="358"/>
      <c r="HH19" s="358"/>
      <c r="HI19" s="358"/>
      <c r="HJ19" s="358"/>
      <c r="HK19" s="358"/>
      <c r="HL19" s="358"/>
      <c r="HM19" s="358"/>
      <c r="HN19" s="358"/>
      <c r="HO19" s="358"/>
      <c r="HP19" s="358"/>
      <c r="HQ19" s="358"/>
      <c r="HR19" s="358"/>
      <c r="HS19" s="358"/>
      <c r="HT19" s="358"/>
      <c r="HU19" s="358"/>
      <c r="HV19" s="358"/>
      <c r="HW19" s="358"/>
      <c r="HX19" s="358"/>
      <c r="HY19" s="358"/>
      <c r="HZ19" s="358"/>
      <c r="IA19" s="358"/>
      <c r="IB19" s="358"/>
      <c r="IC19" s="358"/>
      <c r="ID19" s="358"/>
      <c r="IE19" s="358"/>
      <c r="IF19" s="358"/>
      <c r="IG19" s="358"/>
      <c r="IH19" s="358"/>
      <c r="II19" s="358"/>
      <c r="IJ19" s="358"/>
      <c r="IK19" s="358"/>
      <c r="IL19" s="358"/>
      <c r="IM19" s="358"/>
      <c r="IN19" s="358"/>
      <c r="IO19" s="358"/>
      <c r="IP19" s="358"/>
      <c r="IQ19" s="358"/>
    </row>
    <row r="20" customFormat="false" ht="13.5" hidden="false" customHeight="true" outlineLevel="0" collapsed="false">
      <c r="A20" s="108" t="n">
        <f aca="false">A18+1</f>
        <v>6</v>
      </c>
      <c r="B20" s="404"/>
      <c r="C20" s="159" t="n">
        <f aca="false">IF(ISERROR(VLOOKUP(D20,[31]일용직명단!$A$3:$I$105,2,FALSE())),0,VLOOKUP(D20,[31]일용직명단!$A$3:$I$105,2,FALSE()))</f>
        <v>0</v>
      </c>
      <c r="D20" s="110"/>
      <c r="E20" s="311" t="n">
        <f aca="false">IF(ISERROR(VLOOKUP(D20,일용직명단!$A$3:$K$1246,3,FALSE())),0,VLOOKUP(D20,일용직명단!$A$3:$K$1246,3,FALSE()))</f>
        <v>0</v>
      </c>
      <c r="F20" s="112" t="n">
        <f aca="false">IF(ISERROR(VLOOKUP(D20,일용직명단!$A$3:$K$1246,4,FALSE())),0,VLOOKUP(D20,일용직명단!$A$3:$K$1246,4,FALSE()))</f>
        <v>0</v>
      </c>
      <c r="G20" s="395"/>
      <c r="H20" s="193"/>
      <c r="I20" s="397"/>
      <c r="J20" s="397"/>
      <c r="K20" s="395"/>
      <c r="L20" s="397"/>
      <c r="M20" s="395"/>
      <c r="N20" s="395"/>
      <c r="O20" s="193"/>
      <c r="P20" s="193"/>
      <c r="Q20" s="395"/>
      <c r="R20" s="193"/>
      <c r="S20" s="397"/>
      <c r="T20" s="193"/>
      <c r="U20" s="397"/>
      <c r="V20" s="194"/>
      <c r="W20" s="120" t="n">
        <f aca="false">SUM(G20:V21)</f>
        <v>0</v>
      </c>
      <c r="X20" s="121" t="n">
        <f aca="false">IF(ISERROR(VLOOKUP(D20,일용직명단!$A$3:$K$1246,8,FALSE())),0,VLOOKUP(D20,일용직명단!$A$3:$K$1246,8,FALSE()))</f>
        <v>0</v>
      </c>
      <c r="Y20" s="122" t="n">
        <f aca="false">IFERROR(IF(AH20&gt;=65,0,ROUNDDOWN(X21*$AA$4,-1)),0)</f>
        <v>0</v>
      </c>
      <c r="Z20" s="122" t="n">
        <f aca="false">IF(AF20&gt;=8,ROUNDDOWN(X21*$N$4,-1),0)</f>
        <v>0</v>
      </c>
      <c r="AA20" s="123" t="n">
        <f aca="false">IFERROR(IF(AND(COUNT(G20:V21)&gt;=8,$AH20&lt;60,X21&lt;=5530000),ROUNDDOWN(ROUNDDOWN(X21,-3)*4.5%,-1),IF(AND(COUNT(G20:V21)&gt;=8,AH20&lt;60,X21&gt;5530000),248850,0)),0)</f>
        <v>0</v>
      </c>
      <c r="AB20" s="124" t="n">
        <f aca="false">+Y20+Z20+Y21+Z21+AA20+AA21</f>
        <v>0</v>
      </c>
      <c r="AC20" s="125" t="n">
        <f aca="false">X21-AB20</f>
        <v>0</v>
      </c>
      <c r="AD20" s="126" t="n">
        <f aca="false">IF(ISERROR(VLOOKUP(D20,일용직명단!$A$3:$I$1226,5,FALSE())),0,VLOOKUP(D20,일용직명단!$A$3:$I$1226,5,FALSE()))</f>
        <v>0</v>
      </c>
      <c r="AE20" s="127" t="n">
        <f aca="false">IF(ISERROR(VLOOKUP(D20,일용직명단!$A$3:$I$1226,6,FALSE())),0,VLOOKUP(D20,일용직명단!$A$3:$I$1226,6,FALSE()))</f>
        <v>0</v>
      </c>
      <c r="AF20" s="141" t="n">
        <f aca="false">COUNT(G20:V21)</f>
        <v>0</v>
      </c>
      <c r="AG20" s="129" t="str">
        <f aca="false">IF(OR(MID(E20,8,1)="1",MID(E20,8,1)="2"),19&amp;LEFT(E20,2),20&amp;LEFT(E20,2))&amp;"-"&amp;MID(E20,3,2)&amp;"-"&amp;MID(E20,5,2)</f>
        <v>200--</v>
      </c>
      <c r="AH20" s="129" t="e">
        <f aca="true">INT((TODAY()-AG20)/365.25)</f>
        <v>#VALUE!</v>
      </c>
      <c r="AI20" s="130" t="n">
        <f aca="false">ROUNDDOWN(SUM(AJ20:AY21),-1)</f>
        <v>0</v>
      </c>
      <c r="AJ20" s="130" t="n">
        <f aca="false">IF($X20*G20&gt;150000,($X20*G20-150000)*6%*45%,0)</f>
        <v>0</v>
      </c>
      <c r="AK20" s="130" t="n">
        <f aca="false">IF($X20*H20&gt;150000,($X20*H20-150000)*6%*45%,0)</f>
        <v>0</v>
      </c>
      <c r="AL20" s="130" t="n">
        <f aca="false">IF($X20*I20&gt;150000,($X20*I20-150000)*6%*45%,0)</f>
        <v>0</v>
      </c>
      <c r="AM20" s="130" t="n">
        <f aca="false">IF($X20*J20&gt;150000,($X20*J20-150000)*6%*45%,0)</f>
        <v>0</v>
      </c>
      <c r="AN20" s="130" t="n">
        <f aca="false">IF($X20*K20&gt;150000,($X20*K20-150000)*6%*45%,0)</f>
        <v>0</v>
      </c>
      <c r="AO20" s="130" t="n">
        <f aca="false">IF($X20*L20&gt;150000,($X20*L20-150000)*6%*45%,0)</f>
        <v>0</v>
      </c>
      <c r="AP20" s="130" t="n">
        <f aca="false">IF($X20*M20&gt;150000,($X20*M20-150000)*6%*45%,0)</f>
        <v>0</v>
      </c>
      <c r="AQ20" s="130" t="n">
        <f aca="false">IF($X20*N20&gt;150000,($X20*N20-150000)*6%*45%,0)</f>
        <v>0</v>
      </c>
      <c r="AR20" s="130" t="n">
        <f aca="false">IF($X20*O20&gt;150000,($X20*O20-150000)*6%*45%,0)</f>
        <v>0</v>
      </c>
      <c r="AS20" s="130" t="n">
        <f aca="false">IF($X20*P20&gt;150000,($X20*P20-150000)*6%*45%,0)</f>
        <v>0</v>
      </c>
      <c r="AT20" s="130" t="n">
        <f aca="false">IF($X20*Q20&gt;150000,($X20*Q20-150000)*6%*45%,0)</f>
        <v>0</v>
      </c>
      <c r="AU20" s="130" t="n">
        <f aca="false">IF($X20*R20&gt;150000,($X20*R20-150000)*6%*45%,0)</f>
        <v>0</v>
      </c>
      <c r="AV20" s="130" t="n">
        <f aca="false">IF($X20*S20&gt;150000,($X20*S20-150000)*6%*45%,0)</f>
        <v>0</v>
      </c>
      <c r="AW20" s="130" t="n">
        <f aca="false">IF($X20*T20&gt;150000,($X20*T20-150000)*6%*45%,0)</f>
        <v>0</v>
      </c>
      <c r="AX20" s="130" t="n">
        <f aca="false">IF($X20*U20&gt;150000,($X20*U20-150000)*6%*45%,0)</f>
        <v>0</v>
      </c>
      <c r="AY20" s="130"/>
      <c r="AZ20" s="131" t="n">
        <f aca="false">IF(ISERROR(VLOOKUP(D20,[32]일용직명단!$A$3:$M$1151,11,FALSE())),0,VLOOKUP(D20,[32]일용직명단!$A$3:$M$1151,11,FALSE()))</f>
        <v>0</v>
      </c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</row>
    <row r="21" customFormat="false" ht="13.5" hidden="false" customHeight="true" outlineLevel="0" collapsed="false">
      <c r="A21" s="108"/>
      <c r="B21" s="404"/>
      <c r="C21" s="159"/>
      <c r="D21" s="110"/>
      <c r="E21" s="311"/>
      <c r="F21" s="112" t="n">
        <f aca="false">IF(ISERROR(VLOOKUP(D20,일용직명단!$A$3:$K$1246,9,FALSE())),0,VLOOKUP(D20,일용직명단!$A$3:$K$1246,9,FALSE()))</f>
        <v>0</v>
      </c>
      <c r="G21" s="398"/>
      <c r="H21" s="399"/>
      <c r="I21" s="398"/>
      <c r="J21" s="198"/>
      <c r="K21" s="400"/>
      <c r="L21" s="198"/>
      <c r="M21" s="395"/>
      <c r="N21" s="395"/>
      <c r="O21" s="193"/>
      <c r="P21" s="397"/>
      <c r="Q21" s="193"/>
      <c r="R21" s="193"/>
      <c r="S21" s="395"/>
      <c r="T21" s="395"/>
      <c r="U21" s="395"/>
      <c r="V21" s="401"/>
      <c r="W21" s="120"/>
      <c r="X21" s="138" t="n">
        <f aca="false">X20*W20</f>
        <v>0</v>
      </c>
      <c r="Y21" s="122" t="n">
        <f aca="false">IF(AI20&lt;1000,0,AI20)</f>
        <v>0</v>
      </c>
      <c r="Z21" s="122" t="n">
        <f aca="false">ROUNDDOWN(Y21*10%,-1)</f>
        <v>0</v>
      </c>
      <c r="AA21" s="123" t="n">
        <f aca="false">IF(AF20&gt;=8,ROUNDDOWN(Z20*$R$4,-1),0)</f>
        <v>0</v>
      </c>
      <c r="AB21" s="124"/>
      <c r="AC21" s="125"/>
      <c r="AD21" s="127" t="n">
        <f aca="false">IF(ISERROR(VLOOKUP(D20,일용직명단!$A$3:$I$1226,7,FALSE())),0,VLOOKUP(D20,일용직명단!$A$3:$I$1226,7,FALSE()))</f>
        <v>0</v>
      </c>
      <c r="AE21" s="127"/>
      <c r="AF21" s="141"/>
      <c r="AG21" s="129"/>
      <c r="AH21" s="129"/>
      <c r="AI21" s="130"/>
      <c r="AJ21" s="130" t="n">
        <f aca="false">IF($X20*G21&gt;150000,($X20*G21-150000)*6%*45%,0)</f>
        <v>0</v>
      </c>
      <c r="AK21" s="130" t="n">
        <f aca="false">IF($X20*H21&gt;150000,($X20*H21-150000)*6%*45%,0)</f>
        <v>0</v>
      </c>
      <c r="AL21" s="130" t="n">
        <f aca="false">IF($X20*I21&gt;150000,($X20*I21-150000)*6%*45%,0)</f>
        <v>0</v>
      </c>
      <c r="AM21" s="130" t="n">
        <f aca="false">IF($X20*J21&gt;150000,($X20*J21-150000)*6%*45%,0)</f>
        <v>0</v>
      </c>
      <c r="AN21" s="130" t="n">
        <f aca="false">IF($X20*K21&gt;150000,($X20*K21-150000)*6%*45%,0)</f>
        <v>0</v>
      </c>
      <c r="AO21" s="130" t="n">
        <f aca="false">IF($X20*L21&gt;150000,($X20*L21-150000)*6%*45%,0)</f>
        <v>0</v>
      </c>
      <c r="AP21" s="130" t="n">
        <f aca="false">IF($X20*M21&gt;150000,($X20*M21-150000)*6%*45%,0)</f>
        <v>0</v>
      </c>
      <c r="AQ21" s="130" t="n">
        <f aca="false">IF($X20*N21&gt;150000,($X20*N21-150000)*6%*45%,0)</f>
        <v>0</v>
      </c>
      <c r="AR21" s="130" t="n">
        <f aca="false">IF($X20*O21&gt;150000,($X20*O21-150000)*6%*45%,0)</f>
        <v>0</v>
      </c>
      <c r="AS21" s="130" t="n">
        <f aca="false">IF($X20*P21&gt;150000,($X20*P21-150000)*6%*45%,0)</f>
        <v>0</v>
      </c>
      <c r="AT21" s="130" t="n">
        <f aca="false">IF($X20*Q21&gt;150000,($X20*Q21-150000)*6%*45%,0)</f>
        <v>0</v>
      </c>
      <c r="AU21" s="130" t="n">
        <f aca="false">IF($X20*R21&gt;150000,($X20*R21-150000)*6%*45%,0)</f>
        <v>0</v>
      </c>
      <c r="AV21" s="130" t="n">
        <f aca="false">IF($X20*S21&gt;150000,($X20*S21-150000)*6%*45%,0)</f>
        <v>0</v>
      </c>
      <c r="AW21" s="130" t="n">
        <f aca="false">IF($X20*T21&gt;150000,($X20*T21-150000)*6%*45%,0)</f>
        <v>0</v>
      </c>
      <c r="AX21" s="130" t="n">
        <f aca="false">IF($X20*U21&gt;150000,($X20*U21-150000)*6%*45%,0)</f>
        <v>0</v>
      </c>
      <c r="AY21" s="130" t="n">
        <f aca="false">IF($X20*V21&gt;150000,($X20*V21-150000)*6%*45%,0)</f>
        <v>0</v>
      </c>
      <c r="AZ21" s="13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</row>
    <row r="22" customFormat="false" ht="13.5" hidden="false" customHeight="true" outlineLevel="0" collapsed="false">
      <c r="A22" s="108" t="n">
        <f aca="false">A20+1</f>
        <v>7</v>
      </c>
      <c r="B22" s="404"/>
      <c r="C22" s="159" t="n">
        <f aca="false">IF(ISERROR(VLOOKUP(D22,[31]일용직명단!$A$3:$I$105,2,FALSE())),0,VLOOKUP(D22,[31]일용직명단!$A$3:$I$105,2,FALSE()))</f>
        <v>0</v>
      </c>
      <c r="D22" s="110"/>
      <c r="E22" s="311" t="n">
        <f aca="false">IF(ISERROR(VLOOKUP(D22,일용직명단!$A$3:$K$1246,3,FALSE())),0,VLOOKUP(D22,일용직명단!$A$3:$K$1246,3,FALSE()))</f>
        <v>0</v>
      </c>
      <c r="F22" s="112" t="n">
        <f aca="false">IF(ISERROR(VLOOKUP(D22,일용직명단!$A$3:$K$1246,4,FALSE())),0,VLOOKUP(D22,일용직명단!$A$3:$K$1246,4,FALSE()))</f>
        <v>0</v>
      </c>
      <c r="G22" s="395"/>
      <c r="H22" s="193"/>
      <c r="I22" s="397"/>
      <c r="J22" s="397"/>
      <c r="K22" s="395"/>
      <c r="L22" s="397"/>
      <c r="M22" s="395"/>
      <c r="N22" s="395"/>
      <c r="O22" s="193"/>
      <c r="P22" s="193"/>
      <c r="Q22" s="395"/>
      <c r="R22" s="193"/>
      <c r="S22" s="397"/>
      <c r="T22" s="193"/>
      <c r="U22" s="397"/>
      <c r="V22" s="194"/>
      <c r="W22" s="120" t="n">
        <f aca="false">SUM(G22:V23)</f>
        <v>0</v>
      </c>
      <c r="X22" s="121" t="n">
        <f aca="false">IF(ISERROR(VLOOKUP(D22,일용직명단!$A$3:$K$1246,8,FALSE())),0,VLOOKUP(D22,일용직명단!$A$3:$K$1246,8,FALSE()))</f>
        <v>0</v>
      </c>
      <c r="Y22" s="122" t="n">
        <f aca="false">IFERROR(IF(AH22&gt;=65,0,ROUNDDOWN(X23*$AA$4,-1)),0)</f>
        <v>0</v>
      </c>
      <c r="Z22" s="122" t="n">
        <f aca="false">IF(AF22&gt;=8,ROUNDDOWN(X23*$N$4,-1),0)</f>
        <v>0</v>
      </c>
      <c r="AA22" s="123" t="n">
        <f aca="false">IFERROR(IF(AND(COUNT(G22:V23)&gt;=8,$AH22&lt;60,X23&lt;=5530000),ROUNDDOWN(ROUNDDOWN(X23,-3)*4.5%,-1),IF(AND(COUNT(G22:V23)&gt;=8,AH22&lt;60,X23&gt;5530000),248850,0)),0)</f>
        <v>0</v>
      </c>
      <c r="AB22" s="124" t="n">
        <f aca="false">+Y22+Z22+Y23+Z23+AA22+AA23</f>
        <v>0</v>
      </c>
      <c r="AC22" s="125" t="n">
        <f aca="false">X23-AB22</f>
        <v>0</v>
      </c>
      <c r="AD22" s="126" t="n">
        <f aca="false">IF(ISERROR(VLOOKUP(D22,일용직명단!$A$3:$I$1226,5,FALSE())),0,VLOOKUP(D22,일용직명단!$A$3:$I$1226,5,FALSE()))</f>
        <v>0</v>
      </c>
      <c r="AE22" s="127" t="n">
        <f aca="false">IF(ISERROR(VLOOKUP(D22,일용직명단!$A$3:$I$1226,6,FALSE())),0,VLOOKUP(D22,일용직명단!$A$3:$I$1226,6,FALSE()))</f>
        <v>0</v>
      </c>
      <c r="AF22" s="141" t="n">
        <f aca="false">COUNT(G22:V23)</f>
        <v>0</v>
      </c>
      <c r="AG22" s="129" t="str">
        <f aca="false">IF(OR(MID(E22,8,1)="1",MID(E22,8,1)="2"),19&amp;LEFT(E22,2),20&amp;LEFT(E22,2))&amp;"-"&amp;MID(E22,3,2)&amp;"-"&amp;MID(E22,5,2)</f>
        <v>200--</v>
      </c>
      <c r="AH22" s="129" t="e">
        <f aca="true">INT((TODAY()-AG22)/365.25)</f>
        <v>#VALUE!</v>
      </c>
      <c r="AI22" s="130" t="n">
        <f aca="false">ROUNDDOWN(SUM(AJ22:AY23),-1)</f>
        <v>0</v>
      </c>
      <c r="AJ22" s="130" t="n">
        <f aca="false">IF($X22*G22&gt;150000,($X22*G22-150000)*6%*45%,0)</f>
        <v>0</v>
      </c>
      <c r="AK22" s="130" t="n">
        <f aca="false">IF($X22*H22&gt;150000,($X22*H22-150000)*6%*45%,0)</f>
        <v>0</v>
      </c>
      <c r="AL22" s="130" t="n">
        <f aca="false">IF($X22*I22&gt;150000,($X22*I22-150000)*6%*45%,0)</f>
        <v>0</v>
      </c>
      <c r="AM22" s="130" t="n">
        <f aca="false">IF($X22*J22&gt;150000,($X22*J22-150000)*6%*45%,0)</f>
        <v>0</v>
      </c>
      <c r="AN22" s="130" t="n">
        <f aca="false">IF($X22*K22&gt;150000,($X22*K22-150000)*6%*45%,0)</f>
        <v>0</v>
      </c>
      <c r="AO22" s="130" t="n">
        <f aca="false">IF($X22*L22&gt;150000,($X22*L22-150000)*6%*45%,0)</f>
        <v>0</v>
      </c>
      <c r="AP22" s="130" t="n">
        <f aca="false">IF($X22*M22&gt;150000,($X22*M22-150000)*6%*45%,0)</f>
        <v>0</v>
      </c>
      <c r="AQ22" s="130" t="n">
        <f aca="false">IF($X22*N22&gt;150000,($X22*N22-150000)*6%*45%,0)</f>
        <v>0</v>
      </c>
      <c r="AR22" s="130" t="n">
        <f aca="false">IF($X22*O22&gt;150000,($X22*O22-150000)*6%*45%,0)</f>
        <v>0</v>
      </c>
      <c r="AS22" s="130" t="n">
        <f aca="false">IF($X22*P22&gt;150000,($X22*P22-150000)*6%*45%,0)</f>
        <v>0</v>
      </c>
      <c r="AT22" s="130" t="n">
        <f aca="false">IF($X22*Q22&gt;150000,($X22*Q22-150000)*6%*45%,0)</f>
        <v>0</v>
      </c>
      <c r="AU22" s="130" t="n">
        <f aca="false">IF($X22*R22&gt;150000,($X22*R22-150000)*6%*45%,0)</f>
        <v>0</v>
      </c>
      <c r="AV22" s="130" t="n">
        <f aca="false">IF($X22*S22&gt;150000,($X22*S22-150000)*6%*45%,0)</f>
        <v>0</v>
      </c>
      <c r="AW22" s="130" t="n">
        <f aca="false">IF($X22*T22&gt;150000,($X22*T22-150000)*6%*45%,0)</f>
        <v>0</v>
      </c>
      <c r="AX22" s="130" t="n">
        <f aca="false">IF($X22*U22&gt;150000,($X22*U22-150000)*6%*45%,0)</f>
        <v>0</v>
      </c>
      <c r="AY22" s="130"/>
      <c r="AZ22" s="131" t="n">
        <f aca="false">IF(ISERROR(VLOOKUP(D22,[32]일용직명단!$A$3:$M$1151,11,FALSE())),0,VLOOKUP(D22,[32]일용직명단!$A$3:$M$1151,11,FALSE()))</f>
        <v>0</v>
      </c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</row>
    <row r="23" customFormat="false" ht="13.5" hidden="false" customHeight="true" outlineLevel="0" collapsed="false">
      <c r="A23" s="108"/>
      <c r="B23" s="404"/>
      <c r="C23" s="159"/>
      <c r="D23" s="110"/>
      <c r="E23" s="311"/>
      <c r="F23" s="112" t="n">
        <f aca="false">IF(ISERROR(VLOOKUP(D22,일용직명단!$A$3:$K$1246,9,FALSE())),0,VLOOKUP(D22,일용직명단!$A$3:$K$1246,9,FALSE()))</f>
        <v>0</v>
      </c>
      <c r="G23" s="405"/>
      <c r="H23" s="406"/>
      <c r="I23" s="405"/>
      <c r="J23" s="136"/>
      <c r="K23" s="407"/>
      <c r="L23" s="136"/>
      <c r="M23" s="408"/>
      <c r="N23" s="408"/>
      <c r="O23" s="114"/>
      <c r="P23" s="409"/>
      <c r="Q23" s="114"/>
      <c r="R23" s="114"/>
      <c r="S23" s="408"/>
      <c r="T23" s="408"/>
      <c r="U23" s="408"/>
      <c r="V23" s="410"/>
      <c r="W23" s="120"/>
      <c r="X23" s="138" t="n">
        <f aca="false">X22*W22</f>
        <v>0</v>
      </c>
      <c r="Y23" s="122" t="n">
        <f aca="false">IF(AI22&lt;1000,0,AI22)</f>
        <v>0</v>
      </c>
      <c r="Z23" s="122" t="n">
        <f aca="false">ROUNDDOWN(Y23*10%,-1)</f>
        <v>0</v>
      </c>
      <c r="AA23" s="123" t="n">
        <f aca="false">IF(AF22&gt;=8,ROUNDDOWN(Z22*$R$4,-1),0)</f>
        <v>0</v>
      </c>
      <c r="AB23" s="124"/>
      <c r="AC23" s="125"/>
      <c r="AD23" s="127" t="n">
        <f aca="false">IF(ISERROR(VLOOKUP(D22,일용직명단!$A$3:$I$1226,7,FALSE())),0,VLOOKUP(D22,일용직명단!$A$3:$I$1226,7,FALSE()))</f>
        <v>0</v>
      </c>
      <c r="AE23" s="127"/>
      <c r="AF23" s="141"/>
      <c r="AG23" s="129"/>
      <c r="AH23" s="129"/>
      <c r="AI23" s="130"/>
      <c r="AJ23" s="130" t="n">
        <f aca="false">IF($X22*G23&gt;150000,($X22*G23-150000)*6%*45%,0)</f>
        <v>0</v>
      </c>
      <c r="AK23" s="130" t="n">
        <f aca="false">IF($X22*H23&gt;150000,($X22*H23-150000)*6%*45%,0)</f>
        <v>0</v>
      </c>
      <c r="AL23" s="130" t="n">
        <f aca="false">IF($X22*I23&gt;150000,($X22*I23-150000)*6%*45%,0)</f>
        <v>0</v>
      </c>
      <c r="AM23" s="130" t="n">
        <f aca="false">IF($X22*J23&gt;150000,($X22*J23-150000)*6%*45%,0)</f>
        <v>0</v>
      </c>
      <c r="AN23" s="130" t="n">
        <f aca="false">IF($X22*K23&gt;150000,($X22*K23-150000)*6%*45%,0)</f>
        <v>0</v>
      </c>
      <c r="AO23" s="130" t="n">
        <f aca="false">IF($X22*L23&gt;150000,($X22*L23-150000)*6%*45%,0)</f>
        <v>0</v>
      </c>
      <c r="AP23" s="130" t="n">
        <f aca="false">IF($X22*M23&gt;150000,($X22*M23-150000)*6%*45%,0)</f>
        <v>0</v>
      </c>
      <c r="AQ23" s="130" t="n">
        <f aca="false">IF($X22*N23&gt;150000,($X22*N23-150000)*6%*45%,0)</f>
        <v>0</v>
      </c>
      <c r="AR23" s="130" t="n">
        <f aca="false">IF($X22*O23&gt;150000,($X22*O23-150000)*6%*45%,0)</f>
        <v>0</v>
      </c>
      <c r="AS23" s="130" t="n">
        <f aca="false">IF($X22*P23&gt;150000,($X22*P23-150000)*6%*45%,0)</f>
        <v>0</v>
      </c>
      <c r="AT23" s="130" t="n">
        <f aca="false">IF($X22*Q23&gt;150000,($X22*Q23-150000)*6%*45%,0)</f>
        <v>0</v>
      </c>
      <c r="AU23" s="130" t="n">
        <f aca="false">IF($X22*R23&gt;150000,($X22*R23-150000)*6%*45%,0)</f>
        <v>0</v>
      </c>
      <c r="AV23" s="130" t="n">
        <f aca="false">IF($X22*S23&gt;150000,($X22*S23-150000)*6%*45%,0)</f>
        <v>0</v>
      </c>
      <c r="AW23" s="130" t="n">
        <f aca="false">IF($X22*T23&gt;150000,($X22*T23-150000)*6%*45%,0)</f>
        <v>0</v>
      </c>
      <c r="AX23" s="130" t="n">
        <f aca="false">IF($X22*U23&gt;150000,($X22*U23-150000)*6%*45%,0)</f>
        <v>0</v>
      </c>
      <c r="AY23" s="130" t="n">
        <f aca="false">IF($X22*V23&gt;150000,($X22*V23-150000)*6%*45%,0)</f>
        <v>0</v>
      </c>
      <c r="AZ23" s="13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</row>
    <row r="24" customFormat="false" ht="13.5" hidden="true" customHeight="true" outlineLevel="0" collapsed="false">
      <c r="A24" s="108" t="n">
        <f aca="false">A22+1</f>
        <v>8</v>
      </c>
      <c r="B24" s="404"/>
      <c r="C24" s="403" t="n">
        <f aca="false">IF(ISERROR(VLOOKUP(D24,[31]일용직명단!$A$3:$I$105,2,FALSE())),0,VLOOKUP(D24,[31]일용직명단!$A$3:$I$105,2,FALSE()))</f>
        <v>0</v>
      </c>
      <c r="D24" s="110"/>
      <c r="E24" s="311" t="n">
        <f aca="false">IF(ISERROR(VLOOKUP(D24,[31]일용직명단!$A$3:$K$1220,3,FALSE())),0,VLOOKUP(D24,[31]일용직명단!$A$3:$K$1220,3,FALSE()))</f>
        <v>0</v>
      </c>
      <c r="F24" s="112" t="n">
        <f aca="false">IF(ISERROR(VLOOKUP(D24,일용직명단!$A$3:$K$1246,4,FALSE())),0,VLOOKUP(D24,일용직명단!$A$3:$K$1246,4,FALSE()))</f>
        <v>0</v>
      </c>
      <c r="G24" s="408"/>
      <c r="H24" s="114"/>
      <c r="I24" s="409"/>
      <c r="J24" s="409"/>
      <c r="K24" s="408"/>
      <c r="L24" s="409"/>
      <c r="M24" s="408"/>
      <c r="N24" s="408"/>
      <c r="O24" s="114"/>
      <c r="P24" s="114"/>
      <c r="Q24" s="408"/>
      <c r="R24" s="114"/>
      <c r="S24" s="409"/>
      <c r="T24" s="114"/>
      <c r="U24" s="409"/>
      <c r="V24" s="119"/>
      <c r="W24" s="144" t="n">
        <f aca="false">SUM(G24:V25)</f>
        <v>0</v>
      </c>
      <c r="X24" s="121" t="n">
        <f aca="false">IF(ISERROR(VLOOKUP(D24,일용직명단!$A$3:$K$1246,8,FALSE())),0,VLOOKUP(D24,일용직명단!$A$3:$K$1246,8,FALSE()))</f>
        <v>0</v>
      </c>
      <c r="Y24" s="122" t="n">
        <f aca="false">IFERROR(IF(AH24&gt;=65,0,ROUNDDOWN(X25*$AA$4,-1)),0)</f>
        <v>0</v>
      </c>
      <c r="Z24" s="122" t="n">
        <f aca="false">IF(AF24&gt;=8,ROUNDDOWN(X25*$N$4,-1),0)</f>
        <v>0</v>
      </c>
      <c r="AA24" s="123" t="n">
        <f aca="false">IFERROR(IF(AND(COUNT(G24:V25)&gt;=8,$AH24&lt;60,X25&lt;=5530000),ROUNDDOWN(ROUNDDOWN(X25,-3)*4.5%,-1),IF(AND(COUNT(G24:V25)&gt;=8,AH24&lt;60,X25&gt;5530000),248850,0)),0)</f>
        <v>0</v>
      </c>
      <c r="AB24" s="145" t="n">
        <f aca="false">+Y24+Z24+Y25+Z25+AA24+AA25</f>
        <v>0</v>
      </c>
      <c r="AC24" s="146" t="n">
        <f aca="false">X25-AB24</f>
        <v>0</v>
      </c>
      <c r="AD24" s="411" t="n">
        <f aca="false">IF(ISERROR(VLOOKUP(D24,[31]일용직명단!$A$3:$I$1200,5,FALSE())),0,VLOOKUP(D24,[31]일용직명단!$A$3:$I$1200,5,FALSE()))</f>
        <v>0</v>
      </c>
      <c r="AE24" s="412" t="n">
        <f aca="false">IF(ISERROR(VLOOKUP(D24,[31]일용직명단!$A$3:$I$1200,6,FALSE())),0,VLOOKUP(D24,[31]일용직명단!$A$3:$I$1200,6,FALSE()))</f>
        <v>0</v>
      </c>
      <c r="AF24" s="141" t="n">
        <f aca="false">COUNT(G24:V25)</f>
        <v>0</v>
      </c>
      <c r="AG24" s="169" t="str">
        <f aca="false">IF(OR(MID(E24,8,1)="1",MID(E24,8,1)="2"),19&amp;LEFT(E24,2),20&amp;LEFT(E24,2))&amp;"-"&amp;MID(E24,3,2)&amp;"-"&amp;MID(E24,5,2)</f>
        <v>200--</v>
      </c>
      <c r="AH24" s="169" t="e">
        <f aca="true">INT((TODAY()-AG24)/365.25)</f>
        <v>#VALUE!</v>
      </c>
      <c r="AI24" s="130" t="n">
        <f aca="false">ROUNDDOWN(SUM(AJ24:AY25),-1)</f>
        <v>0</v>
      </c>
      <c r="AJ24" s="130" t="n">
        <f aca="false">IF($X24*G24&gt;150000,($X24*G24-150000)*6%*45%,0)</f>
        <v>0</v>
      </c>
      <c r="AK24" s="130" t="n">
        <f aca="false">IF($X24*H24&gt;150000,($X24*H24-150000)*6%*45%,0)</f>
        <v>0</v>
      </c>
      <c r="AL24" s="130" t="n">
        <f aca="false">IF($X24*I24&gt;150000,($X24*I24-150000)*6%*45%,0)</f>
        <v>0</v>
      </c>
      <c r="AM24" s="130" t="n">
        <f aca="false">IF($X24*J24&gt;150000,($X24*J24-150000)*6%*45%,0)</f>
        <v>0</v>
      </c>
      <c r="AN24" s="130" t="n">
        <f aca="false">IF($X24*K24&gt;150000,($X24*K24-150000)*6%*45%,0)</f>
        <v>0</v>
      </c>
      <c r="AO24" s="130" t="n">
        <f aca="false">IF($X24*L24&gt;150000,($X24*L24-150000)*6%*45%,0)</f>
        <v>0</v>
      </c>
      <c r="AP24" s="130" t="n">
        <f aca="false">IF($X24*M24&gt;150000,($X24*M24-150000)*6%*45%,0)</f>
        <v>0</v>
      </c>
      <c r="AQ24" s="130" t="n">
        <f aca="false">IF($X24*N24&gt;150000,($X24*N24-150000)*6%*45%,0)</f>
        <v>0</v>
      </c>
      <c r="AR24" s="130" t="n">
        <f aca="false">IF($X24*O24&gt;150000,($X24*O24-150000)*6%*45%,0)</f>
        <v>0</v>
      </c>
      <c r="AS24" s="130" t="n">
        <f aca="false">IF($X24*P24&gt;150000,($X24*P24-150000)*6%*45%,0)</f>
        <v>0</v>
      </c>
      <c r="AT24" s="130" t="n">
        <f aca="false">IF($X24*Q24&gt;150000,($X24*Q24-150000)*6%*45%,0)</f>
        <v>0</v>
      </c>
      <c r="AU24" s="130" t="n">
        <f aca="false">IF($X24*R24&gt;150000,($X24*R24-150000)*6%*45%,0)</f>
        <v>0</v>
      </c>
      <c r="AV24" s="130" t="n">
        <f aca="false">IF($X24*S24&gt;150000,($X24*S24-150000)*6%*45%,0)</f>
        <v>0</v>
      </c>
      <c r="AW24" s="130" t="n">
        <f aca="false">IF($X24*T24&gt;150000,($X24*T24-150000)*6%*45%,0)</f>
        <v>0</v>
      </c>
      <c r="AX24" s="130" t="n">
        <f aca="false">IF($X24*U24&gt;150000,($X24*U24-150000)*6%*45%,0)</f>
        <v>0</v>
      </c>
      <c r="AY24" s="130"/>
      <c r="AZ24" s="131" t="n">
        <f aca="false">IF(ISERROR(VLOOKUP(D24,[32]일용직명단!$A$3:$M$1151,11,FALSE())),0,VLOOKUP(D24,[32]일용직명단!$A$3:$M$1151,11,FALSE()))</f>
        <v>0</v>
      </c>
      <c r="BA24" s="11"/>
      <c r="BC24" s="358"/>
      <c r="BD24" s="358"/>
      <c r="BE24" s="358"/>
      <c r="BF24" s="358"/>
      <c r="BG24" s="358"/>
      <c r="BH24" s="358"/>
      <c r="BI24" s="358"/>
      <c r="BJ24" s="358"/>
      <c r="BK24" s="358"/>
      <c r="BL24" s="358"/>
      <c r="BM24" s="358"/>
      <c r="BN24" s="358"/>
      <c r="BO24" s="358"/>
      <c r="BP24" s="358"/>
      <c r="BQ24" s="358"/>
      <c r="BR24" s="358"/>
      <c r="BS24" s="358"/>
      <c r="BT24" s="358"/>
      <c r="BU24" s="358"/>
      <c r="BV24" s="358"/>
      <c r="BW24" s="358"/>
      <c r="BX24" s="358"/>
      <c r="BY24" s="358"/>
      <c r="BZ24" s="358"/>
      <c r="CA24" s="358"/>
      <c r="CB24" s="358"/>
      <c r="CC24" s="358"/>
      <c r="CD24" s="358"/>
      <c r="CE24" s="358"/>
      <c r="CF24" s="358"/>
      <c r="CG24" s="358"/>
      <c r="CH24" s="358"/>
      <c r="CI24" s="358"/>
      <c r="CJ24" s="358"/>
      <c r="CK24" s="358"/>
      <c r="CL24" s="358"/>
      <c r="CM24" s="358"/>
      <c r="CN24" s="358"/>
      <c r="CO24" s="358"/>
      <c r="CP24" s="358"/>
      <c r="CQ24" s="358"/>
      <c r="CR24" s="358"/>
      <c r="CS24" s="358"/>
      <c r="CT24" s="358"/>
      <c r="CU24" s="358"/>
      <c r="CV24" s="358"/>
      <c r="CW24" s="358"/>
      <c r="CX24" s="358"/>
      <c r="CY24" s="358"/>
      <c r="CZ24" s="358"/>
      <c r="DA24" s="358"/>
      <c r="DB24" s="358"/>
      <c r="DC24" s="358"/>
      <c r="DD24" s="358"/>
      <c r="DE24" s="358"/>
      <c r="DF24" s="358"/>
      <c r="DG24" s="358"/>
      <c r="DH24" s="358"/>
      <c r="DI24" s="358"/>
      <c r="DJ24" s="358"/>
      <c r="DK24" s="358"/>
      <c r="DL24" s="358"/>
      <c r="DM24" s="358"/>
      <c r="DN24" s="358"/>
      <c r="DO24" s="358"/>
      <c r="DP24" s="358"/>
      <c r="DQ24" s="358"/>
      <c r="DR24" s="358"/>
      <c r="DS24" s="358"/>
      <c r="DT24" s="358"/>
      <c r="DU24" s="358"/>
      <c r="DV24" s="358"/>
      <c r="DW24" s="358"/>
      <c r="DX24" s="358"/>
      <c r="DY24" s="358"/>
      <c r="DZ24" s="358"/>
      <c r="EA24" s="358"/>
      <c r="EB24" s="358"/>
      <c r="EC24" s="358"/>
      <c r="ED24" s="358"/>
      <c r="EE24" s="358"/>
      <c r="EF24" s="358"/>
      <c r="EG24" s="358"/>
      <c r="EH24" s="358"/>
      <c r="EI24" s="358"/>
      <c r="EJ24" s="358"/>
      <c r="EK24" s="358"/>
      <c r="EL24" s="358"/>
      <c r="EM24" s="358"/>
      <c r="EN24" s="358"/>
      <c r="EO24" s="358"/>
      <c r="EP24" s="358"/>
      <c r="EQ24" s="358"/>
      <c r="ER24" s="358"/>
      <c r="ES24" s="358"/>
      <c r="ET24" s="358"/>
      <c r="EU24" s="358"/>
      <c r="EV24" s="358"/>
      <c r="EW24" s="358"/>
      <c r="EX24" s="358"/>
      <c r="EY24" s="358"/>
      <c r="EZ24" s="358"/>
      <c r="FA24" s="358"/>
      <c r="FB24" s="358"/>
      <c r="FC24" s="358"/>
      <c r="FD24" s="358"/>
      <c r="FE24" s="358"/>
      <c r="FF24" s="358"/>
      <c r="FG24" s="358"/>
      <c r="FH24" s="358"/>
      <c r="FI24" s="358"/>
      <c r="FJ24" s="358"/>
      <c r="FK24" s="358"/>
      <c r="FL24" s="358"/>
      <c r="FM24" s="358"/>
      <c r="FN24" s="358"/>
      <c r="FO24" s="358"/>
      <c r="FP24" s="358"/>
      <c r="FQ24" s="358"/>
      <c r="FR24" s="358"/>
      <c r="FS24" s="358"/>
      <c r="FT24" s="358"/>
      <c r="FU24" s="358"/>
      <c r="FV24" s="358"/>
      <c r="FW24" s="358"/>
      <c r="FX24" s="358"/>
      <c r="FY24" s="358"/>
      <c r="FZ24" s="358"/>
      <c r="GA24" s="358"/>
      <c r="GB24" s="358"/>
      <c r="GC24" s="358"/>
      <c r="GD24" s="358"/>
      <c r="GE24" s="358"/>
      <c r="GF24" s="358"/>
      <c r="GG24" s="358"/>
      <c r="GH24" s="358"/>
      <c r="GI24" s="358"/>
      <c r="GJ24" s="358"/>
      <c r="GK24" s="358"/>
      <c r="GL24" s="358"/>
      <c r="GM24" s="358"/>
      <c r="GN24" s="358"/>
      <c r="GO24" s="358"/>
      <c r="GP24" s="358"/>
      <c r="GQ24" s="358"/>
      <c r="GR24" s="358"/>
      <c r="GS24" s="358"/>
      <c r="GT24" s="358"/>
      <c r="GU24" s="358"/>
      <c r="GV24" s="358"/>
      <c r="GW24" s="358"/>
      <c r="GX24" s="358"/>
      <c r="GY24" s="358"/>
      <c r="GZ24" s="358"/>
      <c r="HA24" s="358"/>
      <c r="HB24" s="358"/>
      <c r="HC24" s="358"/>
      <c r="HD24" s="358"/>
      <c r="HE24" s="358"/>
      <c r="HF24" s="358"/>
      <c r="HG24" s="358"/>
      <c r="HH24" s="358"/>
      <c r="HI24" s="358"/>
      <c r="HJ24" s="358"/>
      <c r="HK24" s="358"/>
      <c r="HL24" s="358"/>
      <c r="HM24" s="358"/>
      <c r="HN24" s="358"/>
      <c r="HO24" s="358"/>
      <c r="HP24" s="358"/>
      <c r="HQ24" s="358"/>
      <c r="HR24" s="358"/>
      <c r="HS24" s="358"/>
      <c r="HT24" s="358"/>
      <c r="HU24" s="358"/>
      <c r="HV24" s="358"/>
      <c r="HW24" s="358"/>
      <c r="HX24" s="358"/>
      <c r="HY24" s="358"/>
      <c r="HZ24" s="358"/>
      <c r="IA24" s="358"/>
      <c r="IB24" s="358"/>
      <c r="IC24" s="358"/>
      <c r="ID24" s="358"/>
      <c r="IE24" s="358"/>
      <c r="IF24" s="358"/>
      <c r="IG24" s="358"/>
      <c r="IH24" s="358"/>
      <c r="II24" s="358"/>
      <c r="IJ24" s="358"/>
      <c r="IK24" s="358"/>
      <c r="IL24" s="358"/>
      <c r="IM24" s="358"/>
      <c r="IN24" s="358"/>
      <c r="IO24" s="358"/>
      <c r="IP24" s="358"/>
      <c r="IQ24" s="358"/>
    </row>
    <row r="25" customFormat="false" ht="13.5" hidden="true" customHeight="true" outlineLevel="0" collapsed="false">
      <c r="A25" s="108"/>
      <c r="B25" s="404"/>
      <c r="C25" s="403"/>
      <c r="D25" s="110"/>
      <c r="E25" s="311"/>
      <c r="F25" s="112" t="n">
        <f aca="false">IF(ISERROR(VLOOKUP(D24,일용직명단!$A$3:$K$1246,9,FALSE())),0,VLOOKUP(D24,일용직명단!$A$3:$K$1246,9,FALSE()))</f>
        <v>0</v>
      </c>
      <c r="G25" s="405"/>
      <c r="H25" s="406"/>
      <c r="I25" s="405"/>
      <c r="J25" s="136"/>
      <c r="K25" s="407"/>
      <c r="L25" s="136"/>
      <c r="M25" s="408"/>
      <c r="N25" s="408"/>
      <c r="O25" s="114"/>
      <c r="P25" s="409"/>
      <c r="Q25" s="114"/>
      <c r="R25" s="114"/>
      <c r="S25" s="408"/>
      <c r="T25" s="408"/>
      <c r="U25" s="408"/>
      <c r="V25" s="410"/>
      <c r="W25" s="144"/>
      <c r="X25" s="138" t="n">
        <f aca="false">X24*W24</f>
        <v>0</v>
      </c>
      <c r="Y25" s="122" t="n">
        <f aca="false">IF(AI24&lt;1000,0,AI24)</f>
        <v>0</v>
      </c>
      <c r="Z25" s="122" t="n">
        <f aca="false">ROUNDDOWN(Y25*10%,-1)</f>
        <v>0</v>
      </c>
      <c r="AA25" s="123" t="n">
        <f aca="false">IF(AF24&gt;=8,ROUNDDOWN(Z24*$R$4,-1),0)</f>
        <v>0</v>
      </c>
      <c r="AB25" s="145"/>
      <c r="AC25" s="146"/>
      <c r="AD25" s="412" t="n">
        <f aca="false">IF(ISERROR(VLOOKUP(D24,[31]일용직명단!$A$3:$I$1200,7,FALSE())),0,VLOOKUP(D24,[31]일용직명단!$A$3:$I$1200,7,FALSE()))</f>
        <v>0</v>
      </c>
      <c r="AE25" s="412"/>
      <c r="AF25" s="141"/>
      <c r="AG25" s="169"/>
      <c r="AH25" s="169"/>
      <c r="AI25" s="130"/>
      <c r="AJ25" s="130" t="n">
        <f aca="false">IF($X24*G25&gt;150000,($X24*G25-150000)*6%*45%,0)</f>
        <v>0</v>
      </c>
      <c r="AK25" s="130" t="n">
        <f aca="false">IF($X24*H25&gt;150000,($X24*H25-150000)*6%*45%,0)</f>
        <v>0</v>
      </c>
      <c r="AL25" s="130" t="n">
        <f aca="false">IF($X24*I25&gt;150000,($X24*I25-150000)*6%*45%,0)</f>
        <v>0</v>
      </c>
      <c r="AM25" s="130" t="n">
        <f aca="false">IF($X24*J25&gt;150000,($X24*J25-150000)*6%*45%,0)</f>
        <v>0</v>
      </c>
      <c r="AN25" s="130" t="n">
        <f aca="false">IF($X24*K25&gt;150000,($X24*K25-150000)*6%*45%,0)</f>
        <v>0</v>
      </c>
      <c r="AO25" s="130" t="n">
        <f aca="false">IF($X24*L25&gt;150000,($X24*L25-150000)*6%*45%,0)</f>
        <v>0</v>
      </c>
      <c r="AP25" s="130" t="n">
        <f aca="false">IF($X24*M25&gt;150000,($X24*M25-150000)*6%*45%,0)</f>
        <v>0</v>
      </c>
      <c r="AQ25" s="130" t="n">
        <f aca="false">IF($X24*N25&gt;150000,($X24*N25-150000)*6%*45%,0)</f>
        <v>0</v>
      </c>
      <c r="AR25" s="130" t="n">
        <f aca="false">IF($X24*O25&gt;150000,($X24*O25-150000)*6%*45%,0)</f>
        <v>0</v>
      </c>
      <c r="AS25" s="130" t="n">
        <f aca="false">IF($X24*P25&gt;150000,($X24*P25-150000)*6%*45%,0)</f>
        <v>0</v>
      </c>
      <c r="AT25" s="130" t="n">
        <f aca="false">IF($X24*Q25&gt;150000,($X24*Q25-150000)*6%*45%,0)</f>
        <v>0</v>
      </c>
      <c r="AU25" s="130" t="n">
        <f aca="false">IF($X24*R25&gt;150000,($X24*R25-150000)*6%*45%,0)</f>
        <v>0</v>
      </c>
      <c r="AV25" s="130" t="n">
        <f aca="false">IF($X24*S25&gt;150000,($X24*S25-150000)*6%*45%,0)</f>
        <v>0</v>
      </c>
      <c r="AW25" s="130" t="n">
        <f aca="false">IF($X24*T25&gt;150000,($X24*T25-150000)*6%*45%,0)</f>
        <v>0</v>
      </c>
      <c r="AX25" s="130" t="n">
        <f aca="false">IF($X24*U25&gt;150000,($X24*U25-150000)*6%*45%,0)</f>
        <v>0</v>
      </c>
      <c r="AY25" s="130" t="n">
        <f aca="false">IF($X24*V25&gt;150000,($X24*V25-150000)*6%*45%,0)</f>
        <v>0</v>
      </c>
      <c r="AZ25" s="131"/>
      <c r="BA25" s="11"/>
      <c r="BC25" s="358"/>
      <c r="BD25" s="358"/>
      <c r="BE25" s="358"/>
      <c r="BF25" s="358"/>
      <c r="BG25" s="358"/>
      <c r="BH25" s="358"/>
      <c r="BI25" s="358"/>
      <c r="BJ25" s="358"/>
      <c r="BK25" s="358"/>
      <c r="BL25" s="358"/>
      <c r="BM25" s="358"/>
      <c r="BN25" s="358"/>
      <c r="BO25" s="358"/>
      <c r="BP25" s="358"/>
      <c r="BQ25" s="358"/>
      <c r="BR25" s="358"/>
      <c r="BS25" s="358"/>
      <c r="BT25" s="358"/>
      <c r="BU25" s="358"/>
      <c r="BV25" s="358"/>
      <c r="BW25" s="358"/>
      <c r="BX25" s="358"/>
      <c r="BY25" s="358"/>
      <c r="BZ25" s="358"/>
      <c r="CA25" s="358"/>
      <c r="CB25" s="358"/>
      <c r="CC25" s="358"/>
      <c r="CD25" s="358"/>
      <c r="CE25" s="358"/>
      <c r="CF25" s="358"/>
      <c r="CG25" s="358"/>
      <c r="CH25" s="358"/>
      <c r="CI25" s="358"/>
      <c r="CJ25" s="358"/>
      <c r="CK25" s="358"/>
      <c r="CL25" s="358"/>
      <c r="CM25" s="358"/>
      <c r="CN25" s="358"/>
      <c r="CO25" s="358"/>
      <c r="CP25" s="358"/>
      <c r="CQ25" s="358"/>
      <c r="CR25" s="358"/>
      <c r="CS25" s="358"/>
      <c r="CT25" s="358"/>
      <c r="CU25" s="358"/>
      <c r="CV25" s="358"/>
      <c r="CW25" s="358"/>
      <c r="CX25" s="358"/>
      <c r="CY25" s="358"/>
      <c r="CZ25" s="358"/>
      <c r="DA25" s="358"/>
      <c r="DB25" s="358"/>
      <c r="DC25" s="358"/>
      <c r="DD25" s="358"/>
      <c r="DE25" s="358"/>
      <c r="DF25" s="358"/>
      <c r="DG25" s="358"/>
      <c r="DH25" s="358"/>
      <c r="DI25" s="358"/>
      <c r="DJ25" s="358"/>
      <c r="DK25" s="358"/>
      <c r="DL25" s="358"/>
      <c r="DM25" s="358"/>
      <c r="DN25" s="358"/>
      <c r="DO25" s="358"/>
      <c r="DP25" s="358"/>
      <c r="DQ25" s="358"/>
      <c r="DR25" s="358"/>
      <c r="DS25" s="358"/>
      <c r="DT25" s="358"/>
      <c r="DU25" s="358"/>
      <c r="DV25" s="358"/>
      <c r="DW25" s="358"/>
      <c r="DX25" s="358"/>
      <c r="DY25" s="358"/>
      <c r="DZ25" s="358"/>
      <c r="EA25" s="358"/>
      <c r="EB25" s="358"/>
      <c r="EC25" s="358"/>
      <c r="ED25" s="358"/>
      <c r="EE25" s="358"/>
      <c r="EF25" s="358"/>
      <c r="EG25" s="358"/>
      <c r="EH25" s="358"/>
      <c r="EI25" s="358"/>
      <c r="EJ25" s="358"/>
      <c r="EK25" s="358"/>
      <c r="EL25" s="358"/>
      <c r="EM25" s="358"/>
      <c r="EN25" s="358"/>
      <c r="EO25" s="358"/>
      <c r="EP25" s="358"/>
      <c r="EQ25" s="358"/>
      <c r="ER25" s="358"/>
      <c r="ES25" s="358"/>
      <c r="ET25" s="358"/>
      <c r="EU25" s="358"/>
      <c r="EV25" s="358"/>
      <c r="EW25" s="358"/>
      <c r="EX25" s="358"/>
      <c r="EY25" s="358"/>
      <c r="EZ25" s="358"/>
      <c r="FA25" s="358"/>
      <c r="FB25" s="358"/>
      <c r="FC25" s="358"/>
      <c r="FD25" s="358"/>
      <c r="FE25" s="358"/>
      <c r="FF25" s="358"/>
      <c r="FG25" s="358"/>
      <c r="FH25" s="358"/>
      <c r="FI25" s="358"/>
      <c r="FJ25" s="358"/>
      <c r="FK25" s="358"/>
      <c r="FL25" s="358"/>
      <c r="FM25" s="358"/>
      <c r="FN25" s="358"/>
      <c r="FO25" s="358"/>
      <c r="FP25" s="358"/>
      <c r="FQ25" s="358"/>
      <c r="FR25" s="358"/>
      <c r="FS25" s="358"/>
      <c r="FT25" s="358"/>
      <c r="FU25" s="358"/>
      <c r="FV25" s="358"/>
      <c r="FW25" s="358"/>
      <c r="FX25" s="358"/>
      <c r="FY25" s="358"/>
      <c r="FZ25" s="358"/>
      <c r="GA25" s="358"/>
      <c r="GB25" s="358"/>
      <c r="GC25" s="358"/>
      <c r="GD25" s="358"/>
      <c r="GE25" s="358"/>
      <c r="GF25" s="358"/>
      <c r="GG25" s="358"/>
      <c r="GH25" s="358"/>
      <c r="GI25" s="358"/>
      <c r="GJ25" s="358"/>
      <c r="GK25" s="358"/>
      <c r="GL25" s="358"/>
      <c r="GM25" s="358"/>
      <c r="GN25" s="358"/>
      <c r="GO25" s="358"/>
      <c r="GP25" s="358"/>
      <c r="GQ25" s="358"/>
      <c r="GR25" s="358"/>
      <c r="GS25" s="358"/>
      <c r="GT25" s="358"/>
      <c r="GU25" s="358"/>
      <c r="GV25" s="358"/>
      <c r="GW25" s="358"/>
      <c r="GX25" s="358"/>
      <c r="GY25" s="358"/>
      <c r="GZ25" s="358"/>
      <c r="HA25" s="358"/>
      <c r="HB25" s="358"/>
      <c r="HC25" s="358"/>
      <c r="HD25" s="358"/>
      <c r="HE25" s="358"/>
      <c r="HF25" s="358"/>
      <c r="HG25" s="358"/>
      <c r="HH25" s="358"/>
      <c r="HI25" s="358"/>
      <c r="HJ25" s="358"/>
      <c r="HK25" s="358"/>
      <c r="HL25" s="358"/>
      <c r="HM25" s="358"/>
      <c r="HN25" s="358"/>
      <c r="HO25" s="358"/>
      <c r="HP25" s="358"/>
      <c r="HQ25" s="358"/>
      <c r="HR25" s="358"/>
      <c r="HS25" s="358"/>
      <c r="HT25" s="358"/>
      <c r="HU25" s="358"/>
      <c r="HV25" s="358"/>
      <c r="HW25" s="358"/>
      <c r="HX25" s="358"/>
      <c r="HY25" s="358"/>
      <c r="HZ25" s="358"/>
      <c r="IA25" s="358"/>
      <c r="IB25" s="358"/>
      <c r="IC25" s="358"/>
      <c r="ID25" s="358"/>
      <c r="IE25" s="358"/>
      <c r="IF25" s="358"/>
      <c r="IG25" s="358"/>
      <c r="IH25" s="358"/>
      <c r="II25" s="358"/>
      <c r="IJ25" s="358"/>
      <c r="IK25" s="358"/>
      <c r="IL25" s="358"/>
      <c r="IM25" s="358"/>
      <c r="IN25" s="358"/>
      <c r="IO25" s="358"/>
      <c r="IP25" s="358"/>
      <c r="IQ25" s="358"/>
    </row>
    <row r="26" customFormat="false" ht="13.5" hidden="true" customHeight="true" outlineLevel="0" collapsed="false">
      <c r="A26" s="108" t="n">
        <f aca="false">A24+1</f>
        <v>9</v>
      </c>
      <c r="B26" s="404"/>
      <c r="C26" s="403" t="n">
        <f aca="false">IF(ISERROR(VLOOKUP(D26,[31]일용직명단!$A$3:$I$105,2,FALSE())),0,VLOOKUP(D26,[31]일용직명단!$A$3:$I$105,2,FALSE()))</f>
        <v>0</v>
      </c>
      <c r="D26" s="110"/>
      <c r="E26" s="311" t="n">
        <f aca="false">IF(ISERROR(VLOOKUP(D26,[31]일용직명단!$A$3:$K$1220,3,FALSE())),0,VLOOKUP(D26,[31]일용직명단!$A$3:$K$1220,3,FALSE()))</f>
        <v>0</v>
      </c>
      <c r="F26" s="112" t="n">
        <f aca="false">IF(ISERROR(VLOOKUP(D26,일용직명단!$A$3:$K$1246,4,FALSE())),0,VLOOKUP(D26,일용직명단!$A$3:$K$1246,4,FALSE()))</f>
        <v>0</v>
      </c>
      <c r="G26" s="408"/>
      <c r="H26" s="114"/>
      <c r="I26" s="409"/>
      <c r="J26" s="409"/>
      <c r="K26" s="408"/>
      <c r="L26" s="409"/>
      <c r="M26" s="408"/>
      <c r="N26" s="408"/>
      <c r="O26" s="114"/>
      <c r="P26" s="114"/>
      <c r="Q26" s="408"/>
      <c r="R26" s="114"/>
      <c r="S26" s="409"/>
      <c r="T26" s="114"/>
      <c r="U26" s="409"/>
      <c r="V26" s="119"/>
      <c r="W26" s="144" t="n">
        <f aca="false">SUM(G26:V27)</f>
        <v>0</v>
      </c>
      <c r="X26" s="121" t="n">
        <f aca="false">IF(ISERROR(VLOOKUP(D26,일용직명단!$A$3:$K$1246,8,FALSE())),0,VLOOKUP(D26,일용직명단!$A$3:$K$1246,8,FALSE()))</f>
        <v>0</v>
      </c>
      <c r="Y26" s="122" t="n">
        <f aca="false">IFERROR(IF(AH26&gt;=65,0,ROUNDDOWN(X27*$AA$4,-1)),0)</f>
        <v>0</v>
      </c>
      <c r="Z26" s="122" t="n">
        <f aca="false">IF(AF26&gt;=8,ROUNDDOWN(X27*$N$4,-1),0)</f>
        <v>0</v>
      </c>
      <c r="AA26" s="123" t="n">
        <f aca="false">IFERROR(IF(AND(COUNT(G26:V27)&gt;=8,$AH26&lt;60,X27&lt;=5530000),ROUNDDOWN(ROUNDDOWN(X27,-3)*4.5%,-1),IF(AND(COUNT(G26:V27)&gt;=8,AH26&lt;60,X27&gt;5530000),248850,0)),0)</f>
        <v>0</v>
      </c>
      <c r="AB26" s="145" t="n">
        <f aca="false">+Y26+Z26+Y27+Z27+AA26+AA27</f>
        <v>0</v>
      </c>
      <c r="AC26" s="146" t="n">
        <f aca="false">X27-AB26</f>
        <v>0</v>
      </c>
      <c r="AD26" s="411" t="n">
        <f aca="false">IF(ISERROR(VLOOKUP(D26,[31]일용직명단!$A$3:$I$1200,5,FALSE())),0,VLOOKUP(D26,[31]일용직명단!$A$3:$I$1200,5,FALSE()))</f>
        <v>0</v>
      </c>
      <c r="AE26" s="412" t="n">
        <f aca="false">IF(ISERROR(VLOOKUP(D26,[31]일용직명단!$A$3:$I$1200,6,FALSE())),0,VLOOKUP(D26,[31]일용직명단!$A$3:$I$1200,6,FALSE()))</f>
        <v>0</v>
      </c>
      <c r="AF26" s="149" t="n">
        <f aca="false">COUNT(G26:V27)</f>
        <v>0</v>
      </c>
      <c r="AG26" s="129" t="str">
        <f aca="false">IF(OR(MID(E26,8,1)="1",MID(E26,8,1)="2"),19&amp;LEFT(E26,2),20&amp;LEFT(E26,2))&amp;"-"&amp;MID(E26,3,2)&amp;"-"&amp;MID(E26,5,2)</f>
        <v>200--</v>
      </c>
      <c r="AH26" s="129" t="e">
        <f aca="true">INT((TODAY()-AG26)/365.25)</f>
        <v>#VALUE!</v>
      </c>
      <c r="AI26" s="130" t="n">
        <f aca="false">ROUNDDOWN(SUM(AJ26:AY27),-1)</f>
        <v>0</v>
      </c>
      <c r="AJ26" s="130" t="n">
        <f aca="false">IF($X26*G26&gt;150000,($X26*G26-150000)*6%*45%,0)</f>
        <v>0</v>
      </c>
      <c r="AK26" s="130" t="n">
        <f aca="false">IF($X26*H26&gt;150000,($X26*H26-150000)*6%*45%,0)</f>
        <v>0</v>
      </c>
      <c r="AL26" s="130" t="n">
        <f aca="false">IF($X26*I26&gt;150000,($X26*I26-150000)*6%*45%,0)</f>
        <v>0</v>
      </c>
      <c r="AM26" s="130" t="n">
        <f aca="false">IF($X26*J26&gt;150000,($X26*J26-150000)*6%*45%,0)</f>
        <v>0</v>
      </c>
      <c r="AN26" s="130" t="n">
        <f aca="false">IF($X26*K26&gt;150000,($X26*K26-150000)*6%*45%,0)</f>
        <v>0</v>
      </c>
      <c r="AO26" s="130" t="n">
        <f aca="false">IF($X26*L26&gt;150000,($X26*L26-150000)*6%*45%,0)</f>
        <v>0</v>
      </c>
      <c r="AP26" s="130" t="n">
        <f aca="false">IF($X26*M26&gt;150000,($X26*M26-150000)*6%*45%,0)</f>
        <v>0</v>
      </c>
      <c r="AQ26" s="130" t="n">
        <f aca="false">IF($X26*N26&gt;150000,($X26*N26-150000)*6%*45%,0)</f>
        <v>0</v>
      </c>
      <c r="AR26" s="130" t="n">
        <f aca="false">IF($X26*O26&gt;150000,($X26*O26-150000)*6%*45%,0)</f>
        <v>0</v>
      </c>
      <c r="AS26" s="130" t="n">
        <f aca="false">IF($X26*P26&gt;150000,($X26*P26-150000)*6%*45%,0)</f>
        <v>0</v>
      </c>
      <c r="AT26" s="130" t="n">
        <f aca="false">IF($X26*Q26&gt;150000,($X26*Q26-150000)*6%*45%,0)</f>
        <v>0</v>
      </c>
      <c r="AU26" s="130" t="n">
        <f aca="false">IF($X26*R26&gt;150000,($X26*R26-150000)*6%*45%,0)</f>
        <v>0</v>
      </c>
      <c r="AV26" s="130" t="n">
        <f aca="false">IF($X26*S26&gt;150000,($X26*S26-150000)*6%*45%,0)</f>
        <v>0</v>
      </c>
      <c r="AW26" s="130" t="n">
        <f aca="false">IF($X26*T26&gt;150000,($X26*T26-150000)*6%*45%,0)</f>
        <v>0</v>
      </c>
      <c r="AX26" s="130" t="n">
        <f aca="false">IF($X26*U26&gt;150000,($X26*U26-150000)*6%*45%,0)</f>
        <v>0</v>
      </c>
      <c r="AY26" s="130"/>
      <c r="AZ26" s="131" t="n">
        <f aca="false">IF(ISERROR(VLOOKUP(D26,[32]일용직명단!$A$3:$M$1151,11,FALSE())),0,VLOOKUP(D26,[32]일용직명단!$A$3:$M$1151,11,FALSE()))</f>
        <v>0</v>
      </c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</row>
    <row r="27" customFormat="false" ht="13.5" hidden="true" customHeight="true" outlineLevel="0" collapsed="false">
      <c r="A27" s="108"/>
      <c r="B27" s="404"/>
      <c r="C27" s="403"/>
      <c r="D27" s="110"/>
      <c r="E27" s="311"/>
      <c r="F27" s="112" t="n">
        <f aca="false">IF(ISERROR(VLOOKUP(D26,일용직명단!$A$3:$K$1246,9,FALSE())),0,VLOOKUP(D26,일용직명단!$A$3:$K$1246,9,FALSE()))</f>
        <v>0</v>
      </c>
      <c r="G27" s="405"/>
      <c r="H27" s="406"/>
      <c r="I27" s="405"/>
      <c r="J27" s="136"/>
      <c r="K27" s="407"/>
      <c r="L27" s="136"/>
      <c r="M27" s="408"/>
      <c r="N27" s="408"/>
      <c r="O27" s="114"/>
      <c r="P27" s="409"/>
      <c r="Q27" s="114"/>
      <c r="R27" s="114"/>
      <c r="S27" s="408"/>
      <c r="T27" s="408"/>
      <c r="U27" s="408"/>
      <c r="V27" s="410"/>
      <c r="W27" s="144"/>
      <c r="X27" s="138" t="n">
        <f aca="false">X26*W26</f>
        <v>0</v>
      </c>
      <c r="Y27" s="122" t="n">
        <f aca="false">IF(AI26&lt;1000,0,AI26)</f>
        <v>0</v>
      </c>
      <c r="Z27" s="122" t="n">
        <f aca="false">ROUNDDOWN(Y27*10%,-1)</f>
        <v>0</v>
      </c>
      <c r="AA27" s="123" t="n">
        <f aca="false">IF(AF26&gt;=8,ROUNDDOWN(Z26*$R$4,-1),0)</f>
        <v>0</v>
      </c>
      <c r="AB27" s="145"/>
      <c r="AC27" s="146"/>
      <c r="AD27" s="412" t="n">
        <f aca="false">IF(ISERROR(VLOOKUP(D26,[31]일용직명단!$A$3:$I$1200,7,FALSE())),0,VLOOKUP(D26,[31]일용직명단!$A$3:$I$1200,7,FALSE()))</f>
        <v>0</v>
      </c>
      <c r="AE27" s="412"/>
      <c r="AF27" s="149"/>
      <c r="AG27" s="129"/>
      <c r="AH27" s="129"/>
      <c r="AI27" s="130"/>
      <c r="AJ27" s="130" t="n">
        <f aca="false">IF($X26*G27&gt;150000,($X26*G27-150000)*6%*45%,0)</f>
        <v>0</v>
      </c>
      <c r="AK27" s="130" t="n">
        <f aca="false">IF($X26*H27&gt;150000,($X26*H27-150000)*6%*45%,0)</f>
        <v>0</v>
      </c>
      <c r="AL27" s="130" t="n">
        <f aca="false">IF($X26*I27&gt;150000,($X26*I27-150000)*6%*45%,0)</f>
        <v>0</v>
      </c>
      <c r="AM27" s="130" t="n">
        <f aca="false">IF($X26*J27&gt;150000,($X26*J27-150000)*6%*45%,0)</f>
        <v>0</v>
      </c>
      <c r="AN27" s="130" t="n">
        <f aca="false">IF($X26*K27&gt;150000,($X26*K27-150000)*6%*45%,0)</f>
        <v>0</v>
      </c>
      <c r="AO27" s="130" t="n">
        <f aca="false">IF($X26*L27&gt;150000,($X26*L27-150000)*6%*45%,0)</f>
        <v>0</v>
      </c>
      <c r="AP27" s="130" t="n">
        <f aca="false">IF($X26*M27&gt;150000,($X26*M27-150000)*6%*45%,0)</f>
        <v>0</v>
      </c>
      <c r="AQ27" s="130" t="n">
        <f aca="false">IF($X26*N27&gt;150000,($X26*N27-150000)*6%*45%,0)</f>
        <v>0</v>
      </c>
      <c r="AR27" s="130" t="n">
        <f aca="false">IF($X26*O27&gt;150000,($X26*O27-150000)*6%*45%,0)</f>
        <v>0</v>
      </c>
      <c r="AS27" s="130" t="n">
        <f aca="false">IF($X26*P27&gt;150000,($X26*P27-150000)*6%*45%,0)</f>
        <v>0</v>
      </c>
      <c r="AT27" s="130" t="n">
        <f aca="false">IF($X26*Q27&gt;150000,($X26*Q27-150000)*6%*45%,0)</f>
        <v>0</v>
      </c>
      <c r="AU27" s="130" t="n">
        <f aca="false">IF($X26*R27&gt;150000,($X26*R27-150000)*6%*45%,0)</f>
        <v>0</v>
      </c>
      <c r="AV27" s="130" t="n">
        <f aca="false">IF($X26*S27&gt;150000,($X26*S27-150000)*6%*45%,0)</f>
        <v>0</v>
      </c>
      <c r="AW27" s="130" t="n">
        <f aca="false">IF($X26*T27&gt;150000,($X26*T27-150000)*6%*45%,0)</f>
        <v>0</v>
      </c>
      <c r="AX27" s="130" t="n">
        <f aca="false">IF($X26*U27&gt;150000,($X26*U27-150000)*6%*45%,0)</f>
        <v>0</v>
      </c>
      <c r="AY27" s="130" t="n">
        <f aca="false">IF($X26*V27&gt;150000,($X26*V27-150000)*6%*45%,0)</f>
        <v>0</v>
      </c>
      <c r="AZ27" s="13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</row>
    <row r="28" customFormat="false" ht="13.5" hidden="true" customHeight="true" outlineLevel="0" collapsed="false">
      <c r="A28" s="108" t="n">
        <f aca="false">A26+1</f>
        <v>10</v>
      </c>
      <c r="B28" s="404"/>
      <c r="C28" s="403" t="n">
        <f aca="false">IF(ISERROR(VLOOKUP(D28,[31]일용직명단!$A$3:$I$105,2,FALSE())),0,VLOOKUP(D28,[31]일용직명단!$A$3:$I$105,2,FALSE()))</f>
        <v>0</v>
      </c>
      <c r="D28" s="110"/>
      <c r="E28" s="311" t="n">
        <f aca="false">IF(ISERROR(VLOOKUP(D28,[31]일용직명단!$A$3:$K$1220,3,FALSE())),0,VLOOKUP(D28,[31]일용직명단!$A$3:$K$1220,3,FALSE()))</f>
        <v>0</v>
      </c>
      <c r="F28" s="112" t="n">
        <f aca="false">IF(ISERROR(VLOOKUP(D28,일용직명단!$A$3:$K$1246,4,FALSE())),0,VLOOKUP(D28,일용직명단!$A$3:$K$1246,4,FALSE()))</f>
        <v>0</v>
      </c>
      <c r="G28" s="408"/>
      <c r="H28" s="114"/>
      <c r="I28" s="409"/>
      <c r="J28" s="409"/>
      <c r="K28" s="408"/>
      <c r="L28" s="409"/>
      <c r="M28" s="408"/>
      <c r="N28" s="408"/>
      <c r="O28" s="114"/>
      <c r="P28" s="114"/>
      <c r="Q28" s="408"/>
      <c r="R28" s="114"/>
      <c r="S28" s="409"/>
      <c r="T28" s="114"/>
      <c r="U28" s="409"/>
      <c r="V28" s="119"/>
      <c r="W28" s="144" t="n">
        <f aca="false">SUM(G28:V29)</f>
        <v>0</v>
      </c>
      <c r="X28" s="121" t="n">
        <f aca="false">IF(ISERROR(VLOOKUP(D28,일용직명단!$A$3:$K$1246,8,FALSE())),0,VLOOKUP(D28,일용직명단!$A$3:$K$1246,8,FALSE()))</f>
        <v>0</v>
      </c>
      <c r="Y28" s="122" t="n">
        <f aca="false">IFERROR(IF(AH28&gt;=65,0,ROUNDDOWN(X29*$AA$4,-1)),0)</f>
        <v>0</v>
      </c>
      <c r="Z28" s="122" t="n">
        <f aca="false">IF(AF28&gt;=8,ROUNDDOWN(X29*$N$4,-1),0)</f>
        <v>0</v>
      </c>
      <c r="AA28" s="123" t="n">
        <f aca="false">IFERROR(IF(AND(COUNT(G28:V29)&gt;=8,$AH28&lt;60,X29&lt;=5530000),ROUNDDOWN(ROUNDDOWN(X29,-3)*4.5%,-1),IF(AND(COUNT(G28:V29)&gt;=8,AH28&lt;60,X29&gt;5530000),248850,0)),0)</f>
        <v>0</v>
      </c>
      <c r="AB28" s="145" t="n">
        <f aca="false">+Y28+Z28+Y29+Z29+AA28+AA29</f>
        <v>0</v>
      </c>
      <c r="AC28" s="146" t="n">
        <f aca="false">X29-AB28</f>
        <v>0</v>
      </c>
      <c r="AD28" s="413" t="n">
        <f aca="false">IF(ISERROR(VLOOKUP(D28,[31]일용직명단!$A$3:$I$1200,5,FALSE())),0,VLOOKUP(D28,[31]일용직명단!$A$3:$I$1200,5,FALSE()))</f>
        <v>0</v>
      </c>
      <c r="AE28" s="414" t="n">
        <f aca="false">IF(ISERROR(VLOOKUP(D28,[31]일용직명단!$A$3:$I$1200,6,FALSE())),0,VLOOKUP(D28,[31]일용직명단!$A$3:$I$1200,6,FALSE()))</f>
        <v>0</v>
      </c>
      <c r="AF28" s="128" t="n">
        <f aca="false">COUNT(G28:V29)</f>
        <v>0</v>
      </c>
      <c r="AG28" s="129" t="str">
        <f aca="false">IF(OR(MID(E28,8,1)="1",MID(E28,8,1)="2"),19&amp;LEFT(E28,2),20&amp;LEFT(E28,2))&amp;"-"&amp;MID(E28,3,2)&amp;"-"&amp;MID(E28,5,2)</f>
        <v>200--</v>
      </c>
      <c r="AH28" s="129" t="e">
        <f aca="true">INT((TODAY()-AG28)/365.25)</f>
        <v>#VALUE!</v>
      </c>
      <c r="AI28" s="130" t="n">
        <f aca="false">ROUNDDOWN(SUM(AJ28:AY29),-1)</f>
        <v>0</v>
      </c>
      <c r="AJ28" s="130" t="n">
        <f aca="false">IF($X28*G28&gt;150000,($X28*G28-150000)*6%*45%,0)</f>
        <v>0</v>
      </c>
      <c r="AK28" s="130" t="n">
        <f aca="false">IF($X28*H28&gt;150000,($X28*H28-150000)*6%*45%,0)</f>
        <v>0</v>
      </c>
      <c r="AL28" s="130" t="n">
        <f aca="false">IF($X28*I28&gt;150000,($X28*I28-150000)*6%*45%,0)</f>
        <v>0</v>
      </c>
      <c r="AM28" s="130" t="n">
        <f aca="false">IF($X28*J28&gt;150000,($X28*J28-150000)*6%*45%,0)</f>
        <v>0</v>
      </c>
      <c r="AN28" s="130" t="n">
        <f aca="false">IF($X28*K28&gt;150000,($X28*K28-150000)*6%*45%,0)</f>
        <v>0</v>
      </c>
      <c r="AO28" s="130" t="n">
        <f aca="false">IF($X28*L28&gt;150000,($X28*L28-150000)*6%*45%,0)</f>
        <v>0</v>
      </c>
      <c r="AP28" s="130" t="n">
        <f aca="false">IF($X28*M28&gt;150000,($X28*M28-150000)*6%*45%,0)</f>
        <v>0</v>
      </c>
      <c r="AQ28" s="130" t="n">
        <f aca="false">IF($X28*N28&gt;150000,($X28*N28-150000)*6%*45%,0)</f>
        <v>0</v>
      </c>
      <c r="AR28" s="130" t="n">
        <f aca="false">IF($X28*O28&gt;150000,($X28*O28-150000)*6%*45%,0)</f>
        <v>0</v>
      </c>
      <c r="AS28" s="130" t="n">
        <f aca="false">IF($X28*P28&gt;150000,($X28*P28-150000)*6%*45%,0)</f>
        <v>0</v>
      </c>
      <c r="AT28" s="130" t="n">
        <f aca="false">IF($X28*Q28&gt;150000,($X28*Q28-150000)*6%*45%,0)</f>
        <v>0</v>
      </c>
      <c r="AU28" s="130" t="n">
        <f aca="false">IF($X28*R28&gt;150000,($X28*R28-150000)*6%*45%,0)</f>
        <v>0</v>
      </c>
      <c r="AV28" s="130" t="n">
        <f aca="false">IF($X28*S28&gt;150000,($X28*S28-150000)*6%*45%,0)</f>
        <v>0</v>
      </c>
      <c r="AW28" s="130" t="n">
        <f aca="false">IF($X28*T28&gt;150000,($X28*T28-150000)*6%*45%,0)</f>
        <v>0</v>
      </c>
      <c r="AX28" s="130" t="n">
        <f aca="false">IF($X28*U28&gt;150000,($X28*U28-150000)*6%*45%,0)</f>
        <v>0</v>
      </c>
      <c r="AY28" s="130"/>
      <c r="AZ28" s="131" t="n">
        <f aca="false">IF(ISERROR(VLOOKUP(D28,[32]일용직명단!$A$3:$M$1151,11,FALSE())),0,VLOOKUP(D28,[32]일용직명단!$A$3:$M$1151,11,FALSE()))</f>
        <v>0</v>
      </c>
      <c r="BA28" s="11"/>
      <c r="BB28" s="167"/>
      <c r="BC28" s="167"/>
      <c r="BD28" s="167"/>
      <c r="BE28" s="167"/>
      <c r="BF28" s="167"/>
      <c r="BG28" s="167"/>
      <c r="BH28" s="167"/>
      <c r="BI28" s="167"/>
      <c r="BJ28" s="167"/>
      <c r="BK28" s="167"/>
      <c r="BL28" s="167"/>
      <c r="BM28" s="167"/>
      <c r="BN28" s="167"/>
      <c r="BO28" s="167"/>
      <c r="BP28" s="167"/>
      <c r="BQ28" s="167"/>
      <c r="BR28" s="167"/>
      <c r="BS28" s="167"/>
      <c r="BT28" s="167"/>
      <c r="BU28" s="167"/>
      <c r="BV28" s="167"/>
      <c r="BW28" s="167"/>
      <c r="BX28" s="167"/>
      <c r="BY28" s="167"/>
      <c r="BZ28" s="167"/>
      <c r="CA28" s="167"/>
      <c r="CB28" s="167"/>
      <c r="CC28" s="167"/>
      <c r="CD28" s="167"/>
      <c r="CE28" s="167"/>
      <c r="CF28" s="167"/>
      <c r="CG28" s="167"/>
      <c r="CH28" s="167"/>
      <c r="CI28" s="167"/>
      <c r="CJ28" s="167"/>
      <c r="CK28" s="167"/>
      <c r="CL28" s="167"/>
      <c r="CM28" s="167"/>
      <c r="CN28" s="167"/>
      <c r="CO28" s="167"/>
      <c r="CP28" s="167"/>
      <c r="CQ28" s="167"/>
      <c r="CR28" s="167"/>
      <c r="CS28" s="167"/>
      <c r="CT28" s="167"/>
      <c r="CU28" s="167"/>
      <c r="CV28" s="167"/>
      <c r="CW28" s="167"/>
      <c r="CX28" s="167"/>
      <c r="CY28" s="167"/>
      <c r="CZ28" s="167"/>
      <c r="DA28" s="167"/>
      <c r="DB28" s="167"/>
      <c r="DC28" s="167"/>
      <c r="DD28" s="167"/>
      <c r="DE28" s="167"/>
      <c r="DF28" s="167"/>
      <c r="DG28" s="167"/>
      <c r="DH28" s="167"/>
      <c r="DI28" s="167"/>
      <c r="DJ28" s="167"/>
      <c r="DK28" s="167"/>
      <c r="DL28" s="167"/>
      <c r="DM28" s="167"/>
      <c r="DN28" s="167"/>
      <c r="DO28" s="167"/>
      <c r="DP28" s="167"/>
      <c r="DQ28" s="167"/>
      <c r="DR28" s="167"/>
      <c r="DS28" s="167"/>
      <c r="DT28" s="167"/>
      <c r="DU28" s="167"/>
      <c r="DV28" s="167"/>
      <c r="DW28" s="167"/>
      <c r="DX28" s="167"/>
      <c r="DY28" s="167"/>
      <c r="DZ28" s="167"/>
      <c r="EA28" s="167"/>
      <c r="EB28" s="167"/>
      <c r="EC28" s="167"/>
      <c r="ED28" s="167"/>
      <c r="EE28" s="167"/>
      <c r="EF28" s="167"/>
      <c r="EG28" s="167"/>
      <c r="EH28" s="167"/>
      <c r="EI28" s="167"/>
      <c r="EJ28" s="167"/>
      <c r="EK28" s="167"/>
      <c r="EL28" s="167"/>
      <c r="EM28" s="167"/>
      <c r="EN28" s="167"/>
      <c r="EO28" s="167"/>
      <c r="EP28" s="167"/>
      <c r="EQ28" s="167"/>
      <c r="ER28" s="167"/>
      <c r="ES28" s="167"/>
      <c r="ET28" s="167"/>
      <c r="EU28" s="167"/>
      <c r="EV28" s="167"/>
      <c r="EW28" s="167"/>
      <c r="EX28" s="167"/>
      <c r="EY28" s="167"/>
      <c r="EZ28" s="167"/>
      <c r="FA28" s="167"/>
      <c r="FB28" s="167"/>
      <c r="FC28" s="167"/>
      <c r="FD28" s="167"/>
      <c r="FE28" s="167"/>
      <c r="FF28" s="167"/>
      <c r="FG28" s="167"/>
      <c r="FH28" s="167"/>
      <c r="FI28" s="167"/>
      <c r="FJ28" s="167"/>
      <c r="FK28" s="167"/>
      <c r="FL28" s="167"/>
      <c r="FM28" s="167"/>
      <c r="FN28" s="167"/>
      <c r="FO28" s="167"/>
      <c r="FP28" s="167"/>
      <c r="FQ28" s="167"/>
      <c r="FR28" s="167"/>
      <c r="FS28" s="167"/>
      <c r="FT28" s="167"/>
      <c r="FU28" s="167"/>
      <c r="FV28" s="167"/>
      <c r="FW28" s="167"/>
      <c r="FX28" s="167"/>
      <c r="FY28" s="167"/>
      <c r="FZ28" s="167"/>
      <c r="GA28" s="167"/>
      <c r="GB28" s="167"/>
      <c r="GC28" s="167"/>
      <c r="GD28" s="167"/>
      <c r="GE28" s="167"/>
      <c r="GF28" s="167"/>
      <c r="GG28" s="167"/>
      <c r="GH28" s="167"/>
      <c r="GI28" s="167"/>
      <c r="GJ28" s="167"/>
      <c r="GK28" s="167"/>
      <c r="GL28" s="167"/>
      <c r="GM28" s="167"/>
      <c r="GN28" s="167"/>
      <c r="GO28" s="167"/>
      <c r="GP28" s="167"/>
      <c r="GQ28" s="167"/>
      <c r="GR28" s="167"/>
      <c r="GS28" s="167"/>
      <c r="GT28" s="167"/>
      <c r="GU28" s="167"/>
      <c r="GV28" s="167"/>
      <c r="GW28" s="167"/>
      <c r="GX28" s="167"/>
      <c r="GY28" s="167"/>
      <c r="GZ28" s="167"/>
      <c r="HA28" s="167"/>
      <c r="HB28" s="167"/>
      <c r="HC28" s="167"/>
      <c r="HD28" s="167"/>
      <c r="HE28" s="167"/>
      <c r="HF28" s="167"/>
      <c r="HG28" s="167"/>
      <c r="HH28" s="167"/>
      <c r="HI28" s="167"/>
      <c r="HJ28" s="167"/>
      <c r="HK28" s="167"/>
      <c r="HL28" s="167"/>
      <c r="HM28" s="167"/>
      <c r="HN28" s="167"/>
      <c r="HO28" s="167"/>
      <c r="HP28" s="167"/>
      <c r="HQ28" s="167"/>
      <c r="HR28" s="167"/>
      <c r="HS28" s="167"/>
      <c r="HT28" s="167"/>
      <c r="HU28" s="167"/>
      <c r="HV28" s="167"/>
      <c r="HW28" s="167"/>
      <c r="HX28" s="167"/>
      <c r="HY28" s="167"/>
      <c r="HZ28" s="167"/>
      <c r="IA28" s="167"/>
      <c r="IB28" s="167"/>
      <c r="IC28" s="167"/>
      <c r="ID28" s="167"/>
      <c r="IE28" s="167"/>
      <c r="IF28" s="167"/>
      <c r="IG28" s="167"/>
      <c r="IH28" s="167"/>
      <c r="II28" s="167"/>
      <c r="IJ28" s="167"/>
      <c r="IK28" s="167"/>
      <c r="IL28" s="167"/>
      <c r="IM28" s="167"/>
      <c r="IN28" s="167"/>
      <c r="IO28" s="167"/>
      <c r="IP28" s="167"/>
      <c r="IQ28" s="167"/>
      <c r="IR28" s="167"/>
      <c r="IS28" s="167"/>
      <c r="IT28" s="167"/>
      <c r="IU28" s="167"/>
      <c r="IV28" s="167"/>
      <c r="IW28" s="167"/>
    </row>
    <row r="29" customFormat="false" ht="13.5" hidden="true" customHeight="true" outlineLevel="0" collapsed="false">
      <c r="A29" s="108"/>
      <c r="B29" s="404"/>
      <c r="C29" s="403"/>
      <c r="D29" s="110"/>
      <c r="E29" s="311"/>
      <c r="F29" s="112" t="n">
        <f aca="false">IF(ISERROR(VLOOKUP(D28,일용직명단!$A$3:$K$1246,9,FALSE())),0,VLOOKUP(D28,일용직명단!$A$3:$K$1246,9,FALSE()))</f>
        <v>0</v>
      </c>
      <c r="G29" s="405"/>
      <c r="H29" s="406"/>
      <c r="I29" s="405"/>
      <c r="J29" s="136"/>
      <c r="K29" s="407"/>
      <c r="L29" s="136"/>
      <c r="M29" s="408"/>
      <c r="N29" s="408"/>
      <c r="O29" s="114"/>
      <c r="P29" s="409"/>
      <c r="Q29" s="114"/>
      <c r="R29" s="114"/>
      <c r="S29" s="408"/>
      <c r="T29" s="408"/>
      <c r="U29" s="408"/>
      <c r="V29" s="119"/>
      <c r="W29" s="144"/>
      <c r="X29" s="138" t="n">
        <f aca="false">X28*W28</f>
        <v>0</v>
      </c>
      <c r="Y29" s="122" t="n">
        <f aca="false">IF(AI28&lt;1000,0,AI28)</f>
        <v>0</v>
      </c>
      <c r="Z29" s="122" t="n">
        <f aca="false">ROUNDDOWN(Y29*10%,-1)</f>
        <v>0</v>
      </c>
      <c r="AA29" s="123" t="n">
        <f aca="false">IF(AF28&gt;=8,ROUNDDOWN(Z28*$R$4,-1),0)</f>
        <v>0</v>
      </c>
      <c r="AB29" s="145"/>
      <c r="AC29" s="146"/>
      <c r="AD29" s="414" t="n">
        <f aca="false">IF(ISERROR(VLOOKUP(D28,[31]일용직명단!$A$3:$I$1200,7,FALSE())),0,VLOOKUP(D28,[31]일용직명단!$A$3:$I$1200,7,FALSE()))</f>
        <v>0</v>
      </c>
      <c r="AE29" s="414"/>
      <c r="AF29" s="128"/>
      <c r="AG29" s="129"/>
      <c r="AH29" s="129"/>
      <c r="AI29" s="130"/>
      <c r="AJ29" s="130" t="n">
        <f aca="false">IF($X28*G29&gt;150000,($X28*G29-150000)*6%*45%,0)</f>
        <v>0</v>
      </c>
      <c r="AK29" s="130" t="n">
        <f aca="false">IF($X28*H29&gt;150000,($X28*H29-150000)*6%*45%,0)</f>
        <v>0</v>
      </c>
      <c r="AL29" s="130" t="n">
        <f aca="false">IF($X28*I29&gt;150000,($X28*I29-150000)*6%*45%,0)</f>
        <v>0</v>
      </c>
      <c r="AM29" s="130" t="n">
        <f aca="false">IF($X28*J29&gt;150000,($X28*J29-150000)*6%*45%,0)</f>
        <v>0</v>
      </c>
      <c r="AN29" s="130" t="n">
        <f aca="false">IF($X28*K29&gt;150000,($X28*K29-150000)*6%*45%,0)</f>
        <v>0</v>
      </c>
      <c r="AO29" s="130" t="n">
        <f aca="false">IF($X28*L29&gt;150000,($X28*L29-150000)*6%*45%,0)</f>
        <v>0</v>
      </c>
      <c r="AP29" s="130" t="n">
        <f aca="false">IF($X28*M29&gt;150000,($X28*M29-150000)*6%*45%,0)</f>
        <v>0</v>
      </c>
      <c r="AQ29" s="130" t="n">
        <f aca="false">IF($X28*N29&gt;150000,($X28*N29-150000)*6%*45%,0)</f>
        <v>0</v>
      </c>
      <c r="AR29" s="130" t="n">
        <f aca="false">IF($X28*O29&gt;150000,($X28*O29-150000)*6%*45%,0)</f>
        <v>0</v>
      </c>
      <c r="AS29" s="130" t="n">
        <f aca="false">IF($X28*P29&gt;150000,($X28*P29-150000)*6%*45%,0)</f>
        <v>0</v>
      </c>
      <c r="AT29" s="130" t="n">
        <f aca="false">IF($X28*Q29&gt;150000,($X28*Q29-150000)*6%*45%,0)</f>
        <v>0</v>
      </c>
      <c r="AU29" s="130" t="n">
        <f aca="false">IF($X28*R29&gt;150000,($X28*R29-150000)*6%*45%,0)</f>
        <v>0</v>
      </c>
      <c r="AV29" s="130" t="n">
        <f aca="false">IF($X28*S29&gt;150000,($X28*S29-150000)*6%*45%,0)</f>
        <v>0</v>
      </c>
      <c r="AW29" s="130" t="n">
        <f aca="false">IF($X28*T29&gt;150000,($X28*T29-150000)*6%*45%,0)</f>
        <v>0</v>
      </c>
      <c r="AX29" s="130" t="n">
        <f aca="false">IF($X28*U29&gt;150000,($X28*U29-150000)*6%*45%,0)</f>
        <v>0</v>
      </c>
      <c r="AY29" s="130" t="n">
        <f aca="false">IF($X28*V29&gt;150000,($X28*V29-150000)*6%*45%,0)</f>
        <v>0</v>
      </c>
      <c r="AZ29" s="131"/>
      <c r="BA29" s="11"/>
      <c r="BB29" s="167"/>
      <c r="BC29" s="167"/>
      <c r="BD29" s="167"/>
      <c r="BE29" s="167"/>
      <c r="BF29" s="167"/>
      <c r="BG29" s="167"/>
      <c r="BH29" s="167"/>
      <c r="BI29" s="167"/>
      <c r="BJ29" s="167"/>
      <c r="BK29" s="167"/>
      <c r="BL29" s="167"/>
      <c r="BM29" s="167"/>
      <c r="BN29" s="167"/>
      <c r="BO29" s="167"/>
      <c r="BP29" s="167"/>
      <c r="BQ29" s="167"/>
      <c r="BR29" s="167"/>
      <c r="BS29" s="167"/>
      <c r="BT29" s="167"/>
      <c r="BU29" s="167"/>
      <c r="BV29" s="167"/>
      <c r="BW29" s="167"/>
      <c r="BX29" s="167"/>
      <c r="BY29" s="167"/>
      <c r="BZ29" s="167"/>
      <c r="CA29" s="167"/>
      <c r="CB29" s="167"/>
      <c r="CC29" s="167"/>
      <c r="CD29" s="167"/>
      <c r="CE29" s="167"/>
      <c r="CF29" s="167"/>
      <c r="CG29" s="167"/>
      <c r="CH29" s="167"/>
      <c r="CI29" s="167"/>
      <c r="CJ29" s="167"/>
      <c r="CK29" s="167"/>
      <c r="CL29" s="167"/>
      <c r="CM29" s="167"/>
      <c r="CN29" s="167"/>
      <c r="CO29" s="167"/>
      <c r="CP29" s="167"/>
      <c r="CQ29" s="167"/>
      <c r="CR29" s="167"/>
      <c r="CS29" s="167"/>
      <c r="CT29" s="167"/>
      <c r="CU29" s="167"/>
      <c r="CV29" s="167"/>
      <c r="CW29" s="167"/>
      <c r="CX29" s="167"/>
      <c r="CY29" s="167"/>
      <c r="CZ29" s="167"/>
      <c r="DA29" s="167"/>
      <c r="DB29" s="167"/>
      <c r="DC29" s="167"/>
      <c r="DD29" s="167"/>
      <c r="DE29" s="167"/>
      <c r="DF29" s="167"/>
      <c r="DG29" s="167"/>
      <c r="DH29" s="167"/>
      <c r="DI29" s="167"/>
      <c r="DJ29" s="167"/>
      <c r="DK29" s="167"/>
      <c r="DL29" s="167"/>
      <c r="DM29" s="167"/>
      <c r="DN29" s="167"/>
      <c r="DO29" s="167"/>
      <c r="DP29" s="167"/>
      <c r="DQ29" s="167"/>
      <c r="DR29" s="167"/>
      <c r="DS29" s="167"/>
      <c r="DT29" s="167"/>
      <c r="DU29" s="167"/>
      <c r="DV29" s="167"/>
      <c r="DW29" s="167"/>
      <c r="DX29" s="167"/>
      <c r="DY29" s="167"/>
      <c r="DZ29" s="167"/>
      <c r="EA29" s="167"/>
      <c r="EB29" s="167"/>
      <c r="EC29" s="167"/>
      <c r="ED29" s="167"/>
      <c r="EE29" s="167"/>
      <c r="EF29" s="167"/>
      <c r="EG29" s="167"/>
      <c r="EH29" s="167"/>
      <c r="EI29" s="167"/>
      <c r="EJ29" s="167"/>
      <c r="EK29" s="167"/>
      <c r="EL29" s="167"/>
      <c r="EM29" s="167"/>
      <c r="EN29" s="167"/>
      <c r="EO29" s="167"/>
      <c r="EP29" s="167"/>
      <c r="EQ29" s="167"/>
      <c r="ER29" s="167"/>
      <c r="ES29" s="167"/>
      <c r="ET29" s="167"/>
      <c r="EU29" s="167"/>
      <c r="EV29" s="167"/>
      <c r="EW29" s="167"/>
      <c r="EX29" s="167"/>
      <c r="EY29" s="167"/>
      <c r="EZ29" s="167"/>
      <c r="FA29" s="167"/>
      <c r="FB29" s="167"/>
      <c r="FC29" s="167"/>
      <c r="FD29" s="167"/>
      <c r="FE29" s="167"/>
      <c r="FF29" s="167"/>
      <c r="FG29" s="167"/>
      <c r="FH29" s="167"/>
      <c r="FI29" s="167"/>
      <c r="FJ29" s="167"/>
      <c r="FK29" s="167"/>
      <c r="FL29" s="167"/>
      <c r="FM29" s="167"/>
      <c r="FN29" s="167"/>
      <c r="FO29" s="167"/>
      <c r="FP29" s="167"/>
      <c r="FQ29" s="167"/>
      <c r="FR29" s="167"/>
      <c r="FS29" s="167"/>
      <c r="FT29" s="167"/>
      <c r="FU29" s="167"/>
      <c r="FV29" s="167"/>
      <c r="FW29" s="167"/>
      <c r="FX29" s="167"/>
      <c r="FY29" s="167"/>
      <c r="FZ29" s="167"/>
      <c r="GA29" s="167"/>
      <c r="GB29" s="167"/>
      <c r="GC29" s="167"/>
      <c r="GD29" s="167"/>
      <c r="GE29" s="167"/>
      <c r="GF29" s="167"/>
      <c r="GG29" s="167"/>
      <c r="GH29" s="167"/>
      <c r="GI29" s="167"/>
      <c r="GJ29" s="167"/>
      <c r="GK29" s="167"/>
      <c r="GL29" s="167"/>
      <c r="GM29" s="167"/>
      <c r="GN29" s="167"/>
      <c r="GO29" s="167"/>
      <c r="GP29" s="167"/>
      <c r="GQ29" s="167"/>
      <c r="GR29" s="167"/>
      <c r="GS29" s="167"/>
      <c r="GT29" s="167"/>
      <c r="GU29" s="167"/>
      <c r="GV29" s="167"/>
      <c r="GW29" s="167"/>
      <c r="GX29" s="167"/>
      <c r="GY29" s="167"/>
      <c r="GZ29" s="167"/>
      <c r="HA29" s="167"/>
      <c r="HB29" s="167"/>
      <c r="HC29" s="167"/>
      <c r="HD29" s="167"/>
      <c r="HE29" s="167"/>
      <c r="HF29" s="167"/>
      <c r="HG29" s="167"/>
      <c r="HH29" s="167"/>
      <c r="HI29" s="167"/>
      <c r="HJ29" s="167"/>
      <c r="HK29" s="167"/>
      <c r="HL29" s="167"/>
      <c r="HM29" s="167"/>
      <c r="HN29" s="167"/>
      <c r="HO29" s="167"/>
      <c r="HP29" s="167"/>
      <c r="HQ29" s="167"/>
      <c r="HR29" s="167"/>
      <c r="HS29" s="167"/>
      <c r="HT29" s="167"/>
      <c r="HU29" s="167"/>
      <c r="HV29" s="167"/>
      <c r="HW29" s="167"/>
      <c r="HX29" s="167"/>
      <c r="HY29" s="167"/>
      <c r="HZ29" s="167"/>
      <c r="IA29" s="167"/>
      <c r="IB29" s="167"/>
      <c r="IC29" s="167"/>
      <c r="ID29" s="167"/>
      <c r="IE29" s="167"/>
      <c r="IF29" s="167"/>
      <c r="IG29" s="167"/>
      <c r="IH29" s="167"/>
      <c r="II29" s="167"/>
      <c r="IJ29" s="167"/>
      <c r="IK29" s="167"/>
      <c r="IL29" s="167"/>
      <c r="IM29" s="167"/>
      <c r="IN29" s="167"/>
      <c r="IO29" s="167"/>
      <c r="IP29" s="167"/>
      <c r="IQ29" s="167"/>
      <c r="IR29" s="167"/>
      <c r="IS29" s="167"/>
      <c r="IT29" s="167"/>
      <c r="IU29" s="167"/>
      <c r="IV29" s="167"/>
      <c r="IW29" s="167"/>
    </row>
    <row r="30" customFormat="false" ht="13.5" hidden="true" customHeight="true" outlineLevel="0" collapsed="false">
      <c r="A30" s="108" t="n">
        <f aca="false">A28+1</f>
        <v>11</v>
      </c>
      <c r="B30" s="404"/>
      <c r="C30" s="159" t="n">
        <f aca="false">IF(ISERROR(VLOOKUP(D30,[31]일용직명단!$A$3:$I$105,2,FALSE())),0,VLOOKUP(D30,[31]일용직명단!$A$3:$I$105,2,FALSE()))</f>
        <v>0</v>
      </c>
      <c r="D30" s="110"/>
      <c r="E30" s="311" t="n">
        <f aca="false">IF(ISERROR(VLOOKUP(D30,[31]일용직명단!$A$3:$K$1220,3,FALSE())),0,VLOOKUP(D30,[31]일용직명단!$A$3:$K$1220,3,FALSE()))</f>
        <v>0</v>
      </c>
      <c r="F30" s="112" t="n">
        <f aca="false">IF(ISERROR(VLOOKUP(D30,일용직명단!$A$3:$K$1246,4,FALSE())),0,VLOOKUP(D30,일용직명단!$A$3:$K$1246,4,FALSE()))</f>
        <v>0</v>
      </c>
      <c r="G30" s="408"/>
      <c r="H30" s="114"/>
      <c r="I30" s="409"/>
      <c r="J30" s="409"/>
      <c r="K30" s="408"/>
      <c r="L30" s="409"/>
      <c r="M30" s="408"/>
      <c r="N30" s="408"/>
      <c r="O30" s="114"/>
      <c r="P30" s="114"/>
      <c r="Q30" s="408"/>
      <c r="R30" s="114"/>
      <c r="S30" s="409"/>
      <c r="T30" s="114"/>
      <c r="U30" s="409"/>
      <c r="V30" s="119"/>
      <c r="W30" s="144" t="n">
        <f aca="false">SUM(G30:V31)</f>
        <v>0</v>
      </c>
      <c r="X30" s="121" t="n">
        <f aca="false">IF(ISERROR(VLOOKUP(D30,일용직명단!$A$3:$K$1246,8,FALSE())),0,VLOOKUP(D30,일용직명단!$A$3:$K$1246,8,FALSE()))</f>
        <v>0</v>
      </c>
      <c r="Y30" s="122" t="n">
        <f aca="false">IFERROR(IF(AH30&gt;=65,0,ROUNDDOWN(X31*$AA$4,-1)),0)</f>
        <v>0</v>
      </c>
      <c r="Z30" s="122" t="n">
        <f aca="false">IF(AF30&gt;=8,ROUNDDOWN(X31*$N$4,-1),0)</f>
        <v>0</v>
      </c>
      <c r="AA30" s="123" t="n">
        <f aca="false">IFERROR(IF(AND(COUNT(G30:V31)&gt;=8,$AH30&lt;60,X31&lt;=5530000),ROUNDDOWN(ROUNDDOWN(X31,-3)*4.5%,-1),IF(AND(COUNT(G30:V31)&gt;=8,AH30&lt;60,X31&gt;5530000),248850,0)),0)</f>
        <v>0</v>
      </c>
      <c r="AB30" s="145" t="n">
        <f aca="false">+Y30+Z30+Y31+Z31+AA30+AA31</f>
        <v>0</v>
      </c>
      <c r="AC30" s="146" t="n">
        <f aca="false">X31-AB30</f>
        <v>0</v>
      </c>
      <c r="AD30" s="411" t="n">
        <f aca="false">IF(ISERROR(VLOOKUP(D30,[31]일용직명단!$A$3:$I$1200,5,FALSE())),0,VLOOKUP(D30,[31]일용직명단!$A$3:$I$1200,5,FALSE()))</f>
        <v>0</v>
      </c>
      <c r="AE30" s="412" t="n">
        <f aca="false">IF(ISERROR(VLOOKUP(D30,[31]일용직명단!$A$3:$I$1200,6,FALSE())),0,VLOOKUP(D30,[31]일용직명단!$A$3:$I$1200,6,FALSE()))</f>
        <v>0</v>
      </c>
      <c r="AF30" s="150" t="n">
        <f aca="false">COUNT(G30:V31)</f>
        <v>0</v>
      </c>
      <c r="AG30" s="129" t="str">
        <f aca="false">IF(OR(MID(E30,8,1)="1",MID(E30,8,1)="2"),19&amp;LEFT(E30,2),20&amp;LEFT(E30,2))&amp;"-"&amp;MID(E30,3,2)&amp;"-"&amp;MID(E30,5,2)</f>
        <v>200--</v>
      </c>
      <c r="AH30" s="129" t="e">
        <f aca="true">INT((TODAY()-AG30)/365.25)</f>
        <v>#VALUE!</v>
      </c>
      <c r="AI30" s="130" t="n">
        <f aca="false">ROUNDDOWN(SUM(AJ30:AY31),-1)</f>
        <v>0</v>
      </c>
      <c r="AJ30" s="130" t="n">
        <f aca="false">IF($X30*G30&gt;150000,($X30*G30-150000)*6%*45%,0)</f>
        <v>0</v>
      </c>
      <c r="AK30" s="130" t="n">
        <f aca="false">IF($X30*H30&gt;150000,($X30*H30-150000)*6%*45%,0)</f>
        <v>0</v>
      </c>
      <c r="AL30" s="130" t="n">
        <f aca="false">IF($X30*I30&gt;150000,($X30*I30-150000)*6%*45%,0)</f>
        <v>0</v>
      </c>
      <c r="AM30" s="130" t="n">
        <f aca="false">IF($X30*J30&gt;150000,($X30*J30-150000)*6%*45%,0)</f>
        <v>0</v>
      </c>
      <c r="AN30" s="130" t="n">
        <f aca="false">IF($X30*K30&gt;150000,($X30*K30-150000)*6%*45%,0)</f>
        <v>0</v>
      </c>
      <c r="AO30" s="130" t="n">
        <f aca="false">IF($X30*L30&gt;150000,($X30*L30-150000)*6%*45%,0)</f>
        <v>0</v>
      </c>
      <c r="AP30" s="130" t="n">
        <f aca="false">IF($X30*M30&gt;150000,($X30*M30-150000)*6%*45%,0)</f>
        <v>0</v>
      </c>
      <c r="AQ30" s="130" t="n">
        <f aca="false">IF($X30*N30&gt;150000,($X30*N30-150000)*6%*45%,0)</f>
        <v>0</v>
      </c>
      <c r="AR30" s="130" t="n">
        <f aca="false">IF($X30*O30&gt;150000,($X30*O30-150000)*6%*45%,0)</f>
        <v>0</v>
      </c>
      <c r="AS30" s="130" t="n">
        <f aca="false">IF($X30*P30&gt;150000,($X30*P30-150000)*6%*45%,0)</f>
        <v>0</v>
      </c>
      <c r="AT30" s="130" t="n">
        <f aca="false">IF($X30*Q30&gt;150000,($X30*Q30-150000)*6%*45%,0)</f>
        <v>0</v>
      </c>
      <c r="AU30" s="130" t="n">
        <f aca="false">IF($X30*R30&gt;150000,($X30*R30-150000)*6%*45%,0)</f>
        <v>0</v>
      </c>
      <c r="AV30" s="130" t="n">
        <f aca="false">IF($X30*S30&gt;150000,($X30*S30-150000)*6%*45%,0)</f>
        <v>0</v>
      </c>
      <c r="AW30" s="130" t="n">
        <f aca="false">IF($X30*T30&gt;150000,($X30*T30-150000)*6%*45%,0)</f>
        <v>0</v>
      </c>
      <c r="AX30" s="130" t="n">
        <f aca="false">IF($X30*U30&gt;150000,($X30*U30-150000)*6%*45%,0)</f>
        <v>0</v>
      </c>
      <c r="AY30" s="130"/>
      <c r="AZ30" s="151" t="n">
        <f aca="false">IF(ISERROR(VLOOKUP(D30,[32]일용직명단!$A$3:$M$1151,11,FALSE())),0,VLOOKUP(D30,[32]일용직명단!$A$3:$M$1151,11,FALSE()))</f>
        <v>0</v>
      </c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</row>
    <row r="31" customFormat="false" ht="12.75" hidden="true" customHeight="true" outlineLevel="0" collapsed="false">
      <c r="A31" s="108"/>
      <c r="B31" s="404"/>
      <c r="C31" s="159"/>
      <c r="D31" s="110"/>
      <c r="E31" s="311"/>
      <c r="F31" s="112" t="n">
        <f aca="false">IF(ISERROR(VLOOKUP(D30,일용직명단!$A$3:$K$1246,9,FALSE())),0,VLOOKUP(D30,일용직명단!$A$3:$K$1246,9,FALSE()))</f>
        <v>0</v>
      </c>
      <c r="G31" s="405"/>
      <c r="H31" s="406"/>
      <c r="I31" s="405"/>
      <c r="J31" s="136"/>
      <c r="K31" s="407"/>
      <c r="L31" s="136"/>
      <c r="M31" s="408"/>
      <c r="N31" s="408"/>
      <c r="O31" s="114"/>
      <c r="P31" s="409"/>
      <c r="Q31" s="114"/>
      <c r="R31" s="114"/>
      <c r="S31" s="408"/>
      <c r="T31" s="408"/>
      <c r="U31" s="408"/>
      <c r="V31" s="119"/>
      <c r="W31" s="144"/>
      <c r="X31" s="138" t="n">
        <f aca="false">X30*W30</f>
        <v>0</v>
      </c>
      <c r="Y31" s="122" t="n">
        <f aca="false">IF(AI30&lt;1000,0,AI30)</f>
        <v>0</v>
      </c>
      <c r="Z31" s="122" t="n">
        <f aca="false">ROUNDDOWN(Y31*10%,-1)</f>
        <v>0</v>
      </c>
      <c r="AA31" s="123" t="n">
        <f aca="false">IF(AF30&gt;=8,ROUNDDOWN(Z30*$R$4,-1),0)</f>
        <v>0</v>
      </c>
      <c r="AB31" s="145"/>
      <c r="AC31" s="146"/>
      <c r="AD31" s="412" t="n">
        <f aca="false">IF(ISERROR(VLOOKUP(D30,[31]일용직명단!$A$3:$I$1200,7,FALSE())),0,VLOOKUP(D30,[31]일용직명단!$A$3:$I$1200,7,FALSE()))</f>
        <v>0</v>
      </c>
      <c r="AE31" s="412"/>
      <c r="AF31" s="155"/>
      <c r="AG31" s="129"/>
      <c r="AH31" s="129"/>
      <c r="AI31" s="130"/>
      <c r="AJ31" s="130" t="n">
        <f aca="false">IF($X30*G31&gt;150000,($X30*G31-150000)*6%*45%,0)</f>
        <v>0</v>
      </c>
      <c r="AK31" s="130" t="n">
        <f aca="false">IF($X30*H31&gt;150000,($X30*H31-150000)*6%*45%,0)</f>
        <v>0</v>
      </c>
      <c r="AL31" s="130" t="n">
        <f aca="false">IF($X30*I31&gt;150000,($X30*I31-150000)*6%*45%,0)</f>
        <v>0</v>
      </c>
      <c r="AM31" s="130" t="n">
        <f aca="false">IF($X30*J31&gt;150000,($X30*J31-150000)*6%*45%,0)</f>
        <v>0</v>
      </c>
      <c r="AN31" s="130" t="n">
        <f aca="false">IF($X30*K31&gt;150000,($X30*K31-150000)*6%*45%,0)</f>
        <v>0</v>
      </c>
      <c r="AO31" s="130" t="n">
        <f aca="false">IF($X30*L31&gt;150000,($X30*L31-150000)*6%*45%,0)</f>
        <v>0</v>
      </c>
      <c r="AP31" s="130" t="n">
        <f aca="false">IF($X30*M31&gt;150000,($X30*M31-150000)*6%*45%,0)</f>
        <v>0</v>
      </c>
      <c r="AQ31" s="130" t="n">
        <f aca="false">IF($X30*N31&gt;150000,($X30*N31-150000)*6%*45%,0)</f>
        <v>0</v>
      </c>
      <c r="AR31" s="130" t="n">
        <f aca="false">IF($X30*O31&gt;150000,($X30*O31-150000)*6%*45%,0)</f>
        <v>0</v>
      </c>
      <c r="AS31" s="130" t="n">
        <f aca="false">IF($X30*P31&gt;150000,($X30*P31-150000)*6%*45%,0)</f>
        <v>0</v>
      </c>
      <c r="AT31" s="130" t="n">
        <f aca="false">IF($X30*Q31&gt;150000,($X30*Q31-150000)*6%*45%,0)</f>
        <v>0</v>
      </c>
      <c r="AU31" s="130" t="n">
        <f aca="false">IF($X30*R31&gt;150000,($X30*R31-150000)*6%*45%,0)</f>
        <v>0</v>
      </c>
      <c r="AV31" s="130" t="n">
        <f aca="false">IF($X30*S31&gt;150000,($X30*S31-150000)*6%*45%,0)</f>
        <v>0</v>
      </c>
      <c r="AW31" s="130" t="n">
        <f aca="false">IF($X30*T31&gt;150000,($X30*T31-150000)*6%*45%,0)</f>
        <v>0</v>
      </c>
      <c r="AX31" s="130" t="n">
        <f aca="false">IF($X30*U31&gt;150000,($X30*U31-150000)*6%*45%,0)</f>
        <v>0</v>
      </c>
      <c r="AY31" s="130" t="n">
        <f aca="false">IF($X30*V31&gt;150000,($X30*V31-150000)*6%*45%,0)</f>
        <v>0</v>
      </c>
      <c r="AZ31" s="15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</row>
    <row r="32" customFormat="false" ht="13.5" hidden="true" customHeight="true" outlineLevel="0" collapsed="false">
      <c r="A32" s="108" t="n">
        <f aca="false">A30+1</f>
        <v>12</v>
      </c>
      <c r="B32" s="404"/>
      <c r="C32" s="159"/>
      <c r="D32" s="394"/>
      <c r="E32" s="311" t="n">
        <f aca="false">IF(ISERROR(VLOOKUP(D32,[31]일용직명단!$A$3:$K$1220,3,FALSE())),0,VLOOKUP(D32,[31]일용직명단!$A$3:$K$1220,3,FALSE()))</f>
        <v>0</v>
      </c>
      <c r="F32" s="112" t="n">
        <f aca="false">IF(ISERROR(VLOOKUP(D32,일용직명단!$A$3:$K$1246,4,FALSE())),0,VLOOKUP(D32,일용직명단!$A$3:$K$1246,4,FALSE()))</f>
        <v>0</v>
      </c>
      <c r="G32" s="408"/>
      <c r="H32" s="114"/>
      <c r="I32" s="409"/>
      <c r="J32" s="409"/>
      <c r="K32" s="408"/>
      <c r="L32" s="409"/>
      <c r="M32" s="408"/>
      <c r="N32" s="408"/>
      <c r="O32" s="114"/>
      <c r="P32" s="114"/>
      <c r="Q32" s="408"/>
      <c r="R32" s="114"/>
      <c r="S32" s="409"/>
      <c r="T32" s="114"/>
      <c r="U32" s="409"/>
      <c r="V32" s="119"/>
      <c r="W32" s="144" t="n">
        <f aca="false">SUM(G32:V33)</f>
        <v>0</v>
      </c>
      <c r="X32" s="121" t="n">
        <f aca="false">IF(ISERROR(VLOOKUP(D32,일용직명단!$A$3:$K$1246,8,FALSE())),0,VLOOKUP(D32,일용직명단!$A$3:$K$1246,8,FALSE()))</f>
        <v>0</v>
      </c>
      <c r="Y32" s="122" t="n">
        <f aca="false">IFERROR(IF(AH32&gt;=65,0,ROUNDDOWN(X33*$AA$4,-1)),0)</f>
        <v>0</v>
      </c>
      <c r="Z32" s="122" t="n">
        <f aca="false">IF(AF32&gt;=8,ROUNDDOWN(X33*$N$4,-1),0)</f>
        <v>0</v>
      </c>
      <c r="AA32" s="123" t="n">
        <f aca="false">IFERROR(IF(AND(COUNT(G32:V33)&gt;=8,$AH32&lt;60,X33&lt;=5530000),ROUNDDOWN(ROUNDDOWN(X33,-3)*4.5%,-1),IF(AND(COUNT(G32:V33)&gt;=8,AH32&lt;60,X33&gt;5530000),248850,0)),0)</f>
        <v>0</v>
      </c>
      <c r="AB32" s="145" t="n">
        <f aca="false">+Y32+Z32+Y33+Z33+AA32+AA33</f>
        <v>0</v>
      </c>
      <c r="AC32" s="146" t="n">
        <f aca="false">X33-AB32</f>
        <v>0</v>
      </c>
      <c r="AD32" s="157" t="n">
        <f aca="false">IF(ISERROR(VLOOKUP(D32,[31]일용직명단!$A$3:$I$1200,5,FALSE())),0,VLOOKUP(D32,[31]일용직명단!$A$3:$I$1200,5,FALSE()))</f>
        <v>0</v>
      </c>
      <c r="AE32" s="158" t="n">
        <f aca="false">IF(ISERROR(VLOOKUP(D32,[31]일용직명단!$A$3:$I$1200,6,FALSE())),0,VLOOKUP(D32,[31]일용직명단!$A$3:$I$1200,6,FALSE()))</f>
        <v>0</v>
      </c>
      <c r="AF32" s="149" t="n">
        <f aca="false">COUNT(G32:V33)</f>
        <v>0</v>
      </c>
      <c r="AG32" s="129" t="str">
        <f aca="false">IF(OR(MID(E32,8,1)="1",MID(E32,8,1)="2"),19&amp;LEFT(E32,2),20&amp;LEFT(E32,2))&amp;"-"&amp;MID(E32,3,2)&amp;"-"&amp;MID(E32,5,2)</f>
        <v>200--</v>
      </c>
      <c r="AH32" s="129" t="e">
        <f aca="true">INT((TODAY()-AG32)/365.25)</f>
        <v>#VALUE!</v>
      </c>
      <c r="AI32" s="130" t="n">
        <f aca="false">ROUNDDOWN(SUM(AJ32:AY33),-1)</f>
        <v>0</v>
      </c>
      <c r="AJ32" s="130" t="n">
        <f aca="false">IF($X32*G32&gt;150000,($X32*G32-150000)*6%*45%,0)</f>
        <v>0</v>
      </c>
      <c r="AK32" s="130" t="n">
        <f aca="false">IF($X32*H32&gt;150000,($X32*H32-150000)*6%*45%,0)</f>
        <v>0</v>
      </c>
      <c r="AL32" s="130" t="n">
        <f aca="false">IF($X32*I32&gt;150000,($X32*I32-150000)*6%*45%,0)</f>
        <v>0</v>
      </c>
      <c r="AM32" s="130" t="n">
        <f aca="false">IF($X32*J32&gt;150000,($X32*J32-150000)*6%*45%,0)</f>
        <v>0</v>
      </c>
      <c r="AN32" s="130" t="n">
        <f aca="false">IF($X32*K32&gt;150000,($X32*K32-150000)*6%*45%,0)</f>
        <v>0</v>
      </c>
      <c r="AO32" s="130" t="n">
        <f aca="false">IF($X32*L32&gt;150000,($X32*L32-150000)*6%*45%,0)</f>
        <v>0</v>
      </c>
      <c r="AP32" s="130" t="n">
        <f aca="false">IF($X32*M32&gt;150000,($X32*M32-150000)*6%*45%,0)</f>
        <v>0</v>
      </c>
      <c r="AQ32" s="130" t="n">
        <f aca="false">IF($X32*N32&gt;150000,($X32*N32-150000)*6%*45%,0)</f>
        <v>0</v>
      </c>
      <c r="AR32" s="130" t="n">
        <f aca="false">IF($X32*O32&gt;150000,($X32*O32-150000)*6%*45%,0)</f>
        <v>0</v>
      </c>
      <c r="AS32" s="130" t="n">
        <f aca="false">IF($X32*P32&gt;150000,($X32*P32-150000)*6%*45%,0)</f>
        <v>0</v>
      </c>
      <c r="AT32" s="130" t="n">
        <f aca="false">IF($X32*Q32&gt;150000,($X32*Q32-150000)*6%*45%,0)</f>
        <v>0</v>
      </c>
      <c r="AU32" s="130" t="n">
        <f aca="false">IF($X32*R32&gt;150000,($X32*R32-150000)*6%*45%,0)</f>
        <v>0</v>
      </c>
      <c r="AV32" s="130" t="n">
        <f aca="false">IF($X32*S32&gt;150000,($X32*S32-150000)*6%*45%,0)</f>
        <v>0</v>
      </c>
      <c r="AW32" s="130" t="n">
        <f aca="false">IF($X32*T32&gt;150000,($X32*T32-150000)*6%*45%,0)</f>
        <v>0</v>
      </c>
      <c r="AX32" s="130" t="n">
        <f aca="false">IF($X32*U32&gt;150000,($X32*U32-150000)*6%*45%,0)</f>
        <v>0</v>
      </c>
      <c r="AY32" s="130"/>
      <c r="AZ32" s="131" t="n">
        <f aca="false">IF(ISERROR(VLOOKUP(D32,[32]일용직명단!$A$3:$M$1151,11,FALSE())),0,VLOOKUP(D32,[32]일용직명단!$A$3:$M$1151,11,FALSE()))</f>
        <v>0</v>
      </c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</row>
    <row r="33" customFormat="false" ht="13.5" hidden="true" customHeight="true" outlineLevel="0" collapsed="false">
      <c r="A33" s="108"/>
      <c r="B33" s="404"/>
      <c r="C33" s="159"/>
      <c r="D33" s="394"/>
      <c r="E33" s="311"/>
      <c r="F33" s="112" t="n">
        <f aca="false">IF(ISERROR(VLOOKUP(D32,일용직명단!$A$3:$K$1246,9,FALSE())),0,VLOOKUP(D32,일용직명단!$A$3:$K$1246,9,FALSE()))</f>
        <v>0</v>
      </c>
      <c r="G33" s="405"/>
      <c r="H33" s="406"/>
      <c r="I33" s="405"/>
      <c r="J33" s="136"/>
      <c r="K33" s="407"/>
      <c r="L33" s="136"/>
      <c r="M33" s="408"/>
      <c r="N33" s="408"/>
      <c r="O33" s="114"/>
      <c r="P33" s="409"/>
      <c r="Q33" s="114"/>
      <c r="R33" s="114"/>
      <c r="S33" s="408"/>
      <c r="T33" s="408"/>
      <c r="U33" s="408"/>
      <c r="V33" s="119"/>
      <c r="W33" s="144"/>
      <c r="X33" s="138" t="n">
        <f aca="false">X32*W32</f>
        <v>0</v>
      </c>
      <c r="Y33" s="122" t="n">
        <f aca="false">IF(AI32&lt;1000,0,AI32)</f>
        <v>0</v>
      </c>
      <c r="Z33" s="122" t="n">
        <f aca="false">ROUNDDOWN(Y33*10%,-1)</f>
        <v>0</v>
      </c>
      <c r="AA33" s="123" t="n">
        <f aca="false">IF(AF32&gt;=8,ROUNDDOWN(Z32*$R$4,-1),0)</f>
        <v>0</v>
      </c>
      <c r="AB33" s="145"/>
      <c r="AC33" s="146"/>
      <c r="AD33" s="158" t="n">
        <f aca="false">IF(ISERROR(VLOOKUP(D32,[31]일용직명단!$A$3:$I$1200,7,FALSE())),0,VLOOKUP(D32,[31]일용직명단!$A$3:$I$1200,7,FALSE()))</f>
        <v>0</v>
      </c>
      <c r="AE33" s="158"/>
      <c r="AF33" s="149"/>
      <c r="AG33" s="129"/>
      <c r="AH33" s="129"/>
      <c r="AI33" s="130"/>
      <c r="AJ33" s="130" t="n">
        <f aca="false">IF($X32*G33&gt;150000,($X32*G33-150000)*6%*45%,0)</f>
        <v>0</v>
      </c>
      <c r="AK33" s="130" t="n">
        <f aca="false">IF($X32*H33&gt;150000,($X32*H33-150000)*6%*45%,0)</f>
        <v>0</v>
      </c>
      <c r="AL33" s="130" t="n">
        <f aca="false">IF($X32*I33&gt;150000,($X32*I33-150000)*6%*45%,0)</f>
        <v>0</v>
      </c>
      <c r="AM33" s="130" t="n">
        <f aca="false">IF($X32*J33&gt;150000,($X32*J33-150000)*6%*45%,0)</f>
        <v>0</v>
      </c>
      <c r="AN33" s="130" t="n">
        <f aca="false">IF($X32*K33&gt;150000,($X32*K33-150000)*6%*45%,0)</f>
        <v>0</v>
      </c>
      <c r="AO33" s="130" t="n">
        <f aca="false">IF($X32*L33&gt;150000,($X32*L33-150000)*6%*45%,0)</f>
        <v>0</v>
      </c>
      <c r="AP33" s="130" t="n">
        <f aca="false">IF($X32*M33&gt;150000,($X32*M33-150000)*6%*45%,0)</f>
        <v>0</v>
      </c>
      <c r="AQ33" s="130" t="n">
        <f aca="false">IF($X32*N33&gt;150000,($X32*N33-150000)*6%*45%,0)</f>
        <v>0</v>
      </c>
      <c r="AR33" s="130" t="n">
        <f aca="false">IF($X32*O33&gt;150000,($X32*O33-150000)*6%*45%,0)</f>
        <v>0</v>
      </c>
      <c r="AS33" s="130" t="n">
        <f aca="false">IF($X32*P33&gt;150000,($X32*P33-150000)*6%*45%,0)</f>
        <v>0</v>
      </c>
      <c r="AT33" s="130" t="n">
        <f aca="false">IF($X32*Q33&gt;150000,($X32*Q33-150000)*6%*45%,0)</f>
        <v>0</v>
      </c>
      <c r="AU33" s="130" t="n">
        <f aca="false">IF($X32*R33&gt;150000,($X32*R33-150000)*6%*45%,0)</f>
        <v>0</v>
      </c>
      <c r="AV33" s="130" t="n">
        <f aca="false">IF($X32*S33&gt;150000,($X32*S33-150000)*6%*45%,0)</f>
        <v>0</v>
      </c>
      <c r="AW33" s="130" t="n">
        <f aca="false">IF($X32*T33&gt;150000,($X32*T33-150000)*6%*45%,0)</f>
        <v>0</v>
      </c>
      <c r="AX33" s="130" t="n">
        <f aca="false">IF($X32*U33&gt;150000,($X32*U33-150000)*6%*45%,0)</f>
        <v>0</v>
      </c>
      <c r="AY33" s="130" t="n">
        <f aca="false">IF($X32*V33&gt;150000,($X32*V33-150000)*6%*45%,0)</f>
        <v>0</v>
      </c>
      <c r="AZ33" s="13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</row>
    <row r="34" customFormat="false" ht="13.5" hidden="true" customHeight="true" outlineLevel="0" collapsed="false">
      <c r="A34" s="108" t="n">
        <f aca="false">A32+1</f>
        <v>13</v>
      </c>
      <c r="B34" s="404"/>
      <c r="C34" s="159" t="n">
        <f aca="false">IF(ISERROR(VLOOKUP(D34,[31]일용직명단!$A$3:$I$105,2,FALSE())),0,VLOOKUP(D34,[31]일용직명단!$A$3:$I$105,2,FALSE()))</f>
        <v>0</v>
      </c>
      <c r="D34" s="394"/>
      <c r="E34" s="311" t="n">
        <f aca="false">IF(ISERROR(VLOOKUP(D34,[31]일용직명단!$A$3:$K$1220,3,FALSE())),0,VLOOKUP(D34,[31]일용직명단!$A$3:$K$1220,3,FALSE()))</f>
        <v>0</v>
      </c>
      <c r="F34" s="112" t="n">
        <f aca="false">IF(ISERROR(VLOOKUP(D34,일용직명단!$A$3:$K$1246,4,FALSE())),0,VLOOKUP(D34,일용직명단!$A$3:$K$1246,4,FALSE()))</f>
        <v>0</v>
      </c>
      <c r="G34" s="408"/>
      <c r="H34" s="114"/>
      <c r="I34" s="409"/>
      <c r="J34" s="409"/>
      <c r="K34" s="408"/>
      <c r="L34" s="409"/>
      <c r="M34" s="408"/>
      <c r="N34" s="408"/>
      <c r="O34" s="114"/>
      <c r="P34" s="114"/>
      <c r="Q34" s="408"/>
      <c r="R34" s="114"/>
      <c r="S34" s="409"/>
      <c r="T34" s="114"/>
      <c r="U34" s="409"/>
      <c r="V34" s="119"/>
      <c r="W34" s="144" t="n">
        <f aca="false">SUM(G34:V35)</f>
        <v>0</v>
      </c>
      <c r="X34" s="121" t="n">
        <f aca="false">IF(ISERROR(VLOOKUP(D34,일용직명단!$A$3:$K$1246,8,FALSE())),0,VLOOKUP(D34,일용직명단!$A$3:$K$1246,8,FALSE()))</f>
        <v>0</v>
      </c>
      <c r="Y34" s="122" t="n">
        <f aca="false">IFERROR(IF(AH34&gt;=65,0,ROUNDDOWN(X35*$AA$4,-1)),0)</f>
        <v>0</v>
      </c>
      <c r="Z34" s="122" t="n">
        <f aca="false">IF(AF34&gt;=8,ROUNDDOWN(X35*$N$4,-1),0)</f>
        <v>0</v>
      </c>
      <c r="AA34" s="123" t="n">
        <f aca="false">IFERROR(IF(AND(COUNT(G34:V35)&gt;=8,$AH34&lt;60,X35&lt;=5530000),ROUNDDOWN(ROUNDDOWN(X35,-3)*4.5%,-1),IF(AND(COUNT(G34:V35)&gt;=8,AH34&lt;60,X35&gt;5530000),248850,0)),0)</f>
        <v>0</v>
      </c>
      <c r="AB34" s="145" t="n">
        <f aca="false">+Y34+Z34+Y35+Z35+AA34+AA35</f>
        <v>0</v>
      </c>
      <c r="AC34" s="146" t="n">
        <f aca="false">X35-AB34</f>
        <v>0</v>
      </c>
      <c r="AD34" s="157" t="n">
        <f aca="false">IF(ISERROR(VLOOKUP(D34,[31]일용직명단!$A$3:$I$1200,5,FALSE())),0,VLOOKUP(D34,[31]일용직명단!$A$3:$I$1200,5,FALSE()))</f>
        <v>0</v>
      </c>
      <c r="AE34" s="158" t="n">
        <f aca="false">IF(ISERROR(VLOOKUP(D34,[31]일용직명단!$A$3:$I$1200,6,FALSE())),0,VLOOKUP(D34,[31]일용직명단!$A$3:$I$1200,6,FALSE()))</f>
        <v>0</v>
      </c>
      <c r="AF34" s="149" t="n">
        <f aca="false">COUNT(G34:V35)</f>
        <v>0</v>
      </c>
      <c r="AG34" s="129" t="str">
        <f aca="false">IF(OR(MID(E34,8,1)="1",MID(E34,8,1)="2"),19&amp;LEFT(E34,2),20&amp;LEFT(E34,2))&amp;"-"&amp;MID(E34,3,2)&amp;"-"&amp;MID(E34,5,2)</f>
        <v>200--</v>
      </c>
      <c r="AH34" s="129" t="e">
        <f aca="true">INT((TODAY()-AG34)/365.25)</f>
        <v>#VALUE!</v>
      </c>
      <c r="AI34" s="130" t="n">
        <f aca="false">ROUNDDOWN(SUM(AJ34:AY35),-1)</f>
        <v>0</v>
      </c>
      <c r="AJ34" s="130" t="n">
        <f aca="false">IF($X34*G34&gt;150000,($X34*G34-150000)*6%*45%,0)</f>
        <v>0</v>
      </c>
      <c r="AK34" s="130" t="n">
        <f aca="false">IF($X34*H34&gt;150000,($X34*H34-150000)*6%*45%,0)</f>
        <v>0</v>
      </c>
      <c r="AL34" s="130" t="n">
        <f aca="false">IF($X34*I34&gt;150000,($X34*I34-150000)*6%*45%,0)</f>
        <v>0</v>
      </c>
      <c r="AM34" s="130" t="n">
        <f aca="false">IF($X34*J34&gt;150000,($X34*J34-150000)*6%*45%,0)</f>
        <v>0</v>
      </c>
      <c r="AN34" s="130" t="n">
        <f aca="false">IF($X34*K34&gt;150000,($X34*K34-150000)*6%*45%,0)</f>
        <v>0</v>
      </c>
      <c r="AO34" s="130" t="n">
        <f aca="false">IF($X34*L34&gt;150000,($X34*L34-150000)*6%*45%,0)</f>
        <v>0</v>
      </c>
      <c r="AP34" s="130" t="n">
        <f aca="false">IF($X34*M34&gt;150000,($X34*M34-150000)*6%*45%,0)</f>
        <v>0</v>
      </c>
      <c r="AQ34" s="130" t="n">
        <f aca="false">IF($X34*N34&gt;150000,($X34*N34-150000)*6%*45%,0)</f>
        <v>0</v>
      </c>
      <c r="AR34" s="130" t="n">
        <f aca="false">IF($X34*O34&gt;150000,($X34*O34-150000)*6%*45%,0)</f>
        <v>0</v>
      </c>
      <c r="AS34" s="130" t="n">
        <f aca="false">IF($X34*P34&gt;150000,($X34*P34-150000)*6%*45%,0)</f>
        <v>0</v>
      </c>
      <c r="AT34" s="130" t="n">
        <f aca="false">IF($X34*Q34&gt;150000,($X34*Q34-150000)*6%*45%,0)</f>
        <v>0</v>
      </c>
      <c r="AU34" s="130" t="n">
        <f aca="false">IF($X34*R34&gt;150000,($X34*R34-150000)*6%*45%,0)</f>
        <v>0</v>
      </c>
      <c r="AV34" s="130" t="n">
        <f aca="false">IF($X34*S34&gt;150000,($X34*S34-150000)*6%*45%,0)</f>
        <v>0</v>
      </c>
      <c r="AW34" s="130" t="n">
        <f aca="false">IF($X34*T34&gt;150000,($X34*T34-150000)*6%*45%,0)</f>
        <v>0</v>
      </c>
      <c r="AX34" s="130" t="n">
        <f aca="false">IF($X34*U34&gt;150000,($X34*U34-150000)*6%*45%,0)</f>
        <v>0</v>
      </c>
      <c r="AY34" s="130"/>
      <c r="AZ34" s="131" t="n">
        <f aca="false">IF(ISERROR(VLOOKUP(D34,[32]일용직명단!$A$3:$M$1151,11,FALSE())),0,VLOOKUP(D34,[32]일용직명단!$A$3:$M$1151,11,FALSE()))</f>
        <v>0</v>
      </c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</row>
    <row r="35" customFormat="false" ht="13.5" hidden="true" customHeight="true" outlineLevel="0" collapsed="false">
      <c r="A35" s="108"/>
      <c r="B35" s="404"/>
      <c r="C35" s="159"/>
      <c r="D35" s="394"/>
      <c r="E35" s="311"/>
      <c r="F35" s="112" t="n">
        <f aca="false">IF(ISERROR(VLOOKUP(D34,일용직명단!$A$3:$K$1246,9,FALSE())),0,VLOOKUP(D34,일용직명단!$A$3:$K$1246,9,FALSE()))</f>
        <v>0</v>
      </c>
      <c r="G35" s="405"/>
      <c r="H35" s="406"/>
      <c r="I35" s="405"/>
      <c r="J35" s="136"/>
      <c r="K35" s="407"/>
      <c r="L35" s="136"/>
      <c r="M35" s="408"/>
      <c r="N35" s="408"/>
      <c r="O35" s="114"/>
      <c r="P35" s="409"/>
      <c r="Q35" s="114"/>
      <c r="R35" s="114"/>
      <c r="S35" s="408"/>
      <c r="T35" s="408"/>
      <c r="U35" s="408"/>
      <c r="V35" s="119"/>
      <c r="W35" s="144"/>
      <c r="X35" s="138" t="n">
        <f aca="false">X34*W34</f>
        <v>0</v>
      </c>
      <c r="Y35" s="122" t="n">
        <f aca="false">IF(AI34&lt;1000,0,AI34)</f>
        <v>0</v>
      </c>
      <c r="Z35" s="122" t="n">
        <f aca="false">ROUNDDOWN(Y35*10%,-1)</f>
        <v>0</v>
      </c>
      <c r="AA35" s="123" t="n">
        <f aca="false">IF(AF34&gt;=8,ROUNDDOWN(Z34*$R$4,-1),0)</f>
        <v>0</v>
      </c>
      <c r="AB35" s="145"/>
      <c r="AC35" s="146"/>
      <c r="AD35" s="158" t="n">
        <f aca="false">IF(ISERROR(VLOOKUP(D34,[31]일용직명단!$A$3:$I$1200,7,FALSE())),0,VLOOKUP(D34,[31]일용직명단!$A$3:$I$1200,7,FALSE()))</f>
        <v>0</v>
      </c>
      <c r="AE35" s="158"/>
      <c r="AF35" s="149"/>
      <c r="AG35" s="129"/>
      <c r="AH35" s="129"/>
      <c r="AI35" s="130"/>
      <c r="AJ35" s="130" t="n">
        <f aca="false">IF($X34*G35&gt;150000,($X34*G35-150000)*6%*45%,0)</f>
        <v>0</v>
      </c>
      <c r="AK35" s="130" t="n">
        <f aca="false">IF($X34*H35&gt;150000,($X34*H35-150000)*6%*45%,0)</f>
        <v>0</v>
      </c>
      <c r="AL35" s="130" t="n">
        <f aca="false">IF($X34*I35&gt;150000,($X34*I35-150000)*6%*45%,0)</f>
        <v>0</v>
      </c>
      <c r="AM35" s="130" t="n">
        <f aca="false">IF($X34*J35&gt;150000,($X34*J35-150000)*6%*45%,0)</f>
        <v>0</v>
      </c>
      <c r="AN35" s="130" t="n">
        <f aca="false">IF($X34*K35&gt;150000,($X34*K35-150000)*6%*45%,0)</f>
        <v>0</v>
      </c>
      <c r="AO35" s="130" t="n">
        <f aca="false">IF($X34*L35&gt;150000,($X34*L35-150000)*6%*45%,0)</f>
        <v>0</v>
      </c>
      <c r="AP35" s="130" t="n">
        <f aca="false">IF($X34*M35&gt;150000,($X34*M35-150000)*6%*45%,0)</f>
        <v>0</v>
      </c>
      <c r="AQ35" s="130" t="n">
        <f aca="false">IF($X34*N35&gt;150000,($X34*N35-150000)*6%*45%,0)</f>
        <v>0</v>
      </c>
      <c r="AR35" s="130" t="n">
        <f aca="false">IF($X34*O35&gt;150000,($X34*O35-150000)*6%*45%,0)</f>
        <v>0</v>
      </c>
      <c r="AS35" s="130" t="n">
        <f aca="false">IF($X34*P35&gt;150000,($X34*P35-150000)*6%*45%,0)</f>
        <v>0</v>
      </c>
      <c r="AT35" s="130" t="n">
        <f aca="false">IF($X34*Q35&gt;150000,($X34*Q35-150000)*6%*45%,0)</f>
        <v>0</v>
      </c>
      <c r="AU35" s="130" t="n">
        <f aca="false">IF($X34*R35&gt;150000,($X34*R35-150000)*6%*45%,0)</f>
        <v>0</v>
      </c>
      <c r="AV35" s="130" t="n">
        <f aca="false">IF($X34*S35&gt;150000,($X34*S35-150000)*6%*45%,0)</f>
        <v>0</v>
      </c>
      <c r="AW35" s="130" t="n">
        <f aca="false">IF($X34*T35&gt;150000,($X34*T35-150000)*6%*45%,0)</f>
        <v>0</v>
      </c>
      <c r="AX35" s="130" t="n">
        <f aca="false">IF($X34*U35&gt;150000,($X34*U35-150000)*6%*45%,0)</f>
        <v>0</v>
      </c>
      <c r="AY35" s="130" t="n">
        <f aca="false">IF($X34*V35&gt;150000,($X34*V35-150000)*6%*45%,0)</f>
        <v>0</v>
      </c>
      <c r="AZ35" s="13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</row>
    <row r="36" customFormat="false" ht="13.5" hidden="true" customHeight="true" outlineLevel="0" collapsed="false">
      <c r="A36" s="108" t="n">
        <f aca="false">A34+1</f>
        <v>14</v>
      </c>
      <c r="B36" s="402"/>
      <c r="C36" s="159"/>
      <c r="D36" s="203"/>
      <c r="E36" s="311" t="n">
        <f aca="false">IF(ISERROR(VLOOKUP(D36,[33]일용직명단!$A$3:$K$1183,3,FALSE())),0,VLOOKUP(D36,[33]일용직명단!$A$3:$K$1183,3,FALSE()))</f>
        <v>0</v>
      </c>
      <c r="F36" s="112" t="n">
        <f aca="false">IF(ISERROR(VLOOKUP(D36,일용직명단!$A$3:$K$1246,4,FALSE())),0,VLOOKUP(D36,일용직명단!$A$3:$K$1246,4,FALSE()))</f>
        <v>0</v>
      </c>
      <c r="G36" s="408"/>
      <c r="H36" s="114"/>
      <c r="I36" s="409"/>
      <c r="J36" s="409"/>
      <c r="K36" s="408"/>
      <c r="L36" s="409"/>
      <c r="M36" s="408"/>
      <c r="N36" s="408"/>
      <c r="O36" s="114"/>
      <c r="P36" s="114"/>
      <c r="Q36" s="408"/>
      <c r="R36" s="114"/>
      <c r="S36" s="409"/>
      <c r="T36" s="114"/>
      <c r="U36" s="409"/>
      <c r="V36" s="119"/>
      <c r="W36" s="144" t="n">
        <f aca="false">SUM(G36:V37)</f>
        <v>0</v>
      </c>
      <c r="X36" s="121" t="n">
        <f aca="false">IF(ISERROR(VLOOKUP(D36,일용직명단!$A$3:$K$1246,8,FALSE())),0,VLOOKUP(D36,일용직명단!$A$3:$K$1246,8,FALSE()))</f>
        <v>0</v>
      </c>
      <c r="Y36" s="122" t="n">
        <f aca="false">IFERROR(IF(AH36&gt;=65,0,ROUNDDOWN(X37*$AA$4,-1)),0)</f>
        <v>0</v>
      </c>
      <c r="Z36" s="122" t="n">
        <f aca="false">IF(AF36&gt;=8,ROUNDDOWN(X37*$N$4,-1),0)</f>
        <v>0</v>
      </c>
      <c r="AA36" s="123" t="n">
        <f aca="false">IFERROR(IF(AND(COUNT(G36:V37)&gt;=8,$AH36&lt;60,X37&lt;=5530000),ROUNDDOWN(ROUNDDOWN(X37,-3)*4.5%,-1),IF(AND(COUNT(G36:V37)&gt;=8,AH36&lt;60,X37&gt;5530000),248850,0)),0)</f>
        <v>0</v>
      </c>
      <c r="AB36" s="145" t="n">
        <f aca="false">+Y36+Z36+Y37+Z37+AA36+AA37</f>
        <v>0</v>
      </c>
      <c r="AC36" s="146" t="n">
        <f aca="false">X37-AB36</f>
        <v>0</v>
      </c>
      <c r="AD36" s="157" t="n">
        <f aca="false">IF(ISERROR(VLOOKUP(D36,[31]일용직명단!$A$3:$I$1200,5,FALSE())),0,VLOOKUP(D36,[31]일용직명단!$A$3:$I$1200,5,FALSE()))</f>
        <v>0</v>
      </c>
      <c r="AE36" s="158" t="n">
        <f aca="false">IF(ISERROR(VLOOKUP(D36,[31]일용직명단!$A$3:$I$1200,6,FALSE())),0,VLOOKUP(D36,[31]일용직명단!$A$3:$I$1200,6,FALSE()))</f>
        <v>0</v>
      </c>
      <c r="AF36" s="141" t="n">
        <f aca="false">COUNT(G36:V37)</f>
        <v>0</v>
      </c>
      <c r="AG36" s="129" t="str">
        <f aca="false">IF(OR(MID(E36,8,1)="1",MID(E36,8,1)="2"),19&amp;LEFT(E36,2),20&amp;LEFT(E36,2))&amp;"-"&amp;MID(E36,3,2)&amp;"-"&amp;MID(E36,5,2)</f>
        <v>200--</v>
      </c>
      <c r="AH36" s="129" t="e">
        <f aca="true">INT((TODAY()-AG36)/365.25)</f>
        <v>#VALUE!</v>
      </c>
      <c r="AI36" s="161" t="n">
        <f aca="false">ROUNDDOWN(SUM(AJ36:AY37),-1)</f>
        <v>0</v>
      </c>
      <c r="AJ36" s="130" t="n">
        <f aca="false">IF($X36*G36&gt;150000,($X36*G36-150000)*6%*45%,0)</f>
        <v>0</v>
      </c>
      <c r="AK36" s="130" t="n">
        <f aca="false">IF($X36*H36&gt;150000,($X36*H36-150000)*6%*45%,0)</f>
        <v>0</v>
      </c>
      <c r="AL36" s="130" t="n">
        <f aca="false">IF($X36*I36&gt;150000,($X36*I36-150000)*6%*45%,0)</f>
        <v>0</v>
      </c>
      <c r="AM36" s="130" t="n">
        <f aca="false">IF($X36*J36&gt;150000,($X36*J36-150000)*6%*45%,0)</f>
        <v>0</v>
      </c>
      <c r="AN36" s="130" t="n">
        <f aca="false">IF($X36*K36&gt;150000,($X36*K36-150000)*6%*45%,0)</f>
        <v>0</v>
      </c>
      <c r="AO36" s="130" t="n">
        <f aca="false">IF($X36*L36&gt;150000,($X36*L36-150000)*6%*45%,0)</f>
        <v>0</v>
      </c>
      <c r="AP36" s="130" t="n">
        <f aca="false">IF($X36*M36&gt;150000,($X36*M36-150000)*6%*45%,0)</f>
        <v>0</v>
      </c>
      <c r="AQ36" s="130" t="n">
        <f aca="false">IF($X36*N36&gt;150000,($X36*N36-150000)*6%*45%,0)</f>
        <v>0</v>
      </c>
      <c r="AR36" s="130" t="n">
        <f aca="false">IF($X36*O36&gt;150000,($X36*O36-150000)*6%*45%,0)</f>
        <v>0</v>
      </c>
      <c r="AS36" s="130" t="n">
        <f aca="false">IF($X36*P36&gt;150000,($X36*P36-150000)*6%*45%,0)</f>
        <v>0</v>
      </c>
      <c r="AT36" s="130" t="n">
        <f aca="false">IF($X36*Q36&gt;150000,($X36*Q36-150000)*6%*45%,0)</f>
        <v>0</v>
      </c>
      <c r="AU36" s="130" t="n">
        <f aca="false">IF($X36*R36&gt;150000,($X36*R36-150000)*6%*45%,0)</f>
        <v>0</v>
      </c>
      <c r="AV36" s="130" t="n">
        <f aca="false">IF($X36*S36&gt;150000,($X36*S36-150000)*6%*45%,0)</f>
        <v>0</v>
      </c>
      <c r="AW36" s="130" t="n">
        <f aca="false">IF($X36*T36&gt;150000,($X36*T36-150000)*6%*45%,0)</f>
        <v>0</v>
      </c>
      <c r="AX36" s="130" t="n">
        <f aca="false">IF($X36*U36&gt;150000,($X36*U36-150000)*6%*45%,0)</f>
        <v>0</v>
      </c>
      <c r="AY36" s="130"/>
      <c r="AZ36" s="162" t="n">
        <f aca="false">IF(ISERROR(VLOOKUP(D36,[27]일용직명단!$A$3:$M$1151,11,FALSE())),0,VLOOKUP(D36,[27]일용직명단!$A$3:$M$1151,11,FALSE()))</f>
        <v>0</v>
      </c>
      <c r="BA36" s="163"/>
      <c r="BB36" s="163"/>
      <c r="BC36" s="358"/>
      <c r="BD36" s="358"/>
      <c r="BE36" s="358"/>
      <c r="BF36" s="358"/>
      <c r="BG36" s="358"/>
      <c r="BH36" s="358"/>
      <c r="BI36" s="358"/>
      <c r="BJ36" s="358"/>
      <c r="BK36" s="358"/>
      <c r="BL36" s="358"/>
      <c r="BM36" s="358"/>
      <c r="BN36" s="358"/>
      <c r="BO36" s="358"/>
      <c r="BP36" s="358"/>
      <c r="BQ36" s="358"/>
      <c r="BR36" s="358"/>
      <c r="BS36" s="358"/>
      <c r="BT36" s="358"/>
      <c r="BU36" s="358"/>
      <c r="BV36" s="358"/>
      <c r="BW36" s="358"/>
      <c r="BX36" s="358"/>
      <c r="BY36" s="358"/>
      <c r="BZ36" s="358"/>
      <c r="CA36" s="358"/>
      <c r="CB36" s="358"/>
      <c r="CC36" s="358"/>
      <c r="CD36" s="358"/>
      <c r="CE36" s="358"/>
      <c r="CF36" s="358"/>
      <c r="CG36" s="358"/>
      <c r="CH36" s="358"/>
      <c r="CI36" s="358"/>
      <c r="CJ36" s="358"/>
      <c r="CK36" s="358"/>
      <c r="CL36" s="358"/>
      <c r="CM36" s="358"/>
      <c r="CN36" s="358"/>
      <c r="CO36" s="358"/>
      <c r="CP36" s="358"/>
      <c r="CQ36" s="358"/>
      <c r="CR36" s="358"/>
      <c r="CS36" s="358"/>
      <c r="CT36" s="358"/>
      <c r="CU36" s="358"/>
      <c r="CV36" s="358"/>
      <c r="CW36" s="358"/>
      <c r="CX36" s="358"/>
      <c r="CY36" s="358"/>
      <c r="CZ36" s="358"/>
      <c r="DA36" s="358"/>
      <c r="DB36" s="358"/>
      <c r="DC36" s="358"/>
      <c r="DD36" s="358"/>
      <c r="DE36" s="358"/>
      <c r="DF36" s="358"/>
      <c r="DG36" s="358"/>
      <c r="DH36" s="358"/>
      <c r="DI36" s="358"/>
      <c r="DJ36" s="358"/>
      <c r="DK36" s="358"/>
      <c r="DL36" s="358"/>
      <c r="DM36" s="358"/>
      <c r="DN36" s="358"/>
      <c r="DO36" s="358"/>
      <c r="DP36" s="358"/>
      <c r="DQ36" s="358"/>
      <c r="DR36" s="358"/>
      <c r="DS36" s="358"/>
      <c r="DT36" s="358"/>
      <c r="DU36" s="358"/>
      <c r="DV36" s="358"/>
      <c r="DW36" s="358"/>
      <c r="DX36" s="358"/>
      <c r="DY36" s="358"/>
      <c r="DZ36" s="358"/>
      <c r="EA36" s="358"/>
      <c r="EB36" s="358"/>
      <c r="EC36" s="358"/>
      <c r="ED36" s="358"/>
      <c r="EE36" s="358"/>
      <c r="EF36" s="358"/>
      <c r="EG36" s="358"/>
      <c r="EH36" s="358"/>
      <c r="EI36" s="358"/>
      <c r="EJ36" s="358"/>
      <c r="EK36" s="358"/>
      <c r="EL36" s="358"/>
      <c r="EM36" s="358"/>
      <c r="EN36" s="358"/>
      <c r="EO36" s="358"/>
      <c r="EP36" s="358"/>
      <c r="EQ36" s="358"/>
      <c r="ER36" s="358"/>
      <c r="ES36" s="358"/>
      <c r="ET36" s="358"/>
      <c r="EU36" s="358"/>
      <c r="EV36" s="358"/>
      <c r="EW36" s="358"/>
      <c r="EX36" s="358"/>
      <c r="EY36" s="358"/>
      <c r="EZ36" s="358"/>
      <c r="FA36" s="358"/>
      <c r="FB36" s="358"/>
      <c r="FC36" s="358"/>
      <c r="FD36" s="358"/>
      <c r="FE36" s="358"/>
      <c r="FF36" s="358"/>
      <c r="FG36" s="358"/>
      <c r="FH36" s="358"/>
      <c r="FI36" s="358"/>
      <c r="FJ36" s="358"/>
      <c r="FK36" s="358"/>
      <c r="FL36" s="358"/>
      <c r="FM36" s="358"/>
      <c r="FN36" s="358"/>
      <c r="FO36" s="358"/>
      <c r="FP36" s="358"/>
      <c r="FQ36" s="358"/>
      <c r="FR36" s="358"/>
      <c r="FS36" s="358"/>
      <c r="FT36" s="358"/>
      <c r="FU36" s="358"/>
      <c r="FV36" s="358"/>
      <c r="FW36" s="358"/>
      <c r="FX36" s="358"/>
      <c r="FY36" s="358"/>
      <c r="FZ36" s="358"/>
      <c r="GA36" s="358"/>
      <c r="GB36" s="358"/>
      <c r="GC36" s="358"/>
      <c r="GD36" s="358"/>
      <c r="GE36" s="358"/>
      <c r="GF36" s="358"/>
      <c r="GG36" s="358"/>
      <c r="GH36" s="358"/>
      <c r="GI36" s="358"/>
      <c r="GJ36" s="358"/>
      <c r="GK36" s="358"/>
      <c r="GL36" s="358"/>
      <c r="GM36" s="358"/>
      <c r="GN36" s="358"/>
      <c r="GO36" s="358"/>
      <c r="GP36" s="358"/>
      <c r="GQ36" s="358"/>
      <c r="GR36" s="358"/>
      <c r="GS36" s="358"/>
      <c r="GT36" s="358"/>
      <c r="GU36" s="358"/>
      <c r="GV36" s="358"/>
      <c r="GW36" s="358"/>
      <c r="GX36" s="358"/>
      <c r="GY36" s="358"/>
      <c r="GZ36" s="358"/>
      <c r="HA36" s="358"/>
      <c r="HB36" s="358"/>
      <c r="HC36" s="358"/>
      <c r="HD36" s="358"/>
      <c r="HE36" s="358"/>
      <c r="HF36" s="358"/>
      <c r="HG36" s="358"/>
      <c r="HH36" s="358"/>
      <c r="HI36" s="358"/>
      <c r="HJ36" s="358"/>
      <c r="HK36" s="358"/>
      <c r="HL36" s="358"/>
      <c r="HM36" s="358"/>
      <c r="HN36" s="358"/>
      <c r="HO36" s="358"/>
      <c r="HP36" s="358"/>
      <c r="HQ36" s="358"/>
      <c r="HR36" s="358"/>
      <c r="HS36" s="358"/>
      <c r="HT36" s="358"/>
      <c r="HU36" s="358"/>
      <c r="HV36" s="358"/>
      <c r="HW36" s="358"/>
      <c r="HX36" s="358"/>
      <c r="HY36" s="358"/>
      <c r="HZ36" s="358"/>
      <c r="IA36" s="358"/>
      <c r="IB36" s="358"/>
      <c r="IC36" s="358"/>
      <c r="ID36" s="358"/>
      <c r="IE36" s="358"/>
      <c r="IF36" s="358"/>
      <c r="IG36" s="358"/>
      <c r="IH36" s="358"/>
      <c r="II36" s="358"/>
      <c r="IJ36" s="358"/>
      <c r="IK36" s="358"/>
      <c r="IL36" s="358"/>
      <c r="IM36" s="358"/>
      <c r="IN36" s="358"/>
      <c r="IO36" s="358"/>
      <c r="IP36" s="358"/>
      <c r="IQ36" s="358"/>
    </row>
    <row r="37" customFormat="false" ht="13.5" hidden="true" customHeight="true" outlineLevel="0" collapsed="false">
      <c r="A37" s="108"/>
      <c r="B37" s="402"/>
      <c r="C37" s="159"/>
      <c r="D37" s="203"/>
      <c r="E37" s="311"/>
      <c r="F37" s="112" t="n">
        <f aca="false">IF(ISERROR(VLOOKUP(D36,일용직명단!$A$3:$K$1246,9,FALSE())),0,VLOOKUP(D36,일용직명단!$A$3:$K$1246,9,FALSE()))</f>
        <v>0</v>
      </c>
      <c r="G37" s="405"/>
      <c r="H37" s="406"/>
      <c r="I37" s="405"/>
      <c r="J37" s="136"/>
      <c r="K37" s="407"/>
      <c r="L37" s="136"/>
      <c r="M37" s="408"/>
      <c r="N37" s="408"/>
      <c r="O37" s="114"/>
      <c r="P37" s="409"/>
      <c r="Q37" s="114"/>
      <c r="R37" s="114"/>
      <c r="S37" s="408"/>
      <c r="T37" s="408"/>
      <c r="U37" s="408"/>
      <c r="V37" s="119"/>
      <c r="W37" s="144"/>
      <c r="X37" s="138" t="n">
        <f aca="false">X36*W36</f>
        <v>0</v>
      </c>
      <c r="Y37" s="122" t="n">
        <f aca="false">IF(AI36&lt;1000,0,AI36)</f>
        <v>0</v>
      </c>
      <c r="Z37" s="122" t="n">
        <f aca="false">ROUNDDOWN(Y37*10%,-1)</f>
        <v>0</v>
      </c>
      <c r="AA37" s="123" t="n">
        <f aca="false">IF(AF36&gt;=8,ROUNDDOWN(Z36*$R$4,-1),0)</f>
        <v>0</v>
      </c>
      <c r="AB37" s="145"/>
      <c r="AC37" s="146"/>
      <c r="AD37" s="158" t="n">
        <f aca="false">IF(ISERROR(VLOOKUP(D36,[31]일용직명단!$A$3:$I$1200,7,FALSE())),0,VLOOKUP(D36,[31]일용직명단!$A$3:$I$1200,7,FALSE()))</f>
        <v>0</v>
      </c>
      <c r="AE37" s="158"/>
      <c r="AF37" s="141"/>
      <c r="AG37" s="129"/>
      <c r="AH37" s="129"/>
      <c r="AI37" s="161"/>
      <c r="AJ37" s="130" t="n">
        <f aca="false">IF($X36*G37&gt;150000,($X36*G37-150000)*6%*45%,0)</f>
        <v>0</v>
      </c>
      <c r="AK37" s="130" t="n">
        <f aca="false">IF($X36*H37&gt;150000,($X36*H37-150000)*6%*45%,0)</f>
        <v>0</v>
      </c>
      <c r="AL37" s="130" t="n">
        <f aca="false">IF($X36*I37&gt;150000,($X36*I37-150000)*6%*45%,0)</f>
        <v>0</v>
      </c>
      <c r="AM37" s="130" t="n">
        <f aca="false">IF($X36*J37&gt;150000,($X36*J37-150000)*6%*45%,0)</f>
        <v>0</v>
      </c>
      <c r="AN37" s="130" t="n">
        <f aca="false">IF($X36*K37&gt;150000,($X36*K37-150000)*6%*45%,0)</f>
        <v>0</v>
      </c>
      <c r="AO37" s="130" t="n">
        <f aca="false">IF($X36*L37&gt;150000,($X36*L37-150000)*6%*45%,0)</f>
        <v>0</v>
      </c>
      <c r="AP37" s="130" t="n">
        <f aca="false">IF($X36*M37&gt;150000,($X36*M37-150000)*6%*45%,0)</f>
        <v>0</v>
      </c>
      <c r="AQ37" s="130" t="n">
        <f aca="false">IF($X36*N37&gt;150000,($X36*N37-150000)*6%*45%,0)</f>
        <v>0</v>
      </c>
      <c r="AR37" s="130" t="n">
        <f aca="false">IF($X36*O37&gt;150000,($X36*O37-150000)*6%*45%,0)</f>
        <v>0</v>
      </c>
      <c r="AS37" s="130" t="n">
        <f aca="false">IF($X36*P37&gt;150000,($X36*P37-150000)*6%*45%,0)</f>
        <v>0</v>
      </c>
      <c r="AT37" s="130" t="n">
        <f aca="false">IF($X36*Q37&gt;150000,($X36*Q37-150000)*6%*45%,0)</f>
        <v>0</v>
      </c>
      <c r="AU37" s="130" t="n">
        <f aca="false">IF($X36*R37&gt;150000,($X36*R37-150000)*6%*45%,0)</f>
        <v>0</v>
      </c>
      <c r="AV37" s="130" t="n">
        <f aca="false">IF($X36*S37&gt;150000,($X36*S37-150000)*6%*45%,0)</f>
        <v>0</v>
      </c>
      <c r="AW37" s="130" t="n">
        <f aca="false">IF($X36*T37&gt;150000,($X36*T37-150000)*6%*45%,0)</f>
        <v>0</v>
      </c>
      <c r="AX37" s="130" t="n">
        <f aca="false">IF($X36*U37&gt;150000,($X36*U37-150000)*6%*45%,0)</f>
        <v>0</v>
      </c>
      <c r="AY37" s="130" t="n">
        <f aca="false">IF($X36*V37&gt;150000,($X36*V37-150000)*6%*45%,0)</f>
        <v>0</v>
      </c>
      <c r="AZ37" s="162"/>
      <c r="BA37" s="163"/>
      <c r="BB37" s="163"/>
      <c r="BC37" s="358"/>
      <c r="BD37" s="358"/>
      <c r="BE37" s="358"/>
      <c r="BF37" s="358"/>
      <c r="BG37" s="358"/>
      <c r="BH37" s="358"/>
      <c r="BI37" s="358"/>
      <c r="BJ37" s="358"/>
      <c r="BK37" s="358"/>
      <c r="BL37" s="358"/>
      <c r="BM37" s="358"/>
      <c r="BN37" s="358"/>
      <c r="BO37" s="358"/>
      <c r="BP37" s="358"/>
      <c r="BQ37" s="358"/>
      <c r="BR37" s="358"/>
      <c r="BS37" s="358"/>
      <c r="BT37" s="358"/>
      <c r="BU37" s="358"/>
      <c r="BV37" s="358"/>
      <c r="BW37" s="358"/>
      <c r="BX37" s="358"/>
      <c r="BY37" s="358"/>
      <c r="BZ37" s="358"/>
      <c r="CA37" s="358"/>
      <c r="CB37" s="358"/>
      <c r="CC37" s="358"/>
      <c r="CD37" s="358"/>
      <c r="CE37" s="358"/>
      <c r="CF37" s="358"/>
      <c r="CG37" s="358"/>
      <c r="CH37" s="358"/>
      <c r="CI37" s="358"/>
      <c r="CJ37" s="358"/>
      <c r="CK37" s="358"/>
      <c r="CL37" s="358"/>
      <c r="CM37" s="358"/>
      <c r="CN37" s="358"/>
      <c r="CO37" s="358"/>
      <c r="CP37" s="358"/>
      <c r="CQ37" s="358"/>
      <c r="CR37" s="358"/>
      <c r="CS37" s="358"/>
      <c r="CT37" s="358"/>
      <c r="CU37" s="358"/>
      <c r="CV37" s="358"/>
      <c r="CW37" s="358"/>
      <c r="CX37" s="358"/>
      <c r="CY37" s="358"/>
      <c r="CZ37" s="358"/>
      <c r="DA37" s="358"/>
      <c r="DB37" s="358"/>
      <c r="DC37" s="358"/>
      <c r="DD37" s="358"/>
      <c r="DE37" s="358"/>
      <c r="DF37" s="358"/>
      <c r="DG37" s="358"/>
      <c r="DH37" s="358"/>
      <c r="DI37" s="358"/>
      <c r="DJ37" s="358"/>
      <c r="DK37" s="358"/>
      <c r="DL37" s="358"/>
      <c r="DM37" s="358"/>
      <c r="DN37" s="358"/>
      <c r="DO37" s="358"/>
      <c r="DP37" s="358"/>
      <c r="DQ37" s="358"/>
      <c r="DR37" s="358"/>
      <c r="DS37" s="358"/>
      <c r="DT37" s="358"/>
      <c r="DU37" s="358"/>
      <c r="DV37" s="358"/>
      <c r="DW37" s="358"/>
      <c r="DX37" s="358"/>
      <c r="DY37" s="358"/>
      <c r="DZ37" s="358"/>
      <c r="EA37" s="358"/>
      <c r="EB37" s="358"/>
      <c r="EC37" s="358"/>
      <c r="ED37" s="358"/>
      <c r="EE37" s="358"/>
      <c r="EF37" s="358"/>
      <c r="EG37" s="358"/>
      <c r="EH37" s="358"/>
      <c r="EI37" s="358"/>
      <c r="EJ37" s="358"/>
      <c r="EK37" s="358"/>
      <c r="EL37" s="358"/>
      <c r="EM37" s="358"/>
      <c r="EN37" s="358"/>
      <c r="EO37" s="358"/>
      <c r="EP37" s="358"/>
      <c r="EQ37" s="358"/>
      <c r="ER37" s="358"/>
      <c r="ES37" s="358"/>
      <c r="ET37" s="358"/>
      <c r="EU37" s="358"/>
      <c r="EV37" s="358"/>
      <c r="EW37" s="358"/>
      <c r="EX37" s="358"/>
      <c r="EY37" s="358"/>
      <c r="EZ37" s="358"/>
      <c r="FA37" s="358"/>
      <c r="FB37" s="358"/>
      <c r="FC37" s="358"/>
      <c r="FD37" s="358"/>
      <c r="FE37" s="358"/>
      <c r="FF37" s="358"/>
      <c r="FG37" s="358"/>
      <c r="FH37" s="358"/>
      <c r="FI37" s="358"/>
      <c r="FJ37" s="358"/>
      <c r="FK37" s="358"/>
      <c r="FL37" s="358"/>
      <c r="FM37" s="358"/>
      <c r="FN37" s="358"/>
      <c r="FO37" s="358"/>
      <c r="FP37" s="358"/>
      <c r="FQ37" s="358"/>
      <c r="FR37" s="358"/>
      <c r="FS37" s="358"/>
      <c r="FT37" s="358"/>
      <c r="FU37" s="358"/>
      <c r="FV37" s="358"/>
      <c r="FW37" s="358"/>
      <c r="FX37" s="358"/>
      <c r="FY37" s="358"/>
      <c r="FZ37" s="358"/>
      <c r="GA37" s="358"/>
      <c r="GB37" s="358"/>
      <c r="GC37" s="358"/>
      <c r="GD37" s="358"/>
      <c r="GE37" s="358"/>
      <c r="GF37" s="358"/>
      <c r="GG37" s="358"/>
      <c r="GH37" s="358"/>
      <c r="GI37" s="358"/>
      <c r="GJ37" s="358"/>
      <c r="GK37" s="358"/>
      <c r="GL37" s="358"/>
      <c r="GM37" s="358"/>
      <c r="GN37" s="358"/>
      <c r="GO37" s="358"/>
      <c r="GP37" s="358"/>
      <c r="GQ37" s="358"/>
      <c r="GR37" s="358"/>
      <c r="GS37" s="358"/>
      <c r="GT37" s="358"/>
      <c r="GU37" s="358"/>
      <c r="GV37" s="358"/>
      <c r="GW37" s="358"/>
      <c r="GX37" s="358"/>
      <c r="GY37" s="358"/>
      <c r="GZ37" s="358"/>
      <c r="HA37" s="358"/>
      <c r="HB37" s="358"/>
      <c r="HC37" s="358"/>
      <c r="HD37" s="358"/>
      <c r="HE37" s="358"/>
      <c r="HF37" s="358"/>
      <c r="HG37" s="358"/>
      <c r="HH37" s="358"/>
      <c r="HI37" s="358"/>
      <c r="HJ37" s="358"/>
      <c r="HK37" s="358"/>
      <c r="HL37" s="358"/>
      <c r="HM37" s="358"/>
      <c r="HN37" s="358"/>
      <c r="HO37" s="358"/>
      <c r="HP37" s="358"/>
      <c r="HQ37" s="358"/>
      <c r="HR37" s="358"/>
      <c r="HS37" s="358"/>
      <c r="HT37" s="358"/>
      <c r="HU37" s="358"/>
      <c r="HV37" s="358"/>
      <c r="HW37" s="358"/>
      <c r="HX37" s="358"/>
      <c r="HY37" s="358"/>
      <c r="HZ37" s="358"/>
      <c r="IA37" s="358"/>
      <c r="IB37" s="358"/>
      <c r="IC37" s="358"/>
      <c r="ID37" s="358"/>
      <c r="IE37" s="358"/>
      <c r="IF37" s="358"/>
      <c r="IG37" s="358"/>
      <c r="IH37" s="358"/>
      <c r="II37" s="358"/>
      <c r="IJ37" s="358"/>
      <c r="IK37" s="358"/>
      <c r="IL37" s="358"/>
      <c r="IM37" s="358"/>
      <c r="IN37" s="358"/>
      <c r="IO37" s="358"/>
      <c r="IP37" s="358"/>
      <c r="IQ37" s="358"/>
    </row>
    <row r="38" customFormat="false" ht="13.5" hidden="true" customHeight="true" outlineLevel="0" collapsed="false">
      <c r="A38" s="108" t="n">
        <f aca="false">A36+1</f>
        <v>15</v>
      </c>
      <c r="B38" s="404"/>
      <c r="C38" s="403" t="n">
        <f aca="false">IF(ISERROR(VLOOKUP(D38,[31]일용직명단!$A$3:$I$105,2,FALSE())),0,VLOOKUP(D38,[31]일용직명단!$A$3:$I$105,2,FALSE()))</f>
        <v>0</v>
      </c>
      <c r="D38" s="110"/>
      <c r="E38" s="311" t="n">
        <f aca="false">IF(ISERROR(VLOOKUP(D38,[31]일용직명단!$A$3:$K$1220,3,FALSE())),0,VLOOKUP(D38,[31]일용직명단!$A$3:$K$1220,3,FALSE()))</f>
        <v>0</v>
      </c>
      <c r="F38" s="112" t="n">
        <f aca="false">IF(ISERROR(VLOOKUP(D38,일용직명단!$A$3:$K$1246,4,FALSE())),0,VLOOKUP(D38,일용직명단!$A$3:$K$1246,4,FALSE()))</f>
        <v>0</v>
      </c>
      <c r="G38" s="408"/>
      <c r="H38" s="114"/>
      <c r="I38" s="409"/>
      <c r="J38" s="409"/>
      <c r="K38" s="408"/>
      <c r="L38" s="409"/>
      <c r="M38" s="408"/>
      <c r="N38" s="408"/>
      <c r="O38" s="114"/>
      <c r="P38" s="114"/>
      <c r="Q38" s="408"/>
      <c r="R38" s="114"/>
      <c r="S38" s="409"/>
      <c r="T38" s="114"/>
      <c r="U38" s="409"/>
      <c r="V38" s="119"/>
      <c r="W38" s="144" t="n">
        <f aca="false">SUM(G38:V39)</f>
        <v>0</v>
      </c>
      <c r="X38" s="121" t="n">
        <f aca="false">IF(ISERROR(VLOOKUP(D38,일용직명단!$A$3:$K$1246,8,FALSE())),0,VLOOKUP(D38,일용직명단!$A$3:$K$1246,8,FALSE()))</f>
        <v>0</v>
      </c>
      <c r="Y38" s="122" t="n">
        <f aca="false">IFERROR(IF(AH38&gt;=65,0,ROUNDDOWN(X39*$AA$4,-1)),0)</f>
        <v>0</v>
      </c>
      <c r="Z38" s="122" t="n">
        <f aca="false">IF(AF38&gt;=8,ROUNDDOWN(X39*$N$4,-1),0)</f>
        <v>0</v>
      </c>
      <c r="AA38" s="123" t="n">
        <f aca="false">IFERROR(IF(AND(COUNT(G38:V39)&gt;=8,$AH38&lt;60,X39&lt;=5530000),ROUNDDOWN(ROUNDDOWN(X39,-3)*4.5%,-1),IF(AND(COUNT(G38:V39)&gt;=8,AH38&lt;60,X39&gt;5530000),248850,0)),0)</f>
        <v>0</v>
      </c>
      <c r="AB38" s="145" t="n">
        <f aca="false">+Y38+Z38+Y39+Z39+AA38+AA39</f>
        <v>0</v>
      </c>
      <c r="AC38" s="146" t="n">
        <f aca="false">X39-AB38</f>
        <v>0</v>
      </c>
      <c r="AD38" s="411" t="n">
        <f aca="false">IF(ISERROR(VLOOKUP(D38,[31]일용직명단!$A$3:$I$1200,5,FALSE())),0,VLOOKUP(D38,[31]일용직명단!$A$3:$I$1200,5,FALSE()))</f>
        <v>0</v>
      </c>
      <c r="AE38" s="412" t="n">
        <f aca="false">IF(ISERROR(VLOOKUP(D38,[31]일용직명단!$A$3:$I$1200,6,FALSE())),0,VLOOKUP(D38,[31]일용직명단!$A$3:$I$1200,6,FALSE()))</f>
        <v>0</v>
      </c>
      <c r="AF38" s="149" t="n">
        <f aca="false">COUNT(G38:V39)</f>
        <v>0</v>
      </c>
      <c r="AG38" s="129" t="str">
        <f aca="false">IF(OR(MID(E38,8,1)="1",MID(E38,8,1)="2"),19&amp;LEFT(E38,2),20&amp;LEFT(E38,2))&amp;"-"&amp;MID(E38,3,2)&amp;"-"&amp;MID(E38,5,2)</f>
        <v>200--</v>
      </c>
      <c r="AH38" s="129" t="e">
        <f aca="true">INT((TODAY()-AG38)/365.25)</f>
        <v>#VALUE!</v>
      </c>
      <c r="AI38" s="130" t="n">
        <f aca="false">ROUNDDOWN(SUM(AJ38:AY39),-1)</f>
        <v>0</v>
      </c>
      <c r="AJ38" s="130" t="n">
        <f aca="false">IF($X38*G38&gt;150000,($X38*G38-150000)*6%*45%,0)</f>
        <v>0</v>
      </c>
      <c r="AK38" s="130" t="n">
        <f aca="false">IF($X38*H38&gt;150000,($X38*H38-150000)*6%*45%,0)</f>
        <v>0</v>
      </c>
      <c r="AL38" s="130" t="n">
        <f aca="false">IF($X38*I38&gt;150000,($X38*I38-150000)*6%*45%,0)</f>
        <v>0</v>
      </c>
      <c r="AM38" s="130" t="n">
        <f aca="false">IF($X38*J38&gt;150000,($X38*J38-150000)*6%*45%,0)</f>
        <v>0</v>
      </c>
      <c r="AN38" s="130" t="n">
        <f aca="false">IF($X38*K38&gt;150000,($X38*K38-150000)*6%*45%,0)</f>
        <v>0</v>
      </c>
      <c r="AO38" s="130" t="n">
        <f aca="false">IF($X38*L38&gt;150000,($X38*L38-150000)*6%*45%,0)</f>
        <v>0</v>
      </c>
      <c r="AP38" s="130" t="n">
        <f aca="false">IF($X38*M38&gt;150000,($X38*M38-150000)*6%*45%,0)</f>
        <v>0</v>
      </c>
      <c r="AQ38" s="130" t="n">
        <f aca="false">IF($X38*N38&gt;150000,($X38*N38-150000)*6%*45%,0)</f>
        <v>0</v>
      </c>
      <c r="AR38" s="130" t="n">
        <f aca="false">IF($X38*O38&gt;150000,($X38*O38-150000)*6%*45%,0)</f>
        <v>0</v>
      </c>
      <c r="AS38" s="130" t="n">
        <f aca="false">IF($X38*P38&gt;150000,($X38*P38-150000)*6%*45%,0)</f>
        <v>0</v>
      </c>
      <c r="AT38" s="130" t="n">
        <f aca="false">IF($X38*Q38&gt;150000,($X38*Q38-150000)*6%*45%,0)</f>
        <v>0</v>
      </c>
      <c r="AU38" s="130" t="n">
        <f aca="false">IF($X38*R38&gt;150000,($X38*R38-150000)*6%*45%,0)</f>
        <v>0</v>
      </c>
      <c r="AV38" s="130" t="n">
        <f aca="false">IF($X38*S38&gt;150000,($X38*S38-150000)*6%*45%,0)</f>
        <v>0</v>
      </c>
      <c r="AW38" s="130" t="n">
        <f aca="false">IF($X38*T38&gt;150000,($X38*T38-150000)*6%*45%,0)</f>
        <v>0</v>
      </c>
      <c r="AX38" s="130" t="n">
        <f aca="false">IF($X38*U38&gt;150000,($X38*U38-150000)*6%*45%,0)</f>
        <v>0</v>
      </c>
      <c r="AY38" s="130"/>
      <c r="AZ38" s="131" t="n">
        <f aca="false">IF(ISERROR(VLOOKUP(D38,[32]일용직명단!$A$3:$M$1151,11,FALSE())),0,VLOOKUP(D38,[32]일용직명단!$A$3:$M$1151,11,FALSE()))</f>
        <v>0</v>
      </c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</row>
    <row r="39" customFormat="false" ht="13.5" hidden="true" customHeight="true" outlineLevel="0" collapsed="false">
      <c r="A39" s="108"/>
      <c r="B39" s="404"/>
      <c r="C39" s="403"/>
      <c r="D39" s="110"/>
      <c r="E39" s="311"/>
      <c r="F39" s="112" t="n">
        <f aca="false">IF(ISERROR(VLOOKUP(D38,일용직명단!$A$3:$K$1246,9,FALSE())),0,VLOOKUP(D38,일용직명단!$A$3:$K$1246,9,FALSE()))</f>
        <v>0</v>
      </c>
      <c r="G39" s="405"/>
      <c r="H39" s="406"/>
      <c r="I39" s="405"/>
      <c r="J39" s="136"/>
      <c r="K39" s="407"/>
      <c r="L39" s="136"/>
      <c r="M39" s="408"/>
      <c r="N39" s="408"/>
      <c r="O39" s="114"/>
      <c r="P39" s="409"/>
      <c r="Q39" s="114"/>
      <c r="R39" s="114"/>
      <c r="S39" s="408"/>
      <c r="T39" s="408"/>
      <c r="U39" s="408"/>
      <c r="V39" s="119"/>
      <c r="W39" s="144"/>
      <c r="X39" s="138" t="n">
        <f aca="false">X38*W38</f>
        <v>0</v>
      </c>
      <c r="Y39" s="122" t="n">
        <f aca="false">IF(AI38&lt;1000,0,AI38)</f>
        <v>0</v>
      </c>
      <c r="Z39" s="122" t="n">
        <f aca="false">ROUNDDOWN(Y39*10%,-1)</f>
        <v>0</v>
      </c>
      <c r="AA39" s="123" t="n">
        <f aca="false">IF(AF38&gt;=8,ROUNDDOWN(Z38*$R$4,-1),0)</f>
        <v>0</v>
      </c>
      <c r="AB39" s="145"/>
      <c r="AC39" s="146"/>
      <c r="AD39" s="412" t="n">
        <f aca="false">IF(ISERROR(VLOOKUP(D38,[31]일용직명단!$A$3:$I$1200,7,FALSE())),0,VLOOKUP(D38,[31]일용직명단!$A$3:$I$1200,7,FALSE()))</f>
        <v>0</v>
      </c>
      <c r="AE39" s="412"/>
      <c r="AF39" s="149"/>
      <c r="AG39" s="129"/>
      <c r="AH39" s="129"/>
      <c r="AI39" s="130"/>
      <c r="AJ39" s="130" t="n">
        <f aca="false">IF($X38*G39&gt;150000,($X38*G39-150000)*6%*45%,0)</f>
        <v>0</v>
      </c>
      <c r="AK39" s="130" t="n">
        <f aca="false">IF($X38*H39&gt;150000,($X38*H39-150000)*6%*45%,0)</f>
        <v>0</v>
      </c>
      <c r="AL39" s="130" t="n">
        <f aca="false">IF($X38*I39&gt;150000,($X38*I39-150000)*6%*45%,0)</f>
        <v>0</v>
      </c>
      <c r="AM39" s="130" t="n">
        <f aca="false">IF($X38*J39&gt;150000,($X38*J39-150000)*6%*45%,0)</f>
        <v>0</v>
      </c>
      <c r="AN39" s="130" t="n">
        <f aca="false">IF($X38*K39&gt;150000,($X38*K39-150000)*6%*45%,0)</f>
        <v>0</v>
      </c>
      <c r="AO39" s="130" t="n">
        <f aca="false">IF($X38*L39&gt;150000,($X38*L39-150000)*6%*45%,0)</f>
        <v>0</v>
      </c>
      <c r="AP39" s="130" t="n">
        <f aca="false">IF($X38*M39&gt;150000,($X38*M39-150000)*6%*45%,0)</f>
        <v>0</v>
      </c>
      <c r="AQ39" s="130" t="n">
        <f aca="false">IF($X38*N39&gt;150000,($X38*N39-150000)*6%*45%,0)</f>
        <v>0</v>
      </c>
      <c r="AR39" s="130" t="n">
        <f aca="false">IF($X38*O39&gt;150000,($X38*O39-150000)*6%*45%,0)</f>
        <v>0</v>
      </c>
      <c r="AS39" s="130" t="n">
        <f aca="false">IF($X38*P39&gt;150000,($X38*P39-150000)*6%*45%,0)</f>
        <v>0</v>
      </c>
      <c r="AT39" s="130" t="n">
        <f aca="false">IF($X38*Q39&gt;150000,($X38*Q39-150000)*6%*45%,0)</f>
        <v>0</v>
      </c>
      <c r="AU39" s="130" t="n">
        <f aca="false">IF($X38*R39&gt;150000,($X38*R39-150000)*6%*45%,0)</f>
        <v>0</v>
      </c>
      <c r="AV39" s="130" t="n">
        <f aca="false">IF($X38*S39&gt;150000,($X38*S39-150000)*6%*45%,0)</f>
        <v>0</v>
      </c>
      <c r="AW39" s="130" t="n">
        <f aca="false">IF($X38*T39&gt;150000,($X38*T39-150000)*6%*45%,0)</f>
        <v>0</v>
      </c>
      <c r="AX39" s="130" t="n">
        <f aca="false">IF($X38*U39&gt;150000,($X38*U39-150000)*6%*45%,0)</f>
        <v>0</v>
      </c>
      <c r="AY39" s="130" t="n">
        <f aca="false">IF($X38*V39&gt;150000,($X38*V39-150000)*6%*45%,0)</f>
        <v>0</v>
      </c>
      <c r="AZ39" s="13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</row>
    <row r="40" customFormat="false" ht="13.5" hidden="true" customHeight="true" outlineLevel="0" collapsed="false">
      <c r="A40" s="108" t="n">
        <f aca="false">A38+1</f>
        <v>16</v>
      </c>
      <c r="B40" s="402"/>
      <c r="C40" s="159"/>
      <c r="D40" s="206"/>
      <c r="E40" s="311" t="n">
        <f aca="false">IF(ISERROR(VLOOKUP(D40,[31]일용직명단!$A$3:$K$1220,3,FALSE())),0,VLOOKUP(D40,[31]일용직명단!$A$3:$K$1220,3,FALSE()))</f>
        <v>0</v>
      </c>
      <c r="F40" s="112" t="n">
        <f aca="false">IF(ISERROR(VLOOKUP(D40,일용직명단!$A$3:$K$1246,4,FALSE())),0,VLOOKUP(D40,일용직명단!$A$3:$K$1246,4,FALSE()))</f>
        <v>0</v>
      </c>
      <c r="G40" s="408"/>
      <c r="H40" s="114"/>
      <c r="I40" s="409"/>
      <c r="J40" s="409"/>
      <c r="K40" s="408"/>
      <c r="L40" s="409"/>
      <c r="M40" s="408"/>
      <c r="N40" s="408"/>
      <c r="O40" s="114"/>
      <c r="P40" s="114"/>
      <c r="Q40" s="408"/>
      <c r="R40" s="114"/>
      <c r="S40" s="409"/>
      <c r="T40" s="114"/>
      <c r="U40" s="409"/>
      <c r="V40" s="119"/>
      <c r="W40" s="144" t="n">
        <f aca="false">SUM(G40:V41)</f>
        <v>0</v>
      </c>
      <c r="X40" s="121" t="n">
        <f aca="false">IF(ISERROR(VLOOKUP(D40,일용직명단!$A$3:$K$1246,8,FALSE())),0,VLOOKUP(D40,일용직명단!$A$3:$K$1246,8,FALSE()))</f>
        <v>0</v>
      </c>
      <c r="Y40" s="122" t="n">
        <f aca="false">IFERROR(IF(AH40&gt;=65,0,ROUNDDOWN(X41*$AA$4,-1)),0)</f>
        <v>0</v>
      </c>
      <c r="Z40" s="122" t="n">
        <f aca="false">IF(AF40&gt;=8,ROUNDDOWN(X41*$N$4,-1),0)</f>
        <v>0</v>
      </c>
      <c r="AA40" s="123" t="n">
        <f aca="false">IFERROR(IF(AND(COUNT(G40:V41)&gt;=8,$AH40&lt;60,X41&lt;=5530000),ROUNDDOWN(ROUNDDOWN(X41,-3)*4.5%,-1),IF(AND(COUNT(G40:V41)&gt;=8,AH40&lt;60,X41&gt;5530000),248850,0)),0)</f>
        <v>0</v>
      </c>
      <c r="AB40" s="145" t="n">
        <f aca="false">+Y40+Z40+Y41+Z41+AA40+AA41</f>
        <v>0</v>
      </c>
      <c r="AC40" s="146" t="n">
        <f aca="false">X41-AB40</f>
        <v>0</v>
      </c>
      <c r="AD40" s="411" t="n">
        <f aca="false">IF(ISERROR(VLOOKUP(D40,[31]일용직명단!$A$3:$I$1200,5,FALSE())),0,VLOOKUP(D40,[31]일용직명단!$A$3:$I$1200,5,FALSE()))</f>
        <v>0</v>
      </c>
      <c r="AE40" s="412" t="n">
        <f aca="false">IF(ISERROR(VLOOKUP(D40,[31]일용직명단!$A$3:$I$1200,6,FALSE())),0,VLOOKUP(D40,[31]일용직명단!$A$3:$I$1200,6,FALSE()))</f>
        <v>0</v>
      </c>
      <c r="AF40" s="128" t="n">
        <f aca="false">COUNT(G40:V41)</f>
        <v>0</v>
      </c>
      <c r="AG40" s="129" t="str">
        <f aca="false">IF(OR(MID(E40,8,1)="1",MID(E40,8,1)="2"),19&amp;LEFT(E40,2),20&amp;LEFT(E40,2))&amp;"-"&amp;MID(E40,3,2)&amp;"-"&amp;MID(E40,5,2)</f>
        <v>200--</v>
      </c>
      <c r="AH40" s="129" t="e">
        <f aca="true">INT((TODAY()-AG40)/365.25)</f>
        <v>#VALUE!</v>
      </c>
      <c r="AI40" s="130" t="n">
        <f aca="false">ROUNDDOWN(SUM(AJ40:AY41),-1)</f>
        <v>0</v>
      </c>
      <c r="AJ40" s="130" t="n">
        <f aca="false">IF($X40*G40&gt;150000,($X40*G40-150000)*6%*45%,0)</f>
        <v>0</v>
      </c>
      <c r="AK40" s="130" t="n">
        <f aca="false">IF($X40*H40&gt;150000,($X40*H40-150000)*6%*45%,0)</f>
        <v>0</v>
      </c>
      <c r="AL40" s="130" t="n">
        <f aca="false">IF($X40*I40&gt;150000,($X40*I40-150000)*6%*45%,0)</f>
        <v>0</v>
      </c>
      <c r="AM40" s="130" t="n">
        <f aca="false">IF($X40*J40&gt;150000,($X40*J40-150000)*6%*45%,0)</f>
        <v>0</v>
      </c>
      <c r="AN40" s="130" t="n">
        <f aca="false">IF($X40*K40&gt;150000,($X40*K40-150000)*6%*45%,0)</f>
        <v>0</v>
      </c>
      <c r="AO40" s="130" t="n">
        <f aca="false">IF($X40*L40&gt;150000,($X40*L40-150000)*6%*45%,0)</f>
        <v>0</v>
      </c>
      <c r="AP40" s="130" t="n">
        <f aca="false">IF($X40*M40&gt;150000,($X40*M40-150000)*6%*45%,0)</f>
        <v>0</v>
      </c>
      <c r="AQ40" s="130" t="n">
        <f aca="false">IF($X40*N40&gt;150000,($X40*N40-150000)*6%*45%,0)</f>
        <v>0</v>
      </c>
      <c r="AR40" s="130" t="n">
        <f aca="false">IF($X40*O40&gt;150000,($X40*O40-150000)*6%*45%,0)</f>
        <v>0</v>
      </c>
      <c r="AS40" s="130" t="n">
        <f aca="false">IF($X40*P40&gt;150000,($X40*P40-150000)*6%*45%,0)</f>
        <v>0</v>
      </c>
      <c r="AT40" s="130" t="n">
        <f aca="false">IF($X40*Q40&gt;150000,($X40*Q40-150000)*6%*45%,0)</f>
        <v>0</v>
      </c>
      <c r="AU40" s="130" t="n">
        <f aca="false">IF($X40*R40&gt;150000,($X40*R40-150000)*6%*45%,0)</f>
        <v>0</v>
      </c>
      <c r="AV40" s="130" t="n">
        <f aca="false">IF($X40*S40&gt;150000,($X40*S40-150000)*6%*45%,0)</f>
        <v>0</v>
      </c>
      <c r="AW40" s="130" t="n">
        <f aca="false">IF($X40*T40&gt;150000,($X40*T40-150000)*6%*45%,0)</f>
        <v>0</v>
      </c>
      <c r="AX40" s="130" t="n">
        <f aca="false">IF($X40*U40&gt;150000,($X40*U40-150000)*6%*45%,0)</f>
        <v>0</v>
      </c>
      <c r="AY40" s="130"/>
      <c r="AZ40" s="131" t="n">
        <f aca="false">IF(ISERROR(VLOOKUP(#REF!,[32]일용직명단!$A$3:$M$1151,11,FALSE())),0,VLOOKUP(#REF!,[32]일용직명단!$A$3:$M$1151,11,FALSE()))</f>
        <v>0</v>
      </c>
      <c r="BA40" s="11"/>
      <c r="BB40" s="11"/>
      <c r="BC40" s="358"/>
      <c r="BD40" s="358"/>
      <c r="BE40" s="358"/>
      <c r="BF40" s="358"/>
      <c r="BG40" s="358"/>
      <c r="BH40" s="358"/>
      <c r="BI40" s="358"/>
      <c r="BJ40" s="358"/>
      <c r="BK40" s="358"/>
      <c r="BL40" s="358"/>
      <c r="BM40" s="358"/>
      <c r="BN40" s="358"/>
      <c r="BO40" s="358"/>
      <c r="BP40" s="358"/>
      <c r="BQ40" s="358"/>
      <c r="BR40" s="358"/>
      <c r="BS40" s="358"/>
      <c r="BT40" s="358"/>
      <c r="BU40" s="358"/>
      <c r="BV40" s="358"/>
      <c r="BW40" s="358"/>
      <c r="BX40" s="358"/>
      <c r="BY40" s="358"/>
      <c r="BZ40" s="358"/>
      <c r="CA40" s="358"/>
      <c r="CB40" s="358"/>
      <c r="CC40" s="358"/>
      <c r="CD40" s="358"/>
      <c r="CE40" s="358"/>
      <c r="CF40" s="358"/>
      <c r="CG40" s="358"/>
      <c r="CH40" s="358"/>
      <c r="CI40" s="358"/>
      <c r="CJ40" s="358"/>
      <c r="CK40" s="358"/>
      <c r="CL40" s="358"/>
      <c r="CM40" s="358"/>
      <c r="CN40" s="358"/>
      <c r="CO40" s="358"/>
      <c r="CP40" s="358"/>
      <c r="CQ40" s="358"/>
      <c r="CR40" s="358"/>
      <c r="CS40" s="358"/>
      <c r="CT40" s="358"/>
      <c r="CU40" s="358"/>
      <c r="CV40" s="358"/>
      <c r="CW40" s="358"/>
      <c r="CX40" s="358"/>
      <c r="CY40" s="358"/>
      <c r="CZ40" s="358"/>
      <c r="DA40" s="358"/>
      <c r="DB40" s="358"/>
      <c r="DC40" s="358"/>
      <c r="DD40" s="358"/>
      <c r="DE40" s="358"/>
      <c r="DF40" s="358"/>
      <c r="DG40" s="358"/>
      <c r="DH40" s="358"/>
      <c r="DI40" s="358"/>
      <c r="DJ40" s="358"/>
      <c r="DK40" s="358"/>
      <c r="DL40" s="358"/>
      <c r="DM40" s="358"/>
      <c r="DN40" s="358"/>
      <c r="DO40" s="358"/>
      <c r="DP40" s="358"/>
      <c r="DQ40" s="358"/>
      <c r="DR40" s="358"/>
      <c r="DS40" s="358"/>
      <c r="DT40" s="358"/>
      <c r="DU40" s="358"/>
      <c r="DV40" s="358"/>
      <c r="DW40" s="358"/>
      <c r="DX40" s="358"/>
      <c r="DY40" s="358"/>
      <c r="DZ40" s="358"/>
      <c r="EA40" s="358"/>
      <c r="EB40" s="358"/>
      <c r="EC40" s="358"/>
      <c r="ED40" s="358"/>
      <c r="EE40" s="358"/>
      <c r="EF40" s="358"/>
      <c r="EG40" s="358"/>
      <c r="EH40" s="358"/>
      <c r="EI40" s="358"/>
      <c r="EJ40" s="358"/>
      <c r="EK40" s="358"/>
      <c r="EL40" s="358"/>
      <c r="EM40" s="358"/>
      <c r="EN40" s="358"/>
      <c r="EO40" s="358"/>
      <c r="EP40" s="358"/>
      <c r="EQ40" s="358"/>
      <c r="ER40" s="358"/>
      <c r="ES40" s="358"/>
      <c r="ET40" s="358"/>
      <c r="EU40" s="358"/>
      <c r="EV40" s="358"/>
      <c r="EW40" s="358"/>
      <c r="EX40" s="358"/>
      <c r="EY40" s="358"/>
      <c r="EZ40" s="358"/>
      <c r="FA40" s="358"/>
      <c r="FB40" s="358"/>
      <c r="FC40" s="358"/>
      <c r="FD40" s="358"/>
      <c r="FE40" s="358"/>
      <c r="FF40" s="358"/>
      <c r="FG40" s="358"/>
      <c r="FH40" s="358"/>
      <c r="FI40" s="358"/>
      <c r="FJ40" s="358"/>
      <c r="FK40" s="358"/>
      <c r="FL40" s="358"/>
      <c r="FM40" s="358"/>
      <c r="FN40" s="358"/>
      <c r="FO40" s="358"/>
      <c r="FP40" s="358"/>
      <c r="FQ40" s="358"/>
      <c r="FR40" s="358"/>
      <c r="FS40" s="358"/>
      <c r="FT40" s="358"/>
      <c r="FU40" s="358"/>
      <c r="FV40" s="358"/>
      <c r="FW40" s="358"/>
      <c r="FX40" s="358"/>
      <c r="FY40" s="358"/>
      <c r="FZ40" s="358"/>
      <c r="GA40" s="358"/>
      <c r="GB40" s="358"/>
      <c r="GC40" s="358"/>
      <c r="GD40" s="358"/>
      <c r="GE40" s="358"/>
      <c r="GF40" s="358"/>
      <c r="GG40" s="358"/>
      <c r="GH40" s="358"/>
      <c r="GI40" s="358"/>
      <c r="GJ40" s="358"/>
      <c r="GK40" s="358"/>
      <c r="GL40" s="358"/>
      <c r="GM40" s="358"/>
      <c r="GN40" s="358"/>
      <c r="GO40" s="358"/>
      <c r="GP40" s="358"/>
      <c r="GQ40" s="358"/>
      <c r="GR40" s="358"/>
      <c r="GS40" s="358"/>
      <c r="GT40" s="358"/>
      <c r="GU40" s="358"/>
      <c r="GV40" s="358"/>
      <c r="GW40" s="358"/>
      <c r="GX40" s="358"/>
      <c r="GY40" s="358"/>
      <c r="GZ40" s="358"/>
      <c r="HA40" s="358"/>
      <c r="HB40" s="358"/>
      <c r="HC40" s="358"/>
      <c r="HD40" s="358"/>
      <c r="HE40" s="358"/>
      <c r="HF40" s="358"/>
      <c r="HG40" s="358"/>
      <c r="HH40" s="358"/>
      <c r="HI40" s="358"/>
      <c r="HJ40" s="358"/>
      <c r="HK40" s="358"/>
      <c r="HL40" s="358"/>
      <c r="HM40" s="358"/>
      <c r="HN40" s="358"/>
      <c r="HO40" s="358"/>
      <c r="HP40" s="358"/>
      <c r="HQ40" s="358"/>
      <c r="HR40" s="358"/>
      <c r="HS40" s="358"/>
      <c r="HT40" s="358"/>
      <c r="HU40" s="358"/>
      <c r="HV40" s="358"/>
      <c r="HW40" s="358"/>
      <c r="HX40" s="358"/>
      <c r="HY40" s="358"/>
      <c r="HZ40" s="358"/>
      <c r="IA40" s="358"/>
      <c r="IB40" s="358"/>
      <c r="IC40" s="358"/>
      <c r="ID40" s="358"/>
      <c r="IE40" s="358"/>
      <c r="IF40" s="358"/>
      <c r="IG40" s="358"/>
      <c r="IH40" s="358"/>
      <c r="II40" s="358"/>
      <c r="IJ40" s="358"/>
      <c r="IK40" s="358"/>
      <c r="IL40" s="358"/>
      <c r="IM40" s="358"/>
      <c r="IN40" s="358"/>
      <c r="IO40" s="358"/>
      <c r="IP40" s="358"/>
      <c r="IQ40" s="358"/>
    </row>
    <row r="41" customFormat="false" ht="13.5" hidden="true" customHeight="true" outlineLevel="0" collapsed="false">
      <c r="A41" s="108"/>
      <c r="B41" s="402"/>
      <c r="C41" s="159"/>
      <c r="D41" s="206"/>
      <c r="E41" s="311"/>
      <c r="F41" s="112" t="n">
        <f aca="false">IF(ISERROR(VLOOKUP(D40,일용직명단!$A$3:$K$1246,9,FALSE())),0,VLOOKUP(D40,일용직명단!$A$3:$K$1246,9,FALSE()))</f>
        <v>0</v>
      </c>
      <c r="G41" s="405"/>
      <c r="H41" s="406"/>
      <c r="I41" s="405"/>
      <c r="J41" s="136"/>
      <c r="K41" s="407"/>
      <c r="L41" s="136"/>
      <c r="M41" s="408"/>
      <c r="N41" s="408"/>
      <c r="O41" s="114"/>
      <c r="P41" s="409"/>
      <c r="Q41" s="114"/>
      <c r="R41" s="114"/>
      <c r="S41" s="408"/>
      <c r="T41" s="408"/>
      <c r="U41" s="408"/>
      <c r="V41" s="119"/>
      <c r="W41" s="144"/>
      <c r="X41" s="138" t="n">
        <f aca="false">X40*W40</f>
        <v>0</v>
      </c>
      <c r="Y41" s="122" t="n">
        <f aca="false">IF(AI40&lt;1000,0,AI40)</f>
        <v>0</v>
      </c>
      <c r="Z41" s="122" t="n">
        <f aca="false">ROUNDDOWN(Y41*10%,-1)</f>
        <v>0</v>
      </c>
      <c r="AA41" s="123" t="n">
        <f aca="false">IF(AF40&gt;=8,ROUNDDOWN(Z40*$R$4,-1),0)</f>
        <v>0</v>
      </c>
      <c r="AB41" s="145"/>
      <c r="AC41" s="146"/>
      <c r="AD41" s="412" t="n">
        <f aca="false">IF(ISERROR(VLOOKUP(D40,[31]일용직명단!$A$3:$I$1200,7,FALSE())),0,VLOOKUP(D40,[31]일용직명단!$A$3:$I$1200,7,FALSE()))</f>
        <v>0</v>
      </c>
      <c r="AE41" s="412"/>
      <c r="AF41" s="128"/>
      <c r="AG41" s="129"/>
      <c r="AH41" s="129"/>
      <c r="AI41" s="130"/>
      <c r="AJ41" s="130" t="n">
        <f aca="false">IF($X40*G41&gt;150000,($X40*G41-150000)*6%*45%,0)</f>
        <v>0</v>
      </c>
      <c r="AK41" s="130" t="n">
        <f aca="false">IF($X40*H41&gt;150000,($X40*H41-150000)*6%*45%,0)</f>
        <v>0</v>
      </c>
      <c r="AL41" s="130" t="n">
        <f aca="false">IF($X40*I41&gt;150000,($X40*I41-150000)*6%*45%,0)</f>
        <v>0</v>
      </c>
      <c r="AM41" s="130" t="n">
        <f aca="false">IF($X40*J41&gt;150000,($X40*J41-150000)*6%*45%,0)</f>
        <v>0</v>
      </c>
      <c r="AN41" s="130" t="n">
        <f aca="false">IF($X40*K41&gt;150000,($X40*K41-150000)*6%*45%,0)</f>
        <v>0</v>
      </c>
      <c r="AO41" s="130" t="n">
        <f aca="false">IF($X40*L41&gt;150000,($X40*L41-150000)*6%*45%,0)</f>
        <v>0</v>
      </c>
      <c r="AP41" s="130" t="n">
        <f aca="false">IF($X40*M41&gt;150000,($X40*M41-150000)*6%*45%,0)</f>
        <v>0</v>
      </c>
      <c r="AQ41" s="130" t="n">
        <f aca="false">IF($X40*N41&gt;150000,($X40*N41-150000)*6%*45%,0)</f>
        <v>0</v>
      </c>
      <c r="AR41" s="130" t="n">
        <f aca="false">IF($X40*O41&gt;150000,($X40*O41-150000)*6%*45%,0)</f>
        <v>0</v>
      </c>
      <c r="AS41" s="130" t="n">
        <f aca="false">IF($X40*P41&gt;150000,($X40*P41-150000)*6%*45%,0)</f>
        <v>0</v>
      </c>
      <c r="AT41" s="130" t="n">
        <f aca="false">IF($X40*Q41&gt;150000,($X40*Q41-150000)*6%*45%,0)</f>
        <v>0</v>
      </c>
      <c r="AU41" s="130" t="n">
        <f aca="false">IF($X40*R41&gt;150000,($X40*R41-150000)*6%*45%,0)</f>
        <v>0</v>
      </c>
      <c r="AV41" s="130" t="n">
        <f aca="false">IF($X40*S41&gt;150000,($X40*S41-150000)*6%*45%,0)</f>
        <v>0</v>
      </c>
      <c r="AW41" s="130" t="n">
        <f aca="false">IF($X40*T41&gt;150000,($X40*T41-150000)*6%*45%,0)</f>
        <v>0</v>
      </c>
      <c r="AX41" s="130" t="n">
        <f aca="false">IF($X40*U41&gt;150000,($X40*U41-150000)*6%*45%,0)</f>
        <v>0</v>
      </c>
      <c r="AY41" s="130" t="n">
        <f aca="false">IF($X40*V41&gt;150000,($X40*V41-150000)*6%*45%,0)</f>
        <v>0</v>
      </c>
      <c r="AZ41" s="131"/>
      <c r="BA41" s="11"/>
      <c r="BB41" s="11"/>
      <c r="BC41" s="358"/>
      <c r="BD41" s="358"/>
      <c r="BE41" s="358"/>
      <c r="BF41" s="358"/>
      <c r="BG41" s="358"/>
      <c r="BH41" s="358"/>
      <c r="BI41" s="358"/>
      <c r="BJ41" s="358"/>
      <c r="BK41" s="358"/>
      <c r="BL41" s="358"/>
      <c r="BM41" s="358"/>
      <c r="BN41" s="358"/>
      <c r="BO41" s="358"/>
      <c r="BP41" s="358"/>
      <c r="BQ41" s="358"/>
      <c r="BR41" s="358"/>
      <c r="BS41" s="358"/>
      <c r="BT41" s="358"/>
      <c r="BU41" s="358"/>
      <c r="BV41" s="358"/>
      <c r="BW41" s="358"/>
      <c r="BX41" s="358"/>
      <c r="BY41" s="358"/>
      <c r="BZ41" s="358"/>
      <c r="CA41" s="358"/>
      <c r="CB41" s="358"/>
      <c r="CC41" s="358"/>
      <c r="CD41" s="358"/>
      <c r="CE41" s="358"/>
      <c r="CF41" s="358"/>
      <c r="CG41" s="358"/>
      <c r="CH41" s="358"/>
      <c r="CI41" s="358"/>
      <c r="CJ41" s="358"/>
      <c r="CK41" s="358"/>
      <c r="CL41" s="358"/>
      <c r="CM41" s="358"/>
      <c r="CN41" s="358"/>
      <c r="CO41" s="358"/>
      <c r="CP41" s="358"/>
      <c r="CQ41" s="358"/>
      <c r="CR41" s="358"/>
      <c r="CS41" s="358"/>
      <c r="CT41" s="358"/>
      <c r="CU41" s="358"/>
      <c r="CV41" s="358"/>
      <c r="CW41" s="358"/>
      <c r="CX41" s="358"/>
      <c r="CY41" s="358"/>
      <c r="CZ41" s="358"/>
      <c r="DA41" s="358"/>
      <c r="DB41" s="358"/>
      <c r="DC41" s="358"/>
      <c r="DD41" s="358"/>
      <c r="DE41" s="358"/>
      <c r="DF41" s="358"/>
      <c r="DG41" s="358"/>
      <c r="DH41" s="358"/>
      <c r="DI41" s="358"/>
      <c r="DJ41" s="358"/>
      <c r="DK41" s="358"/>
      <c r="DL41" s="358"/>
      <c r="DM41" s="358"/>
      <c r="DN41" s="358"/>
      <c r="DO41" s="358"/>
      <c r="DP41" s="358"/>
      <c r="DQ41" s="358"/>
      <c r="DR41" s="358"/>
      <c r="DS41" s="358"/>
      <c r="DT41" s="358"/>
      <c r="DU41" s="358"/>
      <c r="DV41" s="358"/>
      <c r="DW41" s="358"/>
      <c r="DX41" s="358"/>
      <c r="DY41" s="358"/>
      <c r="DZ41" s="358"/>
      <c r="EA41" s="358"/>
      <c r="EB41" s="358"/>
      <c r="EC41" s="358"/>
      <c r="ED41" s="358"/>
      <c r="EE41" s="358"/>
      <c r="EF41" s="358"/>
      <c r="EG41" s="358"/>
      <c r="EH41" s="358"/>
      <c r="EI41" s="358"/>
      <c r="EJ41" s="358"/>
      <c r="EK41" s="358"/>
      <c r="EL41" s="358"/>
      <c r="EM41" s="358"/>
      <c r="EN41" s="358"/>
      <c r="EO41" s="358"/>
      <c r="EP41" s="358"/>
      <c r="EQ41" s="358"/>
      <c r="ER41" s="358"/>
      <c r="ES41" s="358"/>
      <c r="ET41" s="358"/>
      <c r="EU41" s="358"/>
      <c r="EV41" s="358"/>
      <c r="EW41" s="358"/>
      <c r="EX41" s="358"/>
      <c r="EY41" s="358"/>
      <c r="EZ41" s="358"/>
      <c r="FA41" s="358"/>
      <c r="FB41" s="358"/>
      <c r="FC41" s="358"/>
      <c r="FD41" s="358"/>
      <c r="FE41" s="358"/>
      <c r="FF41" s="358"/>
      <c r="FG41" s="358"/>
      <c r="FH41" s="358"/>
      <c r="FI41" s="358"/>
      <c r="FJ41" s="358"/>
      <c r="FK41" s="358"/>
      <c r="FL41" s="358"/>
      <c r="FM41" s="358"/>
      <c r="FN41" s="358"/>
      <c r="FO41" s="358"/>
      <c r="FP41" s="358"/>
      <c r="FQ41" s="358"/>
      <c r="FR41" s="358"/>
      <c r="FS41" s="358"/>
      <c r="FT41" s="358"/>
      <c r="FU41" s="358"/>
      <c r="FV41" s="358"/>
      <c r="FW41" s="358"/>
      <c r="FX41" s="358"/>
      <c r="FY41" s="358"/>
      <c r="FZ41" s="358"/>
      <c r="GA41" s="358"/>
      <c r="GB41" s="358"/>
      <c r="GC41" s="358"/>
      <c r="GD41" s="358"/>
      <c r="GE41" s="358"/>
      <c r="GF41" s="358"/>
      <c r="GG41" s="358"/>
      <c r="GH41" s="358"/>
      <c r="GI41" s="358"/>
      <c r="GJ41" s="358"/>
      <c r="GK41" s="358"/>
      <c r="GL41" s="358"/>
      <c r="GM41" s="358"/>
      <c r="GN41" s="358"/>
      <c r="GO41" s="358"/>
      <c r="GP41" s="358"/>
      <c r="GQ41" s="358"/>
      <c r="GR41" s="358"/>
      <c r="GS41" s="358"/>
      <c r="GT41" s="358"/>
      <c r="GU41" s="358"/>
      <c r="GV41" s="358"/>
      <c r="GW41" s="358"/>
      <c r="GX41" s="358"/>
      <c r="GY41" s="358"/>
      <c r="GZ41" s="358"/>
      <c r="HA41" s="358"/>
      <c r="HB41" s="358"/>
      <c r="HC41" s="358"/>
      <c r="HD41" s="358"/>
      <c r="HE41" s="358"/>
      <c r="HF41" s="358"/>
      <c r="HG41" s="358"/>
      <c r="HH41" s="358"/>
      <c r="HI41" s="358"/>
      <c r="HJ41" s="358"/>
      <c r="HK41" s="358"/>
      <c r="HL41" s="358"/>
      <c r="HM41" s="358"/>
      <c r="HN41" s="358"/>
      <c r="HO41" s="358"/>
      <c r="HP41" s="358"/>
      <c r="HQ41" s="358"/>
      <c r="HR41" s="358"/>
      <c r="HS41" s="358"/>
      <c r="HT41" s="358"/>
      <c r="HU41" s="358"/>
      <c r="HV41" s="358"/>
      <c r="HW41" s="358"/>
      <c r="HX41" s="358"/>
      <c r="HY41" s="358"/>
      <c r="HZ41" s="358"/>
      <c r="IA41" s="358"/>
      <c r="IB41" s="358"/>
      <c r="IC41" s="358"/>
      <c r="ID41" s="358"/>
      <c r="IE41" s="358"/>
      <c r="IF41" s="358"/>
      <c r="IG41" s="358"/>
      <c r="IH41" s="358"/>
      <c r="II41" s="358"/>
      <c r="IJ41" s="358"/>
      <c r="IK41" s="358"/>
      <c r="IL41" s="358"/>
      <c r="IM41" s="358"/>
      <c r="IN41" s="358"/>
      <c r="IO41" s="358"/>
      <c r="IP41" s="358"/>
      <c r="IQ41" s="358"/>
    </row>
    <row r="42" customFormat="false" ht="13.5" hidden="true" customHeight="true" outlineLevel="0" collapsed="false">
      <c r="A42" s="108" t="n">
        <f aca="false">A40+1</f>
        <v>17</v>
      </c>
      <c r="B42" s="389" t="e">
        <f aca="false">#REF!+1</f>
        <v>#REF!</v>
      </c>
      <c r="C42" s="159" t="n">
        <f aca="false">IF(ISERROR(VLOOKUP(D42,[31]일용직명단!$A$3:$I$105,2,FALSE())),0,VLOOKUP(D42,[31]일용직명단!$A$3:$I$105,2,FALSE()))</f>
        <v>0</v>
      </c>
      <c r="D42" s="290"/>
      <c r="E42" s="311" t="n">
        <f aca="false">IF(ISERROR(VLOOKUP(D42,[31]일용직명단!$A$3:$K$1220,3,FALSE())),0,VLOOKUP(D42,[31]일용직명단!$A$3:$K$1220,3,FALSE()))</f>
        <v>0</v>
      </c>
      <c r="F42" s="112" t="n">
        <f aca="false">IF(ISERROR(VLOOKUP(D42,일용직명단!$A$3:$K$1246,4,FALSE())),0,VLOOKUP(D42,일용직명단!$A$3:$K$1246,4,FALSE()))</f>
        <v>0</v>
      </c>
      <c r="G42" s="408"/>
      <c r="H42" s="114"/>
      <c r="I42" s="409"/>
      <c r="J42" s="409"/>
      <c r="K42" s="408"/>
      <c r="L42" s="409"/>
      <c r="M42" s="408"/>
      <c r="N42" s="408"/>
      <c r="O42" s="114"/>
      <c r="P42" s="114"/>
      <c r="Q42" s="408"/>
      <c r="R42" s="114"/>
      <c r="S42" s="409"/>
      <c r="T42" s="114"/>
      <c r="U42" s="409"/>
      <c r="V42" s="119"/>
      <c r="W42" s="144" t="n">
        <f aca="false">SUM(G42:V43)</f>
        <v>0</v>
      </c>
      <c r="X42" s="121" t="n">
        <f aca="false">IF(ISERROR(VLOOKUP(D42,일용직명단!$A$3:$K$1246,8,FALSE())),0,VLOOKUP(D42,일용직명단!$A$3:$K$1246,8,FALSE()))</f>
        <v>0</v>
      </c>
      <c r="Y42" s="122" t="n">
        <f aca="false">IFERROR(IF(AH42&gt;=65,0,ROUNDDOWN(X43*$AA$4,-1)),0)</f>
        <v>0</v>
      </c>
      <c r="Z42" s="122" t="n">
        <f aca="false">IF(AF42&gt;=8,ROUNDDOWN(X43*$N$4,-1),0)</f>
        <v>0</v>
      </c>
      <c r="AA42" s="123" t="n">
        <f aca="false">IFERROR(IF(AND(COUNT(G42:V43)&gt;=8,$AH42&lt;60,X43&lt;=5530000),ROUNDDOWN(ROUNDDOWN(X43,-3)*4.5%,-1),IF(AND(COUNT(G42:V43)&gt;=8,AH42&lt;60,X43&gt;5530000),248850,0)),0)</f>
        <v>0</v>
      </c>
      <c r="AB42" s="145" t="n">
        <f aca="false">+Y42+Z42+Y43+Z43+AA42+AA43</f>
        <v>0</v>
      </c>
      <c r="AC42" s="146" t="n">
        <f aca="false">X43-AB42</f>
        <v>0</v>
      </c>
      <c r="AD42" s="411" t="n">
        <f aca="false">IF(ISERROR(VLOOKUP(D42,[31]일용직명단!$A$3:$I$1200,5,FALSE())),0,VLOOKUP(D42,[31]일용직명단!$A$3:$I$1200,5,FALSE()))</f>
        <v>0</v>
      </c>
      <c r="AE42" s="412" t="n">
        <f aca="false">IF(ISERROR(VLOOKUP(D42,[31]일용직명단!$A$3:$I$1200,6,FALSE())),0,VLOOKUP(D42,[31]일용직명단!$A$3:$I$1200,6,FALSE()))</f>
        <v>0</v>
      </c>
      <c r="AF42" s="128" t="n">
        <f aca="false">COUNT(G42:V43)</f>
        <v>0</v>
      </c>
      <c r="AG42" s="129" t="str">
        <f aca="false">IF(OR(MID(E42,8,1)="1",MID(E42,8,1)="2"),19&amp;LEFT(E42,2),20&amp;LEFT(E42,2))&amp;"-"&amp;MID(E42,3,2)&amp;"-"&amp;MID(E42,5,2)</f>
        <v>200--</v>
      </c>
      <c r="AH42" s="129" t="e">
        <f aca="true">INT((TODAY()-AG42)/365.25)</f>
        <v>#VALUE!</v>
      </c>
      <c r="AI42" s="130" t="n">
        <f aca="false">ROUNDDOWN(SUM(AJ42:AY43),-1)</f>
        <v>0</v>
      </c>
      <c r="AJ42" s="130" t="n">
        <f aca="false">IF($X42*G42&gt;150000,($X42*G42-150000)*6%*45%,0)</f>
        <v>0</v>
      </c>
      <c r="AK42" s="130" t="n">
        <f aca="false">IF($X42*H42&gt;150000,($X42*H42-150000)*6%*45%,0)</f>
        <v>0</v>
      </c>
      <c r="AL42" s="130" t="n">
        <f aca="false">IF($X42*I42&gt;150000,($X42*I42-150000)*6%*45%,0)</f>
        <v>0</v>
      </c>
      <c r="AM42" s="130" t="n">
        <f aca="false">IF($X42*J42&gt;150000,($X42*J42-150000)*6%*45%,0)</f>
        <v>0</v>
      </c>
      <c r="AN42" s="130" t="n">
        <f aca="false">IF($X42*K42&gt;150000,($X42*K42-150000)*6%*45%,0)</f>
        <v>0</v>
      </c>
      <c r="AO42" s="130" t="n">
        <f aca="false">IF($X42*L42&gt;150000,($X42*L42-150000)*6%*45%,0)</f>
        <v>0</v>
      </c>
      <c r="AP42" s="130" t="n">
        <f aca="false">IF($X42*M42&gt;150000,($X42*M42-150000)*6%*45%,0)</f>
        <v>0</v>
      </c>
      <c r="AQ42" s="130" t="n">
        <f aca="false">IF($X42*N42&gt;150000,($X42*N42-150000)*6%*45%,0)</f>
        <v>0</v>
      </c>
      <c r="AR42" s="130" t="n">
        <f aca="false">IF($X42*O42&gt;150000,($X42*O42-150000)*6%*45%,0)</f>
        <v>0</v>
      </c>
      <c r="AS42" s="130" t="n">
        <f aca="false">IF($X42*P42&gt;150000,($X42*P42-150000)*6%*45%,0)</f>
        <v>0</v>
      </c>
      <c r="AT42" s="130" t="n">
        <f aca="false">IF($X42*Q42&gt;150000,($X42*Q42-150000)*6%*45%,0)</f>
        <v>0</v>
      </c>
      <c r="AU42" s="130" t="n">
        <f aca="false">IF($X42*R42&gt;150000,($X42*R42-150000)*6%*45%,0)</f>
        <v>0</v>
      </c>
      <c r="AV42" s="130" t="n">
        <f aca="false">IF($X42*S42&gt;150000,($X42*S42-150000)*6%*45%,0)</f>
        <v>0</v>
      </c>
      <c r="AW42" s="130" t="n">
        <f aca="false">IF($X42*T42&gt;150000,($X42*T42-150000)*6%*45%,0)</f>
        <v>0</v>
      </c>
      <c r="AX42" s="130" t="n">
        <f aca="false">IF($X42*U42&gt;150000,($X42*U42-150000)*6%*45%,0)</f>
        <v>0</v>
      </c>
      <c r="AY42" s="130"/>
      <c r="AZ42" s="131" t="n">
        <f aca="false">IF(ISERROR(VLOOKUP(D42,[32]일용직명단!$A$3:$M$1151,11,FALSE())),0,VLOOKUP(D42,[32]일용직명단!$A$3:$M$1151,11,FALSE()))</f>
        <v>0</v>
      </c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</row>
    <row r="43" customFormat="false" ht="13.5" hidden="true" customHeight="true" outlineLevel="0" collapsed="false">
      <c r="A43" s="108"/>
      <c r="B43" s="389"/>
      <c r="C43" s="159"/>
      <c r="D43" s="290"/>
      <c r="E43" s="311"/>
      <c r="F43" s="112" t="n">
        <f aca="false">IF(ISERROR(VLOOKUP(D42,일용직명단!$A$3:$K$1246,9,FALSE())),0,VLOOKUP(D42,일용직명단!$A$3:$K$1246,9,FALSE()))</f>
        <v>0</v>
      </c>
      <c r="G43" s="405"/>
      <c r="H43" s="406"/>
      <c r="I43" s="405"/>
      <c r="J43" s="136"/>
      <c r="K43" s="407"/>
      <c r="L43" s="136"/>
      <c r="M43" s="408"/>
      <c r="N43" s="408"/>
      <c r="O43" s="114"/>
      <c r="P43" s="409"/>
      <c r="Q43" s="114"/>
      <c r="R43" s="114"/>
      <c r="S43" s="408"/>
      <c r="T43" s="408"/>
      <c r="U43" s="408"/>
      <c r="V43" s="119"/>
      <c r="W43" s="144"/>
      <c r="X43" s="138" t="n">
        <f aca="false">X42*W42</f>
        <v>0</v>
      </c>
      <c r="Y43" s="122" t="n">
        <f aca="false">IF(AI42&lt;1000,0,AI42)</f>
        <v>0</v>
      </c>
      <c r="Z43" s="122" t="n">
        <f aca="false">ROUNDDOWN(Y43*10%,-1)</f>
        <v>0</v>
      </c>
      <c r="AA43" s="123" t="n">
        <f aca="false">IF(AF42&gt;=8,ROUNDDOWN(Z42*$R$4,-1),0)</f>
        <v>0</v>
      </c>
      <c r="AB43" s="145"/>
      <c r="AC43" s="146"/>
      <c r="AD43" s="412" t="n">
        <f aca="false">IF(ISERROR(VLOOKUP(D42,[31]일용직명단!$A$3:$I$1200,7,FALSE())),0,VLOOKUP(D42,[31]일용직명단!$A$3:$I$1200,7,FALSE()))</f>
        <v>0</v>
      </c>
      <c r="AE43" s="412"/>
      <c r="AF43" s="128"/>
      <c r="AG43" s="129"/>
      <c r="AH43" s="129"/>
      <c r="AI43" s="130"/>
      <c r="AJ43" s="130" t="n">
        <f aca="false">IF($X42*G43&gt;150000,($X42*G43-150000)*6%*45%,0)</f>
        <v>0</v>
      </c>
      <c r="AK43" s="130" t="n">
        <f aca="false">IF($X42*H43&gt;150000,($X42*H43-150000)*6%*45%,0)</f>
        <v>0</v>
      </c>
      <c r="AL43" s="130" t="n">
        <f aca="false">IF($X42*I43&gt;150000,($X42*I43-150000)*6%*45%,0)</f>
        <v>0</v>
      </c>
      <c r="AM43" s="130" t="n">
        <f aca="false">IF($X42*J43&gt;150000,($X42*J43-150000)*6%*45%,0)</f>
        <v>0</v>
      </c>
      <c r="AN43" s="130" t="n">
        <f aca="false">IF($X42*K43&gt;150000,($X42*K43-150000)*6%*45%,0)</f>
        <v>0</v>
      </c>
      <c r="AO43" s="130" t="n">
        <f aca="false">IF($X42*L43&gt;150000,($X42*L43-150000)*6%*45%,0)</f>
        <v>0</v>
      </c>
      <c r="AP43" s="130" t="n">
        <f aca="false">IF($X42*M43&gt;150000,($X42*M43-150000)*6%*45%,0)</f>
        <v>0</v>
      </c>
      <c r="AQ43" s="130" t="n">
        <f aca="false">IF($X42*N43&gt;150000,($X42*N43-150000)*6%*45%,0)</f>
        <v>0</v>
      </c>
      <c r="AR43" s="130" t="n">
        <f aca="false">IF($X42*O43&gt;150000,($X42*O43-150000)*6%*45%,0)</f>
        <v>0</v>
      </c>
      <c r="AS43" s="130" t="n">
        <f aca="false">IF($X42*P43&gt;150000,($X42*P43-150000)*6%*45%,0)</f>
        <v>0</v>
      </c>
      <c r="AT43" s="130" t="n">
        <f aca="false">IF($X42*Q43&gt;150000,($X42*Q43-150000)*6%*45%,0)</f>
        <v>0</v>
      </c>
      <c r="AU43" s="130" t="n">
        <f aca="false">IF($X42*R43&gt;150000,($X42*R43-150000)*6%*45%,0)</f>
        <v>0</v>
      </c>
      <c r="AV43" s="130" t="n">
        <f aca="false">IF($X42*S43&gt;150000,($X42*S43-150000)*6%*45%,0)</f>
        <v>0</v>
      </c>
      <c r="AW43" s="130" t="n">
        <f aca="false">IF($X42*T43&gt;150000,($X42*T43-150000)*6%*45%,0)</f>
        <v>0</v>
      </c>
      <c r="AX43" s="130" t="n">
        <f aca="false">IF($X42*U43&gt;150000,($X42*U43-150000)*6%*45%,0)</f>
        <v>0</v>
      </c>
      <c r="AY43" s="130" t="n">
        <f aca="false">IF($X42*V43&gt;150000,($X42*V43-150000)*6%*45%,0)</f>
        <v>0</v>
      </c>
      <c r="AZ43" s="13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</row>
    <row r="44" customFormat="false" ht="13.5" hidden="true" customHeight="true" outlineLevel="0" collapsed="false">
      <c r="A44" s="108" t="n">
        <f aca="false">A42+1</f>
        <v>18</v>
      </c>
      <c r="B44" s="404"/>
      <c r="C44" s="403" t="n">
        <f aca="false">IF(ISERROR(VLOOKUP(D44,[31]일용직명단!$A$3:$I$105,2,FALSE())),0,VLOOKUP(D44,[31]일용직명단!$A$3:$I$105,2,FALSE()))</f>
        <v>0</v>
      </c>
      <c r="D44" s="110"/>
      <c r="E44" s="311" t="n">
        <f aca="false">IF(ISERROR(VLOOKUP(D44,[31]일용직명단!$A$3:$K$1220,3,FALSE())),0,VLOOKUP(D44,[31]일용직명단!$A$3:$K$1220,3,FALSE()))</f>
        <v>0</v>
      </c>
      <c r="F44" s="112" t="n">
        <f aca="false">IF(ISERROR(VLOOKUP(D44,일용직명단!$A$3:$K$1246,4,FALSE())),0,VLOOKUP(D44,일용직명단!$A$3:$K$1246,4,FALSE()))</f>
        <v>0</v>
      </c>
      <c r="G44" s="408"/>
      <c r="H44" s="114"/>
      <c r="I44" s="409"/>
      <c r="J44" s="409"/>
      <c r="K44" s="408"/>
      <c r="L44" s="409"/>
      <c r="M44" s="408"/>
      <c r="N44" s="408"/>
      <c r="O44" s="114"/>
      <c r="P44" s="114"/>
      <c r="Q44" s="408"/>
      <c r="R44" s="114"/>
      <c r="S44" s="409"/>
      <c r="T44" s="114"/>
      <c r="U44" s="409"/>
      <c r="V44" s="119"/>
      <c r="W44" s="144" t="n">
        <f aca="false">SUM(G44:V45)</f>
        <v>0</v>
      </c>
      <c r="X44" s="121" t="n">
        <f aca="false">IF(ISERROR(VLOOKUP(D44,일용직명단!$A$3:$K$1246,8,FALSE())),0,VLOOKUP(D44,일용직명단!$A$3:$K$1246,8,FALSE()))</f>
        <v>0</v>
      </c>
      <c r="Y44" s="122" t="n">
        <f aca="false">IFERROR(IF(AH44&gt;=65,0,ROUNDDOWN(X45*$AA$4,-1)),0)</f>
        <v>0</v>
      </c>
      <c r="Z44" s="122" t="n">
        <f aca="false">IF(AF44&gt;=8,ROUNDDOWN(X45*$N$4,-1),0)</f>
        <v>0</v>
      </c>
      <c r="AA44" s="123" t="n">
        <f aca="false">IFERROR(IF(AND(COUNT(G44:V45)&gt;=8,$AH44&lt;60,X45&lt;=5530000),ROUNDDOWN(ROUNDDOWN(X45,-3)*4.5%,-1),IF(AND(COUNT(G44:V45)&gt;=8,AH44&lt;60,X45&gt;5530000),248850,0)),0)</f>
        <v>0</v>
      </c>
      <c r="AB44" s="145" t="n">
        <f aca="false">+Y44+Z44+Y45+Z45+AA44+AA45</f>
        <v>0</v>
      </c>
      <c r="AC44" s="146" t="n">
        <f aca="false">X45-AB44</f>
        <v>0</v>
      </c>
      <c r="AD44" s="411" t="n">
        <f aca="false">IF(ISERROR(VLOOKUP(D44,[31]일용직명단!$A$3:$I$1200,5,FALSE())),0,VLOOKUP(D44,[31]일용직명단!$A$3:$I$1200,5,FALSE()))</f>
        <v>0</v>
      </c>
      <c r="AE44" s="412" t="n">
        <f aca="false">IF(ISERROR(VLOOKUP(D44,[31]일용직명단!$A$3:$I$1200,6,FALSE())),0,VLOOKUP(D44,[31]일용직명단!$A$3:$I$1200,6,FALSE()))</f>
        <v>0</v>
      </c>
      <c r="AF44" s="128" t="n">
        <f aca="false">COUNT(G44:V45)</f>
        <v>0</v>
      </c>
      <c r="AG44" s="129" t="str">
        <f aca="false">IF(OR(MID(E44,8,1)="1",MID(E44,8,1)="2"),19&amp;LEFT(E44,2),20&amp;LEFT(E44,2))&amp;"-"&amp;MID(E44,3,2)&amp;"-"&amp;MID(E44,5,2)</f>
        <v>200--</v>
      </c>
      <c r="AH44" s="129" t="e">
        <f aca="true">INT((TODAY()-AG44)/365.25)</f>
        <v>#VALUE!</v>
      </c>
      <c r="AI44" s="130" t="n">
        <f aca="false">ROUNDDOWN(SUM(AJ44:AY45),-1)</f>
        <v>0</v>
      </c>
      <c r="AJ44" s="130" t="n">
        <f aca="false">IF($X44*G44&gt;150000,($X44*G44-150000)*6%*45%,0)</f>
        <v>0</v>
      </c>
      <c r="AK44" s="130" t="n">
        <f aca="false">IF($X44*H44&gt;150000,($X44*H44-150000)*6%*45%,0)</f>
        <v>0</v>
      </c>
      <c r="AL44" s="130" t="n">
        <f aca="false">IF($X44*I44&gt;150000,($X44*I44-150000)*6%*45%,0)</f>
        <v>0</v>
      </c>
      <c r="AM44" s="130" t="n">
        <f aca="false">IF($X44*J44&gt;150000,($X44*J44-150000)*6%*45%,0)</f>
        <v>0</v>
      </c>
      <c r="AN44" s="130" t="n">
        <f aca="false">IF($X44*K44&gt;150000,($X44*K44-150000)*6%*45%,0)</f>
        <v>0</v>
      </c>
      <c r="AO44" s="130" t="n">
        <f aca="false">IF($X44*L44&gt;150000,($X44*L44-150000)*6%*45%,0)</f>
        <v>0</v>
      </c>
      <c r="AP44" s="130" t="n">
        <f aca="false">IF($X44*M44&gt;150000,($X44*M44-150000)*6%*45%,0)</f>
        <v>0</v>
      </c>
      <c r="AQ44" s="130" t="n">
        <f aca="false">IF($X44*N44&gt;150000,($X44*N44-150000)*6%*45%,0)</f>
        <v>0</v>
      </c>
      <c r="AR44" s="130" t="n">
        <f aca="false">IF($X44*O44&gt;150000,($X44*O44-150000)*6%*45%,0)</f>
        <v>0</v>
      </c>
      <c r="AS44" s="130" t="n">
        <f aca="false">IF($X44*P44&gt;150000,($X44*P44-150000)*6%*45%,0)</f>
        <v>0</v>
      </c>
      <c r="AT44" s="130" t="n">
        <f aca="false">IF($X44*Q44&gt;150000,($X44*Q44-150000)*6%*45%,0)</f>
        <v>0</v>
      </c>
      <c r="AU44" s="130" t="n">
        <f aca="false">IF($X44*R44&gt;150000,($X44*R44-150000)*6%*45%,0)</f>
        <v>0</v>
      </c>
      <c r="AV44" s="130" t="n">
        <f aca="false">IF($X44*S44&gt;150000,($X44*S44-150000)*6%*45%,0)</f>
        <v>0</v>
      </c>
      <c r="AW44" s="130" t="n">
        <f aca="false">IF($X44*T44&gt;150000,($X44*T44-150000)*6%*45%,0)</f>
        <v>0</v>
      </c>
      <c r="AX44" s="130" t="n">
        <f aca="false">IF($X44*U44&gt;150000,($X44*U44-150000)*6%*45%,0)</f>
        <v>0</v>
      </c>
      <c r="AY44" s="130"/>
      <c r="AZ44" s="131" t="n">
        <f aca="false">IF(ISERROR(VLOOKUP(D44,[32]일용직명단!$A$3:$M$1151,11,FALSE())),0,VLOOKUP(D44,[32]일용직명단!$A$3:$M$1151,11,FALSE()))</f>
        <v>0</v>
      </c>
      <c r="BA44" s="11"/>
      <c r="BB44" s="167"/>
      <c r="BC44" s="167"/>
      <c r="BD44" s="167"/>
      <c r="BE44" s="167"/>
      <c r="BF44" s="167"/>
      <c r="BG44" s="167"/>
      <c r="BH44" s="167"/>
      <c r="BI44" s="167"/>
      <c r="BJ44" s="167"/>
      <c r="BK44" s="167"/>
      <c r="BL44" s="167"/>
      <c r="BM44" s="167"/>
      <c r="BN44" s="167"/>
      <c r="BO44" s="167"/>
      <c r="BP44" s="167"/>
      <c r="BQ44" s="167"/>
      <c r="BR44" s="167"/>
      <c r="BS44" s="167"/>
      <c r="BT44" s="167"/>
      <c r="BU44" s="167"/>
      <c r="BV44" s="167"/>
      <c r="BW44" s="167"/>
      <c r="BX44" s="167"/>
      <c r="BY44" s="167"/>
      <c r="BZ44" s="167"/>
      <c r="CA44" s="167"/>
      <c r="CB44" s="167"/>
      <c r="CC44" s="167"/>
      <c r="CD44" s="167"/>
      <c r="CE44" s="167"/>
      <c r="CF44" s="167"/>
      <c r="CG44" s="167"/>
      <c r="CH44" s="167"/>
      <c r="CI44" s="167"/>
      <c r="CJ44" s="167"/>
      <c r="CK44" s="167"/>
      <c r="CL44" s="167"/>
      <c r="CM44" s="167"/>
      <c r="CN44" s="167"/>
      <c r="CO44" s="167"/>
      <c r="CP44" s="167"/>
      <c r="CQ44" s="167"/>
      <c r="CR44" s="167"/>
      <c r="CS44" s="167"/>
      <c r="CT44" s="167"/>
      <c r="CU44" s="167"/>
      <c r="CV44" s="167"/>
      <c r="CW44" s="167"/>
      <c r="CX44" s="167"/>
      <c r="CY44" s="167"/>
      <c r="CZ44" s="167"/>
      <c r="DA44" s="167"/>
      <c r="DB44" s="167"/>
      <c r="DC44" s="167"/>
      <c r="DD44" s="167"/>
      <c r="DE44" s="167"/>
      <c r="DF44" s="167"/>
      <c r="DG44" s="167"/>
      <c r="DH44" s="167"/>
      <c r="DI44" s="167"/>
      <c r="DJ44" s="167"/>
      <c r="DK44" s="167"/>
      <c r="DL44" s="167"/>
      <c r="DM44" s="167"/>
      <c r="DN44" s="167"/>
      <c r="DO44" s="167"/>
      <c r="DP44" s="167"/>
      <c r="DQ44" s="167"/>
      <c r="DR44" s="167"/>
      <c r="DS44" s="167"/>
      <c r="DT44" s="167"/>
      <c r="DU44" s="167"/>
      <c r="DV44" s="167"/>
      <c r="DW44" s="167"/>
      <c r="DX44" s="167"/>
      <c r="DY44" s="167"/>
      <c r="DZ44" s="167"/>
      <c r="EA44" s="167"/>
      <c r="EB44" s="167"/>
      <c r="EC44" s="167"/>
      <c r="ED44" s="167"/>
      <c r="EE44" s="167"/>
      <c r="EF44" s="167"/>
      <c r="EG44" s="167"/>
      <c r="EH44" s="167"/>
      <c r="EI44" s="167"/>
      <c r="EJ44" s="167"/>
      <c r="EK44" s="167"/>
      <c r="EL44" s="167"/>
      <c r="EM44" s="167"/>
      <c r="EN44" s="167"/>
      <c r="EO44" s="167"/>
      <c r="EP44" s="167"/>
      <c r="EQ44" s="167"/>
      <c r="ER44" s="167"/>
      <c r="ES44" s="167"/>
      <c r="ET44" s="167"/>
      <c r="EU44" s="167"/>
      <c r="EV44" s="167"/>
      <c r="EW44" s="167"/>
      <c r="EX44" s="167"/>
      <c r="EY44" s="167"/>
      <c r="EZ44" s="167"/>
      <c r="FA44" s="167"/>
      <c r="FB44" s="167"/>
      <c r="FC44" s="167"/>
      <c r="FD44" s="167"/>
      <c r="FE44" s="167"/>
      <c r="FF44" s="167"/>
      <c r="FG44" s="167"/>
      <c r="FH44" s="167"/>
      <c r="FI44" s="167"/>
      <c r="FJ44" s="167"/>
      <c r="FK44" s="167"/>
      <c r="FL44" s="167"/>
      <c r="FM44" s="167"/>
      <c r="FN44" s="167"/>
      <c r="FO44" s="167"/>
      <c r="FP44" s="167"/>
      <c r="FQ44" s="167"/>
      <c r="FR44" s="167"/>
      <c r="FS44" s="167"/>
      <c r="FT44" s="167"/>
      <c r="FU44" s="167"/>
      <c r="FV44" s="167"/>
      <c r="FW44" s="167"/>
      <c r="FX44" s="167"/>
      <c r="FY44" s="167"/>
      <c r="FZ44" s="167"/>
      <c r="GA44" s="167"/>
      <c r="GB44" s="167"/>
      <c r="GC44" s="167"/>
      <c r="GD44" s="167"/>
      <c r="GE44" s="167"/>
      <c r="GF44" s="167"/>
      <c r="GG44" s="167"/>
      <c r="GH44" s="167"/>
      <c r="GI44" s="167"/>
      <c r="GJ44" s="167"/>
      <c r="GK44" s="167"/>
      <c r="GL44" s="167"/>
      <c r="GM44" s="167"/>
      <c r="GN44" s="167"/>
      <c r="GO44" s="167"/>
      <c r="GP44" s="167"/>
      <c r="GQ44" s="167"/>
      <c r="GR44" s="167"/>
      <c r="GS44" s="167"/>
      <c r="GT44" s="167"/>
      <c r="GU44" s="167"/>
      <c r="GV44" s="167"/>
      <c r="GW44" s="167"/>
      <c r="GX44" s="167"/>
      <c r="GY44" s="167"/>
      <c r="GZ44" s="167"/>
      <c r="HA44" s="167"/>
      <c r="HB44" s="167"/>
      <c r="HC44" s="167"/>
      <c r="HD44" s="167"/>
      <c r="HE44" s="167"/>
      <c r="HF44" s="167"/>
      <c r="HG44" s="167"/>
      <c r="HH44" s="167"/>
      <c r="HI44" s="167"/>
      <c r="HJ44" s="167"/>
      <c r="HK44" s="167"/>
      <c r="HL44" s="167"/>
      <c r="HM44" s="167"/>
      <c r="HN44" s="167"/>
      <c r="HO44" s="167"/>
      <c r="HP44" s="167"/>
      <c r="HQ44" s="167"/>
      <c r="HR44" s="167"/>
      <c r="HS44" s="167"/>
      <c r="HT44" s="167"/>
      <c r="HU44" s="167"/>
      <c r="HV44" s="167"/>
      <c r="HW44" s="167"/>
      <c r="HX44" s="167"/>
      <c r="HY44" s="167"/>
      <c r="HZ44" s="167"/>
      <c r="IA44" s="167"/>
      <c r="IB44" s="167"/>
      <c r="IC44" s="167"/>
      <c r="ID44" s="167"/>
      <c r="IE44" s="167"/>
      <c r="IF44" s="167"/>
      <c r="IG44" s="167"/>
      <c r="IH44" s="167"/>
      <c r="II44" s="167"/>
      <c r="IJ44" s="167"/>
      <c r="IK44" s="167"/>
      <c r="IL44" s="167"/>
      <c r="IM44" s="167"/>
      <c r="IN44" s="167"/>
      <c r="IO44" s="167"/>
      <c r="IP44" s="167"/>
      <c r="IQ44" s="167"/>
      <c r="IR44" s="167"/>
      <c r="IS44" s="167"/>
      <c r="IT44" s="167"/>
      <c r="IU44" s="167"/>
      <c r="IV44" s="167"/>
      <c r="IW44" s="167"/>
    </row>
    <row r="45" customFormat="false" ht="13.5" hidden="true" customHeight="true" outlineLevel="0" collapsed="false">
      <c r="A45" s="108"/>
      <c r="B45" s="404"/>
      <c r="C45" s="403"/>
      <c r="D45" s="110"/>
      <c r="E45" s="311"/>
      <c r="F45" s="112" t="n">
        <f aca="false">IF(ISERROR(VLOOKUP(D44,일용직명단!$A$3:$K$1246,9,FALSE())),0,VLOOKUP(D44,일용직명단!$A$3:$K$1246,9,FALSE()))</f>
        <v>0</v>
      </c>
      <c r="G45" s="405"/>
      <c r="H45" s="406"/>
      <c r="I45" s="405"/>
      <c r="J45" s="136"/>
      <c r="K45" s="407"/>
      <c r="L45" s="136"/>
      <c r="M45" s="408"/>
      <c r="N45" s="408"/>
      <c r="O45" s="114"/>
      <c r="P45" s="409"/>
      <c r="Q45" s="114"/>
      <c r="R45" s="114"/>
      <c r="S45" s="408"/>
      <c r="T45" s="408"/>
      <c r="U45" s="408"/>
      <c r="V45" s="119"/>
      <c r="W45" s="144"/>
      <c r="X45" s="138" t="n">
        <f aca="false">X44*W44</f>
        <v>0</v>
      </c>
      <c r="Y45" s="122" t="n">
        <f aca="false">IF(AI44&lt;1000,0,AI44)</f>
        <v>0</v>
      </c>
      <c r="Z45" s="122" t="n">
        <f aca="false">ROUNDDOWN(Y45*10%,-1)</f>
        <v>0</v>
      </c>
      <c r="AA45" s="123" t="n">
        <f aca="false">IF(AF44&gt;=8,ROUNDDOWN(Z44*$R$4,-1),0)</f>
        <v>0</v>
      </c>
      <c r="AB45" s="145"/>
      <c r="AC45" s="146"/>
      <c r="AD45" s="412" t="n">
        <f aca="false">IF(ISERROR(VLOOKUP(D44,[31]일용직명단!$A$3:$I$1200,7,FALSE())),0,VLOOKUP(D44,[31]일용직명단!$A$3:$I$1200,7,FALSE()))</f>
        <v>0</v>
      </c>
      <c r="AE45" s="412"/>
      <c r="AF45" s="128"/>
      <c r="AG45" s="129"/>
      <c r="AH45" s="129"/>
      <c r="AI45" s="130"/>
      <c r="AJ45" s="130" t="n">
        <f aca="false">IF($X44*G45&gt;150000,($X44*G45-150000)*6%*45%,0)</f>
        <v>0</v>
      </c>
      <c r="AK45" s="130" t="n">
        <f aca="false">IF($X44*H45&gt;150000,($X44*H45-150000)*6%*45%,0)</f>
        <v>0</v>
      </c>
      <c r="AL45" s="130" t="n">
        <f aca="false">IF($X44*I45&gt;150000,($X44*I45-150000)*6%*45%,0)</f>
        <v>0</v>
      </c>
      <c r="AM45" s="130" t="n">
        <f aca="false">IF($X44*J45&gt;150000,($X44*J45-150000)*6%*45%,0)</f>
        <v>0</v>
      </c>
      <c r="AN45" s="130" t="n">
        <f aca="false">IF($X44*K45&gt;150000,($X44*K45-150000)*6%*45%,0)</f>
        <v>0</v>
      </c>
      <c r="AO45" s="130" t="n">
        <f aca="false">IF($X44*L45&gt;150000,($X44*L45-150000)*6%*45%,0)</f>
        <v>0</v>
      </c>
      <c r="AP45" s="130" t="n">
        <f aca="false">IF($X44*M45&gt;150000,($X44*M45-150000)*6%*45%,0)</f>
        <v>0</v>
      </c>
      <c r="AQ45" s="130" t="n">
        <f aca="false">IF($X44*N45&gt;150000,($X44*N45-150000)*6%*45%,0)</f>
        <v>0</v>
      </c>
      <c r="AR45" s="130" t="n">
        <f aca="false">IF($X44*O45&gt;150000,($X44*O45-150000)*6%*45%,0)</f>
        <v>0</v>
      </c>
      <c r="AS45" s="130" t="n">
        <f aca="false">IF($X44*P45&gt;150000,($X44*P45-150000)*6%*45%,0)</f>
        <v>0</v>
      </c>
      <c r="AT45" s="130" t="n">
        <f aca="false">IF($X44*Q45&gt;150000,($X44*Q45-150000)*6%*45%,0)</f>
        <v>0</v>
      </c>
      <c r="AU45" s="130" t="n">
        <f aca="false">IF($X44*R45&gt;150000,($X44*R45-150000)*6%*45%,0)</f>
        <v>0</v>
      </c>
      <c r="AV45" s="130" t="n">
        <f aca="false">IF($X44*S45&gt;150000,($X44*S45-150000)*6%*45%,0)</f>
        <v>0</v>
      </c>
      <c r="AW45" s="130" t="n">
        <f aca="false">IF($X44*T45&gt;150000,($X44*T45-150000)*6%*45%,0)</f>
        <v>0</v>
      </c>
      <c r="AX45" s="130" t="n">
        <f aca="false">IF($X44*U45&gt;150000,($X44*U45-150000)*6%*45%,0)</f>
        <v>0</v>
      </c>
      <c r="AY45" s="130" t="n">
        <f aca="false">IF($X44*V45&gt;150000,($X44*V45-150000)*6%*45%,0)</f>
        <v>0</v>
      </c>
      <c r="AZ45" s="131"/>
      <c r="BA45" s="11"/>
      <c r="BB45" s="167"/>
      <c r="BC45" s="167"/>
      <c r="BD45" s="167"/>
      <c r="BE45" s="167"/>
      <c r="BF45" s="167"/>
      <c r="BG45" s="167"/>
      <c r="BH45" s="167"/>
      <c r="BI45" s="167"/>
      <c r="BJ45" s="167"/>
      <c r="BK45" s="167"/>
      <c r="BL45" s="167"/>
      <c r="BM45" s="167"/>
      <c r="BN45" s="167"/>
      <c r="BO45" s="167"/>
      <c r="BP45" s="167"/>
      <c r="BQ45" s="167"/>
      <c r="BR45" s="167"/>
      <c r="BS45" s="167"/>
      <c r="BT45" s="167"/>
      <c r="BU45" s="167"/>
      <c r="BV45" s="167"/>
      <c r="BW45" s="167"/>
      <c r="BX45" s="167"/>
      <c r="BY45" s="167"/>
      <c r="BZ45" s="167"/>
      <c r="CA45" s="167"/>
      <c r="CB45" s="167"/>
      <c r="CC45" s="167"/>
      <c r="CD45" s="167"/>
      <c r="CE45" s="167"/>
      <c r="CF45" s="167"/>
      <c r="CG45" s="167"/>
      <c r="CH45" s="167"/>
      <c r="CI45" s="167"/>
      <c r="CJ45" s="167"/>
      <c r="CK45" s="167"/>
      <c r="CL45" s="167"/>
      <c r="CM45" s="167"/>
      <c r="CN45" s="167"/>
      <c r="CO45" s="167"/>
      <c r="CP45" s="167"/>
      <c r="CQ45" s="167"/>
      <c r="CR45" s="167"/>
      <c r="CS45" s="167"/>
      <c r="CT45" s="167"/>
      <c r="CU45" s="167"/>
      <c r="CV45" s="167"/>
      <c r="CW45" s="167"/>
      <c r="CX45" s="167"/>
      <c r="CY45" s="167"/>
      <c r="CZ45" s="167"/>
      <c r="DA45" s="167"/>
      <c r="DB45" s="167"/>
      <c r="DC45" s="167"/>
      <c r="DD45" s="167"/>
      <c r="DE45" s="167"/>
      <c r="DF45" s="167"/>
      <c r="DG45" s="167"/>
      <c r="DH45" s="167"/>
      <c r="DI45" s="167"/>
      <c r="DJ45" s="167"/>
      <c r="DK45" s="167"/>
      <c r="DL45" s="167"/>
      <c r="DM45" s="167"/>
      <c r="DN45" s="167"/>
      <c r="DO45" s="167"/>
      <c r="DP45" s="167"/>
      <c r="DQ45" s="167"/>
      <c r="DR45" s="167"/>
      <c r="DS45" s="167"/>
      <c r="DT45" s="167"/>
      <c r="DU45" s="167"/>
      <c r="DV45" s="167"/>
      <c r="DW45" s="167"/>
      <c r="DX45" s="167"/>
      <c r="DY45" s="167"/>
      <c r="DZ45" s="167"/>
      <c r="EA45" s="167"/>
      <c r="EB45" s="167"/>
      <c r="EC45" s="167"/>
      <c r="ED45" s="167"/>
      <c r="EE45" s="167"/>
      <c r="EF45" s="167"/>
      <c r="EG45" s="167"/>
      <c r="EH45" s="167"/>
      <c r="EI45" s="167"/>
      <c r="EJ45" s="167"/>
      <c r="EK45" s="167"/>
      <c r="EL45" s="167"/>
      <c r="EM45" s="167"/>
      <c r="EN45" s="167"/>
      <c r="EO45" s="167"/>
      <c r="EP45" s="167"/>
      <c r="EQ45" s="167"/>
      <c r="ER45" s="167"/>
      <c r="ES45" s="167"/>
      <c r="ET45" s="167"/>
      <c r="EU45" s="167"/>
      <c r="EV45" s="167"/>
      <c r="EW45" s="167"/>
      <c r="EX45" s="167"/>
      <c r="EY45" s="167"/>
      <c r="EZ45" s="167"/>
      <c r="FA45" s="167"/>
      <c r="FB45" s="167"/>
      <c r="FC45" s="167"/>
      <c r="FD45" s="167"/>
      <c r="FE45" s="167"/>
      <c r="FF45" s="167"/>
      <c r="FG45" s="167"/>
      <c r="FH45" s="167"/>
      <c r="FI45" s="167"/>
      <c r="FJ45" s="167"/>
      <c r="FK45" s="167"/>
      <c r="FL45" s="167"/>
      <c r="FM45" s="167"/>
      <c r="FN45" s="167"/>
      <c r="FO45" s="167"/>
      <c r="FP45" s="167"/>
      <c r="FQ45" s="167"/>
      <c r="FR45" s="167"/>
      <c r="FS45" s="167"/>
      <c r="FT45" s="167"/>
      <c r="FU45" s="167"/>
      <c r="FV45" s="167"/>
      <c r="FW45" s="167"/>
      <c r="FX45" s="167"/>
      <c r="FY45" s="167"/>
      <c r="FZ45" s="167"/>
      <c r="GA45" s="167"/>
      <c r="GB45" s="167"/>
      <c r="GC45" s="167"/>
      <c r="GD45" s="167"/>
      <c r="GE45" s="167"/>
      <c r="GF45" s="167"/>
      <c r="GG45" s="167"/>
      <c r="GH45" s="167"/>
      <c r="GI45" s="167"/>
      <c r="GJ45" s="167"/>
      <c r="GK45" s="167"/>
      <c r="GL45" s="167"/>
      <c r="GM45" s="167"/>
      <c r="GN45" s="167"/>
      <c r="GO45" s="167"/>
      <c r="GP45" s="167"/>
      <c r="GQ45" s="167"/>
      <c r="GR45" s="167"/>
      <c r="GS45" s="167"/>
      <c r="GT45" s="167"/>
      <c r="GU45" s="167"/>
      <c r="GV45" s="167"/>
      <c r="GW45" s="167"/>
      <c r="GX45" s="167"/>
      <c r="GY45" s="167"/>
      <c r="GZ45" s="167"/>
      <c r="HA45" s="167"/>
      <c r="HB45" s="167"/>
      <c r="HC45" s="167"/>
      <c r="HD45" s="167"/>
      <c r="HE45" s="167"/>
      <c r="HF45" s="167"/>
      <c r="HG45" s="167"/>
      <c r="HH45" s="167"/>
      <c r="HI45" s="167"/>
      <c r="HJ45" s="167"/>
      <c r="HK45" s="167"/>
      <c r="HL45" s="167"/>
      <c r="HM45" s="167"/>
      <c r="HN45" s="167"/>
      <c r="HO45" s="167"/>
      <c r="HP45" s="167"/>
      <c r="HQ45" s="167"/>
      <c r="HR45" s="167"/>
      <c r="HS45" s="167"/>
      <c r="HT45" s="167"/>
      <c r="HU45" s="167"/>
      <c r="HV45" s="167"/>
      <c r="HW45" s="167"/>
      <c r="HX45" s="167"/>
      <c r="HY45" s="167"/>
      <c r="HZ45" s="167"/>
      <c r="IA45" s="167"/>
      <c r="IB45" s="167"/>
      <c r="IC45" s="167"/>
      <c r="ID45" s="167"/>
      <c r="IE45" s="167"/>
      <c r="IF45" s="167"/>
      <c r="IG45" s="167"/>
      <c r="IH45" s="167"/>
      <c r="II45" s="167"/>
      <c r="IJ45" s="167"/>
      <c r="IK45" s="167"/>
      <c r="IL45" s="167"/>
      <c r="IM45" s="167"/>
      <c r="IN45" s="167"/>
      <c r="IO45" s="167"/>
      <c r="IP45" s="167"/>
      <c r="IQ45" s="167"/>
      <c r="IR45" s="167"/>
      <c r="IS45" s="167"/>
      <c r="IT45" s="167"/>
      <c r="IU45" s="167"/>
      <c r="IV45" s="167"/>
      <c r="IW45" s="167"/>
    </row>
    <row r="46" customFormat="false" ht="13.5" hidden="true" customHeight="true" outlineLevel="0" collapsed="false">
      <c r="A46" s="108" t="n">
        <f aca="false">A44+1</f>
        <v>19</v>
      </c>
      <c r="B46" s="404"/>
      <c r="C46" s="403" t="n">
        <f aca="false">IF(ISERROR(VLOOKUP(D46,[31]일용직명단!$A$3:$I$105,2,FALSE())),0,VLOOKUP(D46,[31]일용직명단!$A$3:$I$105,2,FALSE()))</f>
        <v>0</v>
      </c>
      <c r="D46" s="110"/>
      <c r="E46" s="311" t="n">
        <f aca="false">IF(ISERROR(VLOOKUP(D46,[31]일용직명단!$A$3:$K$1220,3,FALSE())),0,VLOOKUP(D46,[31]일용직명단!$A$3:$K$1220,3,FALSE()))</f>
        <v>0</v>
      </c>
      <c r="F46" s="112" t="n">
        <f aca="false">IF(ISERROR(VLOOKUP(D46,일용직명단!$A$3:$K$1246,4,FALSE())),0,VLOOKUP(D46,일용직명단!$A$3:$K$1246,4,FALSE()))</f>
        <v>0</v>
      </c>
      <c r="G46" s="408"/>
      <c r="H46" s="114"/>
      <c r="I46" s="409"/>
      <c r="J46" s="409"/>
      <c r="K46" s="408"/>
      <c r="L46" s="409"/>
      <c r="M46" s="408"/>
      <c r="N46" s="408"/>
      <c r="O46" s="114"/>
      <c r="P46" s="114"/>
      <c r="Q46" s="408"/>
      <c r="R46" s="114"/>
      <c r="S46" s="409"/>
      <c r="T46" s="114"/>
      <c r="U46" s="409"/>
      <c r="V46" s="119"/>
      <c r="W46" s="144" t="n">
        <f aca="false">SUM(G46:V47)</f>
        <v>0</v>
      </c>
      <c r="X46" s="121" t="n">
        <f aca="false">IF(ISERROR(VLOOKUP(D46,일용직명단!$A$3:$K$1246,8,FALSE())),0,VLOOKUP(D46,일용직명단!$A$3:$K$1246,8,FALSE()))</f>
        <v>0</v>
      </c>
      <c r="Y46" s="122" t="n">
        <f aca="false">IFERROR(IF(AH46&gt;=65,0,ROUNDDOWN(X47*$AA$4,-1)),0)</f>
        <v>0</v>
      </c>
      <c r="Z46" s="122" t="n">
        <f aca="false">IF(AF46&gt;=8,ROUNDDOWN(X47*$N$4,-1),0)</f>
        <v>0</v>
      </c>
      <c r="AA46" s="123" t="n">
        <f aca="false">IFERROR(IF(AND(COUNT(G46:V47)&gt;=8,$AH46&lt;60,X47&lt;=5530000),ROUNDDOWN(ROUNDDOWN(X47,-3)*4.5%,-1),IF(AND(COUNT(G46:V47)&gt;=8,AH46&lt;60,X47&gt;5530000),248850,0)),0)</f>
        <v>0</v>
      </c>
      <c r="AB46" s="145" t="n">
        <f aca="false">+Y46+Z46+Y47+Z47+AA46+AA47</f>
        <v>0</v>
      </c>
      <c r="AC46" s="146" t="n">
        <f aca="false">X47-AB46</f>
        <v>0</v>
      </c>
      <c r="AD46" s="413" t="n">
        <f aca="false">IF(ISERROR(VLOOKUP(D46,[31]일용직명단!$A$3:$I$1200,5,FALSE())),0,VLOOKUP(D46,[31]일용직명단!$A$3:$I$1200,5,FALSE()))</f>
        <v>0</v>
      </c>
      <c r="AE46" s="414" t="n">
        <f aca="false">IF(ISERROR(VLOOKUP(D46,[31]일용직명단!$A$3:$I$1200,6,FALSE())),0,VLOOKUP(D46,[31]일용직명단!$A$3:$I$1200,6,FALSE()))</f>
        <v>0</v>
      </c>
      <c r="AF46" s="128" t="n">
        <f aca="false">COUNT(G46:V47)</f>
        <v>0</v>
      </c>
      <c r="AG46" s="129" t="str">
        <f aca="false">IF(OR(MID(E46,8,1)="1",MID(E46,8,1)="2"),19&amp;LEFT(E46,2),20&amp;LEFT(E46,2))&amp;"-"&amp;MID(E46,3,2)&amp;"-"&amp;MID(E46,5,2)</f>
        <v>200--</v>
      </c>
      <c r="AH46" s="129" t="e">
        <f aca="true">INT((TODAY()-AG46)/365.25)</f>
        <v>#VALUE!</v>
      </c>
      <c r="AI46" s="130" t="n">
        <f aca="false">ROUNDDOWN(SUM(AJ46:AY47),-1)</f>
        <v>0</v>
      </c>
      <c r="AJ46" s="130" t="n">
        <f aca="false">IF($X46*G46&gt;150000,($X46*G46-150000)*6%*45%,0)</f>
        <v>0</v>
      </c>
      <c r="AK46" s="130" t="n">
        <f aca="false">IF($X46*H46&gt;150000,($X46*H46-150000)*6%*45%,0)</f>
        <v>0</v>
      </c>
      <c r="AL46" s="130" t="n">
        <f aca="false">IF($X46*I46&gt;150000,($X46*I46-150000)*6%*45%,0)</f>
        <v>0</v>
      </c>
      <c r="AM46" s="130" t="n">
        <f aca="false">IF($X46*J46&gt;150000,($X46*J46-150000)*6%*45%,0)</f>
        <v>0</v>
      </c>
      <c r="AN46" s="130" t="n">
        <f aca="false">IF($X46*K46&gt;150000,($X46*K46-150000)*6%*45%,0)</f>
        <v>0</v>
      </c>
      <c r="AO46" s="130" t="n">
        <f aca="false">IF($X46*L46&gt;150000,($X46*L46-150000)*6%*45%,0)</f>
        <v>0</v>
      </c>
      <c r="AP46" s="130" t="n">
        <f aca="false">IF($X46*M46&gt;150000,($X46*M46-150000)*6%*45%,0)</f>
        <v>0</v>
      </c>
      <c r="AQ46" s="130" t="n">
        <f aca="false">IF($X46*N46&gt;150000,($X46*N46-150000)*6%*45%,0)</f>
        <v>0</v>
      </c>
      <c r="AR46" s="130" t="n">
        <f aca="false">IF($X46*O46&gt;150000,($X46*O46-150000)*6%*45%,0)</f>
        <v>0</v>
      </c>
      <c r="AS46" s="130" t="n">
        <f aca="false">IF($X46*P46&gt;150000,($X46*P46-150000)*6%*45%,0)</f>
        <v>0</v>
      </c>
      <c r="AT46" s="130" t="n">
        <f aca="false">IF($X46*Q46&gt;150000,($X46*Q46-150000)*6%*45%,0)</f>
        <v>0</v>
      </c>
      <c r="AU46" s="130" t="n">
        <f aca="false">IF($X46*R46&gt;150000,($X46*R46-150000)*6%*45%,0)</f>
        <v>0</v>
      </c>
      <c r="AV46" s="130" t="n">
        <f aca="false">IF($X46*S46&gt;150000,($X46*S46-150000)*6%*45%,0)</f>
        <v>0</v>
      </c>
      <c r="AW46" s="130" t="n">
        <f aca="false">IF($X46*T46&gt;150000,($X46*T46-150000)*6%*45%,0)</f>
        <v>0</v>
      </c>
      <c r="AX46" s="130" t="n">
        <f aca="false">IF($X46*U46&gt;150000,($X46*U46-150000)*6%*45%,0)</f>
        <v>0</v>
      </c>
      <c r="AY46" s="130"/>
      <c r="AZ46" s="131" t="n">
        <f aca="false">IF(ISERROR(VLOOKUP(D46,[32]일용직명단!$A$3:$M$1151,11,FALSE())),0,VLOOKUP(D46,[32]일용직명단!$A$3:$M$1151,11,FALSE()))</f>
        <v>0</v>
      </c>
      <c r="BA46" s="11"/>
      <c r="BB46" s="167"/>
      <c r="BC46" s="167"/>
      <c r="BD46" s="167"/>
      <c r="BE46" s="167"/>
      <c r="BF46" s="167"/>
      <c r="BG46" s="167"/>
      <c r="BH46" s="167"/>
      <c r="BI46" s="167"/>
      <c r="BJ46" s="167"/>
      <c r="BK46" s="167"/>
      <c r="BL46" s="167"/>
      <c r="BM46" s="167"/>
      <c r="BN46" s="167"/>
      <c r="BO46" s="167"/>
      <c r="BP46" s="167"/>
      <c r="BQ46" s="167"/>
      <c r="BR46" s="167"/>
      <c r="BS46" s="167"/>
      <c r="BT46" s="167"/>
      <c r="BU46" s="167"/>
      <c r="BV46" s="167"/>
      <c r="BW46" s="167"/>
      <c r="BX46" s="167"/>
      <c r="BY46" s="167"/>
      <c r="BZ46" s="167"/>
      <c r="CA46" s="167"/>
      <c r="CB46" s="167"/>
      <c r="CC46" s="167"/>
      <c r="CD46" s="167"/>
      <c r="CE46" s="167"/>
      <c r="CF46" s="167"/>
      <c r="CG46" s="167"/>
      <c r="CH46" s="167"/>
      <c r="CI46" s="167"/>
      <c r="CJ46" s="167"/>
      <c r="CK46" s="167"/>
      <c r="CL46" s="167"/>
      <c r="CM46" s="167"/>
      <c r="CN46" s="167"/>
      <c r="CO46" s="167"/>
      <c r="CP46" s="167"/>
      <c r="CQ46" s="167"/>
      <c r="CR46" s="167"/>
      <c r="CS46" s="167"/>
      <c r="CT46" s="167"/>
      <c r="CU46" s="167"/>
      <c r="CV46" s="167"/>
      <c r="CW46" s="167"/>
      <c r="CX46" s="167"/>
      <c r="CY46" s="167"/>
      <c r="CZ46" s="167"/>
      <c r="DA46" s="167"/>
      <c r="DB46" s="167"/>
      <c r="DC46" s="167"/>
      <c r="DD46" s="167"/>
      <c r="DE46" s="167"/>
      <c r="DF46" s="167"/>
      <c r="DG46" s="167"/>
      <c r="DH46" s="167"/>
      <c r="DI46" s="167"/>
      <c r="DJ46" s="167"/>
      <c r="DK46" s="167"/>
      <c r="DL46" s="167"/>
      <c r="DM46" s="167"/>
      <c r="DN46" s="167"/>
      <c r="DO46" s="167"/>
      <c r="DP46" s="167"/>
      <c r="DQ46" s="167"/>
      <c r="DR46" s="167"/>
      <c r="DS46" s="167"/>
      <c r="DT46" s="167"/>
      <c r="DU46" s="167"/>
      <c r="DV46" s="167"/>
      <c r="DW46" s="167"/>
      <c r="DX46" s="167"/>
      <c r="DY46" s="167"/>
      <c r="DZ46" s="167"/>
      <c r="EA46" s="167"/>
      <c r="EB46" s="167"/>
      <c r="EC46" s="167"/>
      <c r="ED46" s="167"/>
      <c r="EE46" s="167"/>
      <c r="EF46" s="167"/>
      <c r="EG46" s="167"/>
      <c r="EH46" s="167"/>
      <c r="EI46" s="167"/>
      <c r="EJ46" s="167"/>
      <c r="EK46" s="167"/>
      <c r="EL46" s="167"/>
      <c r="EM46" s="167"/>
      <c r="EN46" s="167"/>
      <c r="EO46" s="167"/>
      <c r="EP46" s="167"/>
      <c r="EQ46" s="167"/>
      <c r="ER46" s="167"/>
      <c r="ES46" s="167"/>
      <c r="ET46" s="167"/>
      <c r="EU46" s="167"/>
      <c r="EV46" s="167"/>
      <c r="EW46" s="167"/>
      <c r="EX46" s="167"/>
      <c r="EY46" s="167"/>
      <c r="EZ46" s="167"/>
      <c r="FA46" s="167"/>
      <c r="FB46" s="167"/>
      <c r="FC46" s="167"/>
      <c r="FD46" s="167"/>
      <c r="FE46" s="167"/>
      <c r="FF46" s="167"/>
      <c r="FG46" s="167"/>
      <c r="FH46" s="167"/>
      <c r="FI46" s="167"/>
      <c r="FJ46" s="167"/>
      <c r="FK46" s="167"/>
      <c r="FL46" s="167"/>
      <c r="FM46" s="167"/>
      <c r="FN46" s="167"/>
      <c r="FO46" s="167"/>
      <c r="FP46" s="167"/>
      <c r="FQ46" s="167"/>
      <c r="FR46" s="167"/>
      <c r="FS46" s="167"/>
      <c r="FT46" s="167"/>
      <c r="FU46" s="167"/>
      <c r="FV46" s="167"/>
      <c r="FW46" s="167"/>
      <c r="FX46" s="167"/>
      <c r="FY46" s="167"/>
      <c r="FZ46" s="167"/>
      <c r="GA46" s="167"/>
      <c r="GB46" s="167"/>
      <c r="GC46" s="167"/>
      <c r="GD46" s="167"/>
      <c r="GE46" s="167"/>
      <c r="GF46" s="167"/>
      <c r="GG46" s="167"/>
      <c r="GH46" s="167"/>
      <c r="GI46" s="167"/>
      <c r="GJ46" s="167"/>
      <c r="GK46" s="167"/>
      <c r="GL46" s="167"/>
      <c r="GM46" s="167"/>
      <c r="GN46" s="167"/>
      <c r="GO46" s="167"/>
      <c r="GP46" s="167"/>
      <c r="GQ46" s="167"/>
      <c r="GR46" s="167"/>
      <c r="GS46" s="167"/>
      <c r="GT46" s="167"/>
      <c r="GU46" s="167"/>
      <c r="GV46" s="167"/>
      <c r="GW46" s="167"/>
      <c r="GX46" s="167"/>
      <c r="GY46" s="167"/>
      <c r="GZ46" s="167"/>
      <c r="HA46" s="167"/>
      <c r="HB46" s="167"/>
      <c r="HC46" s="167"/>
      <c r="HD46" s="167"/>
      <c r="HE46" s="167"/>
      <c r="HF46" s="167"/>
      <c r="HG46" s="167"/>
      <c r="HH46" s="167"/>
      <c r="HI46" s="167"/>
      <c r="HJ46" s="167"/>
      <c r="HK46" s="167"/>
      <c r="HL46" s="167"/>
      <c r="HM46" s="167"/>
      <c r="HN46" s="167"/>
      <c r="HO46" s="167"/>
      <c r="HP46" s="167"/>
      <c r="HQ46" s="167"/>
      <c r="HR46" s="167"/>
      <c r="HS46" s="167"/>
      <c r="HT46" s="167"/>
      <c r="HU46" s="167"/>
      <c r="HV46" s="167"/>
      <c r="HW46" s="167"/>
      <c r="HX46" s="167"/>
      <c r="HY46" s="167"/>
      <c r="HZ46" s="167"/>
      <c r="IA46" s="167"/>
      <c r="IB46" s="167"/>
      <c r="IC46" s="167"/>
      <c r="ID46" s="167"/>
      <c r="IE46" s="167"/>
      <c r="IF46" s="167"/>
      <c r="IG46" s="167"/>
      <c r="IH46" s="167"/>
      <c r="II46" s="167"/>
      <c r="IJ46" s="167"/>
      <c r="IK46" s="167"/>
      <c r="IL46" s="167"/>
      <c r="IM46" s="167"/>
      <c r="IN46" s="167"/>
      <c r="IO46" s="167"/>
      <c r="IP46" s="167"/>
      <c r="IQ46" s="167"/>
      <c r="IR46" s="167"/>
      <c r="IS46" s="167"/>
      <c r="IT46" s="167"/>
      <c r="IU46" s="167"/>
      <c r="IV46" s="167"/>
      <c r="IW46" s="167"/>
    </row>
    <row r="47" customFormat="false" ht="13.5" hidden="true" customHeight="true" outlineLevel="0" collapsed="false">
      <c r="A47" s="108"/>
      <c r="B47" s="404"/>
      <c r="C47" s="403"/>
      <c r="D47" s="110"/>
      <c r="E47" s="311"/>
      <c r="F47" s="112" t="n">
        <f aca="false">IF(ISERROR(VLOOKUP(D46,일용직명단!$A$3:$K$1246,9,FALSE())),0,VLOOKUP(D46,일용직명단!$A$3:$K$1246,9,FALSE()))</f>
        <v>0</v>
      </c>
      <c r="G47" s="405"/>
      <c r="H47" s="406"/>
      <c r="I47" s="405"/>
      <c r="J47" s="136"/>
      <c r="K47" s="407"/>
      <c r="L47" s="136"/>
      <c r="M47" s="408"/>
      <c r="N47" s="408"/>
      <c r="O47" s="114"/>
      <c r="P47" s="409"/>
      <c r="Q47" s="114"/>
      <c r="R47" s="114"/>
      <c r="S47" s="408"/>
      <c r="T47" s="408"/>
      <c r="U47" s="408"/>
      <c r="V47" s="119"/>
      <c r="W47" s="144"/>
      <c r="X47" s="138" t="n">
        <f aca="false">X46*W46</f>
        <v>0</v>
      </c>
      <c r="Y47" s="122" t="n">
        <f aca="false">IF(AI46&lt;1000,0,AI46)</f>
        <v>0</v>
      </c>
      <c r="Z47" s="122" t="n">
        <f aca="false">ROUNDDOWN(Y47*10%,-1)</f>
        <v>0</v>
      </c>
      <c r="AA47" s="123" t="n">
        <f aca="false">IF(AF46&gt;=8,ROUNDDOWN(Z46*$R$4,-1),0)</f>
        <v>0</v>
      </c>
      <c r="AB47" s="145"/>
      <c r="AC47" s="146"/>
      <c r="AD47" s="414" t="n">
        <f aca="false">IF(ISERROR(VLOOKUP(D46,[31]일용직명단!$A$3:$I$1200,7,FALSE())),0,VLOOKUP(D46,[31]일용직명단!$A$3:$I$1200,7,FALSE()))</f>
        <v>0</v>
      </c>
      <c r="AE47" s="414"/>
      <c r="AF47" s="128"/>
      <c r="AG47" s="129"/>
      <c r="AH47" s="129"/>
      <c r="AI47" s="130"/>
      <c r="AJ47" s="130" t="n">
        <f aca="false">IF($X46*G47&gt;150000,($X46*G47-150000)*6%*45%,0)</f>
        <v>0</v>
      </c>
      <c r="AK47" s="130" t="n">
        <f aca="false">IF($X46*H47&gt;150000,($X46*H47-150000)*6%*45%,0)</f>
        <v>0</v>
      </c>
      <c r="AL47" s="130" t="n">
        <f aca="false">IF($X46*I47&gt;150000,($X46*I47-150000)*6%*45%,0)</f>
        <v>0</v>
      </c>
      <c r="AM47" s="130" t="n">
        <f aca="false">IF($X46*J47&gt;150000,($X46*J47-150000)*6%*45%,0)</f>
        <v>0</v>
      </c>
      <c r="AN47" s="130" t="n">
        <f aca="false">IF($X46*K47&gt;150000,($X46*K47-150000)*6%*45%,0)</f>
        <v>0</v>
      </c>
      <c r="AO47" s="130" t="n">
        <f aca="false">IF($X46*L47&gt;150000,($X46*L47-150000)*6%*45%,0)</f>
        <v>0</v>
      </c>
      <c r="AP47" s="130" t="n">
        <f aca="false">IF($X46*M47&gt;150000,($X46*M47-150000)*6%*45%,0)</f>
        <v>0</v>
      </c>
      <c r="AQ47" s="130" t="n">
        <f aca="false">IF($X46*N47&gt;150000,($X46*N47-150000)*6%*45%,0)</f>
        <v>0</v>
      </c>
      <c r="AR47" s="130" t="n">
        <f aca="false">IF($X46*O47&gt;150000,($X46*O47-150000)*6%*45%,0)</f>
        <v>0</v>
      </c>
      <c r="AS47" s="130" t="n">
        <f aca="false">IF($X46*P47&gt;150000,($X46*P47-150000)*6%*45%,0)</f>
        <v>0</v>
      </c>
      <c r="AT47" s="130" t="n">
        <f aca="false">IF($X46*Q47&gt;150000,($X46*Q47-150000)*6%*45%,0)</f>
        <v>0</v>
      </c>
      <c r="AU47" s="130" t="n">
        <f aca="false">IF($X46*R47&gt;150000,($X46*R47-150000)*6%*45%,0)</f>
        <v>0</v>
      </c>
      <c r="AV47" s="130" t="n">
        <f aca="false">IF($X46*S47&gt;150000,($X46*S47-150000)*6%*45%,0)</f>
        <v>0</v>
      </c>
      <c r="AW47" s="130" t="n">
        <f aca="false">IF($X46*T47&gt;150000,($X46*T47-150000)*6%*45%,0)</f>
        <v>0</v>
      </c>
      <c r="AX47" s="130" t="n">
        <f aca="false">IF($X46*U47&gt;150000,($X46*U47-150000)*6%*45%,0)</f>
        <v>0</v>
      </c>
      <c r="AY47" s="130" t="n">
        <f aca="false">IF($X46*V47&gt;150000,($X46*V47-150000)*6%*45%,0)</f>
        <v>0</v>
      </c>
      <c r="AZ47" s="131"/>
      <c r="BA47" s="11"/>
      <c r="BB47" s="167"/>
      <c r="BC47" s="167"/>
      <c r="BD47" s="167"/>
      <c r="BE47" s="167"/>
      <c r="BF47" s="167"/>
      <c r="BG47" s="167"/>
      <c r="BH47" s="167"/>
      <c r="BI47" s="167"/>
      <c r="BJ47" s="167"/>
      <c r="BK47" s="167"/>
      <c r="BL47" s="167"/>
      <c r="BM47" s="167"/>
      <c r="BN47" s="167"/>
      <c r="BO47" s="167"/>
      <c r="BP47" s="167"/>
      <c r="BQ47" s="167"/>
      <c r="BR47" s="167"/>
      <c r="BS47" s="167"/>
      <c r="BT47" s="167"/>
      <c r="BU47" s="167"/>
      <c r="BV47" s="167"/>
      <c r="BW47" s="167"/>
      <c r="BX47" s="167"/>
      <c r="BY47" s="167"/>
      <c r="BZ47" s="167"/>
      <c r="CA47" s="167"/>
      <c r="CB47" s="167"/>
      <c r="CC47" s="167"/>
      <c r="CD47" s="167"/>
      <c r="CE47" s="167"/>
      <c r="CF47" s="167"/>
      <c r="CG47" s="167"/>
      <c r="CH47" s="167"/>
      <c r="CI47" s="167"/>
      <c r="CJ47" s="167"/>
      <c r="CK47" s="167"/>
      <c r="CL47" s="167"/>
      <c r="CM47" s="167"/>
      <c r="CN47" s="167"/>
      <c r="CO47" s="167"/>
      <c r="CP47" s="167"/>
      <c r="CQ47" s="167"/>
      <c r="CR47" s="167"/>
      <c r="CS47" s="167"/>
      <c r="CT47" s="167"/>
      <c r="CU47" s="167"/>
      <c r="CV47" s="167"/>
      <c r="CW47" s="167"/>
      <c r="CX47" s="167"/>
      <c r="CY47" s="167"/>
      <c r="CZ47" s="167"/>
      <c r="DA47" s="167"/>
      <c r="DB47" s="167"/>
      <c r="DC47" s="167"/>
      <c r="DD47" s="167"/>
      <c r="DE47" s="167"/>
      <c r="DF47" s="167"/>
      <c r="DG47" s="167"/>
      <c r="DH47" s="167"/>
      <c r="DI47" s="167"/>
      <c r="DJ47" s="167"/>
      <c r="DK47" s="167"/>
      <c r="DL47" s="167"/>
      <c r="DM47" s="167"/>
      <c r="DN47" s="167"/>
      <c r="DO47" s="167"/>
      <c r="DP47" s="167"/>
      <c r="DQ47" s="167"/>
      <c r="DR47" s="167"/>
      <c r="DS47" s="167"/>
      <c r="DT47" s="167"/>
      <c r="DU47" s="167"/>
      <c r="DV47" s="167"/>
      <c r="DW47" s="167"/>
      <c r="DX47" s="167"/>
      <c r="DY47" s="167"/>
      <c r="DZ47" s="167"/>
      <c r="EA47" s="167"/>
      <c r="EB47" s="167"/>
      <c r="EC47" s="167"/>
      <c r="ED47" s="167"/>
      <c r="EE47" s="167"/>
      <c r="EF47" s="167"/>
      <c r="EG47" s="167"/>
      <c r="EH47" s="167"/>
      <c r="EI47" s="167"/>
      <c r="EJ47" s="167"/>
      <c r="EK47" s="167"/>
      <c r="EL47" s="167"/>
      <c r="EM47" s="167"/>
      <c r="EN47" s="167"/>
      <c r="EO47" s="167"/>
      <c r="EP47" s="167"/>
      <c r="EQ47" s="167"/>
      <c r="ER47" s="167"/>
      <c r="ES47" s="167"/>
      <c r="ET47" s="167"/>
      <c r="EU47" s="167"/>
      <c r="EV47" s="167"/>
      <c r="EW47" s="167"/>
      <c r="EX47" s="167"/>
      <c r="EY47" s="167"/>
      <c r="EZ47" s="167"/>
      <c r="FA47" s="167"/>
      <c r="FB47" s="167"/>
      <c r="FC47" s="167"/>
      <c r="FD47" s="167"/>
      <c r="FE47" s="167"/>
      <c r="FF47" s="167"/>
      <c r="FG47" s="167"/>
      <c r="FH47" s="167"/>
      <c r="FI47" s="167"/>
      <c r="FJ47" s="167"/>
      <c r="FK47" s="167"/>
      <c r="FL47" s="167"/>
      <c r="FM47" s="167"/>
      <c r="FN47" s="167"/>
      <c r="FO47" s="167"/>
      <c r="FP47" s="167"/>
      <c r="FQ47" s="167"/>
      <c r="FR47" s="167"/>
      <c r="FS47" s="167"/>
      <c r="FT47" s="167"/>
      <c r="FU47" s="167"/>
      <c r="FV47" s="167"/>
      <c r="FW47" s="167"/>
      <c r="FX47" s="167"/>
      <c r="FY47" s="167"/>
      <c r="FZ47" s="167"/>
      <c r="GA47" s="167"/>
      <c r="GB47" s="167"/>
      <c r="GC47" s="167"/>
      <c r="GD47" s="167"/>
      <c r="GE47" s="167"/>
      <c r="GF47" s="167"/>
      <c r="GG47" s="167"/>
      <c r="GH47" s="167"/>
      <c r="GI47" s="167"/>
      <c r="GJ47" s="167"/>
      <c r="GK47" s="167"/>
      <c r="GL47" s="167"/>
      <c r="GM47" s="167"/>
      <c r="GN47" s="167"/>
      <c r="GO47" s="167"/>
      <c r="GP47" s="167"/>
      <c r="GQ47" s="167"/>
      <c r="GR47" s="167"/>
      <c r="GS47" s="167"/>
      <c r="GT47" s="167"/>
      <c r="GU47" s="167"/>
      <c r="GV47" s="167"/>
      <c r="GW47" s="167"/>
      <c r="GX47" s="167"/>
      <c r="GY47" s="167"/>
      <c r="GZ47" s="167"/>
      <c r="HA47" s="167"/>
      <c r="HB47" s="167"/>
      <c r="HC47" s="167"/>
      <c r="HD47" s="167"/>
      <c r="HE47" s="167"/>
      <c r="HF47" s="167"/>
      <c r="HG47" s="167"/>
      <c r="HH47" s="167"/>
      <c r="HI47" s="167"/>
      <c r="HJ47" s="167"/>
      <c r="HK47" s="167"/>
      <c r="HL47" s="167"/>
      <c r="HM47" s="167"/>
      <c r="HN47" s="167"/>
      <c r="HO47" s="167"/>
      <c r="HP47" s="167"/>
      <c r="HQ47" s="167"/>
      <c r="HR47" s="167"/>
      <c r="HS47" s="167"/>
      <c r="HT47" s="167"/>
      <c r="HU47" s="167"/>
      <c r="HV47" s="167"/>
      <c r="HW47" s="167"/>
      <c r="HX47" s="167"/>
      <c r="HY47" s="167"/>
      <c r="HZ47" s="167"/>
      <c r="IA47" s="167"/>
      <c r="IB47" s="167"/>
      <c r="IC47" s="167"/>
      <c r="ID47" s="167"/>
      <c r="IE47" s="167"/>
      <c r="IF47" s="167"/>
      <c r="IG47" s="167"/>
      <c r="IH47" s="167"/>
      <c r="II47" s="167"/>
      <c r="IJ47" s="167"/>
      <c r="IK47" s="167"/>
      <c r="IL47" s="167"/>
      <c r="IM47" s="167"/>
      <c r="IN47" s="167"/>
      <c r="IO47" s="167"/>
      <c r="IP47" s="167"/>
      <c r="IQ47" s="167"/>
      <c r="IR47" s="167"/>
      <c r="IS47" s="167"/>
      <c r="IT47" s="167"/>
      <c r="IU47" s="167"/>
      <c r="IV47" s="167"/>
      <c r="IW47" s="167"/>
    </row>
    <row r="48" customFormat="false" ht="13.5" hidden="true" customHeight="true" outlineLevel="0" collapsed="false">
      <c r="A48" s="108" t="n">
        <f aca="false">A46+1</f>
        <v>20</v>
      </c>
      <c r="B48" s="402"/>
      <c r="C48" s="159"/>
      <c r="D48" s="203"/>
      <c r="E48" s="311" t="n">
        <f aca="false">IF(ISERROR(VLOOKUP(D48,[33]일용직명단!$A$3:$K$1183,3,FALSE())),0,VLOOKUP(D48,[33]일용직명단!$A$3:$K$1183,3,FALSE()))</f>
        <v>0</v>
      </c>
      <c r="F48" s="112" t="n">
        <f aca="false">IF(ISERROR(VLOOKUP(D48,일용직명단!$A$3:$K$1246,4,FALSE())),0,VLOOKUP(D48,일용직명단!$A$3:$K$1246,4,FALSE()))</f>
        <v>0</v>
      </c>
      <c r="G48" s="408"/>
      <c r="H48" s="114"/>
      <c r="I48" s="409"/>
      <c r="J48" s="409"/>
      <c r="K48" s="408"/>
      <c r="L48" s="409"/>
      <c r="M48" s="408"/>
      <c r="N48" s="408"/>
      <c r="O48" s="114"/>
      <c r="P48" s="114"/>
      <c r="Q48" s="408"/>
      <c r="R48" s="114"/>
      <c r="S48" s="409"/>
      <c r="T48" s="114"/>
      <c r="U48" s="409"/>
      <c r="V48" s="119"/>
      <c r="W48" s="144" t="n">
        <f aca="false">SUM(G48:V49)</f>
        <v>0</v>
      </c>
      <c r="X48" s="121" t="n">
        <f aca="false">IF(ISERROR(VLOOKUP(D48,일용직명단!$A$3:$K$1246,8,FALSE())),0,VLOOKUP(D48,일용직명단!$A$3:$K$1246,8,FALSE()))</f>
        <v>0</v>
      </c>
      <c r="Y48" s="122" t="n">
        <f aca="false">IFERROR(IF(AH48&gt;=65,0,ROUNDDOWN(X49*$AA$4,-1)),0)</f>
        <v>0</v>
      </c>
      <c r="Z48" s="122" t="n">
        <f aca="false">IF(AF48&gt;=8,ROUNDDOWN(X49*$N$4,-1),0)</f>
        <v>0</v>
      </c>
      <c r="AA48" s="123" t="n">
        <f aca="false">IFERROR(IF(AND(COUNT(G48:V49)&gt;=8,$AH48&lt;60,X49&lt;=5530000),ROUNDDOWN(ROUNDDOWN(X49,-3)*4.5%,-1),IF(AND(COUNT(G48:V49)&gt;=8,AH48&lt;60,X49&gt;5530000),248850,0)),0)</f>
        <v>0</v>
      </c>
      <c r="AB48" s="145" t="n">
        <f aca="false">+Y48+Z48+Y49+Z49+AA48+AA49</f>
        <v>0</v>
      </c>
      <c r="AC48" s="146" t="n">
        <f aca="false">X49-AB48</f>
        <v>0</v>
      </c>
      <c r="AD48" s="157" t="n">
        <f aca="false">IF(ISERROR(VLOOKUP(D48,[31]일용직명단!$A$3:$I$1200,5,FALSE())),0,VLOOKUP(D48,[31]일용직명단!$A$3:$I$1200,5,FALSE()))</f>
        <v>0</v>
      </c>
      <c r="AE48" s="158" t="n">
        <f aca="false">IF(ISERROR(VLOOKUP(D48,[31]일용직명단!$A$3:$I$1200,6,FALSE())),0,VLOOKUP(D48,[31]일용직명단!$A$3:$I$1200,6,FALSE()))</f>
        <v>0</v>
      </c>
      <c r="AF48" s="141" t="n">
        <f aca="false">COUNT(G48:V49)</f>
        <v>0</v>
      </c>
      <c r="AG48" s="129" t="str">
        <f aca="false">IF(OR(MID(E48,8,1)="1",MID(E48,8,1)="2"),19&amp;LEFT(E48,2),20&amp;LEFT(E48,2))&amp;"-"&amp;MID(E48,3,2)&amp;"-"&amp;MID(E48,5,2)</f>
        <v>200--</v>
      </c>
      <c r="AH48" s="129" t="e">
        <f aca="true">INT((TODAY()-AG48)/365.25)</f>
        <v>#VALUE!</v>
      </c>
      <c r="AI48" s="161" t="n">
        <f aca="false">ROUNDDOWN(SUM(AJ48:AY49),-1)</f>
        <v>0</v>
      </c>
      <c r="AJ48" s="130" t="n">
        <f aca="false">IF($X48*G48&gt;150000,($X48*G48-150000)*6%*45%,0)</f>
        <v>0</v>
      </c>
      <c r="AK48" s="130" t="n">
        <f aca="false">IF($X48*H48&gt;150000,($X48*H48-150000)*6%*45%,0)</f>
        <v>0</v>
      </c>
      <c r="AL48" s="130" t="n">
        <f aca="false">IF($X48*I48&gt;150000,($X48*I48-150000)*6%*45%,0)</f>
        <v>0</v>
      </c>
      <c r="AM48" s="130" t="n">
        <f aca="false">IF($X48*J48&gt;150000,($X48*J48-150000)*6%*45%,0)</f>
        <v>0</v>
      </c>
      <c r="AN48" s="130" t="n">
        <f aca="false">IF($X48*K48&gt;150000,($X48*K48-150000)*6%*45%,0)</f>
        <v>0</v>
      </c>
      <c r="AO48" s="130" t="n">
        <f aca="false">IF($X48*L48&gt;150000,($X48*L48-150000)*6%*45%,0)</f>
        <v>0</v>
      </c>
      <c r="AP48" s="130" t="n">
        <f aca="false">IF($X48*M48&gt;150000,($X48*M48-150000)*6%*45%,0)</f>
        <v>0</v>
      </c>
      <c r="AQ48" s="130" t="n">
        <f aca="false">IF($X48*N48&gt;150000,($X48*N48-150000)*6%*45%,0)</f>
        <v>0</v>
      </c>
      <c r="AR48" s="130" t="n">
        <f aca="false">IF($X48*O48&gt;150000,($X48*O48-150000)*6%*45%,0)</f>
        <v>0</v>
      </c>
      <c r="AS48" s="130" t="n">
        <f aca="false">IF($X48*P48&gt;150000,($X48*P48-150000)*6%*45%,0)</f>
        <v>0</v>
      </c>
      <c r="AT48" s="130" t="n">
        <f aca="false">IF($X48*Q48&gt;150000,($X48*Q48-150000)*6%*45%,0)</f>
        <v>0</v>
      </c>
      <c r="AU48" s="130" t="n">
        <f aca="false">IF($X48*R48&gt;150000,($X48*R48-150000)*6%*45%,0)</f>
        <v>0</v>
      </c>
      <c r="AV48" s="130" t="n">
        <f aca="false">IF($X48*S48&gt;150000,($X48*S48-150000)*6%*45%,0)</f>
        <v>0</v>
      </c>
      <c r="AW48" s="130" t="n">
        <f aca="false">IF($X48*T48&gt;150000,($X48*T48-150000)*6%*45%,0)</f>
        <v>0</v>
      </c>
      <c r="AX48" s="130" t="n">
        <f aca="false">IF($X48*U48&gt;150000,($X48*U48-150000)*6%*45%,0)</f>
        <v>0</v>
      </c>
      <c r="AY48" s="130"/>
      <c r="AZ48" s="162" t="n">
        <f aca="false">IF(ISERROR(VLOOKUP(D48,[27]일용직명단!$A$3:$M$1151,11,FALSE())),0,VLOOKUP(D48,[27]일용직명단!$A$3:$M$1151,11,FALSE()))</f>
        <v>0</v>
      </c>
      <c r="BA48" s="163"/>
      <c r="BB48" s="163"/>
      <c r="BC48" s="358"/>
      <c r="BD48" s="358"/>
      <c r="BE48" s="358"/>
      <c r="BF48" s="358"/>
      <c r="BG48" s="358"/>
      <c r="BH48" s="358"/>
      <c r="BI48" s="358"/>
      <c r="BJ48" s="358"/>
      <c r="BK48" s="358"/>
      <c r="BL48" s="358"/>
      <c r="BM48" s="358"/>
      <c r="BN48" s="358"/>
      <c r="BO48" s="358"/>
      <c r="BP48" s="358"/>
      <c r="BQ48" s="358"/>
      <c r="BR48" s="358"/>
      <c r="BS48" s="358"/>
      <c r="BT48" s="358"/>
      <c r="BU48" s="358"/>
      <c r="BV48" s="358"/>
      <c r="BW48" s="358"/>
      <c r="BX48" s="358"/>
      <c r="BY48" s="358"/>
      <c r="BZ48" s="358"/>
      <c r="CA48" s="358"/>
      <c r="CB48" s="358"/>
      <c r="CC48" s="358"/>
      <c r="CD48" s="358"/>
      <c r="CE48" s="358"/>
      <c r="CF48" s="358"/>
      <c r="CG48" s="358"/>
      <c r="CH48" s="358"/>
      <c r="CI48" s="358"/>
      <c r="CJ48" s="358"/>
      <c r="CK48" s="358"/>
      <c r="CL48" s="358"/>
      <c r="CM48" s="358"/>
      <c r="CN48" s="358"/>
      <c r="CO48" s="358"/>
      <c r="CP48" s="358"/>
      <c r="CQ48" s="358"/>
      <c r="CR48" s="358"/>
      <c r="CS48" s="358"/>
      <c r="CT48" s="358"/>
      <c r="CU48" s="358"/>
      <c r="CV48" s="358"/>
      <c r="CW48" s="358"/>
      <c r="CX48" s="358"/>
      <c r="CY48" s="358"/>
      <c r="CZ48" s="358"/>
      <c r="DA48" s="358"/>
      <c r="DB48" s="358"/>
      <c r="DC48" s="358"/>
      <c r="DD48" s="358"/>
      <c r="DE48" s="358"/>
      <c r="DF48" s="358"/>
      <c r="DG48" s="358"/>
      <c r="DH48" s="358"/>
      <c r="DI48" s="358"/>
      <c r="DJ48" s="358"/>
      <c r="DK48" s="358"/>
      <c r="DL48" s="358"/>
      <c r="DM48" s="358"/>
      <c r="DN48" s="358"/>
      <c r="DO48" s="358"/>
      <c r="DP48" s="358"/>
      <c r="DQ48" s="358"/>
      <c r="DR48" s="358"/>
      <c r="DS48" s="358"/>
      <c r="DT48" s="358"/>
      <c r="DU48" s="358"/>
      <c r="DV48" s="358"/>
      <c r="DW48" s="358"/>
      <c r="DX48" s="358"/>
      <c r="DY48" s="358"/>
      <c r="DZ48" s="358"/>
      <c r="EA48" s="358"/>
      <c r="EB48" s="358"/>
      <c r="EC48" s="358"/>
      <c r="ED48" s="358"/>
      <c r="EE48" s="358"/>
      <c r="EF48" s="358"/>
      <c r="EG48" s="358"/>
      <c r="EH48" s="358"/>
      <c r="EI48" s="358"/>
      <c r="EJ48" s="358"/>
      <c r="EK48" s="358"/>
      <c r="EL48" s="358"/>
      <c r="EM48" s="358"/>
      <c r="EN48" s="358"/>
      <c r="EO48" s="358"/>
      <c r="EP48" s="358"/>
      <c r="EQ48" s="358"/>
      <c r="ER48" s="358"/>
      <c r="ES48" s="358"/>
      <c r="ET48" s="358"/>
      <c r="EU48" s="358"/>
      <c r="EV48" s="358"/>
      <c r="EW48" s="358"/>
      <c r="EX48" s="358"/>
      <c r="EY48" s="358"/>
      <c r="EZ48" s="358"/>
      <c r="FA48" s="358"/>
      <c r="FB48" s="358"/>
      <c r="FC48" s="358"/>
      <c r="FD48" s="358"/>
      <c r="FE48" s="358"/>
      <c r="FF48" s="358"/>
      <c r="FG48" s="358"/>
      <c r="FH48" s="358"/>
      <c r="FI48" s="358"/>
      <c r="FJ48" s="358"/>
      <c r="FK48" s="358"/>
      <c r="FL48" s="358"/>
      <c r="FM48" s="358"/>
      <c r="FN48" s="358"/>
      <c r="FO48" s="358"/>
      <c r="FP48" s="358"/>
      <c r="FQ48" s="358"/>
      <c r="FR48" s="358"/>
      <c r="FS48" s="358"/>
      <c r="FT48" s="358"/>
      <c r="FU48" s="358"/>
      <c r="FV48" s="358"/>
      <c r="FW48" s="358"/>
      <c r="FX48" s="358"/>
      <c r="FY48" s="358"/>
      <c r="FZ48" s="358"/>
      <c r="GA48" s="358"/>
      <c r="GB48" s="358"/>
      <c r="GC48" s="358"/>
      <c r="GD48" s="358"/>
      <c r="GE48" s="358"/>
      <c r="GF48" s="358"/>
      <c r="GG48" s="358"/>
      <c r="GH48" s="358"/>
      <c r="GI48" s="358"/>
      <c r="GJ48" s="358"/>
      <c r="GK48" s="358"/>
      <c r="GL48" s="358"/>
      <c r="GM48" s="358"/>
      <c r="GN48" s="358"/>
      <c r="GO48" s="358"/>
      <c r="GP48" s="358"/>
      <c r="GQ48" s="358"/>
      <c r="GR48" s="358"/>
      <c r="GS48" s="358"/>
      <c r="GT48" s="358"/>
      <c r="GU48" s="358"/>
      <c r="GV48" s="358"/>
      <c r="GW48" s="358"/>
      <c r="GX48" s="358"/>
      <c r="GY48" s="358"/>
      <c r="GZ48" s="358"/>
      <c r="HA48" s="358"/>
      <c r="HB48" s="358"/>
      <c r="HC48" s="358"/>
      <c r="HD48" s="358"/>
      <c r="HE48" s="358"/>
      <c r="HF48" s="358"/>
      <c r="HG48" s="358"/>
      <c r="HH48" s="358"/>
      <c r="HI48" s="358"/>
      <c r="HJ48" s="358"/>
      <c r="HK48" s="358"/>
      <c r="HL48" s="358"/>
      <c r="HM48" s="358"/>
      <c r="HN48" s="358"/>
      <c r="HO48" s="358"/>
      <c r="HP48" s="358"/>
      <c r="HQ48" s="358"/>
      <c r="HR48" s="358"/>
      <c r="HS48" s="358"/>
      <c r="HT48" s="358"/>
      <c r="HU48" s="358"/>
      <c r="HV48" s="358"/>
      <c r="HW48" s="358"/>
      <c r="HX48" s="358"/>
      <c r="HY48" s="358"/>
      <c r="HZ48" s="358"/>
      <c r="IA48" s="358"/>
      <c r="IB48" s="358"/>
      <c r="IC48" s="358"/>
      <c r="ID48" s="358"/>
      <c r="IE48" s="358"/>
      <c r="IF48" s="358"/>
      <c r="IG48" s="358"/>
      <c r="IH48" s="358"/>
      <c r="II48" s="358"/>
      <c r="IJ48" s="358"/>
      <c r="IK48" s="358"/>
      <c r="IL48" s="358"/>
      <c r="IM48" s="358"/>
      <c r="IN48" s="358"/>
      <c r="IO48" s="358"/>
      <c r="IP48" s="358"/>
      <c r="IQ48" s="358"/>
      <c r="IW48" s="11"/>
    </row>
    <row r="49" customFormat="false" ht="13.5" hidden="true" customHeight="true" outlineLevel="0" collapsed="false">
      <c r="A49" s="108"/>
      <c r="B49" s="402"/>
      <c r="C49" s="159"/>
      <c r="D49" s="203"/>
      <c r="E49" s="311"/>
      <c r="F49" s="112" t="n">
        <f aca="false">IF(ISERROR(VLOOKUP(D48,일용직명단!$A$3:$K$1246,9,FALSE())),0,VLOOKUP(D48,일용직명단!$A$3:$K$1246,9,FALSE()))</f>
        <v>0</v>
      </c>
      <c r="G49" s="405"/>
      <c r="H49" s="406"/>
      <c r="I49" s="405"/>
      <c r="J49" s="136"/>
      <c r="K49" s="407"/>
      <c r="L49" s="136"/>
      <c r="M49" s="408"/>
      <c r="N49" s="408"/>
      <c r="O49" s="114"/>
      <c r="P49" s="409"/>
      <c r="Q49" s="114"/>
      <c r="R49" s="114"/>
      <c r="S49" s="408"/>
      <c r="T49" s="408"/>
      <c r="U49" s="408"/>
      <c r="V49" s="119"/>
      <c r="W49" s="144"/>
      <c r="X49" s="138" t="n">
        <f aca="false">X48*W48</f>
        <v>0</v>
      </c>
      <c r="Y49" s="122" t="n">
        <f aca="false">IF(AI48&lt;1000,0,AI48)</f>
        <v>0</v>
      </c>
      <c r="Z49" s="122" t="n">
        <f aca="false">ROUNDDOWN(Y49*10%,-1)</f>
        <v>0</v>
      </c>
      <c r="AA49" s="123" t="n">
        <f aca="false">IF(AF48&gt;=8,ROUNDDOWN(Z48*$R$4,-1),0)</f>
        <v>0</v>
      </c>
      <c r="AB49" s="145"/>
      <c r="AC49" s="146"/>
      <c r="AD49" s="158" t="n">
        <f aca="false">IF(ISERROR(VLOOKUP(D48,[31]일용직명단!$A$3:$I$1200,7,FALSE())),0,VLOOKUP(D48,[31]일용직명단!$A$3:$I$1200,7,FALSE()))</f>
        <v>0</v>
      </c>
      <c r="AE49" s="158"/>
      <c r="AF49" s="141"/>
      <c r="AG49" s="129"/>
      <c r="AH49" s="129"/>
      <c r="AI49" s="161"/>
      <c r="AJ49" s="130" t="n">
        <f aca="false">IF($X48*G49&gt;150000,($X48*G49-150000)*6%*45%,0)</f>
        <v>0</v>
      </c>
      <c r="AK49" s="130" t="n">
        <f aca="false">IF($X48*H49&gt;150000,($X48*H49-150000)*6%*45%,0)</f>
        <v>0</v>
      </c>
      <c r="AL49" s="130" t="n">
        <f aca="false">IF($X48*I49&gt;150000,($X48*I49-150000)*6%*45%,0)</f>
        <v>0</v>
      </c>
      <c r="AM49" s="130" t="n">
        <f aca="false">IF($X48*J49&gt;150000,($X48*J49-150000)*6%*45%,0)</f>
        <v>0</v>
      </c>
      <c r="AN49" s="130" t="n">
        <f aca="false">IF($X48*K49&gt;150000,($X48*K49-150000)*6%*45%,0)</f>
        <v>0</v>
      </c>
      <c r="AO49" s="130" t="n">
        <f aca="false">IF($X48*L49&gt;150000,($X48*L49-150000)*6%*45%,0)</f>
        <v>0</v>
      </c>
      <c r="AP49" s="130" t="n">
        <f aca="false">IF($X48*M49&gt;150000,($X48*M49-150000)*6%*45%,0)</f>
        <v>0</v>
      </c>
      <c r="AQ49" s="130" t="n">
        <f aca="false">IF($X48*N49&gt;150000,($X48*N49-150000)*6%*45%,0)</f>
        <v>0</v>
      </c>
      <c r="AR49" s="130" t="n">
        <f aca="false">IF($X48*O49&gt;150000,($X48*O49-150000)*6%*45%,0)</f>
        <v>0</v>
      </c>
      <c r="AS49" s="130" t="n">
        <f aca="false">IF($X48*P49&gt;150000,($X48*P49-150000)*6%*45%,0)</f>
        <v>0</v>
      </c>
      <c r="AT49" s="130" t="n">
        <f aca="false">IF($X48*Q49&gt;150000,($X48*Q49-150000)*6%*45%,0)</f>
        <v>0</v>
      </c>
      <c r="AU49" s="130" t="n">
        <f aca="false">IF($X48*R49&gt;150000,($X48*R49-150000)*6%*45%,0)</f>
        <v>0</v>
      </c>
      <c r="AV49" s="130" t="n">
        <f aca="false">IF($X48*S49&gt;150000,($X48*S49-150000)*6%*45%,0)</f>
        <v>0</v>
      </c>
      <c r="AW49" s="130" t="n">
        <f aca="false">IF($X48*T49&gt;150000,($X48*T49-150000)*6%*45%,0)</f>
        <v>0</v>
      </c>
      <c r="AX49" s="130" t="n">
        <f aca="false">IF($X48*U49&gt;150000,($X48*U49-150000)*6%*45%,0)</f>
        <v>0</v>
      </c>
      <c r="AY49" s="130" t="n">
        <f aca="false">IF($X48*V49&gt;150000,($X48*V49-150000)*6%*45%,0)</f>
        <v>0</v>
      </c>
      <c r="AZ49" s="162"/>
      <c r="BA49" s="163"/>
      <c r="BB49" s="163"/>
      <c r="BC49" s="358"/>
      <c r="BD49" s="358"/>
      <c r="BE49" s="358"/>
      <c r="BF49" s="358"/>
      <c r="BG49" s="358"/>
      <c r="BH49" s="358"/>
      <c r="BI49" s="358"/>
      <c r="BJ49" s="358"/>
      <c r="BK49" s="358"/>
      <c r="BL49" s="358"/>
      <c r="BM49" s="358"/>
      <c r="BN49" s="358"/>
      <c r="BO49" s="358"/>
      <c r="BP49" s="358"/>
      <c r="BQ49" s="358"/>
      <c r="BR49" s="358"/>
      <c r="BS49" s="358"/>
      <c r="BT49" s="358"/>
      <c r="BU49" s="358"/>
      <c r="BV49" s="358"/>
      <c r="BW49" s="358"/>
      <c r="BX49" s="358"/>
      <c r="BY49" s="358"/>
      <c r="BZ49" s="358"/>
      <c r="CA49" s="358"/>
      <c r="CB49" s="358"/>
      <c r="CC49" s="358"/>
      <c r="CD49" s="358"/>
      <c r="CE49" s="358"/>
      <c r="CF49" s="358"/>
      <c r="CG49" s="358"/>
      <c r="CH49" s="358"/>
      <c r="CI49" s="358"/>
      <c r="CJ49" s="358"/>
      <c r="CK49" s="358"/>
      <c r="CL49" s="358"/>
      <c r="CM49" s="358"/>
      <c r="CN49" s="358"/>
      <c r="CO49" s="358"/>
      <c r="CP49" s="358"/>
      <c r="CQ49" s="358"/>
      <c r="CR49" s="358"/>
      <c r="CS49" s="358"/>
      <c r="CT49" s="358"/>
      <c r="CU49" s="358"/>
      <c r="CV49" s="358"/>
      <c r="CW49" s="358"/>
      <c r="CX49" s="358"/>
      <c r="CY49" s="358"/>
      <c r="CZ49" s="358"/>
      <c r="DA49" s="358"/>
      <c r="DB49" s="358"/>
      <c r="DC49" s="358"/>
      <c r="DD49" s="358"/>
      <c r="DE49" s="358"/>
      <c r="DF49" s="358"/>
      <c r="DG49" s="358"/>
      <c r="DH49" s="358"/>
      <c r="DI49" s="358"/>
      <c r="DJ49" s="358"/>
      <c r="DK49" s="358"/>
      <c r="DL49" s="358"/>
      <c r="DM49" s="358"/>
      <c r="DN49" s="358"/>
      <c r="DO49" s="358"/>
      <c r="DP49" s="358"/>
      <c r="DQ49" s="358"/>
      <c r="DR49" s="358"/>
      <c r="DS49" s="358"/>
      <c r="DT49" s="358"/>
      <c r="DU49" s="358"/>
      <c r="DV49" s="358"/>
      <c r="DW49" s="358"/>
      <c r="DX49" s="358"/>
      <c r="DY49" s="358"/>
      <c r="DZ49" s="358"/>
      <c r="EA49" s="358"/>
      <c r="EB49" s="358"/>
      <c r="EC49" s="358"/>
      <c r="ED49" s="358"/>
      <c r="EE49" s="358"/>
      <c r="EF49" s="358"/>
      <c r="EG49" s="358"/>
      <c r="EH49" s="358"/>
      <c r="EI49" s="358"/>
      <c r="EJ49" s="358"/>
      <c r="EK49" s="358"/>
      <c r="EL49" s="358"/>
      <c r="EM49" s="358"/>
      <c r="EN49" s="358"/>
      <c r="EO49" s="358"/>
      <c r="EP49" s="358"/>
      <c r="EQ49" s="358"/>
      <c r="ER49" s="358"/>
      <c r="ES49" s="358"/>
      <c r="ET49" s="358"/>
      <c r="EU49" s="358"/>
      <c r="EV49" s="358"/>
      <c r="EW49" s="358"/>
      <c r="EX49" s="358"/>
      <c r="EY49" s="358"/>
      <c r="EZ49" s="358"/>
      <c r="FA49" s="358"/>
      <c r="FB49" s="358"/>
      <c r="FC49" s="358"/>
      <c r="FD49" s="358"/>
      <c r="FE49" s="358"/>
      <c r="FF49" s="358"/>
      <c r="FG49" s="358"/>
      <c r="FH49" s="358"/>
      <c r="FI49" s="358"/>
      <c r="FJ49" s="358"/>
      <c r="FK49" s="358"/>
      <c r="FL49" s="358"/>
      <c r="FM49" s="358"/>
      <c r="FN49" s="358"/>
      <c r="FO49" s="358"/>
      <c r="FP49" s="358"/>
      <c r="FQ49" s="358"/>
      <c r="FR49" s="358"/>
      <c r="FS49" s="358"/>
      <c r="FT49" s="358"/>
      <c r="FU49" s="358"/>
      <c r="FV49" s="358"/>
      <c r="FW49" s="358"/>
      <c r="FX49" s="358"/>
      <c r="FY49" s="358"/>
      <c r="FZ49" s="358"/>
      <c r="GA49" s="358"/>
      <c r="GB49" s="358"/>
      <c r="GC49" s="358"/>
      <c r="GD49" s="358"/>
      <c r="GE49" s="358"/>
      <c r="GF49" s="358"/>
      <c r="GG49" s="358"/>
      <c r="GH49" s="358"/>
      <c r="GI49" s="358"/>
      <c r="GJ49" s="358"/>
      <c r="GK49" s="358"/>
      <c r="GL49" s="358"/>
      <c r="GM49" s="358"/>
      <c r="GN49" s="358"/>
      <c r="GO49" s="358"/>
      <c r="GP49" s="358"/>
      <c r="GQ49" s="358"/>
      <c r="GR49" s="358"/>
      <c r="GS49" s="358"/>
      <c r="GT49" s="358"/>
      <c r="GU49" s="358"/>
      <c r="GV49" s="358"/>
      <c r="GW49" s="358"/>
      <c r="GX49" s="358"/>
      <c r="GY49" s="358"/>
      <c r="GZ49" s="358"/>
      <c r="HA49" s="358"/>
      <c r="HB49" s="358"/>
      <c r="HC49" s="358"/>
      <c r="HD49" s="358"/>
      <c r="HE49" s="358"/>
      <c r="HF49" s="358"/>
      <c r="HG49" s="358"/>
      <c r="HH49" s="358"/>
      <c r="HI49" s="358"/>
      <c r="HJ49" s="358"/>
      <c r="HK49" s="358"/>
      <c r="HL49" s="358"/>
      <c r="HM49" s="358"/>
      <c r="HN49" s="358"/>
      <c r="HO49" s="358"/>
      <c r="HP49" s="358"/>
      <c r="HQ49" s="358"/>
      <c r="HR49" s="358"/>
      <c r="HS49" s="358"/>
      <c r="HT49" s="358"/>
      <c r="HU49" s="358"/>
      <c r="HV49" s="358"/>
      <c r="HW49" s="358"/>
      <c r="HX49" s="358"/>
      <c r="HY49" s="358"/>
      <c r="HZ49" s="358"/>
      <c r="IA49" s="358"/>
      <c r="IB49" s="358"/>
      <c r="IC49" s="358"/>
      <c r="ID49" s="358"/>
      <c r="IE49" s="358"/>
      <c r="IF49" s="358"/>
      <c r="IG49" s="358"/>
      <c r="IH49" s="358"/>
      <c r="II49" s="358"/>
      <c r="IJ49" s="358"/>
      <c r="IK49" s="358"/>
      <c r="IL49" s="358"/>
      <c r="IM49" s="358"/>
      <c r="IN49" s="358"/>
      <c r="IO49" s="358"/>
      <c r="IP49" s="358"/>
      <c r="IQ49" s="358"/>
      <c r="IW49" s="11"/>
    </row>
    <row r="50" customFormat="false" ht="13.5" hidden="true" customHeight="true" outlineLevel="0" collapsed="false">
      <c r="A50" s="108" t="n">
        <f aca="false">A48+1</f>
        <v>21</v>
      </c>
      <c r="B50" s="404"/>
      <c r="C50" s="403" t="n">
        <f aca="false">IF(ISERROR(VLOOKUP(D50,[31]일용직명단!$A$3:$I$105,2,FALSE())),0,VLOOKUP(D50,[31]일용직명단!$A$3:$I$105,2,FALSE()))</f>
        <v>0</v>
      </c>
      <c r="D50" s="110"/>
      <c r="E50" s="311" t="n">
        <f aca="false">IF(ISERROR(VLOOKUP(D50,[31]일용직명단!$A$3:$K$1220,3,FALSE())),0,VLOOKUP(D50,[31]일용직명단!$A$3:$K$1220,3,FALSE()))</f>
        <v>0</v>
      </c>
      <c r="F50" s="112" t="n">
        <f aca="false">IF(ISERROR(VLOOKUP(D50,일용직명단!$A$3:$K$1246,4,FALSE())),0,VLOOKUP(D50,일용직명단!$A$3:$K$1246,4,FALSE()))</f>
        <v>0</v>
      </c>
      <c r="G50" s="408"/>
      <c r="H50" s="114"/>
      <c r="I50" s="409"/>
      <c r="J50" s="409"/>
      <c r="K50" s="408"/>
      <c r="L50" s="409"/>
      <c r="M50" s="408"/>
      <c r="N50" s="408"/>
      <c r="O50" s="114"/>
      <c r="P50" s="114"/>
      <c r="Q50" s="408"/>
      <c r="R50" s="114"/>
      <c r="S50" s="409"/>
      <c r="T50" s="114"/>
      <c r="U50" s="409"/>
      <c r="V50" s="119"/>
      <c r="W50" s="144" t="n">
        <f aca="false">SUM(G50:V51)</f>
        <v>0</v>
      </c>
      <c r="X50" s="121" t="n">
        <f aca="false">IF(ISERROR(VLOOKUP(D50,일용직명단!$A$3:$K$1246,8,FALSE())),0,VLOOKUP(D50,일용직명단!$A$3:$K$1246,8,FALSE()))</f>
        <v>0</v>
      </c>
      <c r="Y50" s="122" t="n">
        <f aca="false">IFERROR(IF(AH50&gt;=65,0,ROUNDDOWN(X51*$AA$4,-1)),0)</f>
        <v>0</v>
      </c>
      <c r="Z50" s="122" t="n">
        <f aca="false">IF(AF50&gt;=8,ROUNDDOWN(X51*$N$4,-1),0)</f>
        <v>0</v>
      </c>
      <c r="AA50" s="123" t="n">
        <f aca="false">IFERROR(IF(AND(COUNT(G50:V51)&gt;=8,$AH50&lt;60,X51&lt;=5530000),ROUNDDOWN(ROUNDDOWN(X51,-3)*4.5%,-1),IF(AND(COUNT(G50:V51)&gt;=8,AH50&lt;60,X51&gt;5530000),248850,0)),0)</f>
        <v>0</v>
      </c>
      <c r="AB50" s="145" t="n">
        <f aca="false">+Y50+Z50+Y51+Z51+AA50+AA51</f>
        <v>0</v>
      </c>
      <c r="AC50" s="146" t="n">
        <f aca="false">X51-AB50</f>
        <v>0</v>
      </c>
      <c r="AD50" s="411" t="n">
        <f aca="false">IF(ISERROR(VLOOKUP(D50,[31]일용직명단!$A$3:$I$1200,5,FALSE())),0,VLOOKUP(D50,[31]일용직명단!$A$3:$I$1200,5,FALSE()))</f>
        <v>0</v>
      </c>
      <c r="AE50" s="412" t="n">
        <f aca="false">IF(ISERROR(VLOOKUP(D50,[31]일용직명단!$A$3:$I$1200,6,FALSE())),0,VLOOKUP(D50,[31]일용직명단!$A$3:$I$1200,6,FALSE()))</f>
        <v>0</v>
      </c>
      <c r="AF50" s="149" t="n">
        <f aca="false">COUNT(G50:V51)</f>
        <v>0</v>
      </c>
      <c r="AG50" s="129" t="str">
        <f aca="false">IF(OR(MID(E50,8,1)="1",MID(E50,8,1)="2"),19&amp;LEFT(E50,2),20&amp;LEFT(E50,2))&amp;"-"&amp;MID(E50,3,2)&amp;"-"&amp;MID(E50,5,2)</f>
        <v>200--</v>
      </c>
      <c r="AH50" s="129" t="e">
        <f aca="true">INT((TODAY()-AG50)/365.25)</f>
        <v>#VALUE!</v>
      </c>
      <c r="AI50" s="130" t="n">
        <f aca="false">ROUNDDOWN(SUM(AJ50:AY51),-1)</f>
        <v>0</v>
      </c>
      <c r="AJ50" s="130" t="n">
        <f aca="false">IF($X50*G50&gt;150000,($X50*G50-150000)*6%*45%,0)</f>
        <v>0</v>
      </c>
      <c r="AK50" s="130" t="n">
        <f aca="false">IF($X50*H50&gt;150000,($X50*H50-150000)*6%*45%,0)</f>
        <v>0</v>
      </c>
      <c r="AL50" s="130" t="n">
        <f aca="false">IF($X50*I50&gt;150000,($X50*I50-150000)*6%*45%,0)</f>
        <v>0</v>
      </c>
      <c r="AM50" s="130" t="n">
        <f aca="false">IF($X50*J50&gt;150000,($X50*J50-150000)*6%*45%,0)</f>
        <v>0</v>
      </c>
      <c r="AN50" s="130" t="n">
        <f aca="false">IF($X50*K50&gt;150000,($X50*K50-150000)*6%*45%,0)</f>
        <v>0</v>
      </c>
      <c r="AO50" s="130" t="n">
        <f aca="false">IF($X50*L50&gt;150000,($X50*L50-150000)*6%*45%,0)</f>
        <v>0</v>
      </c>
      <c r="AP50" s="130" t="n">
        <f aca="false">IF($X50*M50&gt;150000,($X50*M50-150000)*6%*45%,0)</f>
        <v>0</v>
      </c>
      <c r="AQ50" s="130" t="n">
        <f aca="false">IF($X50*N50&gt;150000,($X50*N50-150000)*6%*45%,0)</f>
        <v>0</v>
      </c>
      <c r="AR50" s="130" t="n">
        <f aca="false">IF($X50*O50&gt;150000,($X50*O50-150000)*6%*45%,0)</f>
        <v>0</v>
      </c>
      <c r="AS50" s="130" t="n">
        <f aca="false">IF($X50*P50&gt;150000,($X50*P50-150000)*6%*45%,0)</f>
        <v>0</v>
      </c>
      <c r="AT50" s="130" t="n">
        <f aca="false">IF($X50*Q50&gt;150000,($X50*Q50-150000)*6%*45%,0)</f>
        <v>0</v>
      </c>
      <c r="AU50" s="130" t="n">
        <f aca="false">IF($X50*R50&gt;150000,($X50*R50-150000)*6%*45%,0)</f>
        <v>0</v>
      </c>
      <c r="AV50" s="130" t="n">
        <f aca="false">IF($X50*S50&gt;150000,($X50*S50-150000)*6%*45%,0)</f>
        <v>0</v>
      </c>
      <c r="AW50" s="130" t="n">
        <f aca="false">IF($X50*T50&gt;150000,($X50*T50-150000)*6%*45%,0)</f>
        <v>0</v>
      </c>
      <c r="AX50" s="130" t="n">
        <f aca="false">IF($X50*U50&gt;150000,($X50*U50-150000)*6%*45%,0)</f>
        <v>0</v>
      </c>
      <c r="AY50" s="130"/>
      <c r="AZ50" s="131" t="n">
        <f aca="false">IF(ISERROR(VLOOKUP(D50,[32]일용직명단!$A$3:$M$1151,11,FALSE())),0,VLOOKUP(D50,[32]일용직명단!$A$3:$M$1151,11,FALSE()))</f>
        <v>0</v>
      </c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/>
    </row>
    <row r="51" customFormat="false" ht="13.5" hidden="true" customHeight="true" outlineLevel="0" collapsed="false">
      <c r="A51" s="108"/>
      <c r="B51" s="404"/>
      <c r="C51" s="403"/>
      <c r="D51" s="110"/>
      <c r="E51" s="311"/>
      <c r="F51" s="112" t="n">
        <f aca="false">IF(ISERROR(VLOOKUP(D50,일용직명단!$A$3:$K$1246,9,FALSE())),0,VLOOKUP(D50,일용직명단!$A$3:$K$1246,9,FALSE()))</f>
        <v>0</v>
      </c>
      <c r="G51" s="405"/>
      <c r="H51" s="406"/>
      <c r="I51" s="405"/>
      <c r="J51" s="136"/>
      <c r="K51" s="407"/>
      <c r="L51" s="136"/>
      <c r="M51" s="408"/>
      <c r="N51" s="408"/>
      <c r="O51" s="114"/>
      <c r="P51" s="409"/>
      <c r="Q51" s="114"/>
      <c r="R51" s="114"/>
      <c r="S51" s="408"/>
      <c r="T51" s="408"/>
      <c r="U51" s="408"/>
      <c r="V51" s="119"/>
      <c r="W51" s="144"/>
      <c r="X51" s="138" t="n">
        <f aca="false">X50*W50</f>
        <v>0</v>
      </c>
      <c r="Y51" s="122" t="n">
        <f aca="false">IF(AI50&lt;1000,0,AI50)</f>
        <v>0</v>
      </c>
      <c r="Z51" s="122" t="n">
        <f aca="false">ROUNDDOWN(Y51*10%,-1)</f>
        <v>0</v>
      </c>
      <c r="AA51" s="123" t="n">
        <f aca="false">IF(AF50&gt;=8,ROUNDDOWN(Z50*$R$4,-1),0)</f>
        <v>0</v>
      </c>
      <c r="AB51" s="145"/>
      <c r="AC51" s="146"/>
      <c r="AD51" s="412" t="n">
        <f aca="false">IF(ISERROR(VLOOKUP(D50,[31]일용직명단!$A$3:$I$1200,7,FALSE())),0,VLOOKUP(D50,[31]일용직명단!$A$3:$I$1200,7,FALSE()))</f>
        <v>0</v>
      </c>
      <c r="AE51" s="412"/>
      <c r="AF51" s="149"/>
      <c r="AG51" s="129"/>
      <c r="AH51" s="129"/>
      <c r="AI51" s="130"/>
      <c r="AJ51" s="130" t="n">
        <f aca="false">IF($X50*G51&gt;150000,($X50*G51-150000)*6%*45%,0)</f>
        <v>0</v>
      </c>
      <c r="AK51" s="130" t="n">
        <f aca="false">IF($X50*H51&gt;150000,($X50*H51-150000)*6%*45%,0)</f>
        <v>0</v>
      </c>
      <c r="AL51" s="130" t="n">
        <f aca="false">IF($X50*I51&gt;150000,($X50*I51-150000)*6%*45%,0)</f>
        <v>0</v>
      </c>
      <c r="AM51" s="130" t="n">
        <f aca="false">IF($X50*J51&gt;150000,($X50*J51-150000)*6%*45%,0)</f>
        <v>0</v>
      </c>
      <c r="AN51" s="130" t="n">
        <f aca="false">IF($X50*K51&gt;150000,($X50*K51-150000)*6%*45%,0)</f>
        <v>0</v>
      </c>
      <c r="AO51" s="130" t="n">
        <f aca="false">IF($X50*L51&gt;150000,($X50*L51-150000)*6%*45%,0)</f>
        <v>0</v>
      </c>
      <c r="AP51" s="130" t="n">
        <f aca="false">IF($X50*M51&gt;150000,($X50*M51-150000)*6%*45%,0)</f>
        <v>0</v>
      </c>
      <c r="AQ51" s="130" t="n">
        <f aca="false">IF($X50*N51&gt;150000,($X50*N51-150000)*6%*45%,0)</f>
        <v>0</v>
      </c>
      <c r="AR51" s="130" t="n">
        <f aca="false">IF($X50*O51&gt;150000,($X50*O51-150000)*6%*45%,0)</f>
        <v>0</v>
      </c>
      <c r="AS51" s="130" t="n">
        <f aca="false">IF($X50*P51&gt;150000,($X50*P51-150000)*6%*45%,0)</f>
        <v>0</v>
      </c>
      <c r="AT51" s="130" t="n">
        <f aca="false">IF($X50*Q51&gt;150000,($X50*Q51-150000)*6%*45%,0)</f>
        <v>0</v>
      </c>
      <c r="AU51" s="130" t="n">
        <f aca="false">IF($X50*R51&gt;150000,($X50*R51-150000)*6%*45%,0)</f>
        <v>0</v>
      </c>
      <c r="AV51" s="130" t="n">
        <f aca="false">IF($X50*S51&gt;150000,($X50*S51-150000)*6%*45%,0)</f>
        <v>0</v>
      </c>
      <c r="AW51" s="130" t="n">
        <f aca="false">IF($X50*T51&gt;150000,($X50*T51-150000)*6%*45%,0)</f>
        <v>0</v>
      </c>
      <c r="AX51" s="130" t="n">
        <f aca="false">IF($X50*U51&gt;150000,($X50*U51-150000)*6%*45%,0)</f>
        <v>0</v>
      </c>
      <c r="AY51" s="130" t="n">
        <f aca="false">IF($X50*V51&gt;150000,($X50*V51-150000)*6%*45%,0)</f>
        <v>0</v>
      </c>
      <c r="AZ51" s="13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</row>
    <row r="52" customFormat="false" ht="13.5" hidden="true" customHeight="true" outlineLevel="0" collapsed="false">
      <c r="A52" s="108" t="n">
        <f aca="false">A50+1</f>
        <v>22</v>
      </c>
      <c r="B52" s="402"/>
      <c r="C52" s="159"/>
      <c r="D52" s="206"/>
      <c r="E52" s="311" t="n">
        <f aca="false">IF(ISERROR(VLOOKUP(D52,[31]일용직명단!$A$3:$K$1220,3,FALSE())),0,VLOOKUP(D52,[31]일용직명단!$A$3:$K$1220,3,FALSE()))</f>
        <v>0</v>
      </c>
      <c r="F52" s="112" t="n">
        <f aca="false">IF(ISERROR(VLOOKUP(D52,일용직명단!$A$3:$K$1246,4,FALSE())),0,VLOOKUP(D52,일용직명단!$A$3:$K$1246,4,FALSE()))</f>
        <v>0</v>
      </c>
      <c r="G52" s="408"/>
      <c r="H52" s="114"/>
      <c r="I52" s="409"/>
      <c r="J52" s="409"/>
      <c r="K52" s="408"/>
      <c r="L52" s="409"/>
      <c r="M52" s="408"/>
      <c r="N52" s="408"/>
      <c r="O52" s="114"/>
      <c r="P52" s="114"/>
      <c r="Q52" s="408"/>
      <c r="R52" s="114"/>
      <c r="S52" s="409"/>
      <c r="T52" s="114"/>
      <c r="U52" s="409"/>
      <c r="V52" s="119"/>
      <c r="W52" s="144" t="n">
        <f aca="false">SUM(G52:V53)</f>
        <v>0</v>
      </c>
      <c r="X52" s="121" t="n">
        <f aca="false">IF(ISERROR(VLOOKUP(D52,일용직명단!$A$3:$K$1246,8,FALSE())),0,VLOOKUP(D52,일용직명단!$A$3:$K$1246,8,FALSE()))</f>
        <v>0</v>
      </c>
      <c r="Y52" s="122" t="n">
        <f aca="false">IFERROR(IF(AH52&gt;=65,0,ROUNDDOWN(X53*$AA$4,-1)),0)</f>
        <v>0</v>
      </c>
      <c r="Z52" s="122" t="n">
        <f aca="false">IF(AF52&gt;=8,ROUNDDOWN(X53*$N$4,-1),0)</f>
        <v>0</v>
      </c>
      <c r="AA52" s="123" t="n">
        <f aca="false">IFERROR(IF(AND(COUNT(G52:V53)&gt;=8,$AH52&lt;60,X53&lt;=5530000),ROUNDDOWN(ROUNDDOWN(X53,-3)*4.5%,-1),IF(AND(COUNT(G52:V53)&gt;=8,AH52&lt;60,X53&gt;5530000),248850,0)),0)</f>
        <v>0</v>
      </c>
      <c r="AB52" s="145" t="n">
        <f aca="false">+Y52+Z52+Y53+Z53+AA52+AA53</f>
        <v>0</v>
      </c>
      <c r="AC52" s="146" t="n">
        <f aca="false">X53-AB52</f>
        <v>0</v>
      </c>
      <c r="AD52" s="411" t="n">
        <f aca="false">IF(ISERROR(VLOOKUP(D52,[31]일용직명단!$A$3:$I$1200,5,FALSE())),0,VLOOKUP(D52,[31]일용직명단!$A$3:$I$1200,5,FALSE()))</f>
        <v>0</v>
      </c>
      <c r="AE52" s="412" t="n">
        <f aca="false">IF(ISERROR(VLOOKUP(D52,[31]일용직명단!$A$3:$I$1200,6,FALSE())),0,VLOOKUP(D52,[31]일용직명단!$A$3:$I$1200,6,FALSE()))</f>
        <v>0</v>
      </c>
      <c r="AF52" s="128" t="n">
        <f aca="false">COUNT(G52:V53)</f>
        <v>0</v>
      </c>
      <c r="AG52" s="129" t="str">
        <f aca="false">IF(OR(MID(E52,8,1)="1",MID(E52,8,1)="2"),19&amp;LEFT(E52,2),20&amp;LEFT(E52,2))&amp;"-"&amp;MID(E52,3,2)&amp;"-"&amp;MID(E52,5,2)</f>
        <v>200--</v>
      </c>
      <c r="AH52" s="129" t="e">
        <f aca="true">INT((TODAY()-AG52)/365.25)</f>
        <v>#VALUE!</v>
      </c>
      <c r="AI52" s="130" t="n">
        <f aca="false">ROUNDDOWN(SUM(AJ52:AY53),-1)</f>
        <v>0</v>
      </c>
      <c r="AJ52" s="130" t="n">
        <f aca="false">IF($X52*G52&gt;150000,($X52*G52-150000)*6%*45%,0)</f>
        <v>0</v>
      </c>
      <c r="AK52" s="130" t="n">
        <f aca="false">IF($X52*H52&gt;150000,($X52*H52-150000)*6%*45%,0)</f>
        <v>0</v>
      </c>
      <c r="AL52" s="130" t="n">
        <f aca="false">IF($X52*I52&gt;150000,($X52*I52-150000)*6%*45%,0)</f>
        <v>0</v>
      </c>
      <c r="AM52" s="130" t="n">
        <f aca="false">IF($X52*J52&gt;150000,($X52*J52-150000)*6%*45%,0)</f>
        <v>0</v>
      </c>
      <c r="AN52" s="130" t="n">
        <f aca="false">IF($X52*K52&gt;150000,($X52*K52-150000)*6%*45%,0)</f>
        <v>0</v>
      </c>
      <c r="AO52" s="130" t="n">
        <f aca="false">IF($X52*L52&gt;150000,($X52*L52-150000)*6%*45%,0)</f>
        <v>0</v>
      </c>
      <c r="AP52" s="130" t="n">
        <f aca="false">IF($X52*M52&gt;150000,($X52*M52-150000)*6%*45%,0)</f>
        <v>0</v>
      </c>
      <c r="AQ52" s="130" t="n">
        <f aca="false">IF($X52*N52&gt;150000,($X52*N52-150000)*6%*45%,0)</f>
        <v>0</v>
      </c>
      <c r="AR52" s="130" t="n">
        <f aca="false">IF($X52*O52&gt;150000,($X52*O52-150000)*6%*45%,0)</f>
        <v>0</v>
      </c>
      <c r="AS52" s="130" t="n">
        <f aca="false">IF($X52*P52&gt;150000,($X52*P52-150000)*6%*45%,0)</f>
        <v>0</v>
      </c>
      <c r="AT52" s="130" t="n">
        <f aca="false">IF($X52*Q52&gt;150000,($X52*Q52-150000)*6%*45%,0)</f>
        <v>0</v>
      </c>
      <c r="AU52" s="130" t="n">
        <f aca="false">IF($X52*R52&gt;150000,($X52*R52-150000)*6%*45%,0)</f>
        <v>0</v>
      </c>
      <c r="AV52" s="130" t="n">
        <f aca="false">IF($X52*S52&gt;150000,($X52*S52-150000)*6%*45%,0)</f>
        <v>0</v>
      </c>
      <c r="AW52" s="130" t="n">
        <f aca="false">IF($X52*T52&gt;150000,($X52*T52-150000)*6%*45%,0)</f>
        <v>0</v>
      </c>
      <c r="AX52" s="130" t="n">
        <f aca="false">IF($X52*U52&gt;150000,($X52*U52-150000)*6%*45%,0)</f>
        <v>0</v>
      </c>
      <c r="AY52" s="130"/>
      <c r="AZ52" s="131" t="n">
        <f aca="false">IF(ISERROR(VLOOKUP(AK5,[32]일용직명단!$A$3:$M$1151,11,FALSE())),0,VLOOKUP(AK5,[32]일용직명단!$A$3:$M$1151,11,FALSE()))</f>
        <v>0</v>
      </c>
      <c r="BA52" s="11"/>
      <c r="BB52" s="11"/>
      <c r="BC52" s="358"/>
      <c r="BD52" s="358"/>
      <c r="BE52" s="358"/>
      <c r="BF52" s="358"/>
      <c r="BG52" s="358"/>
      <c r="BH52" s="358"/>
      <c r="BI52" s="358"/>
      <c r="BJ52" s="358"/>
      <c r="BK52" s="358"/>
      <c r="BL52" s="358"/>
      <c r="BM52" s="358"/>
      <c r="BN52" s="358"/>
      <c r="BO52" s="358"/>
      <c r="BP52" s="358"/>
      <c r="BQ52" s="358"/>
      <c r="BR52" s="358"/>
      <c r="BS52" s="358"/>
      <c r="BT52" s="358"/>
      <c r="BU52" s="358"/>
      <c r="BV52" s="358"/>
      <c r="BW52" s="358"/>
      <c r="BX52" s="358"/>
      <c r="BY52" s="358"/>
      <c r="BZ52" s="358"/>
      <c r="CA52" s="358"/>
      <c r="CB52" s="358"/>
      <c r="CC52" s="358"/>
      <c r="CD52" s="358"/>
      <c r="CE52" s="358"/>
      <c r="CF52" s="358"/>
      <c r="CG52" s="358"/>
      <c r="CH52" s="358"/>
      <c r="CI52" s="358"/>
      <c r="CJ52" s="358"/>
      <c r="CK52" s="358"/>
      <c r="CL52" s="358"/>
      <c r="CM52" s="358"/>
      <c r="CN52" s="358"/>
      <c r="CO52" s="358"/>
      <c r="CP52" s="358"/>
      <c r="CQ52" s="358"/>
      <c r="CR52" s="358"/>
      <c r="CS52" s="358"/>
      <c r="CT52" s="358"/>
      <c r="CU52" s="358"/>
      <c r="CV52" s="358"/>
      <c r="CW52" s="358"/>
      <c r="CX52" s="358"/>
      <c r="CY52" s="358"/>
      <c r="CZ52" s="358"/>
      <c r="DA52" s="358"/>
      <c r="DB52" s="358"/>
      <c r="DC52" s="358"/>
      <c r="DD52" s="358"/>
      <c r="DE52" s="358"/>
      <c r="DF52" s="358"/>
      <c r="DG52" s="358"/>
      <c r="DH52" s="358"/>
      <c r="DI52" s="358"/>
      <c r="DJ52" s="358"/>
      <c r="DK52" s="358"/>
      <c r="DL52" s="358"/>
      <c r="DM52" s="358"/>
      <c r="DN52" s="358"/>
      <c r="DO52" s="358"/>
      <c r="DP52" s="358"/>
      <c r="DQ52" s="358"/>
      <c r="DR52" s="358"/>
      <c r="DS52" s="358"/>
      <c r="DT52" s="358"/>
      <c r="DU52" s="358"/>
      <c r="DV52" s="358"/>
      <c r="DW52" s="358"/>
      <c r="DX52" s="358"/>
      <c r="DY52" s="358"/>
      <c r="DZ52" s="358"/>
      <c r="EA52" s="358"/>
      <c r="EB52" s="358"/>
      <c r="EC52" s="358"/>
      <c r="ED52" s="358"/>
      <c r="EE52" s="358"/>
      <c r="EF52" s="358"/>
      <c r="EG52" s="358"/>
      <c r="EH52" s="358"/>
      <c r="EI52" s="358"/>
      <c r="EJ52" s="358"/>
      <c r="EK52" s="358"/>
      <c r="EL52" s="358"/>
      <c r="EM52" s="358"/>
      <c r="EN52" s="358"/>
      <c r="EO52" s="358"/>
      <c r="EP52" s="358"/>
      <c r="EQ52" s="358"/>
      <c r="ER52" s="358"/>
      <c r="ES52" s="358"/>
      <c r="ET52" s="358"/>
      <c r="EU52" s="358"/>
      <c r="EV52" s="358"/>
      <c r="EW52" s="358"/>
      <c r="EX52" s="358"/>
      <c r="EY52" s="358"/>
      <c r="EZ52" s="358"/>
      <c r="FA52" s="358"/>
      <c r="FB52" s="358"/>
      <c r="FC52" s="358"/>
      <c r="FD52" s="358"/>
      <c r="FE52" s="358"/>
      <c r="FF52" s="358"/>
      <c r="FG52" s="358"/>
      <c r="FH52" s="358"/>
      <c r="FI52" s="358"/>
      <c r="FJ52" s="358"/>
      <c r="FK52" s="358"/>
      <c r="FL52" s="358"/>
      <c r="FM52" s="358"/>
      <c r="FN52" s="358"/>
      <c r="FO52" s="358"/>
      <c r="FP52" s="358"/>
      <c r="FQ52" s="358"/>
      <c r="FR52" s="358"/>
      <c r="FS52" s="358"/>
      <c r="FT52" s="358"/>
      <c r="FU52" s="358"/>
      <c r="FV52" s="358"/>
      <c r="FW52" s="358"/>
      <c r="FX52" s="358"/>
      <c r="FY52" s="358"/>
      <c r="FZ52" s="358"/>
      <c r="GA52" s="358"/>
      <c r="GB52" s="358"/>
      <c r="GC52" s="358"/>
      <c r="GD52" s="358"/>
      <c r="GE52" s="358"/>
      <c r="GF52" s="358"/>
      <c r="GG52" s="358"/>
      <c r="GH52" s="358"/>
      <c r="GI52" s="358"/>
      <c r="GJ52" s="358"/>
      <c r="GK52" s="358"/>
      <c r="GL52" s="358"/>
      <c r="GM52" s="358"/>
      <c r="GN52" s="358"/>
      <c r="GO52" s="358"/>
      <c r="GP52" s="358"/>
      <c r="GQ52" s="358"/>
      <c r="GR52" s="358"/>
      <c r="GS52" s="358"/>
      <c r="GT52" s="358"/>
      <c r="GU52" s="358"/>
      <c r="GV52" s="358"/>
      <c r="GW52" s="358"/>
      <c r="GX52" s="358"/>
      <c r="GY52" s="358"/>
      <c r="GZ52" s="358"/>
      <c r="HA52" s="358"/>
      <c r="HB52" s="358"/>
      <c r="HC52" s="358"/>
      <c r="HD52" s="358"/>
      <c r="HE52" s="358"/>
      <c r="HF52" s="358"/>
      <c r="HG52" s="358"/>
      <c r="HH52" s="358"/>
      <c r="HI52" s="358"/>
      <c r="HJ52" s="358"/>
      <c r="HK52" s="358"/>
      <c r="HL52" s="358"/>
      <c r="HM52" s="358"/>
      <c r="HN52" s="358"/>
      <c r="HO52" s="358"/>
      <c r="HP52" s="358"/>
      <c r="HQ52" s="358"/>
      <c r="HR52" s="358"/>
      <c r="HS52" s="358"/>
      <c r="HT52" s="358"/>
      <c r="HU52" s="358"/>
      <c r="HV52" s="358"/>
      <c r="HW52" s="358"/>
      <c r="HX52" s="358"/>
      <c r="HY52" s="358"/>
      <c r="HZ52" s="358"/>
      <c r="IA52" s="358"/>
      <c r="IB52" s="358"/>
      <c r="IC52" s="358"/>
      <c r="ID52" s="358"/>
      <c r="IE52" s="358"/>
      <c r="IF52" s="358"/>
      <c r="IG52" s="358"/>
      <c r="IH52" s="358"/>
      <c r="II52" s="358"/>
      <c r="IJ52" s="358"/>
      <c r="IK52" s="358"/>
      <c r="IL52" s="358"/>
      <c r="IM52" s="358"/>
      <c r="IN52" s="358"/>
      <c r="IO52" s="358"/>
      <c r="IP52" s="358"/>
      <c r="IQ52" s="358"/>
    </row>
    <row r="53" customFormat="false" ht="13.5" hidden="true" customHeight="true" outlineLevel="0" collapsed="false">
      <c r="A53" s="108"/>
      <c r="B53" s="402"/>
      <c r="C53" s="159"/>
      <c r="D53" s="206"/>
      <c r="E53" s="311"/>
      <c r="F53" s="112" t="n">
        <f aca="false">IF(ISERROR(VLOOKUP(D52,일용직명단!$A$3:$K$1246,9,FALSE())),0,VLOOKUP(D52,일용직명단!$A$3:$K$1246,9,FALSE()))</f>
        <v>0</v>
      </c>
      <c r="G53" s="405"/>
      <c r="H53" s="406"/>
      <c r="I53" s="405"/>
      <c r="J53" s="136"/>
      <c r="K53" s="407"/>
      <c r="L53" s="136"/>
      <c r="M53" s="408"/>
      <c r="N53" s="408"/>
      <c r="O53" s="114"/>
      <c r="P53" s="409"/>
      <c r="Q53" s="114"/>
      <c r="R53" s="114"/>
      <c r="S53" s="408"/>
      <c r="T53" s="408"/>
      <c r="U53" s="408"/>
      <c r="V53" s="119"/>
      <c r="W53" s="144"/>
      <c r="X53" s="138" t="n">
        <f aca="false">X52*W52</f>
        <v>0</v>
      </c>
      <c r="Y53" s="122" t="n">
        <f aca="false">IF(AI52&lt;1000,0,AI52)</f>
        <v>0</v>
      </c>
      <c r="Z53" s="122" t="n">
        <f aca="false">ROUNDDOWN(Y53*10%,-1)</f>
        <v>0</v>
      </c>
      <c r="AA53" s="123" t="n">
        <f aca="false">IF(AF52&gt;=8,ROUNDDOWN(Z52*$R$4,-1),0)</f>
        <v>0</v>
      </c>
      <c r="AB53" s="145"/>
      <c r="AC53" s="146"/>
      <c r="AD53" s="412" t="n">
        <f aca="false">IF(ISERROR(VLOOKUP(D52,[31]일용직명단!$A$3:$I$1200,7,FALSE())),0,VLOOKUP(D52,[31]일용직명단!$A$3:$I$1200,7,FALSE()))</f>
        <v>0</v>
      </c>
      <c r="AE53" s="412"/>
      <c r="AF53" s="128"/>
      <c r="AG53" s="129"/>
      <c r="AH53" s="129"/>
      <c r="AI53" s="130"/>
      <c r="AJ53" s="130" t="n">
        <f aca="false">IF($X52*G53&gt;150000,($X52*G53-150000)*6%*45%,0)</f>
        <v>0</v>
      </c>
      <c r="AK53" s="130" t="n">
        <f aca="false">IF($X52*H53&gt;150000,($X52*H53-150000)*6%*45%,0)</f>
        <v>0</v>
      </c>
      <c r="AL53" s="130" t="n">
        <f aca="false">IF($X52*I53&gt;150000,($X52*I53-150000)*6%*45%,0)</f>
        <v>0</v>
      </c>
      <c r="AM53" s="130" t="n">
        <f aca="false">IF($X52*J53&gt;150000,($X52*J53-150000)*6%*45%,0)</f>
        <v>0</v>
      </c>
      <c r="AN53" s="130" t="n">
        <f aca="false">IF($X52*K53&gt;150000,($X52*K53-150000)*6%*45%,0)</f>
        <v>0</v>
      </c>
      <c r="AO53" s="130" t="n">
        <f aca="false">IF($X52*L53&gt;150000,($X52*L53-150000)*6%*45%,0)</f>
        <v>0</v>
      </c>
      <c r="AP53" s="130" t="n">
        <f aca="false">IF($X52*M53&gt;150000,($X52*M53-150000)*6%*45%,0)</f>
        <v>0</v>
      </c>
      <c r="AQ53" s="130" t="n">
        <f aca="false">IF($X52*N53&gt;150000,($X52*N53-150000)*6%*45%,0)</f>
        <v>0</v>
      </c>
      <c r="AR53" s="130" t="n">
        <f aca="false">IF($X52*O53&gt;150000,($X52*O53-150000)*6%*45%,0)</f>
        <v>0</v>
      </c>
      <c r="AS53" s="130" t="n">
        <f aca="false">IF($X52*P53&gt;150000,($X52*P53-150000)*6%*45%,0)</f>
        <v>0</v>
      </c>
      <c r="AT53" s="130" t="n">
        <f aca="false">IF($X52*Q53&gt;150000,($X52*Q53-150000)*6%*45%,0)</f>
        <v>0</v>
      </c>
      <c r="AU53" s="130" t="n">
        <f aca="false">IF($X52*R53&gt;150000,($X52*R53-150000)*6%*45%,0)</f>
        <v>0</v>
      </c>
      <c r="AV53" s="130" t="n">
        <f aca="false">IF($X52*S53&gt;150000,($X52*S53-150000)*6%*45%,0)</f>
        <v>0</v>
      </c>
      <c r="AW53" s="130" t="n">
        <f aca="false">IF($X52*T53&gt;150000,($X52*T53-150000)*6%*45%,0)</f>
        <v>0</v>
      </c>
      <c r="AX53" s="130" t="n">
        <f aca="false">IF($X52*U53&gt;150000,($X52*U53-150000)*6%*45%,0)</f>
        <v>0</v>
      </c>
      <c r="AY53" s="130" t="n">
        <f aca="false">IF($X52*V53&gt;150000,($X52*V53-150000)*6%*45%,0)</f>
        <v>0</v>
      </c>
      <c r="AZ53" s="131"/>
      <c r="BA53" s="11"/>
      <c r="BB53" s="11"/>
      <c r="BC53" s="358"/>
      <c r="BD53" s="358"/>
      <c r="BE53" s="358"/>
      <c r="BF53" s="358"/>
      <c r="BG53" s="358"/>
      <c r="BH53" s="358"/>
      <c r="BI53" s="358"/>
      <c r="BJ53" s="358"/>
      <c r="BK53" s="358"/>
      <c r="BL53" s="358"/>
      <c r="BM53" s="358"/>
      <c r="BN53" s="358"/>
      <c r="BO53" s="358"/>
      <c r="BP53" s="358"/>
      <c r="BQ53" s="358"/>
      <c r="BR53" s="358"/>
      <c r="BS53" s="358"/>
      <c r="BT53" s="358"/>
      <c r="BU53" s="358"/>
      <c r="BV53" s="358"/>
      <c r="BW53" s="358"/>
      <c r="BX53" s="358"/>
      <c r="BY53" s="358"/>
      <c r="BZ53" s="358"/>
      <c r="CA53" s="358"/>
      <c r="CB53" s="358"/>
      <c r="CC53" s="358"/>
      <c r="CD53" s="358"/>
      <c r="CE53" s="358"/>
      <c r="CF53" s="358"/>
      <c r="CG53" s="358"/>
      <c r="CH53" s="358"/>
      <c r="CI53" s="358"/>
      <c r="CJ53" s="358"/>
      <c r="CK53" s="358"/>
      <c r="CL53" s="358"/>
      <c r="CM53" s="358"/>
      <c r="CN53" s="358"/>
      <c r="CO53" s="358"/>
      <c r="CP53" s="358"/>
      <c r="CQ53" s="358"/>
      <c r="CR53" s="358"/>
      <c r="CS53" s="358"/>
      <c r="CT53" s="358"/>
      <c r="CU53" s="358"/>
      <c r="CV53" s="358"/>
      <c r="CW53" s="358"/>
      <c r="CX53" s="358"/>
      <c r="CY53" s="358"/>
      <c r="CZ53" s="358"/>
      <c r="DA53" s="358"/>
      <c r="DB53" s="358"/>
      <c r="DC53" s="358"/>
      <c r="DD53" s="358"/>
      <c r="DE53" s="358"/>
      <c r="DF53" s="358"/>
      <c r="DG53" s="358"/>
      <c r="DH53" s="358"/>
      <c r="DI53" s="358"/>
      <c r="DJ53" s="358"/>
      <c r="DK53" s="358"/>
      <c r="DL53" s="358"/>
      <c r="DM53" s="358"/>
      <c r="DN53" s="358"/>
      <c r="DO53" s="358"/>
      <c r="DP53" s="358"/>
      <c r="DQ53" s="358"/>
      <c r="DR53" s="358"/>
      <c r="DS53" s="358"/>
      <c r="DT53" s="358"/>
      <c r="DU53" s="358"/>
      <c r="DV53" s="358"/>
      <c r="DW53" s="358"/>
      <c r="DX53" s="358"/>
      <c r="DY53" s="358"/>
      <c r="DZ53" s="358"/>
      <c r="EA53" s="358"/>
      <c r="EB53" s="358"/>
      <c r="EC53" s="358"/>
      <c r="ED53" s="358"/>
      <c r="EE53" s="358"/>
      <c r="EF53" s="358"/>
      <c r="EG53" s="358"/>
      <c r="EH53" s="358"/>
      <c r="EI53" s="358"/>
      <c r="EJ53" s="358"/>
      <c r="EK53" s="358"/>
      <c r="EL53" s="358"/>
      <c r="EM53" s="358"/>
      <c r="EN53" s="358"/>
      <c r="EO53" s="358"/>
      <c r="EP53" s="358"/>
      <c r="EQ53" s="358"/>
      <c r="ER53" s="358"/>
      <c r="ES53" s="358"/>
      <c r="ET53" s="358"/>
      <c r="EU53" s="358"/>
      <c r="EV53" s="358"/>
      <c r="EW53" s="358"/>
      <c r="EX53" s="358"/>
      <c r="EY53" s="358"/>
      <c r="EZ53" s="358"/>
      <c r="FA53" s="358"/>
      <c r="FB53" s="358"/>
      <c r="FC53" s="358"/>
      <c r="FD53" s="358"/>
      <c r="FE53" s="358"/>
      <c r="FF53" s="358"/>
      <c r="FG53" s="358"/>
      <c r="FH53" s="358"/>
      <c r="FI53" s="358"/>
      <c r="FJ53" s="358"/>
      <c r="FK53" s="358"/>
      <c r="FL53" s="358"/>
      <c r="FM53" s="358"/>
      <c r="FN53" s="358"/>
      <c r="FO53" s="358"/>
      <c r="FP53" s="358"/>
      <c r="FQ53" s="358"/>
      <c r="FR53" s="358"/>
      <c r="FS53" s="358"/>
      <c r="FT53" s="358"/>
      <c r="FU53" s="358"/>
      <c r="FV53" s="358"/>
      <c r="FW53" s="358"/>
      <c r="FX53" s="358"/>
      <c r="FY53" s="358"/>
      <c r="FZ53" s="358"/>
      <c r="GA53" s="358"/>
      <c r="GB53" s="358"/>
      <c r="GC53" s="358"/>
      <c r="GD53" s="358"/>
      <c r="GE53" s="358"/>
      <c r="GF53" s="358"/>
      <c r="GG53" s="358"/>
      <c r="GH53" s="358"/>
      <c r="GI53" s="358"/>
      <c r="GJ53" s="358"/>
      <c r="GK53" s="358"/>
      <c r="GL53" s="358"/>
      <c r="GM53" s="358"/>
      <c r="GN53" s="358"/>
      <c r="GO53" s="358"/>
      <c r="GP53" s="358"/>
      <c r="GQ53" s="358"/>
      <c r="GR53" s="358"/>
      <c r="GS53" s="358"/>
      <c r="GT53" s="358"/>
      <c r="GU53" s="358"/>
      <c r="GV53" s="358"/>
      <c r="GW53" s="358"/>
      <c r="GX53" s="358"/>
      <c r="GY53" s="358"/>
      <c r="GZ53" s="358"/>
      <c r="HA53" s="358"/>
      <c r="HB53" s="358"/>
      <c r="HC53" s="358"/>
      <c r="HD53" s="358"/>
      <c r="HE53" s="358"/>
      <c r="HF53" s="358"/>
      <c r="HG53" s="358"/>
      <c r="HH53" s="358"/>
      <c r="HI53" s="358"/>
      <c r="HJ53" s="358"/>
      <c r="HK53" s="358"/>
      <c r="HL53" s="358"/>
      <c r="HM53" s="358"/>
      <c r="HN53" s="358"/>
      <c r="HO53" s="358"/>
      <c r="HP53" s="358"/>
      <c r="HQ53" s="358"/>
      <c r="HR53" s="358"/>
      <c r="HS53" s="358"/>
      <c r="HT53" s="358"/>
      <c r="HU53" s="358"/>
      <c r="HV53" s="358"/>
      <c r="HW53" s="358"/>
      <c r="HX53" s="358"/>
      <c r="HY53" s="358"/>
      <c r="HZ53" s="358"/>
      <c r="IA53" s="358"/>
      <c r="IB53" s="358"/>
      <c r="IC53" s="358"/>
      <c r="ID53" s="358"/>
      <c r="IE53" s="358"/>
      <c r="IF53" s="358"/>
      <c r="IG53" s="358"/>
      <c r="IH53" s="358"/>
      <c r="II53" s="358"/>
      <c r="IJ53" s="358"/>
      <c r="IK53" s="358"/>
      <c r="IL53" s="358"/>
      <c r="IM53" s="358"/>
      <c r="IN53" s="358"/>
      <c r="IO53" s="358"/>
      <c r="IP53" s="358"/>
      <c r="IQ53" s="358"/>
    </row>
    <row r="54" customFormat="false" ht="13.5" hidden="true" customHeight="true" outlineLevel="0" collapsed="false">
      <c r="A54" s="108" t="n">
        <f aca="false">A52+1</f>
        <v>23</v>
      </c>
      <c r="B54" s="389" t="e">
        <f aca="false">#REF!+1</f>
        <v>#REF!</v>
      </c>
      <c r="C54" s="159" t="n">
        <f aca="false">IF(ISERROR(VLOOKUP(D54,[31]일용직명단!$A$3:$I$105,2,FALSE())),0,VLOOKUP(D54,[31]일용직명단!$A$3:$I$105,2,FALSE()))</f>
        <v>0</v>
      </c>
      <c r="D54" s="290"/>
      <c r="E54" s="311" t="n">
        <f aca="false">IF(ISERROR(VLOOKUP(D54,[31]일용직명단!$A$3:$K$1220,3,FALSE())),0,VLOOKUP(D54,[31]일용직명단!$A$3:$K$1220,3,FALSE()))</f>
        <v>0</v>
      </c>
      <c r="F54" s="112" t="n">
        <f aca="false">IF(ISERROR(VLOOKUP(D54,일용직명단!$A$3:$K$1246,4,FALSE())),0,VLOOKUP(D54,일용직명단!$A$3:$K$1246,4,FALSE()))</f>
        <v>0</v>
      </c>
      <c r="G54" s="408"/>
      <c r="H54" s="114"/>
      <c r="I54" s="409"/>
      <c r="J54" s="409"/>
      <c r="K54" s="408"/>
      <c r="L54" s="409"/>
      <c r="M54" s="408"/>
      <c r="N54" s="408"/>
      <c r="O54" s="114"/>
      <c r="P54" s="114"/>
      <c r="Q54" s="408"/>
      <c r="R54" s="114"/>
      <c r="S54" s="409"/>
      <c r="T54" s="114"/>
      <c r="U54" s="409"/>
      <c r="V54" s="119"/>
      <c r="W54" s="144" t="n">
        <f aca="false">SUM(G54:V55)</f>
        <v>0</v>
      </c>
      <c r="X54" s="121" t="n">
        <f aca="false">IF(ISERROR(VLOOKUP(D54,일용직명단!$A$3:$K$1246,8,FALSE())),0,VLOOKUP(D54,일용직명단!$A$3:$K$1246,8,FALSE()))</f>
        <v>0</v>
      </c>
      <c r="Y54" s="122" t="n">
        <f aca="false">IFERROR(IF(AH54&gt;=65,0,ROUNDDOWN(X55*$AA$4,-1)),0)</f>
        <v>0</v>
      </c>
      <c r="Z54" s="122" t="n">
        <f aca="false">IF(AF54&gt;=8,ROUNDDOWN(X55*$N$4,-1),0)</f>
        <v>0</v>
      </c>
      <c r="AA54" s="123" t="n">
        <f aca="false">IFERROR(IF(AND(COUNT(G54:V55)&gt;=8,$AH54&lt;60,X55&lt;=5530000),ROUNDDOWN(ROUNDDOWN(X55,-3)*4.5%,-1),IF(AND(COUNT(G54:V55)&gt;=8,AH54&lt;60,X55&gt;5530000),248850,0)),0)</f>
        <v>0</v>
      </c>
      <c r="AB54" s="145" t="n">
        <f aca="false">+Y54+Z54+Y55+Z55+AA54+AA55</f>
        <v>0</v>
      </c>
      <c r="AC54" s="146" t="n">
        <f aca="false">X55-AB54</f>
        <v>0</v>
      </c>
      <c r="AD54" s="411" t="n">
        <f aca="false">IF(ISERROR(VLOOKUP(D54,[31]일용직명단!$A$3:$I$1200,5,FALSE())),0,VLOOKUP(D54,[31]일용직명단!$A$3:$I$1200,5,FALSE()))</f>
        <v>0</v>
      </c>
      <c r="AE54" s="412" t="n">
        <f aca="false">IF(ISERROR(VLOOKUP(D54,[31]일용직명단!$A$3:$I$1200,6,FALSE())),0,VLOOKUP(D54,[31]일용직명단!$A$3:$I$1200,6,FALSE()))</f>
        <v>0</v>
      </c>
      <c r="AF54" s="128" t="n">
        <f aca="false">COUNT(G54:V55)</f>
        <v>0</v>
      </c>
      <c r="AG54" s="129" t="str">
        <f aca="false">IF(OR(MID(E54,8,1)="1",MID(E54,8,1)="2"),19&amp;LEFT(E54,2),20&amp;LEFT(E54,2))&amp;"-"&amp;MID(E54,3,2)&amp;"-"&amp;MID(E54,5,2)</f>
        <v>200--</v>
      </c>
      <c r="AH54" s="129" t="e">
        <f aca="true">INT((TODAY()-AG54)/365.25)</f>
        <v>#VALUE!</v>
      </c>
      <c r="AI54" s="130" t="n">
        <f aca="false">ROUNDDOWN(SUM(AJ54:AY55),-1)</f>
        <v>0</v>
      </c>
      <c r="AJ54" s="130" t="n">
        <f aca="false">IF($X54*G54&gt;150000,($X54*G54-150000)*6%*45%,0)</f>
        <v>0</v>
      </c>
      <c r="AK54" s="130" t="n">
        <f aca="false">IF($X54*H54&gt;150000,($X54*H54-150000)*6%*45%,0)</f>
        <v>0</v>
      </c>
      <c r="AL54" s="130" t="n">
        <f aca="false">IF($X54*I54&gt;150000,($X54*I54-150000)*6%*45%,0)</f>
        <v>0</v>
      </c>
      <c r="AM54" s="130" t="n">
        <f aca="false">IF($X54*J54&gt;150000,($X54*J54-150000)*6%*45%,0)</f>
        <v>0</v>
      </c>
      <c r="AN54" s="130" t="n">
        <f aca="false">IF($X54*K54&gt;150000,($X54*K54-150000)*6%*45%,0)</f>
        <v>0</v>
      </c>
      <c r="AO54" s="130" t="n">
        <f aca="false">IF($X54*L54&gt;150000,($X54*L54-150000)*6%*45%,0)</f>
        <v>0</v>
      </c>
      <c r="AP54" s="130" t="n">
        <f aca="false">IF($X54*M54&gt;150000,($X54*M54-150000)*6%*45%,0)</f>
        <v>0</v>
      </c>
      <c r="AQ54" s="130" t="n">
        <f aca="false">IF($X54*N54&gt;150000,($X54*N54-150000)*6%*45%,0)</f>
        <v>0</v>
      </c>
      <c r="AR54" s="130" t="n">
        <f aca="false">IF($X54*O54&gt;150000,($X54*O54-150000)*6%*45%,0)</f>
        <v>0</v>
      </c>
      <c r="AS54" s="130" t="n">
        <f aca="false">IF($X54*P54&gt;150000,($X54*P54-150000)*6%*45%,0)</f>
        <v>0</v>
      </c>
      <c r="AT54" s="130" t="n">
        <f aca="false">IF($X54*Q54&gt;150000,($X54*Q54-150000)*6%*45%,0)</f>
        <v>0</v>
      </c>
      <c r="AU54" s="130" t="n">
        <f aca="false">IF($X54*R54&gt;150000,($X54*R54-150000)*6%*45%,0)</f>
        <v>0</v>
      </c>
      <c r="AV54" s="130" t="n">
        <f aca="false">IF($X54*S54&gt;150000,($X54*S54-150000)*6%*45%,0)</f>
        <v>0</v>
      </c>
      <c r="AW54" s="130" t="n">
        <f aca="false">IF($X54*T54&gt;150000,($X54*T54-150000)*6%*45%,0)</f>
        <v>0</v>
      </c>
      <c r="AX54" s="130" t="n">
        <f aca="false">IF($X54*U54&gt;150000,($X54*U54-150000)*6%*45%,0)</f>
        <v>0</v>
      </c>
      <c r="AY54" s="130"/>
      <c r="AZ54" s="131" t="n">
        <f aca="false">IF(ISERROR(VLOOKUP(D54,[32]일용직명단!$A$3:$M$1151,11,FALSE())),0,VLOOKUP(D54,[32]일용직명단!$A$3:$M$1151,11,FALSE()))</f>
        <v>0</v>
      </c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/>
    </row>
    <row r="55" customFormat="false" ht="13.5" hidden="true" customHeight="true" outlineLevel="0" collapsed="false">
      <c r="A55" s="108"/>
      <c r="B55" s="389"/>
      <c r="C55" s="159"/>
      <c r="D55" s="290"/>
      <c r="E55" s="311"/>
      <c r="F55" s="112" t="n">
        <f aca="false">IF(ISERROR(VLOOKUP(D54,일용직명단!$A$3:$K$1246,9,FALSE())),0,VLOOKUP(D54,일용직명단!$A$3:$K$1246,9,FALSE()))</f>
        <v>0</v>
      </c>
      <c r="G55" s="405"/>
      <c r="H55" s="406"/>
      <c r="I55" s="405"/>
      <c r="J55" s="136"/>
      <c r="K55" s="407"/>
      <c r="L55" s="136"/>
      <c r="M55" s="408"/>
      <c r="N55" s="408"/>
      <c r="O55" s="114"/>
      <c r="P55" s="409"/>
      <c r="Q55" s="114"/>
      <c r="R55" s="114"/>
      <c r="S55" s="408"/>
      <c r="T55" s="408"/>
      <c r="U55" s="408"/>
      <c r="V55" s="119"/>
      <c r="W55" s="144"/>
      <c r="X55" s="138" t="n">
        <f aca="false">X54*W54</f>
        <v>0</v>
      </c>
      <c r="Y55" s="122" t="n">
        <f aca="false">IF(AI54&lt;1000,0,AI54)</f>
        <v>0</v>
      </c>
      <c r="Z55" s="122" t="n">
        <f aca="false">ROUNDDOWN(Y55*10%,-1)</f>
        <v>0</v>
      </c>
      <c r="AA55" s="123" t="n">
        <f aca="false">IF(AF54&gt;=8,ROUNDDOWN(Z54*$R$4,-1),0)</f>
        <v>0</v>
      </c>
      <c r="AB55" s="145"/>
      <c r="AC55" s="146"/>
      <c r="AD55" s="412" t="n">
        <f aca="false">IF(ISERROR(VLOOKUP(D54,[31]일용직명단!$A$3:$I$1200,7,FALSE())),0,VLOOKUP(D54,[31]일용직명단!$A$3:$I$1200,7,FALSE()))</f>
        <v>0</v>
      </c>
      <c r="AE55" s="412"/>
      <c r="AF55" s="128"/>
      <c r="AG55" s="129"/>
      <c r="AH55" s="129"/>
      <c r="AI55" s="130"/>
      <c r="AJ55" s="130" t="n">
        <f aca="false">IF($X54*G55&gt;150000,($X54*G55-150000)*6%*45%,0)</f>
        <v>0</v>
      </c>
      <c r="AK55" s="130" t="n">
        <f aca="false">IF($X54*H55&gt;150000,($X54*H55-150000)*6%*45%,0)</f>
        <v>0</v>
      </c>
      <c r="AL55" s="130" t="n">
        <f aca="false">IF($X54*I55&gt;150000,($X54*I55-150000)*6%*45%,0)</f>
        <v>0</v>
      </c>
      <c r="AM55" s="130" t="n">
        <f aca="false">IF($X54*J55&gt;150000,($X54*J55-150000)*6%*45%,0)</f>
        <v>0</v>
      </c>
      <c r="AN55" s="130" t="n">
        <f aca="false">IF($X54*K55&gt;150000,($X54*K55-150000)*6%*45%,0)</f>
        <v>0</v>
      </c>
      <c r="AO55" s="130" t="n">
        <f aca="false">IF($X54*L55&gt;150000,($X54*L55-150000)*6%*45%,0)</f>
        <v>0</v>
      </c>
      <c r="AP55" s="130" t="n">
        <f aca="false">IF($X54*M55&gt;150000,($X54*M55-150000)*6%*45%,0)</f>
        <v>0</v>
      </c>
      <c r="AQ55" s="130" t="n">
        <f aca="false">IF($X54*N55&gt;150000,($X54*N55-150000)*6%*45%,0)</f>
        <v>0</v>
      </c>
      <c r="AR55" s="130" t="n">
        <f aca="false">IF($X54*O55&gt;150000,($X54*O55-150000)*6%*45%,0)</f>
        <v>0</v>
      </c>
      <c r="AS55" s="130" t="n">
        <f aca="false">IF($X54*P55&gt;150000,($X54*P55-150000)*6%*45%,0)</f>
        <v>0</v>
      </c>
      <c r="AT55" s="130" t="n">
        <f aca="false">IF($X54*Q55&gt;150000,($X54*Q55-150000)*6%*45%,0)</f>
        <v>0</v>
      </c>
      <c r="AU55" s="130" t="n">
        <f aca="false">IF($X54*R55&gt;150000,($X54*R55-150000)*6%*45%,0)</f>
        <v>0</v>
      </c>
      <c r="AV55" s="130" t="n">
        <f aca="false">IF($X54*S55&gt;150000,($X54*S55-150000)*6%*45%,0)</f>
        <v>0</v>
      </c>
      <c r="AW55" s="130" t="n">
        <f aca="false">IF($X54*T55&gt;150000,($X54*T55-150000)*6%*45%,0)</f>
        <v>0</v>
      </c>
      <c r="AX55" s="130" t="n">
        <f aca="false">IF($X54*U55&gt;150000,($X54*U55-150000)*6%*45%,0)</f>
        <v>0</v>
      </c>
      <c r="AY55" s="130" t="n">
        <f aca="false">IF($X54*V55&gt;150000,($X54*V55-150000)*6%*45%,0)</f>
        <v>0</v>
      </c>
      <c r="AZ55" s="13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</row>
    <row r="56" customFormat="false" ht="13.5" hidden="true" customHeight="true" outlineLevel="0" collapsed="false">
      <c r="A56" s="108" t="n">
        <f aca="false">A54+1</f>
        <v>24</v>
      </c>
      <c r="B56" s="402"/>
      <c r="C56" s="159"/>
      <c r="D56" s="203"/>
      <c r="E56" s="311" t="n">
        <f aca="false">IF(ISERROR(VLOOKUP(D56,[33]일용직명단!$A$3:$K$1183,3,FALSE())),0,VLOOKUP(D56,[33]일용직명단!$A$3:$K$1183,3,FALSE()))</f>
        <v>0</v>
      </c>
      <c r="F56" s="112" t="n">
        <f aca="false">IF(ISERROR(VLOOKUP(D56,일용직명단!$A$3:$K$1246,4,FALSE())),0,VLOOKUP(D56,일용직명단!$A$3:$K$1246,4,FALSE()))</f>
        <v>0</v>
      </c>
      <c r="G56" s="408"/>
      <c r="H56" s="114"/>
      <c r="I56" s="409"/>
      <c r="J56" s="409"/>
      <c r="K56" s="408"/>
      <c r="L56" s="409"/>
      <c r="M56" s="408"/>
      <c r="N56" s="408"/>
      <c r="O56" s="114"/>
      <c r="P56" s="114"/>
      <c r="Q56" s="408"/>
      <c r="R56" s="114"/>
      <c r="S56" s="409"/>
      <c r="T56" s="114"/>
      <c r="U56" s="409"/>
      <c r="V56" s="119"/>
      <c r="W56" s="144" t="n">
        <f aca="false">SUM(G56:V57)</f>
        <v>0</v>
      </c>
      <c r="X56" s="121" t="n">
        <f aca="false">IF(ISERROR(VLOOKUP(D56,일용직명단!$A$3:$K$1246,8,FALSE())),0,VLOOKUP(D56,일용직명단!$A$3:$K$1246,8,FALSE()))</f>
        <v>0</v>
      </c>
      <c r="Y56" s="122" t="n">
        <f aca="false">IFERROR(IF(AH56&gt;=65,0,ROUNDDOWN(X57*$AA$4,-1)),0)</f>
        <v>0</v>
      </c>
      <c r="Z56" s="122" t="n">
        <f aca="false">IF(AF56&gt;=8,ROUNDDOWN(X57*$N$4,-1),0)</f>
        <v>0</v>
      </c>
      <c r="AA56" s="123" t="n">
        <f aca="false">IFERROR(IF(AND(COUNT(G56:V57)&gt;=8,$AH56&lt;60,X57&lt;=5530000),ROUNDDOWN(ROUNDDOWN(X57,-3)*4.5%,-1),IF(AND(COUNT(G56:V57)&gt;=8,AH56&lt;60,X57&gt;5530000),248850,0)),0)</f>
        <v>0</v>
      </c>
      <c r="AB56" s="145" t="n">
        <f aca="false">+Y56+Z56+Y57+Z57+AA56+AA57</f>
        <v>0</v>
      </c>
      <c r="AC56" s="146" t="n">
        <f aca="false">X57-AB56</f>
        <v>0</v>
      </c>
      <c r="AD56" s="157" t="n">
        <f aca="false">IF(ISERROR(VLOOKUP(D56,[31]일용직명단!$A$3:$I$1200,5,FALSE())),0,VLOOKUP(D56,[31]일용직명단!$A$3:$I$1200,5,FALSE()))</f>
        <v>0</v>
      </c>
      <c r="AE56" s="158" t="n">
        <f aca="false">IF(ISERROR(VLOOKUP(D56,[31]일용직명단!$A$3:$I$1200,6,FALSE())),0,VLOOKUP(D56,[31]일용직명단!$A$3:$I$1200,6,FALSE()))</f>
        <v>0</v>
      </c>
      <c r="AF56" s="141" t="n">
        <f aca="false">COUNT(G56:V57)</f>
        <v>0</v>
      </c>
      <c r="AG56" s="129" t="str">
        <f aca="false">IF(OR(MID(E56,8,1)="1",MID(E56,8,1)="2"),19&amp;LEFT(E56,2),20&amp;LEFT(E56,2))&amp;"-"&amp;MID(E56,3,2)&amp;"-"&amp;MID(E56,5,2)</f>
        <v>200--</v>
      </c>
      <c r="AH56" s="129" t="e">
        <f aca="true">INT((TODAY()-AG56)/365.25)</f>
        <v>#VALUE!</v>
      </c>
      <c r="AI56" s="161" t="n">
        <f aca="false">ROUNDDOWN(SUM(AJ56:AY57),-1)</f>
        <v>0</v>
      </c>
      <c r="AJ56" s="130" t="n">
        <f aca="false">IF($X56*G56&gt;150000,($X56*G56-150000)*6%*45%,0)</f>
        <v>0</v>
      </c>
      <c r="AK56" s="130" t="n">
        <f aca="false">IF($X56*H56&gt;150000,($X56*H56-150000)*6%*45%,0)</f>
        <v>0</v>
      </c>
      <c r="AL56" s="130" t="n">
        <f aca="false">IF($X56*I56&gt;150000,($X56*I56-150000)*6%*45%,0)</f>
        <v>0</v>
      </c>
      <c r="AM56" s="130" t="n">
        <f aca="false">IF($X56*J56&gt;150000,($X56*J56-150000)*6%*45%,0)</f>
        <v>0</v>
      </c>
      <c r="AN56" s="130" t="n">
        <f aca="false">IF($X56*K56&gt;150000,($X56*K56-150000)*6%*45%,0)</f>
        <v>0</v>
      </c>
      <c r="AO56" s="130" t="n">
        <f aca="false">IF($X56*L56&gt;150000,($X56*L56-150000)*6%*45%,0)</f>
        <v>0</v>
      </c>
      <c r="AP56" s="130" t="n">
        <f aca="false">IF($X56*M56&gt;150000,($X56*M56-150000)*6%*45%,0)</f>
        <v>0</v>
      </c>
      <c r="AQ56" s="130" t="n">
        <f aca="false">IF($X56*N56&gt;150000,($X56*N56-150000)*6%*45%,0)</f>
        <v>0</v>
      </c>
      <c r="AR56" s="130" t="n">
        <f aca="false">IF($X56*O56&gt;150000,($X56*O56-150000)*6%*45%,0)</f>
        <v>0</v>
      </c>
      <c r="AS56" s="130" t="n">
        <f aca="false">IF($X56*P56&gt;150000,($X56*P56-150000)*6%*45%,0)</f>
        <v>0</v>
      </c>
      <c r="AT56" s="130" t="n">
        <f aca="false">IF($X56*Q56&gt;150000,($X56*Q56-150000)*6%*45%,0)</f>
        <v>0</v>
      </c>
      <c r="AU56" s="130" t="n">
        <f aca="false">IF($X56*R56&gt;150000,($X56*R56-150000)*6%*45%,0)</f>
        <v>0</v>
      </c>
      <c r="AV56" s="130" t="n">
        <f aca="false">IF($X56*S56&gt;150000,($X56*S56-150000)*6%*45%,0)</f>
        <v>0</v>
      </c>
      <c r="AW56" s="130" t="n">
        <f aca="false">IF($X56*T56&gt;150000,($X56*T56-150000)*6%*45%,0)</f>
        <v>0</v>
      </c>
      <c r="AX56" s="130" t="n">
        <f aca="false">IF($X56*U56&gt;150000,($X56*U56-150000)*6%*45%,0)</f>
        <v>0</v>
      </c>
      <c r="AY56" s="130"/>
      <c r="AZ56" s="162" t="n">
        <f aca="false">IF(ISERROR(VLOOKUP(D56,[27]일용직명단!$A$3:$M$1151,11,FALSE())),0,VLOOKUP(D56,[27]일용직명단!$A$3:$M$1151,11,FALSE()))</f>
        <v>0</v>
      </c>
      <c r="BA56" s="163"/>
      <c r="BB56" s="163"/>
      <c r="BC56" s="358"/>
      <c r="BD56" s="358"/>
      <c r="BE56" s="358"/>
      <c r="BF56" s="358"/>
      <c r="BG56" s="358"/>
      <c r="BH56" s="358"/>
      <c r="BI56" s="358"/>
      <c r="BJ56" s="358"/>
      <c r="BK56" s="358"/>
      <c r="BL56" s="358"/>
      <c r="BM56" s="358"/>
      <c r="BN56" s="358"/>
      <c r="BO56" s="358"/>
      <c r="BP56" s="358"/>
      <c r="BQ56" s="358"/>
      <c r="BR56" s="358"/>
      <c r="BS56" s="358"/>
      <c r="BT56" s="358"/>
      <c r="BU56" s="358"/>
      <c r="BV56" s="358"/>
      <c r="BW56" s="358"/>
      <c r="BX56" s="358"/>
      <c r="BY56" s="358"/>
      <c r="BZ56" s="358"/>
      <c r="CA56" s="358"/>
      <c r="CB56" s="358"/>
      <c r="CC56" s="358"/>
      <c r="CD56" s="358"/>
      <c r="CE56" s="358"/>
      <c r="CF56" s="358"/>
      <c r="CG56" s="358"/>
      <c r="CH56" s="358"/>
      <c r="CI56" s="358"/>
      <c r="CJ56" s="358"/>
      <c r="CK56" s="358"/>
      <c r="CL56" s="358"/>
      <c r="CM56" s="358"/>
      <c r="CN56" s="358"/>
      <c r="CO56" s="358"/>
      <c r="CP56" s="358"/>
      <c r="CQ56" s="358"/>
      <c r="CR56" s="358"/>
      <c r="CS56" s="358"/>
      <c r="CT56" s="358"/>
      <c r="CU56" s="358"/>
      <c r="CV56" s="358"/>
      <c r="CW56" s="358"/>
      <c r="CX56" s="358"/>
      <c r="CY56" s="358"/>
      <c r="CZ56" s="358"/>
      <c r="DA56" s="358"/>
      <c r="DB56" s="358"/>
      <c r="DC56" s="358"/>
      <c r="DD56" s="358"/>
      <c r="DE56" s="358"/>
      <c r="DF56" s="358"/>
      <c r="DG56" s="358"/>
      <c r="DH56" s="358"/>
      <c r="DI56" s="358"/>
      <c r="DJ56" s="358"/>
      <c r="DK56" s="358"/>
      <c r="DL56" s="358"/>
      <c r="DM56" s="358"/>
      <c r="DN56" s="358"/>
      <c r="DO56" s="358"/>
      <c r="DP56" s="358"/>
      <c r="DQ56" s="358"/>
      <c r="DR56" s="358"/>
      <c r="DS56" s="358"/>
      <c r="DT56" s="358"/>
      <c r="DU56" s="358"/>
      <c r="DV56" s="358"/>
      <c r="DW56" s="358"/>
      <c r="DX56" s="358"/>
      <c r="DY56" s="358"/>
      <c r="DZ56" s="358"/>
      <c r="EA56" s="358"/>
      <c r="EB56" s="358"/>
      <c r="EC56" s="358"/>
      <c r="ED56" s="358"/>
      <c r="EE56" s="358"/>
      <c r="EF56" s="358"/>
      <c r="EG56" s="358"/>
      <c r="EH56" s="358"/>
      <c r="EI56" s="358"/>
      <c r="EJ56" s="358"/>
      <c r="EK56" s="358"/>
      <c r="EL56" s="358"/>
      <c r="EM56" s="358"/>
      <c r="EN56" s="358"/>
      <c r="EO56" s="358"/>
      <c r="EP56" s="358"/>
      <c r="EQ56" s="358"/>
      <c r="ER56" s="358"/>
      <c r="ES56" s="358"/>
      <c r="ET56" s="358"/>
      <c r="EU56" s="358"/>
      <c r="EV56" s="358"/>
      <c r="EW56" s="358"/>
      <c r="EX56" s="358"/>
      <c r="EY56" s="358"/>
      <c r="EZ56" s="358"/>
      <c r="FA56" s="358"/>
      <c r="FB56" s="358"/>
      <c r="FC56" s="358"/>
      <c r="FD56" s="358"/>
      <c r="FE56" s="358"/>
      <c r="FF56" s="358"/>
      <c r="FG56" s="358"/>
      <c r="FH56" s="358"/>
      <c r="FI56" s="358"/>
      <c r="FJ56" s="358"/>
      <c r="FK56" s="358"/>
      <c r="FL56" s="358"/>
      <c r="FM56" s="358"/>
      <c r="FN56" s="358"/>
      <c r="FO56" s="358"/>
      <c r="FP56" s="358"/>
      <c r="FQ56" s="358"/>
      <c r="FR56" s="358"/>
      <c r="FS56" s="358"/>
      <c r="FT56" s="358"/>
      <c r="FU56" s="358"/>
      <c r="FV56" s="358"/>
      <c r="FW56" s="358"/>
      <c r="FX56" s="358"/>
      <c r="FY56" s="358"/>
      <c r="FZ56" s="358"/>
      <c r="GA56" s="358"/>
      <c r="GB56" s="358"/>
      <c r="GC56" s="358"/>
      <c r="GD56" s="358"/>
      <c r="GE56" s="358"/>
      <c r="GF56" s="358"/>
      <c r="GG56" s="358"/>
      <c r="GH56" s="358"/>
      <c r="GI56" s="358"/>
      <c r="GJ56" s="358"/>
      <c r="GK56" s="358"/>
      <c r="GL56" s="358"/>
      <c r="GM56" s="358"/>
      <c r="GN56" s="358"/>
      <c r="GO56" s="358"/>
      <c r="GP56" s="358"/>
      <c r="GQ56" s="358"/>
      <c r="GR56" s="358"/>
      <c r="GS56" s="358"/>
      <c r="GT56" s="358"/>
      <c r="GU56" s="358"/>
      <c r="GV56" s="358"/>
      <c r="GW56" s="358"/>
      <c r="GX56" s="358"/>
      <c r="GY56" s="358"/>
      <c r="GZ56" s="358"/>
      <c r="HA56" s="358"/>
      <c r="HB56" s="358"/>
      <c r="HC56" s="358"/>
      <c r="HD56" s="358"/>
      <c r="HE56" s="358"/>
      <c r="HF56" s="358"/>
      <c r="HG56" s="358"/>
      <c r="HH56" s="358"/>
      <c r="HI56" s="358"/>
      <c r="HJ56" s="358"/>
      <c r="HK56" s="358"/>
      <c r="HL56" s="358"/>
      <c r="HM56" s="358"/>
      <c r="HN56" s="358"/>
      <c r="HO56" s="358"/>
      <c r="HP56" s="358"/>
      <c r="HQ56" s="358"/>
      <c r="HR56" s="358"/>
      <c r="HS56" s="358"/>
      <c r="HT56" s="358"/>
      <c r="HU56" s="358"/>
      <c r="HV56" s="358"/>
      <c r="HW56" s="358"/>
      <c r="HX56" s="358"/>
      <c r="HY56" s="358"/>
      <c r="HZ56" s="358"/>
      <c r="IA56" s="358"/>
      <c r="IB56" s="358"/>
      <c r="IC56" s="358"/>
      <c r="ID56" s="358"/>
      <c r="IE56" s="358"/>
      <c r="IF56" s="358"/>
      <c r="IG56" s="358"/>
      <c r="IH56" s="358"/>
      <c r="II56" s="358"/>
      <c r="IJ56" s="358"/>
      <c r="IK56" s="358"/>
      <c r="IL56" s="358"/>
      <c r="IM56" s="358"/>
      <c r="IN56" s="358"/>
      <c r="IO56" s="358"/>
      <c r="IP56" s="358"/>
      <c r="IQ56" s="358"/>
      <c r="IW56" s="11"/>
    </row>
    <row r="57" customFormat="false" ht="13.5" hidden="true" customHeight="true" outlineLevel="0" collapsed="false">
      <c r="A57" s="108"/>
      <c r="B57" s="402"/>
      <c r="C57" s="159"/>
      <c r="D57" s="203"/>
      <c r="E57" s="311"/>
      <c r="F57" s="112" t="n">
        <f aca="false">IF(ISERROR(VLOOKUP(D56,일용직명단!$A$3:$K$1246,9,FALSE())),0,VLOOKUP(D56,일용직명단!$A$3:$K$1246,9,FALSE()))</f>
        <v>0</v>
      </c>
      <c r="G57" s="405"/>
      <c r="H57" s="406"/>
      <c r="I57" s="405"/>
      <c r="J57" s="136"/>
      <c r="K57" s="407"/>
      <c r="L57" s="136"/>
      <c r="M57" s="408"/>
      <c r="N57" s="408"/>
      <c r="O57" s="114"/>
      <c r="P57" s="409"/>
      <c r="Q57" s="114"/>
      <c r="R57" s="114"/>
      <c r="S57" s="408"/>
      <c r="T57" s="408"/>
      <c r="U57" s="408"/>
      <c r="V57" s="119"/>
      <c r="W57" s="144"/>
      <c r="X57" s="138" t="n">
        <f aca="false">X56*W56</f>
        <v>0</v>
      </c>
      <c r="Y57" s="122" t="n">
        <f aca="false">IF(AI56&lt;1000,0,AI56)</f>
        <v>0</v>
      </c>
      <c r="Z57" s="122" t="n">
        <f aca="false">ROUNDDOWN(Y57*10%,-1)</f>
        <v>0</v>
      </c>
      <c r="AA57" s="123" t="n">
        <f aca="false">IF(AF56&gt;=8,ROUNDDOWN(Z56*$R$4,-1),0)</f>
        <v>0</v>
      </c>
      <c r="AB57" s="145"/>
      <c r="AC57" s="146"/>
      <c r="AD57" s="158" t="n">
        <f aca="false">IF(ISERROR(VLOOKUP(D56,[31]일용직명단!$A$3:$I$1200,7,FALSE())),0,VLOOKUP(D56,[31]일용직명단!$A$3:$I$1200,7,FALSE()))</f>
        <v>0</v>
      </c>
      <c r="AE57" s="158"/>
      <c r="AF57" s="141"/>
      <c r="AG57" s="129"/>
      <c r="AH57" s="129"/>
      <c r="AI57" s="161"/>
      <c r="AJ57" s="130" t="n">
        <f aca="false">IF($X56*G57&gt;150000,($X56*G57-150000)*6%*45%,0)</f>
        <v>0</v>
      </c>
      <c r="AK57" s="130" t="n">
        <f aca="false">IF($X56*H57&gt;150000,($X56*H57-150000)*6%*45%,0)</f>
        <v>0</v>
      </c>
      <c r="AL57" s="130" t="n">
        <f aca="false">IF($X56*I57&gt;150000,($X56*I57-150000)*6%*45%,0)</f>
        <v>0</v>
      </c>
      <c r="AM57" s="130" t="n">
        <f aca="false">IF($X56*J57&gt;150000,($X56*J57-150000)*6%*45%,0)</f>
        <v>0</v>
      </c>
      <c r="AN57" s="130" t="n">
        <f aca="false">IF($X56*K57&gt;150000,($X56*K57-150000)*6%*45%,0)</f>
        <v>0</v>
      </c>
      <c r="AO57" s="130" t="n">
        <f aca="false">IF($X56*L57&gt;150000,($X56*L57-150000)*6%*45%,0)</f>
        <v>0</v>
      </c>
      <c r="AP57" s="130" t="n">
        <f aca="false">IF($X56*M57&gt;150000,($X56*M57-150000)*6%*45%,0)</f>
        <v>0</v>
      </c>
      <c r="AQ57" s="130" t="n">
        <f aca="false">IF($X56*N57&gt;150000,($X56*N57-150000)*6%*45%,0)</f>
        <v>0</v>
      </c>
      <c r="AR57" s="130" t="n">
        <f aca="false">IF($X56*O57&gt;150000,($X56*O57-150000)*6%*45%,0)</f>
        <v>0</v>
      </c>
      <c r="AS57" s="130" t="n">
        <f aca="false">IF($X56*P57&gt;150000,($X56*P57-150000)*6%*45%,0)</f>
        <v>0</v>
      </c>
      <c r="AT57" s="130" t="n">
        <f aca="false">IF($X56*Q57&gt;150000,($X56*Q57-150000)*6%*45%,0)</f>
        <v>0</v>
      </c>
      <c r="AU57" s="130" t="n">
        <f aca="false">IF($X56*R57&gt;150000,($X56*R57-150000)*6%*45%,0)</f>
        <v>0</v>
      </c>
      <c r="AV57" s="130" t="n">
        <f aca="false">IF($X56*S57&gt;150000,($X56*S57-150000)*6%*45%,0)</f>
        <v>0</v>
      </c>
      <c r="AW57" s="130" t="n">
        <f aca="false">IF($X56*T57&gt;150000,($X56*T57-150000)*6%*45%,0)</f>
        <v>0</v>
      </c>
      <c r="AX57" s="130" t="n">
        <f aca="false">IF($X56*U57&gt;150000,($X56*U57-150000)*6%*45%,0)</f>
        <v>0</v>
      </c>
      <c r="AY57" s="130" t="n">
        <f aca="false">IF($X56*V57&gt;150000,($X56*V57-150000)*6%*45%,0)</f>
        <v>0</v>
      </c>
      <c r="AZ57" s="162"/>
      <c r="BA57" s="163"/>
      <c r="BB57" s="163"/>
      <c r="BC57" s="358"/>
      <c r="BD57" s="358"/>
      <c r="BE57" s="358"/>
      <c r="BF57" s="358"/>
      <c r="BG57" s="358"/>
      <c r="BH57" s="358"/>
      <c r="BI57" s="358"/>
      <c r="BJ57" s="358"/>
      <c r="BK57" s="358"/>
      <c r="BL57" s="358"/>
      <c r="BM57" s="358"/>
      <c r="BN57" s="358"/>
      <c r="BO57" s="358"/>
      <c r="BP57" s="358"/>
      <c r="BQ57" s="358"/>
      <c r="BR57" s="358"/>
      <c r="BS57" s="358"/>
      <c r="BT57" s="358"/>
      <c r="BU57" s="358"/>
      <c r="BV57" s="358"/>
      <c r="BW57" s="358"/>
      <c r="BX57" s="358"/>
      <c r="BY57" s="358"/>
      <c r="BZ57" s="358"/>
      <c r="CA57" s="358"/>
      <c r="CB57" s="358"/>
      <c r="CC57" s="358"/>
      <c r="CD57" s="358"/>
      <c r="CE57" s="358"/>
      <c r="CF57" s="358"/>
      <c r="CG57" s="358"/>
      <c r="CH57" s="358"/>
      <c r="CI57" s="358"/>
      <c r="CJ57" s="358"/>
      <c r="CK57" s="358"/>
      <c r="CL57" s="358"/>
      <c r="CM57" s="358"/>
      <c r="CN57" s="358"/>
      <c r="CO57" s="358"/>
      <c r="CP57" s="358"/>
      <c r="CQ57" s="358"/>
      <c r="CR57" s="358"/>
      <c r="CS57" s="358"/>
      <c r="CT57" s="358"/>
      <c r="CU57" s="358"/>
      <c r="CV57" s="358"/>
      <c r="CW57" s="358"/>
      <c r="CX57" s="358"/>
      <c r="CY57" s="358"/>
      <c r="CZ57" s="358"/>
      <c r="DA57" s="358"/>
      <c r="DB57" s="358"/>
      <c r="DC57" s="358"/>
      <c r="DD57" s="358"/>
      <c r="DE57" s="358"/>
      <c r="DF57" s="358"/>
      <c r="DG57" s="358"/>
      <c r="DH57" s="358"/>
      <c r="DI57" s="358"/>
      <c r="DJ57" s="358"/>
      <c r="DK57" s="358"/>
      <c r="DL57" s="358"/>
      <c r="DM57" s="358"/>
      <c r="DN57" s="358"/>
      <c r="DO57" s="358"/>
      <c r="DP57" s="358"/>
      <c r="DQ57" s="358"/>
      <c r="DR57" s="358"/>
      <c r="DS57" s="358"/>
      <c r="DT57" s="358"/>
      <c r="DU57" s="358"/>
      <c r="DV57" s="358"/>
      <c r="DW57" s="358"/>
      <c r="DX57" s="358"/>
      <c r="DY57" s="358"/>
      <c r="DZ57" s="358"/>
      <c r="EA57" s="358"/>
      <c r="EB57" s="358"/>
      <c r="EC57" s="358"/>
      <c r="ED57" s="358"/>
      <c r="EE57" s="358"/>
      <c r="EF57" s="358"/>
      <c r="EG57" s="358"/>
      <c r="EH57" s="358"/>
      <c r="EI57" s="358"/>
      <c r="EJ57" s="358"/>
      <c r="EK57" s="358"/>
      <c r="EL57" s="358"/>
      <c r="EM57" s="358"/>
      <c r="EN57" s="358"/>
      <c r="EO57" s="358"/>
      <c r="EP57" s="358"/>
      <c r="EQ57" s="358"/>
      <c r="ER57" s="358"/>
      <c r="ES57" s="358"/>
      <c r="ET57" s="358"/>
      <c r="EU57" s="358"/>
      <c r="EV57" s="358"/>
      <c r="EW57" s="358"/>
      <c r="EX57" s="358"/>
      <c r="EY57" s="358"/>
      <c r="EZ57" s="358"/>
      <c r="FA57" s="358"/>
      <c r="FB57" s="358"/>
      <c r="FC57" s="358"/>
      <c r="FD57" s="358"/>
      <c r="FE57" s="358"/>
      <c r="FF57" s="358"/>
      <c r="FG57" s="358"/>
      <c r="FH57" s="358"/>
      <c r="FI57" s="358"/>
      <c r="FJ57" s="358"/>
      <c r="FK57" s="358"/>
      <c r="FL57" s="358"/>
      <c r="FM57" s="358"/>
      <c r="FN57" s="358"/>
      <c r="FO57" s="358"/>
      <c r="FP57" s="358"/>
      <c r="FQ57" s="358"/>
      <c r="FR57" s="358"/>
      <c r="FS57" s="358"/>
      <c r="FT57" s="358"/>
      <c r="FU57" s="358"/>
      <c r="FV57" s="358"/>
      <c r="FW57" s="358"/>
      <c r="FX57" s="358"/>
      <c r="FY57" s="358"/>
      <c r="FZ57" s="358"/>
      <c r="GA57" s="358"/>
      <c r="GB57" s="358"/>
      <c r="GC57" s="358"/>
      <c r="GD57" s="358"/>
      <c r="GE57" s="358"/>
      <c r="GF57" s="358"/>
      <c r="GG57" s="358"/>
      <c r="GH57" s="358"/>
      <c r="GI57" s="358"/>
      <c r="GJ57" s="358"/>
      <c r="GK57" s="358"/>
      <c r="GL57" s="358"/>
      <c r="GM57" s="358"/>
      <c r="GN57" s="358"/>
      <c r="GO57" s="358"/>
      <c r="GP57" s="358"/>
      <c r="GQ57" s="358"/>
      <c r="GR57" s="358"/>
      <c r="GS57" s="358"/>
      <c r="GT57" s="358"/>
      <c r="GU57" s="358"/>
      <c r="GV57" s="358"/>
      <c r="GW57" s="358"/>
      <c r="GX57" s="358"/>
      <c r="GY57" s="358"/>
      <c r="GZ57" s="358"/>
      <c r="HA57" s="358"/>
      <c r="HB57" s="358"/>
      <c r="HC57" s="358"/>
      <c r="HD57" s="358"/>
      <c r="HE57" s="358"/>
      <c r="HF57" s="358"/>
      <c r="HG57" s="358"/>
      <c r="HH57" s="358"/>
      <c r="HI57" s="358"/>
      <c r="HJ57" s="358"/>
      <c r="HK57" s="358"/>
      <c r="HL57" s="358"/>
      <c r="HM57" s="358"/>
      <c r="HN57" s="358"/>
      <c r="HO57" s="358"/>
      <c r="HP57" s="358"/>
      <c r="HQ57" s="358"/>
      <c r="HR57" s="358"/>
      <c r="HS57" s="358"/>
      <c r="HT57" s="358"/>
      <c r="HU57" s="358"/>
      <c r="HV57" s="358"/>
      <c r="HW57" s="358"/>
      <c r="HX57" s="358"/>
      <c r="HY57" s="358"/>
      <c r="HZ57" s="358"/>
      <c r="IA57" s="358"/>
      <c r="IB57" s="358"/>
      <c r="IC57" s="358"/>
      <c r="ID57" s="358"/>
      <c r="IE57" s="358"/>
      <c r="IF57" s="358"/>
      <c r="IG57" s="358"/>
      <c r="IH57" s="358"/>
      <c r="II57" s="358"/>
      <c r="IJ57" s="358"/>
      <c r="IK57" s="358"/>
      <c r="IL57" s="358"/>
      <c r="IM57" s="358"/>
      <c r="IN57" s="358"/>
      <c r="IO57" s="358"/>
      <c r="IP57" s="358"/>
      <c r="IQ57" s="358"/>
      <c r="IW57" s="11"/>
    </row>
    <row r="58" customFormat="false" ht="13.5" hidden="true" customHeight="true" outlineLevel="0" collapsed="false">
      <c r="A58" s="108" t="n">
        <f aca="false">A56+1</f>
        <v>25</v>
      </c>
      <c r="B58" s="404"/>
      <c r="C58" s="159" t="n">
        <f aca="false">IF(ISERROR(VLOOKUP(D58,[34]일용직명단!$A$3:$I$97,2,FALSE())),0,VLOOKUP(D58,[34]일용직명단!$A$3:$I$97,2,FALSE()))</f>
        <v>0</v>
      </c>
      <c r="D58" s="207"/>
      <c r="E58" s="311" t="n">
        <f aca="false">IF(ISERROR(VLOOKUP(D58,[33]일용직명단!$A$3:$K$1183,3,FALSE())),0,VLOOKUP(D58,[33]일용직명단!$A$3:$K$1183,3,FALSE()))</f>
        <v>0</v>
      </c>
      <c r="F58" s="112" t="n">
        <f aca="false">IF(ISERROR(VLOOKUP(D58,일용직명단!$A$3:$K$1246,4,FALSE())),0,VLOOKUP(D58,일용직명단!$A$3:$K$1246,4,FALSE()))</f>
        <v>0</v>
      </c>
      <c r="G58" s="408"/>
      <c r="H58" s="114"/>
      <c r="I58" s="409"/>
      <c r="J58" s="409"/>
      <c r="K58" s="408"/>
      <c r="L58" s="409"/>
      <c r="M58" s="408"/>
      <c r="N58" s="408"/>
      <c r="O58" s="114"/>
      <c r="P58" s="114"/>
      <c r="Q58" s="408"/>
      <c r="R58" s="114"/>
      <c r="S58" s="409"/>
      <c r="T58" s="114"/>
      <c r="U58" s="409"/>
      <c r="V58" s="119"/>
      <c r="W58" s="144" t="n">
        <f aca="false">SUM(G58:V59)</f>
        <v>0</v>
      </c>
      <c r="X58" s="121" t="n">
        <f aca="false">IF(ISERROR(VLOOKUP(D58,일용직명단!$A$3:$K$1246,8,FALSE())),0,VLOOKUP(D58,일용직명단!$A$3:$K$1246,8,FALSE()))</f>
        <v>0</v>
      </c>
      <c r="Y58" s="122" t="n">
        <f aca="false">IFERROR(IF(AH58&gt;=65,0,ROUNDDOWN(X59*$AA$4,-1)),0)</f>
        <v>0</v>
      </c>
      <c r="Z58" s="122" t="n">
        <f aca="false">IF(AF58&gt;=8,ROUNDDOWN(X59*$N$4,-1),0)</f>
        <v>0</v>
      </c>
      <c r="AA58" s="123" t="n">
        <f aca="false">IFERROR(IF(AND(COUNT(G58:V59)&gt;=8,$AH58&lt;60,X59&lt;=5530000),ROUNDDOWN(ROUNDDOWN(X59,-3)*4.5%,-1),IF(AND(COUNT(G58:V59)&gt;=8,AH58&lt;60,X59&gt;5530000),248850,0)),0)</f>
        <v>0</v>
      </c>
      <c r="AB58" s="145" t="n">
        <f aca="false">+Y58+Z58+Y59+Z59+AA58+AA59</f>
        <v>0</v>
      </c>
      <c r="AC58" s="146" t="n">
        <f aca="false">X59-AB58</f>
        <v>0</v>
      </c>
      <c r="AD58" s="157" t="n">
        <f aca="false">IF(ISERROR(VLOOKUP(D58,[31]일용직명단!$A$3:$I$1200,5,FALSE())),0,VLOOKUP(D58,[31]일용직명단!$A$3:$I$1200,5,FALSE()))</f>
        <v>0</v>
      </c>
      <c r="AE58" s="158" t="n">
        <f aca="false">IF(ISERROR(VLOOKUP(D58,[31]일용직명단!$A$3:$I$1200,6,FALSE())),0,VLOOKUP(D58,[31]일용직명단!$A$3:$I$1200,6,FALSE()))</f>
        <v>0</v>
      </c>
      <c r="AF58" s="141" t="n">
        <f aca="false">COUNT(G58:V59)</f>
        <v>0</v>
      </c>
      <c r="AG58" s="129" t="str">
        <f aca="false">IF(OR(MID(E58,8,1)="1",MID(E58,8,1)="2"),19&amp;LEFT(E58,2),20&amp;LEFT(E58,2))&amp;"-"&amp;MID(E58,3,2)&amp;"-"&amp;MID(E58,5,2)</f>
        <v>200--</v>
      </c>
      <c r="AH58" s="129" t="e">
        <f aca="true">INT((TODAY()-AG58)/365.25)</f>
        <v>#VALUE!</v>
      </c>
      <c r="AI58" s="161" t="n">
        <f aca="false">ROUNDDOWN(SUM(AJ58:AY59),-1)</f>
        <v>0</v>
      </c>
      <c r="AJ58" s="130" t="n">
        <f aca="false">IF($X58*G58&gt;150000,($X58*G58-150000)*6%*45%,0)</f>
        <v>0</v>
      </c>
      <c r="AK58" s="130" t="n">
        <f aca="false">IF($X58*H58&gt;150000,($X58*H58-150000)*6%*45%,0)</f>
        <v>0</v>
      </c>
      <c r="AL58" s="130" t="n">
        <f aca="false">IF($X58*I58&gt;150000,($X58*I58-150000)*6%*45%,0)</f>
        <v>0</v>
      </c>
      <c r="AM58" s="130" t="n">
        <f aca="false">IF($X58*J58&gt;150000,($X58*J58-150000)*6%*45%,0)</f>
        <v>0</v>
      </c>
      <c r="AN58" s="130" t="n">
        <f aca="false">IF($X58*K58&gt;150000,($X58*K58-150000)*6%*45%,0)</f>
        <v>0</v>
      </c>
      <c r="AO58" s="130" t="n">
        <f aca="false">IF($X58*L58&gt;150000,($X58*L58-150000)*6%*45%,0)</f>
        <v>0</v>
      </c>
      <c r="AP58" s="130" t="n">
        <f aca="false">IF($X58*M58&gt;150000,($X58*M58-150000)*6%*45%,0)</f>
        <v>0</v>
      </c>
      <c r="AQ58" s="130" t="n">
        <f aca="false">IF($X58*N58&gt;150000,($X58*N58-150000)*6%*45%,0)</f>
        <v>0</v>
      </c>
      <c r="AR58" s="130" t="n">
        <f aca="false">IF($X58*O58&gt;150000,($X58*O58-150000)*6%*45%,0)</f>
        <v>0</v>
      </c>
      <c r="AS58" s="130" t="n">
        <f aca="false">IF($X58*P58&gt;150000,($X58*P58-150000)*6%*45%,0)</f>
        <v>0</v>
      </c>
      <c r="AT58" s="130" t="n">
        <f aca="false">IF($X58*Q58&gt;150000,($X58*Q58-150000)*6%*45%,0)</f>
        <v>0</v>
      </c>
      <c r="AU58" s="130" t="n">
        <f aca="false">IF($X58*R58&gt;150000,($X58*R58-150000)*6%*45%,0)</f>
        <v>0</v>
      </c>
      <c r="AV58" s="130" t="n">
        <f aca="false">IF($X58*S58&gt;150000,($X58*S58-150000)*6%*45%,0)</f>
        <v>0</v>
      </c>
      <c r="AW58" s="130" t="n">
        <f aca="false">IF($X58*T58&gt;150000,($X58*T58-150000)*6%*45%,0)</f>
        <v>0</v>
      </c>
      <c r="AX58" s="130" t="n">
        <f aca="false">IF($X58*U58&gt;150000,($X58*U58-150000)*6%*45%,0)</f>
        <v>0</v>
      </c>
      <c r="AY58" s="130"/>
      <c r="AZ58" s="162" t="n">
        <f aca="false">IF(ISERROR(VLOOKUP(D58,[27]일용직명단!$A$3:$M$1151,11,FALSE())),0,VLOOKUP(D58,[27]일용직명단!$A$3:$M$1151,11,FALSE()))</f>
        <v>0</v>
      </c>
      <c r="BA58" s="163"/>
      <c r="BB58" s="163"/>
      <c r="BC58" s="163"/>
      <c r="BD58" s="163"/>
      <c r="BE58" s="163"/>
      <c r="BF58" s="163"/>
      <c r="BG58" s="163"/>
      <c r="BH58" s="163"/>
      <c r="BI58" s="163"/>
      <c r="BJ58" s="163"/>
      <c r="BK58" s="163"/>
      <c r="BL58" s="163"/>
      <c r="BM58" s="163"/>
      <c r="BN58" s="163"/>
      <c r="BO58" s="163"/>
      <c r="BP58" s="163"/>
      <c r="BQ58" s="163"/>
      <c r="BR58" s="163"/>
      <c r="BS58" s="163"/>
      <c r="BT58" s="163"/>
      <c r="BU58" s="163"/>
      <c r="BV58" s="163"/>
      <c r="BW58" s="163"/>
      <c r="BX58" s="163"/>
      <c r="BY58" s="163"/>
      <c r="BZ58" s="163"/>
      <c r="CA58" s="163"/>
      <c r="CB58" s="163"/>
      <c r="CC58" s="163"/>
      <c r="CD58" s="163"/>
      <c r="CE58" s="163"/>
      <c r="CF58" s="163"/>
      <c r="CG58" s="163"/>
      <c r="CH58" s="163"/>
      <c r="CI58" s="163"/>
      <c r="CJ58" s="163"/>
      <c r="CK58" s="163"/>
      <c r="CL58" s="163"/>
      <c r="CM58" s="163"/>
      <c r="CN58" s="163"/>
      <c r="CO58" s="163"/>
      <c r="CP58" s="163"/>
      <c r="CQ58" s="163"/>
      <c r="CR58" s="163"/>
      <c r="CS58" s="163"/>
      <c r="CT58" s="163"/>
      <c r="CU58" s="163"/>
      <c r="CV58" s="163"/>
      <c r="CW58" s="163"/>
      <c r="CX58" s="163"/>
      <c r="CY58" s="163"/>
      <c r="CZ58" s="163"/>
      <c r="DA58" s="163"/>
      <c r="DB58" s="163"/>
      <c r="DC58" s="163"/>
      <c r="DD58" s="163"/>
      <c r="DE58" s="163"/>
      <c r="DF58" s="163"/>
      <c r="DG58" s="163"/>
      <c r="DH58" s="163"/>
      <c r="DI58" s="163"/>
      <c r="DJ58" s="163"/>
      <c r="DK58" s="163"/>
      <c r="DL58" s="163"/>
      <c r="DM58" s="163"/>
      <c r="DN58" s="163"/>
      <c r="DO58" s="163"/>
      <c r="DP58" s="163"/>
      <c r="DQ58" s="163"/>
      <c r="DR58" s="163"/>
      <c r="DS58" s="163"/>
      <c r="DT58" s="163"/>
      <c r="DU58" s="163"/>
      <c r="DV58" s="163"/>
      <c r="DW58" s="163"/>
      <c r="DX58" s="163"/>
      <c r="DY58" s="163"/>
      <c r="DZ58" s="163"/>
      <c r="EA58" s="163"/>
      <c r="EB58" s="163"/>
      <c r="EC58" s="163"/>
      <c r="ED58" s="163"/>
      <c r="EE58" s="163"/>
      <c r="EF58" s="163"/>
      <c r="EG58" s="163"/>
      <c r="EH58" s="163"/>
      <c r="EI58" s="163"/>
      <c r="EJ58" s="163"/>
      <c r="EK58" s="163"/>
      <c r="EL58" s="163"/>
      <c r="EM58" s="163"/>
      <c r="EN58" s="163"/>
      <c r="EO58" s="163"/>
      <c r="EP58" s="163"/>
      <c r="EQ58" s="163"/>
      <c r="ER58" s="163"/>
      <c r="ES58" s="163"/>
      <c r="ET58" s="163"/>
      <c r="EU58" s="163"/>
      <c r="EV58" s="163"/>
      <c r="EW58" s="163"/>
      <c r="EX58" s="163"/>
      <c r="EY58" s="163"/>
      <c r="EZ58" s="163"/>
      <c r="FA58" s="163"/>
      <c r="FB58" s="163"/>
      <c r="FC58" s="163"/>
      <c r="FD58" s="163"/>
      <c r="FE58" s="163"/>
      <c r="FF58" s="163"/>
      <c r="FG58" s="163"/>
      <c r="FH58" s="163"/>
      <c r="FI58" s="163"/>
      <c r="FJ58" s="163"/>
      <c r="FK58" s="163"/>
      <c r="FL58" s="163"/>
      <c r="FM58" s="163"/>
      <c r="FN58" s="163"/>
      <c r="FO58" s="163"/>
      <c r="FP58" s="163"/>
      <c r="FQ58" s="163"/>
      <c r="FR58" s="163"/>
      <c r="FS58" s="163"/>
      <c r="FT58" s="163"/>
      <c r="FU58" s="163"/>
      <c r="FV58" s="163"/>
      <c r="FW58" s="163"/>
      <c r="FX58" s="163"/>
      <c r="FY58" s="163"/>
      <c r="FZ58" s="163"/>
      <c r="GA58" s="163"/>
      <c r="GB58" s="163"/>
      <c r="GC58" s="163"/>
      <c r="GD58" s="163"/>
      <c r="GE58" s="163"/>
      <c r="GF58" s="163"/>
      <c r="GG58" s="163"/>
      <c r="GH58" s="163"/>
      <c r="GI58" s="163"/>
      <c r="GJ58" s="163"/>
      <c r="GK58" s="163"/>
      <c r="GL58" s="163"/>
      <c r="GM58" s="163"/>
      <c r="GN58" s="163"/>
      <c r="GO58" s="163"/>
      <c r="GP58" s="163"/>
      <c r="GQ58" s="163"/>
      <c r="GR58" s="163"/>
      <c r="GS58" s="163"/>
      <c r="GT58" s="163"/>
      <c r="GU58" s="163"/>
      <c r="GV58" s="163"/>
      <c r="GW58" s="163"/>
      <c r="GX58" s="163"/>
      <c r="GY58" s="163"/>
      <c r="GZ58" s="163"/>
      <c r="HA58" s="163"/>
      <c r="HB58" s="163"/>
      <c r="HC58" s="163"/>
      <c r="HD58" s="163"/>
      <c r="HE58" s="163"/>
      <c r="HF58" s="163"/>
      <c r="HG58" s="163"/>
      <c r="HH58" s="163"/>
      <c r="HI58" s="163"/>
      <c r="HJ58" s="163"/>
      <c r="HK58" s="163"/>
      <c r="HL58" s="163"/>
      <c r="HM58" s="163"/>
      <c r="HN58" s="163"/>
      <c r="HO58" s="163"/>
      <c r="HP58" s="163"/>
      <c r="HQ58" s="163"/>
      <c r="HR58" s="163"/>
      <c r="HS58" s="163"/>
      <c r="HT58" s="163"/>
      <c r="HU58" s="163"/>
      <c r="HV58" s="163"/>
      <c r="HW58" s="163"/>
      <c r="HX58" s="163"/>
      <c r="HY58" s="163"/>
      <c r="HZ58" s="163"/>
      <c r="IA58" s="163"/>
      <c r="IB58" s="163"/>
      <c r="IC58" s="163"/>
      <c r="ID58" s="163"/>
      <c r="IE58" s="163"/>
      <c r="IF58" s="163"/>
      <c r="IG58" s="163"/>
      <c r="IH58" s="163"/>
      <c r="II58" s="163"/>
      <c r="IJ58" s="163"/>
      <c r="IK58" s="163"/>
      <c r="IL58" s="163"/>
      <c r="IM58" s="163"/>
      <c r="IN58" s="163"/>
      <c r="IO58" s="163"/>
      <c r="IP58" s="163"/>
      <c r="IQ58" s="163"/>
      <c r="IR58" s="163"/>
      <c r="IS58" s="163"/>
      <c r="IT58" s="163"/>
      <c r="IU58" s="163"/>
      <c r="IV58" s="163"/>
      <c r="IW58" s="11"/>
    </row>
    <row r="59" customFormat="false" ht="13.5" hidden="true" customHeight="true" outlineLevel="0" collapsed="false">
      <c r="A59" s="108"/>
      <c r="B59" s="404"/>
      <c r="C59" s="159"/>
      <c r="D59" s="207"/>
      <c r="E59" s="311"/>
      <c r="F59" s="112" t="n">
        <f aca="false">IF(ISERROR(VLOOKUP(D58,일용직명단!$A$3:$K$1246,9,FALSE())),0,VLOOKUP(D58,일용직명단!$A$3:$K$1246,9,FALSE()))</f>
        <v>0</v>
      </c>
      <c r="G59" s="405"/>
      <c r="H59" s="406"/>
      <c r="I59" s="405"/>
      <c r="J59" s="136"/>
      <c r="K59" s="407"/>
      <c r="L59" s="136"/>
      <c r="M59" s="408"/>
      <c r="N59" s="408"/>
      <c r="O59" s="114"/>
      <c r="P59" s="409"/>
      <c r="Q59" s="114"/>
      <c r="R59" s="114"/>
      <c r="S59" s="408"/>
      <c r="T59" s="408"/>
      <c r="U59" s="408"/>
      <c r="V59" s="119"/>
      <c r="W59" s="144"/>
      <c r="X59" s="138" t="n">
        <f aca="false">X58*W58</f>
        <v>0</v>
      </c>
      <c r="Y59" s="122" t="n">
        <f aca="false">IF(AI58&lt;1000,0,AI58)</f>
        <v>0</v>
      </c>
      <c r="Z59" s="122" t="n">
        <f aca="false">ROUNDDOWN(Y59*10%,-1)</f>
        <v>0</v>
      </c>
      <c r="AA59" s="123" t="n">
        <f aca="false">IF(AF58&gt;=8,ROUNDDOWN(Z58*$R$4,-1),0)</f>
        <v>0</v>
      </c>
      <c r="AB59" s="145"/>
      <c r="AC59" s="146"/>
      <c r="AD59" s="158" t="n">
        <f aca="false">IF(ISERROR(VLOOKUP(D58,[31]일용직명단!$A$3:$I$1200,7,FALSE())),0,VLOOKUP(D58,[31]일용직명단!$A$3:$I$1200,7,FALSE()))</f>
        <v>0</v>
      </c>
      <c r="AE59" s="158"/>
      <c r="AF59" s="141"/>
      <c r="AG59" s="129"/>
      <c r="AH59" s="129"/>
      <c r="AI59" s="161"/>
      <c r="AJ59" s="130" t="n">
        <f aca="false">IF($X59*G59&gt;150000,($X59*G59-150000)*6%*45%,0)</f>
        <v>0</v>
      </c>
      <c r="AK59" s="130" t="n">
        <f aca="false">IF($X59*H59&gt;150000,($X59*H59-150000)*6%*45%,0)</f>
        <v>0</v>
      </c>
      <c r="AL59" s="130" t="n">
        <f aca="false">IF($X59*I59&gt;150000,($X59*I59-150000)*6%*45%,0)</f>
        <v>0</v>
      </c>
      <c r="AM59" s="130" t="n">
        <f aca="false">IF($X59*J59&gt;150000,($X59*J59-150000)*6%*45%,0)</f>
        <v>0</v>
      </c>
      <c r="AN59" s="130" t="n">
        <f aca="false">IF($X59*K59&gt;150000,($X59*K59-150000)*6%*45%,0)</f>
        <v>0</v>
      </c>
      <c r="AO59" s="130" t="n">
        <f aca="false">IF($X59*L59&gt;150000,($X59*L59-150000)*6%*45%,0)</f>
        <v>0</v>
      </c>
      <c r="AP59" s="130" t="n">
        <f aca="false">IF($X59*M59&gt;150000,($X59*M59-150000)*6%*45%,0)</f>
        <v>0</v>
      </c>
      <c r="AQ59" s="130" t="n">
        <f aca="false">IF($X59*N59&gt;150000,($X59*N59-150000)*6%*45%,0)</f>
        <v>0</v>
      </c>
      <c r="AR59" s="130" t="n">
        <f aca="false">IF($X59*O59&gt;150000,($X59*O59-150000)*6%*45%,0)</f>
        <v>0</v>
      </c>
      <c r="AS59" s="130" t="n">
        <f aca="false">IF($X59*P59&gt;150000,($X59*P59-150000)*6%*45%,0)</f>
        <v>0</v>
      </c>
      <c r="AT59" s="130" t="n">
        <f aca="false">IF($X59*Q59&gt;150000,($X59*Q59-150000)*6%*45%,0)</f>
        <v>0</v>
      </c>
      <c r="AU59" s="130" t="n">
        <f aca="false">IF($X59*R59&gt;150000,($X59*R59-150000)*6%*45%,0)</f>
        <v>0</v>
      </c>
      <c r="AV59" s="130" t="n">
        <f aca="false">IF($X59*S59&gt;150000,($X59*S59-150000)*6%*45%,0)</f>
        <v>0</v>
      </c>
      <c r="AW59" s="130" t="n">
        <f aca="false">IF($X59*T59&gt;150000,($X59*T59-150000)*6%*45%,0)</f>
        <v>0</v>
      </c>
      <c r="AX59" s="130" t="n">
        <f aca="false">IF($X59*U59&gt;150000,($X59*U59-150000)*6%*45%,0)</f>
        <v>0</v>
      </c>
      <c r="AY59" s="130"/>
      <c r="AZ59" s="162"/>
      <c r="BA59" s="163"/>
      <c r="BB59" s="163"/>
      <c r="BC59" s="163"/>
      <c r="BD59" s="163"/>
      <c r="BE59" s="163"/>
      <c r="BF59" s="163"/>
      <c r="BG59" s="163"/>
      <c r="BH59" s="163"/>
      <c r="BI59" s="163"/>
      <c r="BJ59" s="163"/>
      <c r="BK59" s="163"/>
      <c r="BL59" s="163"/>
      <c r="BM59" s="163"/>
      <c r="BN59" s="163"/>
      <c r="BO59" s="163"/>
      <c r="BP59" s="163"/>
      <c r="BQ59" s="163"/>
      <c r="BR59" s="163"/>
      <c r="BS59" s="163"/>
      <c r="BT59" s="163"/>
      <c r="BU59" s="163"/>
      <c r="BV59" s="163"/>
      <c r="BW59" s="163"/>
      <c r="BX59" s="163"/>
      <c r="BY59" s="163"/>
      <c r="BZ59" s="163"/>
      <c r="CA59" s="163"/>
      <c r="CB59" s="163"/>
      <c r="CC59" s="163"/>
      <c r="CD59" s="163"/>
      <c r="CE59" s="163"/>
      <c r="CF59" s="163"/>
      <c r="CG59" s="163"/>
      <c r="CH59" s="163"/>
      <c r="CI59" s="163"/>
      <c r="CJ59" s="163"/>
      <c r="CK59" s="163"/>
      <c r="CL59" s="163"/>
      <c r="CM59" s="163"/>
      <c r="CN59" s="163"/>
      <c r="CO59" s="163"/>
      <c r="CP59" s="163"/>
      <c r="CQ59" s="163"/>
      <c r="CR59" s="163"/>
      <c r="CS59" s="163"/>
      <c r="CT59" s="163"/>
      <c r="CU59" s="163"/>
      <c r="CV59" s="163"/>
      <c r="CW59" s="163"/>
      <c r="CX59" s="163"/>
      <c r="CY59" s="163"/>
      <c r="CZ59" s="163"/>
      <c r="DA59" s="163"/>
      <c r="DB59" s="163"/>
      <c r="DC59" s="163"/>
      <c r="DD59" s="163"/>
      <c r="DE59" s="163"/>
      <c r="DF59" s="163"/>
      <c r="DG59" s="163"/>
      <c r="DH59" s="163"/>
      <c r="DI59" s="163"/>
      <c r="DJ59" s="163"/>
      <c r="DK59" s="163"/>
      <c r="DL59" s="163"/>
      <c r="DM59" s="163"/>
      <c r="DN59" s="163"/>
      <c r="DO59" s="163"/>
      <c r="DP59" s="163"/>
      <c r="DQ59" s="163"/>
      <c r="DR59" s="163"/>
      <c r="DS59" s="163"/>
      <c r="DT59" s="163"/>
      <c r="DU59" s="163"/>
      <c r="DV59" s="163"/>
      <c r="DW59" s="163"/>
      <c r="DX59" s="163"/>
      <c r="DY59" s="163"/>
      <c r="DZ59" s="163"/>
      <c r="EA59" s="163"/>
      <c r="EB59" s="163"/>
      <c r="EC59" s="163"/>
      <c r="ED59" s="163"/>
      <c r="EE59" s="163"/>
      <c r="EF59" s="163"/>
      <c r="EG59" s="163"/>
      <c r="EH59" s="163"/>
      <c r="EI59" s="163"/>
      <c r="EJ59" s="163"/>
      <c r="EK59" s="163"/>
      <c r="EL59" s="163"/>
      <c r="EM59" s="163"/>
      <c r="EN59" s="163"/>
      <c r="EO59" s="163"/>
      <c r="EP59" s="163"/>
      <c r="EQ59" s="163"/>
      <c r="ER59" s="163"/>
      <c r="ES59" s="163"/>
      <c r="ET59" s="163"/>
      <c r="EU59" s="163"/>
      <c r="EV59" s="163"/>
      <c r="EW59" s="163"/>
      <c r="EX59" s="163"/>
      <c r="EY59" s="163"/>
      <c r="EZ59" s="163"/>
      <c r="FA59" s="163"/>
      <c r="FB59" s="163"/>
      <c r="FC59" s="163"/>
      <c r="FD59" s="163"/>
      <c r="FE59" s="163"/>
      <c r="FF59" s="163"/>
      <c r="FG59" s="163"/>
      <c r="FH59" s="163"/>
      <c r="FI59" s="163"/>
      <c r="FJ59" s="163"/>
      <c r="FK59" s="163"/>
      <c r="FL59" s="163"/>
      <c r="FM59" s="163"/>
      <c r="FN59" s="163"/>
      <c r="FO59" s="163"/>
      <c r="FP59" s="163"/>
      <c r="FQ59" s="163"/>
      <c r="FR59" s="163"/>
      <c r="FS59" s="163"/>
      <c r="FT59" s="163"/>
      <c r="FU59" s="163"/>
      <c r="FV59" s="163"/>
      <c r="FW59" s="163"/>
      <c r="FX59" s="163"/>
      <c r="FY59" s="163"/>
      <c r="FZ59" s="163"/>
      <c r="GA59" s="163"/>
      <c r="GB59" s="163"/>
      <c r="GC59" s="163"/>
      <c r="GD59" s="163"/>
      <c r="GE59" s="163"/>
      <c r="GF59" s="163"/>
      <c r="GG59" s="163"/>
      <c r="GH59" s="163"/>
      <c r="GI59" s="163"/>
      <c r="GJ59" s="163"/>
      <c r="GK59" s="163"/>
      <c r="GL59" s="163"/>
      <c r="GM59" s="163"/>
      <c r="GN59" s="163"/>
      <c r="GO59" s="163"/>
      <c r="GP59" s="163"/>
      <c r="GQ59" s="163"/>
      <c r="GR59" s="163"/>
      <c r="GS59" s="163"/>
      <c r="GT59" s="163"/>
      <c r="GU59" s="163"/>
      <c r="GV59" s="163"/>
      <c r="GW59" s="163"/>
      <c r="GX59" s="163"/>
      <c r="GY59" s="163"/>
      <c r="GZ59" s="163"/>
      <c r="HA59" s="163"/>
      <c r="HB59" s="163"/>
      <c r="HC59" s="163"/>
      <c r="HD59" s="163"/>
      <c r="HE59" s="163"/>
      <c r="HF59" s="163"/>
      <c r="HG59" s="163"/>
      <c r="HH59" s="163"/>
      <c r="HI59" s="163"/>
      <c r="HJ59" s="163"/>
      <c r="HK59" s="163"/>
      <c r="HL59" s="163"/>
      <c r="HM59" s="163"/>
      <c r="HN59" s="163"/>
      <c r="HO59" s="163"/>
      <c r="HP59" s="163"/>
      <c r="HQ59" s="163"/>
      <c r="HR59" s="163"/>
      <c r="HS59" s="163"/>
      <c r="HT59" s="163"/>
      <c r="HU59" s="163"/>
      <c r="HV59" s="163"/>
      <c r="HW59" s="163"/>
      <c r="HX59" s="163"/>
      <c r="HY59" s="163"/>
      <c r="HZ59" s="163"/>
      <c r="IA59" s="163"/>
      <c r="IB59" s="163"/>
      <c r="IC59" s="163"/>
      <c r="ID59" s="163"/>
      <c r="IE59" s="163"/>
      <c r="IF59" s="163"/>
      <c r="IG59" s="163"/>
      <c r="IH59" s="163"/>
      <c r="II59" s="163"/>
      <c r="IJ59" s="163"/>
      <c r="IK59" s="163"/>
      <c r="IL59" s="163"/>
      <c r="IM59" s="163"/>
      <c r="IN59" s="163"/>
      <c r="IO59" s="163"/>
      <c r="IP59" s="163"/>
      <c r="IQ59" s="163"/>
      <c r="IR59" s="163"/>
      <c r="IS59" s="163"/>
      <c r="IT59" s="163"/>
      <c r="IU59" s="163"/>
      <c r="IV59" s="163"/>
      <c r="IW59" s="11"/>
    </row>
    <row r="60" customFormat="false" ht="13.5" hidden="true" customHeight="true" outlineLevel="0" collapsed="false">
      <c r="A60" s="108" t="n">
        <f aca="false">A58+1</f>
        <v>26</v>
      </c>
      <c r="B60" s="404"/>
      <c r="C60" s="159" t="n">
        <f aca="false">IF(ISERROR(VLOOKUP(D60,[34]일용직명단!$A$3:$I$97,2,FALSE())),0,VLOOKUP(D60,[34]일용직명단!$A$3:$I$97,2,FALSE()))</f>
        <v>0</v>
      </c>
      <c r="D60" s="203"/>
      <c r="E60" s="311" t="n">
        <f aca="false">IF(ISERROR(VLOOKUP(D60,[33]일용직명단!$A$3:$K$1183,3,FALSE())),0,VLOOKUP(D60,[33]일용직명단!$A$3:$K$1183,3,FALSE()))</f>
        <v>0</v>
      </c>
      <c r="F60" s="112" t="n">
        <f aca="false">IF(ISERROR(VLOOKUP(D60,일용직명단!$A$3:$K$1246,4,FALSE())),0,VLOOKUP(D60,일용직명단!$A$3:$K$1246,4,FALSE()))</f>
        <v>0</v>
      </c>
      <c r="G60" s="208"/>
      <c r="H60" s="415"/>
      <c r="I60" s="415"/>
      <c r="J60" s="415"/>
      <c r="K60" s="415"/>
      <c r="L60" s="415"/>
      <c r="M60" s="415"/>
      <c r="N60" s="415"/>
      <c r="O60" s="415"/>
      <c r="P60" s="415"/>
      <c r="Q60" s="415"/>
      <c r="R60" s="415"/>
      <c r="S60" s="415"/>
      <c r="T60" s="415"/>
      <c r="U60" s="415"/>
      <c r="V60" s="416"/>
      <c r="W60" s="144" t="n">
        <f aca="false">SUM(G60:V61)</f>
        <v>0</v>
      </c>
      <c r="X60" s="121" t="n">
        <f aca="false">IF(ISERROR(VLOOKUP(D60,일용직명단!$A$3:$K$1246,8,FALSE())),0,VLOOKUP(D60,일용직명단!$A$3:$K$1246,8,FALSE()))</f>
        <v>0</v>
      </c>
      <c r="Y60" s="122" t="n">
        <f aca="false">IFERROR(IF(AH60&gt;=65,0,ROUNDDOWN(X61*$AA$4,-1)),0)</f>
        <v>0</v>
      </c>
      <c r="Z60" s="122" t="n">
        <f aca="false">IF(AF60&gt;=8,ROUNDDOWN(X61*$N$4,-1),0)</f>
        <v>0</v>
      </c>
      <c r="AA60" s="123" t="n">
        <f aca="false">IFERROR(IF(AND(COUNT(G60:V61)&gt;=8,$AH60&lt;60,X61&lt;=5530000),ROUNDDOWN(ROUNDDOWN(X61,-3)*4.5%,-1),IF(AND(COUNT(G60:V61)&gt;=8,AH60&lt;60,X61&gt;5530000),248850,0)),0)</f>
        <v>0</v>
      </c>
      <c r="AB60" s="145" t="n">
        <f aca="false">+Y60+Z60+Y61+Z61+AA60+AA61</f>
        <v>0</v>
      </c>
      <c r="AC60" s="146" t="n">
        <f aca="false">X61-AB60</f>
        <v>0</v>
      </c>
      <c r="AD60" s="157" t="n">
        <f aca="false">IF(ISERROR(VLOOKUP(D60,[31]일용직명단!$A$3:$I$1200,5,FALSE())),0,VLOOKUP(D60,[31]일용직명단!$A$3:$I$1200,5,FALSE()))</f>
        <v>0</v>
      </c>
      <c r="AE60" s="158" t="n">
        <f aca="false">IF(ISERROR(VLOOKUP(D60,[31]일용직명단!$A$3:$I$1200,6,FALSE())),0,VLOOKUP(D60,[31]일용직명단!$A$3:$I$1200,6,FALSE()))</f>
        <v>0</v>
      </c>
      <c r="AF60" s="141" t="n">
        <f aca="false">COUNT(G60:V61)</f>
        <v>0</v>
      </c>
      <c r="AG60" s="129" t="str">
        <f aca="false">IF(OR(MID(E60,8,1)="1",MID(E60,8,1)="2"),19&amp;LEFT(E60,2),20&amp;LEFT(E60,2))&amp;"-"&amp;MID(E60,3,2)&amp;"-"&amp;MID(E60,5,2)</f>
        <v>200--</v>
      </c>
      <c r="AH60" s="129" t="e">
        <f aca="true">INT((TODAY()-AG60)/365.25)</f>
        <v>#VALUE!</v>
      </c>
      <c r="AI60" s="161" t="n">
        <f aca="false">ROUNDDOWN(SUM(AJ60:AY61),-1)</f>
        <v>0</v>
      </c>
      <c r="AJ60" s="161" t="n">
        <f aca="false">IF($X60*G60&gt;150000,($X60*G60-150000)*6%*45%,0)</f>
        <v>0</v>
      </c>
      <c r="AK60" s="161" t="n">
        <f aca="false">IF($X60*H60&gt;150000,($X60*H60-150000)*6%*45%,0)</f>
        <v>0</v>
      </c>
      <c r="AL60" s="161" t="n">
        <f aca="false">IF($X60*I60&gt;150000,($X60*I60-150000)*6%*45%,0)</f>
        <v>0</v>
      </c>
      <c r="AM60" s="161" t="n">
        <f aca="false">IF($X60*J60&gt;150000,($X60*J60-150000)*6%*45%,0)</f>
        <v>0</v>
      </c>
      <c r="AN60" s="161" t="n">
        <f aca="false">IF($X60*K60&gt;150000,($X60*K60-150000)*6%*45%,0)</f>
        <v>0</v>
      </c>
      <c r="AO60" s="161" t="n">
        <f aca="false">IF($X60*L60&gt;150000,($X60*L60-150000)*6%*45%,0)</f>
        <v>0</v>
      </c>
      <c r="AP60" s="161" t="n">
        <f aca="false">IF($X60*M60&gt;150000,($X60*M60-150000)*6%*45%,0)</f>
        <v>0</v>
      </c>
      <c r="AQ60" s="161" t="n">
        <f aca="false">IF($X60*N60&gt;150000,($X60*N60-150000)*6%*45%,0)</f>
        <v>0</v>
      </c>
      <c r="AR60" s="161" t="n">
        <f aca="false">IF($X60*O60&gt;150000,($X60*O60-150000)*6%*45%,0)</f>
        <v>0</v>
      </c>
      <c r="AS60" s="161" t="n">
        <f aca="false">IF($X60*P60&gt;150000,($X60*P60-150000)*6%*45%,0)</f>
        <v>0</v>
      </c>
      <c r="AT60" s="161" t="n">
        <f aca="false">IF($X60*Q60&gt;150000,($X60*Q60-150000)*6%*45%,0)</f>
        <v>0</v>
      </c>
      <c r="AU60" s="161" t="n">
        <f aca="false">IF($X60*R60&gt;150000,($X60*R60-150000)*6%*45%,0)</f>
        <v>0</v>
      </c>
      <c r="AV60" s="161" t="n">
        <f aca="false">IF($X60*S60&gt;150000,($X60*S60-150000)*6%*45%,0)</f>
        <v>0</v>
      </c>
      <c r="AW60" s="161" t="n">
        <f aca="false">IF($X60*T60&gt;150000,($X60*T60-150000)*6%*45%,0)</f>
        <v>0</v>
      </c>
      <c r="AX60" s="161" t="n">
        <f aca="false">IF($X60*U60&gt;150000,($X60*U60-150000)*6%*45%,0)</f>
        <v>0</v>
      </c>
      <c r="AY60" s="161"/>
      <c r="AZ60" s="162" t="n">
        <f aca="false">IF(ISERROR(VLOOKUP(D60,[27]일용직명단!$A$3:$M$1151,11,FALSE())),0,VLOOKUP(D60,[27]일용직명단!$A$3:$M$1151,11,FALSE()))</f>
        <v>0</v>
      </c>
      <c r="BA60" s="163"/>
      <c r="BB60" s="163"/>
      <c r="BC60" s="163"/>
      <c r="BD60" s="163"/>
      <c r="BE60" s="163"/>
      <c r="BF60" s="163"/>
      <c r="BG60" s="163"/>
      <c r="BH60" s="163"/>
      <c r="BI60" s="163"/>
      <c r="BJ60" s="163"/>
      <c r="BK60" s="163"/>
      <c r="BL60" s="163"/>
      <c r="BM60" s="163"/>
      <c r="BN60" s="163"/>
      <c r="BO60" s="163"/>
      <c r="BP60" s="163"/>
      <c r="BQ60" s="163"/>
      <c r="BR60" s="163"/>
      <c r="BS60" s="163"/>
      <c r="BT60" s="163"/>
      <c r="BU60" s="163"/>
      <c r="BV60" s="163"/>
      <c r="BW60" s="163"/>
      <c r="BX60" s="163"/>
      <c r="BY60" s="163"/>
      <c r="BZ60" s="163"/>
      <c r="CA60" s="163"/>
      <c r="CB60" s="163"/>
      <c r="CC60" s="163"/>
      <c r="CD60" s="163"/>
      <c r="CE60" s="163"/>
      <c r="CF60" s="163"/>
      <c r="CG60" s="163"/>
      <c r="CH60" s="163"/>
      <c r="CI60" s="163"/>
      <c r="CJ60" s="163"/>
      <c r="CK60" s="163"/>
      <c r="CL60" s="163"/>
      <c r="CM60" s="163"/>
      <c r="CN60" s="163"/>
      <c r="CO60" s="163"/>
      <c r="CP60" s="163"/>
      <c r="CQ60" s="163"/>
      <c r="CR60" s="163"/>
      <c r="CS60" s="163"/>
      <c r="CT60" s="163"/>
      <c r="CU60" s="163"/>
      <c r="CV60" s="163"/>
      <c r="CW60" s="163"/>
      <c r="CX60" s="163"/>
      <c r="CY60" s="163"/>
      <c r="CZ60" s="163"/>
      <c r="DA60" s="163"/>
      <c r="DB60" s="163"/>
      <c r="DC60" s="163"/>
      <c r="DD60" s="163"/>
      <c r="DE60" s="163"/>
      <c r="DF60" s="163"/>
      <c r="DG60" s="163"/>
      <c r="DH60" s="163"/>
      <c r="DI60" s="163"/>
      <c r="DJ60" s="163"/>
      <c r="DK60" s="163"/>
      <c r="DL60" s="163"/>
      <c r="DM60" s="163"/>
      <c r="DN60" s="163"/>
      <c r="DO60" s="163"/>
      <c r="DP60" s="163"/>
      <c r="DQ60" s="163"/>
      <c r="DR60" s="163"/>
      <c r="DS60" s="163"/>
      <c r="DT60" s="163"/>
      <c r="DU60" s="163"/>
      <c r="DV60" s="163"/>
      <c r="DW60" s="163"/>
      <c r="DX60" s="163"/>
      <c r="DY60" s="163"/>
      <c r="DZ60" s="163"/>
      <c r="EA60" s="163"/>
      <c r="EB60" s="163"/>
      <c r="EC60" s="163"/>
      <c r="ED60" s="163"/>
      <c r="EE60" s="163"/>
      <c r="EF60" s="163"/>
      <c r="EG60" s="163"/>
      <c r="EH60" s="163"/>
      <c r="EI60" s="163"/>
      <c r="EJ60" s="163"/>
      <c r="EK60" s="163"/>
      <c r="EL60" s="163"/>
      <c r="EM60" s="163"/>
      <c r="EN60" s="163"/>
      <c r="EO60" s="163"/>
      <c r="EP60" s="163"/>
      <c r="EQ60" s="163"/>
      <c r="ER60" s="163"/>
      <c r="ES60" s="163"/>
      <c r="ET60" s="163"/>
      <c r="EU60" s="163"/>
      <c r="EV60" s="163"/>
      <c r="EW60" s="163"/>
      <c r="EX60" s="163"/>
      <c r="EY60" s="163"/>
      <c r="EZ60" s="163"/>
      <c r="FA60" s="163"/>
      <c r="FB60" s="163"/>
      <c r="FC60" s="163"/>
      <c r="FD60" s="163"/>
      <c r="FE60" s="163"/>
      <c r="FF60" s="163"/>
      <c r="FG60" s="163"/>
      <c r="FH60" s="163"/>
      <c r="FI60" s="163"/>
      <c r="FJ60" s="163"/>
      <c r="FK60" s="163"/>
      <c r="FL60" s="163"/>
      <c r="FM60" s="163"/>
      <c r="FN60" s="163"/>
      <c r="FO60" s="163"/>
      <c r="FP60" s="163"/>
      <c r="FQ60" s="163"/>
      <c r="FR60" s="163"/>
      <c r="FS60" s="163"/>
      <c r="FT60" s="163"/>
      <c r="FU60" s="163"/>
      <c r="FV60" s="163"/>
      <c r="FW60" s="163"/>
      <c r="FX60" s="163"/>
      <c r="FY60" s="163"/>
      <c r="FZ60" s="163"/>
      <c r="GA60" s="163"/>
      <c r="GB60" s="163"/>
      <c r="GC60" s="163"/>
      <c r="GD60" s="163"/>
      <c r="GE60" s="163"/>
      <c r="GF60" s="163"/>
      <c r="GG60" s="163"/>
      <c r="GH60" s="163"/>
      <c r="GI60" s="163"/>
      <c r="GJ60" s="163"/>
      <c r="GK60" s="163"/>
      <c r="GL60" s="163"/>
      <c r="GM60" s="163"/>
      <c r="GN60" s="163"/>
      <c r="GO60" s="163"/>
      <c r="GP60" s="163"/>
      <c r="GQ60" s="163"/>
      <c r="GR60" s="163"/>
      <c r="GS60" s="163"/>
      <c r="GT60" s="163"/>
      <c r="GU60" s="163"/>
      <c r="GV60" s="163"/>
      <c r="GW60" s="163"/>
      <c r="GX60" s="163"/>
      <c r="GY60" s="163"/>
      <c r="GZ60" s="163"/>
      <c r="HA60" s="163"/>
      <c r="HB60" s="163"/>
      <c r="HC60" s="163"/>
      <c r="HD60" s="163"/>
      <c r="HE60" s="163"/>
      <c r="HF60" s="163"/>
      <c r="HG60" s="163"/>
      <c r="HH60" s="163"/>
      <c r="HI60" s="163"/>
      <c r="HJ60" s="163"/>
      <c r="HK60" s="163"/>
      <c r="HL60" s="163"/>
      <c r="HM60" s="163"/>
      <c r="HN60" s="163"/>
      <c r="HO60" s="163"/>
      <c r="HP60" s="163"/>
      <c r="HQ60" s="163"/>
      <c r="HR60" s="163"/>
      <c r="HS60" s="163"/>
      <c r="HT60" s="163"/>
      <c r="HU60" s="163"/>
      <c r="HV60" s="163"/>
      <c r="HW60" s="163"/>
      <c r="HX60" s="163"/>
      <c r="HY60" s="163"/>
      <c r="HZ60" s="163"/>
      <c r="IA60" s="163"/>
      <c r="IB60" s="163"/>
      <c r="IC60" s="163"/>
      <c r="ID60" s="163"/>
      <c r="IE60" s="163"/>
      <c r="IF60" s="163"/>
      <c r="IG60" s="163"/>
      <c r="IH60" s="163"/>
      <c r="II60" s="163"/>
      <c r="IJ60" s="163"/>
      <c r="IK60" s="163"/>
      <c r="IL60" s="163"/>
      <c r="IM60" s="163"/>
      <c r="IN60" s="163"/>
      <c r="IO60" s="163"/>
      <c r="IP60" s="163"/>
      <c r="IQ60" s="163"/>
      <c r="IR60" s="163"/>
      <c r="IS60" s="163"/>
      <c r="IT60" s="163"/>
      <c r="IU60" s="163"/>
      <c r="IV60" s="163"/>
      <c r="IW60" s="11"/>
    </row>
    <row r="61" customFormat="false" ht="13.5" hidden="true" customHeight="true" outlineLevel="0" collapsed="false">
      <c r="A61" s="108"/>
      <c r="B61" s="404"/>
      <c r="C61" s="159"/>
      <c r="D61" s="203"/>
      <c r="E61" s="311"/>
      <c r="F61" s="112" t="n">
        <f aca="false">IF(ISERROR(VLOOKUP(D60,일용직명단!$A$3:$K$1246,9,FALSE())),0,VLOOKUP(D60,일용직명단!$A$3:$K$1246,9,FALSE()))</f>
        <v>0</v>
      </c>
      <c r="G61" s="415"/>
      <c r="H61" s="415"/>
      <c r="I61" s="415"/>
      <c r="J61" s="415"/>
      <c r="K61" s="415"/>
      <c r="L61" s="415"/>
      <c r="M61" s="415"/>
      <c r="N61" s="415"/>
      <c r="O61" s="415"/>
      <c r="P61" s="415"/>
      <c r="Q61" s="415"/>
      <c r="R61" s="415"/>
      <c r="S61" s="415"/>
      <c r="T61" s="415"/>
      <c r="U61" s="415"/>
      <c r="V61" s="417"/>
      <c r="W61" s="144"/>
      <c r="X61" s="138" t="n">
        <f aca="false">X60*W60</f>
        <v>0</v>
      </c>
      <c r="Y61" s="122" t="n">
        <f aca="false">IF(AI60&lt;1000,0,AI60)</f>
        <v>0</v>
      </c>
      <c r="Z61" s="122" t="n">
        <f aca="false">ROUNDDOWN(Y61*10%,-1)</f>
        <v>0</v>
      </c>
      <c r="AA61" s="123" t="n">
        <f aca="false">IF(AF60&gt;=8,ROUNDDOWN(Z60*$R$4,-1),0)</f>
        <v>0</v>
      </c>
      <c r="AB61" s="145"/>
      <c r="AC61" s="146"/>
      <c r="AD61" s="158" t="n">
        <f aca="false">IF(ISERROR(VLOOKUP(D60,[31]일용직명단!$A$3:$I$1200,7,FALSE())),0,VLOOKUP(D60,[31]일용직명단!$A$3:$I$1200,7,FALSE()))</f>
        <v>0</v>
      </c>
      <c r="AE61" s="158"/>
      <c r="AF61" s="141"/>
      <c r="AG61" s="129"/>
      <c r="AH61" s="129"/>
      <c r="AI61" s="161"/>
      <c r="AJ61" s="161" t="n">
        <f aca="false">IF($X60*G61&gt;150000,($X60*G61-150000)*6%*45%,0)</f>
        <v>0</v>
      </c>
      <c r="AK61" s="161" t="n">
        <f aca="false">IF($X60*H61&gt;150000,($X60*H61-150000)*6%*45%,0)</f>
        <v>0</v>
      </c>
      <c r="AL61" s="161" t="n">
        <f aca="false">IF($X60*I61&gt;150000,($X60*I61-150000)*6%*45%,0)</f>
        <v>0</v>
      </c>
      <c r="AM61" s="161" t="n">
        <f aca="false">IF($X60*J61&gt;150000,($X60*J61-150000)*6%*45%,0)</f>
        <v>0</v>
      </c>
      <c r="AN61" s="161" t="n">
        <f aca="false">IF($X60*K61&gt;150000,($X60*K61-150000)*6%*45%,0)</f>
        <v>0</v>
      </c>
      <c r="AO61" s="161" t="n">
        <f aca="false">IF($X60*L61&gt;150000,($X60*L61-150000)*6%*45%,0)</f>
        <v>0</v>
      </c>
      <c r="AP61" s="161" t="n">
        <f aca="false">IF($X60*M61&gt;150000,($X60*M61-150000)*6%*45%,0)</f>
        <v>0</v>
      </c>
      <c r="AQ61" s="161" t="n">
        <f aca="false">IF($X60*N61&gt;150000,($X60*N61-150000)*6%*45%,0)</f>
        <v>0</v>
      </c>
      <c r="AR61" s="161" t="n">
        <f aca="false">IF($X60*O61&gt;150000,($X60*O61-150000)*6%*45%,0)</f>
        <v>0</v>
      </c>
      <c r="AS61" s="161" t="n">
        <f aca="false">IF($X60*P61&gt;150000,($X60*P61-150000)*6%*45%,0)</f>
        <v>0</v>
      </c>
      <c r="AT61" s="161" t="n">
        <f aca="false">IF($X60*Q61&gt;150000,($X60*Q61-150000)*6%*45%,0)</f>
        <v>0</v>
      </c>
      <c r="AU61" s="161" t="n">
        <f aca="false">IF($X60*R61&gt;150000,($X60*R61-150000)*6%*45%,0)</f>
        <v>0</v>
      </c>
      <c r="AV61" s="161" t="n">
        <f aca="false">IF($X60*S61&gt;150000,($X60*S61-150000)*6%*45%,0)</f>
        <v>0</v>
      </c>
      <c r="AW61" s="161" t="n">
        <f aca="false">IF($X60*T61&gt;150000,($X60*T61-150000)*6%*45%,0)</f>
        <v>0</v>
      </c>
      <c r="AX61" s="161" t="n">
        <f aca="false">IF($X60*U61&gt;150000,($X60*U61-150000)*6%*45%,0)</f>
        <v>0</v>
      </c>
      <c r="AY61" s="161" t="n">
        <f aca="false">IF($X60*V61&gt;150000,($X60*V61-150000)*6%*45%,0)</f>
        <v>0</v>
      </c>
      <c r="AZ61" s="162"/>
      <c r="BA61" s="163"/>
      <c r="BB61" s="163"/>
      <c r="BC61" s="163"/>
      <c r="BD61" s="163"/>
      <c r="BE61" s="163"/>
      <c r="BF61" s="163"/>
      <c r="BG61" s="163"/>
      <c r="BH61" s="163"/>
      <c r="BI61" s="163"/>
      <c r="BJ61" s="163"/>
      <c r="BK61" s="163"/>
      <c r="BL61" s="163"/>
      <c r="BM61" s="163"/>
      <c r="BN61" s="163"/>
      <c r="BO61" s="163"/>
      <c r="BP61" s="163"/>
      <c r="BQ61" s="163"/>
      <c r="BR61" s="163"/>
      <c r="BS61" s="163"/>
      <c r="BT61" s="163"/>
      <c r="BU61" s="163"/>
      <c r="BV61" s="163"/>
      <c r="BW61" s="163"/>
      <c r="BX61" s="163"/>
      <c r="BY61" s="163"/>
      <c r="BZ61" s="163"/>
      <c r="CA61" s="163"/>
      <c r="CB61" s="163"/>
      <c r="CC61" s="163"/>
      <c r="CD61" s="163"/>
      <c r="CE61" s="163"/>
      <c r="CF61" s="163"/>
      <c r="CG61" s="163"/>
      <c r="CH61" s="163"/>
      <c r="CI61" s="163"/>
      <c r="CJ61" s="163"/>
      <c r="CK61" s="163"/>
      <c r="CL61" s="163"/>
      <c r="CM61" s="163"/>
      <c r="CN61" s="163"/>
      <c r="CO61" s="163"/>
      <c r="CP61" s="163"/>
      <c r="CQ61" s="163"/>
      <c r="CR61" s="163"/>
      <c r="CS61" s="163"/>
      <c r="CT61" s="163"/>
      <c r="CU61" s="163"/>
      <c r="CV61" s="163"/>
      <c r="CW61" s="163"/>
      <c r="CX61" s="163"/>
      <c r="CY61" s="163"/>
      <c r="CZ61" s="163"/>
      <c r="DA61" s="163"/>
      <c r="DB61" s="163"/>
      <c r="DC61" s="163"/>
      <c r="DD61" s="163"/>
      <c r="DE61" s="163"/>
      <c r="DF61" s="163"/>
      <c r="DG61" s="163"/>
      <c r="DH61" s="163"/>
      <c r="DI61" s="163"/>
      <c r="DJ61" s="163"/>
      <c r="DK61" s="163"/>
      <c r="DL61" s="163"/>
      <c r="DM61" s="163"/>
      <c r="DN61" s="163"/>
      <c r="DO61" s="163"/>
      <c r="DP61" s="163"/>
      <c r="DQ61" s="163"/>
      <c r="DR61" s="163"/>
      <c r="DS61" s="163"/>
      <c r="DT61" s="163"/>
      <c r="DU61" s="163"/>
      <c r="DV61" s="163"/>
      <c r="DW61" s="163"/>
      <c r="DX61" s="163"/>
      <c r="DY61" s="163"/>
      <c r="DZ61" s="163"/>
      <c r="EA61" s="163"/>
      <c r="EB61" s="163"/>
      <c r="EC61" s="163"/>
      <c r="ED61" s="163"/>
      <c r="EE61" s="163"/>
      <c r="EF61" s="163"/>
      <c r="EG61" s="163"/>
      <c r="EH61" s="163"/>
      <c r="EI61" s="163"/>
      <c r="EJ61" s="163"/>
      <c r="EK61" s="163"/>
      <c r="EL61" s="163"/>
      <c r="EM61" s="163"/>
      <c r="EN61" s="163"/>
      <c r="EO61" s="163"/>
      <c r="EP61" s="163"/>
      <c r="EQ61" s="163"/>
      <c r="ER61" s="163"/>
      <c r="ES61" s="163"/>
      <c r="ET61" s="163"/>
      <c r="EU61" s="163"/>
      <c r="EV61" s="163"/>
      <c r="EW61" s="163"/>
      <c r="EX61" s="163"/>
      <c r="EY61" s="163"/>
      <c r="EZ61" s="163"/>
      <c r="FA61" s="163"/>
      <c r="FB61" s="163"/>
      <c r="FC61" s="163"/>
      <c r="FD61" s="163"/>
      <c r="FE61" s="163"/>
      <c r="FF61" s="163"/>
      <c r="FG61" s="163"/>
      <c r="FH61" s="163"/>
      <c r="FI61" s="163"/>
      <c r="FJ61" s="163"/>
      <c r="FK61" s="163"/>
      <c r="FL61" s="163"/>
      <c r="FM61" s="163"/>
      <c r="FN61" s="163"/>
      <c r="FO61" s="163"/>
      <c r="FP61" s="163"/>
      <c r="FQ61" s="163"/>
      <c r="FR61" s="163"/>
      <c r="FS61" s="163"/>
      <c r="FT61" s="163"/>
      <c r="FU61" s="163"/>
      <c r="FV61" s="163"/>
      <c r="FW61" s="163"/>
      <c r="FX61" s="163"/>
      <c r="FY61" s="163"/>
      <c r="FZ61" s="163"/>
      <c r="GA61" s="163"/>
      <c r="GB61" s="163"/>
      <c r="GC61" s="163"/>
      <c r="GD61" s="163"/>
      <c r="GE61" s="163"/>
      <c r="GF61" s="163"/>
      <c r="GG61" s="163"/>
      <c r="GH61" s="163"/>
      <c r="GI61" s="163"/>
      <c r="GJ61" s="163"/>
      <c r="GK61" s="163"/>
      <c r="GL61" s="163"/>
      <c r="GM61" s="163"/>
      <c r="GN61" s="163"/>
      <c r="GO61" s="163"/>
      <c r="GP61" s="163"/>
      <c r="GQ61" s="163"/>
      <c r="GR61" s="163"/>
      <c r="GS61" s="163"/>
      <c r="GT61" s="163"/>
      <c r="GU61" s="163"/>
      <c r="GV61" s="163"/>
      <c r="GW61" s="163"/>
      <c r="GX61" s="163"/>
      <c r="GY61" s="163"/>
      <c r="GZ61" s="163"/>
      <c r="HA61" s="163"/>
      <c r="HB61" s="163"/>
      <c r="HC61" s="163"/>
      <c r="HD61" s="163"/>
      <c r="HE61" s="163"/>
      <c r="HF61" s="163"/>
      <c r="HG61" s="163"/>
      <c r="HH61" s="163"/>
      <c r="HI61" s="163"/>
      <c r="HJ61" s="163"/>
      <c r="HK61" s="163"/>
      <c r="HL61" s="163"/>
      <c r="HM61" s="163"/>
      <c r="HN61" s="163"/>
      <c r="HO61" s="163"/>
      <c r="HP61" s="163"/>
      <c r="HQ61" s="163"/>
      <c r="HR61" s="163"/>
      <c r="HS61" s="163"/>
      <c r="HT61" s="163"/>
      <c r="HU61" s="163"/>
      <c r="HV61" s="163"/>
      <c r="HW61" s="163"/>
      <c r="HX61" s="163"/>
      <c r="HY61" s="163"/>
      <c r="HZ61" s="163"/>
      <c r="IA61" s="163"/>
      <c r="IB61" s="163"/>
      <c r="IC61" s="163"/>
      <c r="ID61" s="163"/>
      <c r="IE61" s="163"/>
      <c r="IF61" s="163"/>
      <c r="IG61" s="163"/>
      <c r="IH61" s="163"/>
      <c r="II61" s="163"/>
      <c r="IJ61" s="163"/>
      <c r="IK61" s="163"/>
      <c r="IL61" s="163"/>
      <c r="IM61" s="163"/>
      <c r="IN61" s="163"/>
      <c r="IO61" s="163"/>
      <c r="IP61" s="163"/>
      <c r="IQ61" s="163"/>
      <c r="IR61" s="163"/>
      <c r="IS61" s="163"/>
      <c r="IT61" s="163"/>
      <c r="IU61" s="163"/>
      <c r="IV61" s="163"/>
      <c r="IW61" s="11"/>
    </row>
    <row r="62" customFormat="false" ht="13.5" hidden="true" customHeight="true" outlineLevel="0" collapsed="false">
      <c r="A62" s="108" t="n">
        <f aca="false">A60+1</f>
        <v>27</v>
      </c>
      <c r="B62" s="402"/>
      <c r="C62" s="159"/>
      <c r="D62" s="203"/>
      <c r="E62" s="311" t="n">
        <f aca="false">IF(ISERROR(VLOOKUP(D62,[33]일용직명단!$A$3:$K$1183,3,FALSE())),0,VLOOKUP(D62,[33]일용직명단!$A$3:$K$1183,3,FALSE()))</f>
        <v>0</v>
      </c>
      <c r="F62" s="112" t="n">
        <f aca="false">IF(ISERROR(VLOOKUP(D62,일용직명단!$A$3:$K$1246,4,FALSE())),0,VLOOKUP(D62,일용직명단!$A$3:$K$1246,4,FALSE()))</f>
        <v>0</v>
      </c>
      <c r="G62" s="208"/>
      <c r="H62" s="415"/>
      <c r="I62" s="415"/>
      <c r="J62" s="415"/>
      <c r="K62" s="415"/>
      <c r="L62" s="415"/>
      <c r="M62" s="415"/>
      <c r="N62" s="415"/>
      <c r="O62" s="415"/>
      <c r="P62" s="415"/>
      <c r="Q62" s="415"/>
      <c r="R62" s="415"/>
      <c r="S62" s="415"/>
      <c r="T62" s="415"/>
      <c r="U62" s="415"/>
      <c r="V62" s="416"/>
      <c r="W62" s="144" t="n">
        <f aca="false">SUM(G62:V63)</f>
        <v>0</v>
      </c>
      <c r="X62" s="121" t="n">
        <f aca="false">IF(ISERROR(VLOOKUP(D62,일용직명단!$A$3:$K$1246,8,FALSE())),0,VLOOKUP(D62,일용직명단!$A$3:$K$1246,8,FALSE()))</f>
        <v>0</v>
      </c>
      <c r="Y62" s="122" t="n">
        <f aca="false">IFERROR(IF(AH62&gt;=65,0,ROUNDDOWN(X63*$AA$4,-1)),0)</f>
        <v>0</v>
      </c>
      <c r="Z62" s="122" t="n">
        <f aca="false">IF(AF62&gt;=8,ROUNDDOWN(X63*$N$4,-1),0)</f>
        <v>0</v>
      </c>
      <c r="AA62" s="123" t="n">
        <f aca="false">IFERROR(IF(AND(COUNT(G62:V63)&gt;=8,$AH62&lt;60,X63&lt;=5530000),ROUNDDOWN(ROUNDDOWN(X63,-3)*4.5%,-1),IF(AND(COUNT(G62:V63)&gt;=8,AH62&lt;60,X63&gt;5530000),248850,0)),0)</f>
        <v>0</v>
      </c>
      <c r="AB62" s="145" t="n">
        <f aca="false">+Y62+Z62+Y63+Z63+AA62+AA63</f>
        <v>0</v>
      </c>
      <c r="AC62" s="146" t="n">
        <f aca="false">X63-AB62</f>
        <v>0</v>
      </c>
      <c r="AD62" s="157" t="n">
        <f aca="false">IF(ISERROR(VLOOKUP(D62,[31]일용직명단!$A$3:$I$1200,5,FALSE())),0,VLOOKUP(D62,[31]일용직명단!$A$3:$I$1200,5,FALSE()))</f>
        <v>0</v>
      </c>
      <c r="AE62" s="158" t="n">
        <f aca="false">IF(ISERROR(VLOOKUP(D62,[31]일용직명단!$A$3:$I$1200,6,FALSE())),0,VLOOKUP(D62,[31]일용직명단!$A$3:$I$1200,6,FALSE()))</f>
        <v>0</v>
      </c>
      <c r="AF62" s="128" t="n">
        <f aca="false">COUNT(G62:V63)</f>
        <v>0</v>
      </c>
      <c r="AG62" s="129" t="str">
        <f aca="false">IF(OR(MID(E62,8,1)="1",MID(E62,8,1)="2"),19&amp;LEFT(E62,2),20&amp;LEFT(E62,2))&amp;"-"&amp;MID(E62,3,2)&amp;"-"&amp;MID(E62,5,2)</f>
        <v>200--</v>
      </c>
      <c r="AH62" s="129" t="e">
        <f aca="true">INT((TODAY()-AG62)/365.25)</f>
        <v>#VALUE!</v>
      </c>
      <c r="AI62" s="161" t="n">
        <f aca="false">ROUNDDOWN(SUM(AJ62:AY63),-1)</f>
        <v>0</v>
      </c>
      <c r="AJ62" s="161" t="n">
        <f aca="false">IF($X62*G62&gt;150000,($X62*G62-150000)*6%*45%,0)</f>
        <v>0</v>
      </c>
      <c r="AK62" s="161" t="n">
        <f aca="false">IF($X62*H62&gt;150000,($X62*H62-150000)*6%*45%,0)</f>
        <v>0</v>
      </c>
      <c r="AL62" s="161" t="n">
        <f aca="false">IF($X62*I62&gt;150000,($X62*I62-150000)*6%*45%,0)</f>
        <v>0</v>
      </c>
      <c r="AM62" s="161" t="n">
        <f aca="false">IF($X62*J62&gt;150000,($X62*J62-150000)*6%*45%,0)</f>
        <v>0</v>
      </c>
      <c r="AN62" s="161" t="n">
        <f aca="false">IF($X62*K62&gt;150000,($X62*K62-150000)*6%*45%,0)</f>
        <v>0</v>
      </c>
      <c r="AO62" s="161" t="n">
        <f aca="false">IF($X62*L62&gt;150000,($X62*L62-150000)*6%*45%,0)</f>
        <v>0</v>
      </c>
      <c r="AP62" s="161" t="n">
        <f aca="false">IF($X62*M62&gt;150000,($X62*M62-150000)*6%*45%,0)</f>
        <v>0</v>
      </c>
      <c r="AQ62" s="161" t="n">
        <f aca="false">IF($X62*N62&gt;150000,($X62*N62-150000)*6%*45%,0)</f>
        <v>0</v>
      </c>
      <c r="AR62" s="161" t="n">
        <f aca="false">IF($X62*O62&gt;150000,($X62*O62-150000)*6%*45%,0)</f>
        <v>0</v>
      </c>
      <c r="AS62" s="161" t="n">
        <f aca="false">IF($X62*P62&gt;150000,($X62*P62-150000)*6%*45%,0)</f>
        <v>0</v>
      </c>
      <c r="AT62" s="161" t="n">
        <f aca="false">IF($X62*Q62&gt;150000,($X62*Q62-150000)*6%*45%,0)</f>
        <v>0</v>
      </c>
      <c r="AU62" s="161" t="n">
        <f aca="false">IF($X62*R62&gt;150000,($X62*R62-150000)*6%*45%,0)</f>
        <v>0</v>
      </c>
      <c r="AV62" s="161" t="n">
        <f aca="false">IF($X62*S62&gt;150000,($X62*S62-150000)*6%*45%,0)</f>
        <v>0</v>
      </c>
      <c r="AW62" s="161" t="n">
        <f aca="false">IF($X62*T62&gt;150000,($X62*T62-150000)*6%*45%,0)</f>
        <v>0</v>
      </c>
      <c r="AX62" s="161" t="n">
        <f aca="false">IF($X62*U62&gt;150000,($X62*U62-150000)*6%*45%,0)</f>
        <v>0</v>
      </c>
      <c r="AY62" s="161"/>
      <c r="AZ62" s="162" t="n">
        <f aca="false">IF(ISERROR(VLOOKUP(D62,[27]일용직명단!$A$3:$M$1151,11,FALSE())),0,VLOOKUP(D62,[27]일용직명단!$A$3:$M$1151,11,FALSE()))</f>
        <v>0</v>
      </c>
      <c r="BA62" s="163"/>
      <c r="BB62" s="163"/>
      <c r="BC62" s="358"/>
      <c r="BD62" s="358"/>
      <c r="BE62" s="358"/>
      <c r="BF62" s="358"/>
      <c r="BG62" s="358"/>
      <c r="BH62" s="358"/>
      <c r="BI62" s="358"/>
      <c r="BJ62" s="358"/>
      <c r="BK62" s="358"/>
      <c r="BL62" s="358"/>
      <c r="BM62" s="358"/>
      <c r="BN62" s="358"/>
      <c r="BO62" s="358"/>
      <c r="BP62" s="358"/>
      <c r="BQ62" s="358"/>
      <c r="BR62" s="358"/>
      <c r="BS62" s="358"/>
      <c r="BT62" s="358"/>
      <c r="BU62" s="358"/>
      <c r="BV62" s="358"/>
      <c r="BW62" s="358"/>
      <c r="BX62" s="358"/>
      <c r="BY62" s="358"/>
      <c r="BZ62" s="358"/>
      <c r="CA62" s="358"/>
      <c r="CB62" s="358"/>
      <c r="CC62" s="358"/>
      <c r="CD62" s="358"/>
      <c r="CE62" s="358"/>
      <c r="CF62" s="358"/>
      <c r="CG62" s="358"/>
      <c r="CH62" s="358"/>
      <c r="CI62" s="358"/>
      <c r="CJ62" s="358"/>
      <c r="CK62" s="358"/>
      <c r="CL62" s="358"/>
      <c r="CM62" s="358"/>
      <c r="CN62" s="358"/>
      <c r="CO62" s="358"/>
      <c r="CP62" s="358"/>
      <c r="CQ62" s="358"/>
      <c r="CR62" s="358"/>
      <c r="CS62" s="358"/>
      <c r="CT62" s="358"/>
      <c r="CU62" s="358"/>
      <c r="CV62" s="358"/>
      <c r="CW62" s="358"/>
      <c r="CX62" s="358"/>
      <c r="CY62" s="358"/>
      <c r="CZ62" s="358"/>
      <c r="DA62" s="358"/>
      <c r="DB62" s="358"/>
      <c r="DC62" s="358"/>
      <c r="DD62" s="358"/>
      <c r="DE62" s="358"/>
      <c r="DF62" s="358"/>
      <c r="DG62" s="358"/>
      <c r="DH62" s="358"/>
      <c r="DI62" s="358"/>
      <c r="DJ62" s="358"/>
      <c r="DK62" s="358"/>
      <c r="DL62" s="358"/>
      <c r="DM62" s="358"/>
      <c r="DN62" s="358"/>
      <c r="DO62" s="358"/>
      <c r="DP62" s="358"/>
      <c r="DQ62" s="358"/>
      <c r="DR62" s="358"/>
      <c r="DS62" s="358"/>
      <c r="DT62" s="358"/>
      <c r="DU62" s="358"/>
      <c r="DV62" s="358"/>
      <c r="DW62" s="358"/>
      <c r="DX62" s="358"/>
      <c r="DY62" s="358"/>
      <c r="DZ62" s="358"/>
      <c r="EA62" s="358"/>
      <c r="EB62" s="358"/>
      <c r="EC62" s="358"/>
      <c r="ED62" s="358"/>
      <c r="EE62" s="358"/>
      <c r="EF62" s="358"/>
      <c r="EG62" s="358"/>
      <c r="EH62" s="358"/>
      <c r="EI62" s="358"/>
      <c r="EJ62" s="358"/>
      <c r="EK62" s="358"/>
      <c r="EL62" s="358"/>
      <c r="EM62" s="358"/>
      <c r="EN62" s="358"/>
      <c r="EO62" s="358"/>
      <c r="EP62" s="358"/>
      <c r="EQ62" s="358"/>
      <c r="ER62" s="358"/>
      <c r="ES62" s="358"/>
      <c r="ET62" s="358"/>
      <c r="EU62" s="358"/>
      <c r="EV62" s="358"/>
      <c r="EW62" s="358"/>
      <c r="EX62" s="358"/>
      <c r="EY62" s="358"/>
      <c r="EZ62" s="358"/>
      <c r="FA62" s="358"/>
      <c r="FB62" s="358"/>
      <c r="FC62" s="358"/>
      <c r="FD62" s="358"/>
      <c r="FE62" s="358"/>
      <c r="FF62" s="358"/>
      <c r="FG62" s="358"/>
      <c r="FH62" s="358"/>
      <c r="FI62" s="358"/>
      <c r="FJ62" s="358"/>
      <c r="FK62" s="358"/>
      <c r="FL62" s="358"/>
      <c r="FM62" s="358"/>
      <c r="FN62" s="358"/>
      <c r="FO62" s="358"/>
      <c r="FP62" s="358"/>
      <c r="FQ62" s="358"/>
      <c r="FR62" s="358"/>
      <c r="FS62" s="358"/>
      <c r="FT62" s="358"/>
      <c r="FU62" s="358"/>
      <c r="FV62" s="358"/>
      <c r="FW62" s="358"/>
      <c r="FX62" s="358"/>
      <c r="FY62" s="358"/>
      <c r="FZ62" s="358"/>
      <c r="GA62" s="358"/>
      <c r="GB62" s="358"/>
      <c r="GC62" s="358"/>
      <c r="GD62" s="358"/>
      <c r="GE62" s="358"/>
      <c r="GF62" s="358"/>
      <c r="GG62" s="358"/>
      <c r="GH62" s="358"/>
      <c r="GI62" s="358"/>
      <c r="GJ62" s="358"/>
      <c r="GK62" s="358"/>
      <c r="GL62" s="358"/>
      <c r="GM62" s="358"/>
      <c r="GN62" s="358"/>
      <c r="GO62" s="358"/>
      <c r="GP62" s="358"/>
      <c r="GQ62" s="358"/>
      <c r="GR62" s="358"/>
      <c r="GS62" s="358"/>
      <c r="GT62" s="358"/>
      <c r="GU62" s="358"/>
      <c r="GV62" s="358"/>
      <c r="GW62" s="358"/>
      <c r="GX62" s="358"/>
      <c r="GY62" s="358"/>
      <c r="GZ62" s="358"/>
      <c r="HA62" s="358"/>
      <c r="HB62" s="358"/>
      <c r="HC62" s="358"/>
      <c r="HD62" s="358"/>
      <c r="HE62" s="358"/>
      <c r="HF62" s="358"/>
      <c r="HG62" s="358"/>
      <c r="HH62" s="358"/>
      <c r="HI62" s="358"/>
      <c r="HJ62" s="358"/>
      <c r="HK62" s="358"/>
      <c r="HL62" s="358"/>
      <c r="HM62" s="358"/>
      <c r="HN62" s="358"/>
      <c r="HO62" s="358"/>
      <c r="HP62" s="358"/>
      <c r="HQ62" s="358"/>
      <c r="HR62" s="358"/>
      <c r="HS62" s="358"/>
      <c r="HT62" s="358"/>
      <c r="HU62" s="358"/>
      <c r="HV62" s="358"/>
      <c r="HW62" s="358"/>
      <c r="HX62" s="358"/>
      <c r="HY62" s="358"/>
      <c r="HZ62" s="358"/>
      <c r="IA62" s="358"/>
      <c r="IB62" s="358"/>
      <c r="IC62" s="358"/>
      <c r="ID62" s="358"/>
      <c r="IE62" s="358"/>
      <c r="IF62" s="358"/>
      <c r="IG62" s="358"/>
      <c r="IH62" s="358"/>
      <c r="II62" s="358"/>
      <c r="IJ62" s="358"/>
      <c r="IK62" s="358"/>
      <c r="IL62" s="358"/>
      <c r="IM62" s="358"/>
      <c r="IN62" s="358"/>
      <c r="IO62" s="358"/>
      <c r="IP62" s="358"/>
      <c r="IQ62" s="358"/>
      <c r="IW62" s="11"/>
    </row>
    <row r="63" customFormat="false" ht="13.5" hidden="true" customHeight="true" outlineLevel="0" collapsed="false">
      <c r="A63" s="108"/>
      <c r="B63" s="402"/>
      <c r="C63" s="159"/>
      <c r="D63" s="203"/>
      <c r="E63" s="311"/>
      <c r="F63" s="112" t="n">
        <f aca="false">IF(ISERROR(VLOOKUP(D62,일용직명단!$A$3:$K$1246,9,FALSE())),0,VLOOKUP(D62,일용직명단!$A$3:$K$1246,9,FALSE()))</f>
        <v>0</v>
      </c>
      <c r="G63" s="415"/>
      <c r="H63" s="415"/>
      <c r="I63" s="415"/>
      <c r="J63" s="415"/>
      <c r="K63" s="415"/>
      <c r="L63" s="415"/>
      <c r="M63" s="415"/>
      <c r="N63" s="415"/>
      <c r="O63" s="415"/>
      <c r="P63" s="415"/>
      <c r="Q63" s="415"/>
      <c r="R63" s="415"/>
      <c r="S63" s="415"/>
      <c r="T63" s="415"/>
      <c r="U63" s="415"/>
      <c r="V63" s="417"/>
      <c r="W63" s="144"/>
      <c r="X63" s="138" t="n">
        <f aca="false">X62*W62</f>
        <v>0</v>
      </c>
      <c r="Y63" s="122" t="n">
        <f aca="false">IF(AI62&lt;1000,0,AI62)</f>
        <v>0</v>
      </c>
      <c r="Z63" s="122" t="n">
        <f aca="false">ROUNDDOWN(Y63*10%,-1)</f>
        <v>0</v>
      </c>
      <c r="AA63" s="123" t="n">
        <f aca="false">IF(AF62&gt;=8,ROUNDDOWN(Z62*$R$4,-1),0)</f>
        <v>0</v>
      </c>
      <c r="AB63" s="145"/>
      <c r="AC63" s="146"/>
      <c r="AD63" s="158" t="n">
        <f aca="false">IF(ISERROR(VLOOKUP(D62,[31]일용직명단!$A$3:$I$1200,7,FALSE())),0,VLOOKUP(D62,[31]일용직명단!$A$3:$I$1200,7,FALSE()))</f>
        <v>0</v>
      </c>
      <c r="AE63" s="158"/>
      <c r="AF63" s="128"/>
      <c r="AG63" s="129"/>
      <c r="AH63" s="129"/>
      <c r="AI63" s="161"/>
      <c r="AJ63" s="161" t="n">
        <f aca="false">IF($X62*G63&gt;150000,($X62*G63-150000)*6%*45%,0)</f>
        <v>0</v>
      </c>
      <c r="AK63" s="161" t="n">
        <f aca="false">IF($X62*H63&gt;150000,($X62*H63-150000)*6%*45%,0)</f>
        <v>0</v>
      </c>
      <c r="AL63" s="161" t="n">
        <f aca="false">IF($X62*I63&gt;150000,($X62*I63-150000)*6%*45%,0)</f>
        <v>0</v>
      </c>
      <c r="AM63" s="161" t="n">
        <f aca="false">IF($X62*J63&gt;150000,($X62*J63-150000)*6%*45%,0)</f>
        <v>0</v>
      </c>
      <c r="AN63" s="161" t="n">
        <f aca="false">IF($X62*K63&gt;150000,($X62*K63-150000)*6%*45%,0)</f>
        <v>0</v>
      </c>
      <c r="AO63" s="161" t="n">
        <f aca="false">IF($X62*L63&gt;150000,($X62*L63-150000)*6%*45%,0)</f>
        <v>0</v>
      </c>
      <c r="AP63" s="161" t="n">
        <f aca="false">IF($X62*M63&gt;150000,($X62*M63-150000)*6%*45%,0)</f>
        <v>0</v>
      </c>
      <c r="AQ63" s="161" t="n">
        <f aca="false">IF($X62*N63&gt;150000,($X62*N63-150000)*6%*45%,0)</f>
        <v>0</v>
      </c>
      <c r="AR63" s="161" t="n">
        <f aca="false">IF($X62*O63&gt;150000,($X62*O63-150000)*6%*45%,0)</f>
        <v>0</v>
      </c>
      <c r="AS63" s="161" t="n">
        <f aca="false">IF($X62*P63&gt;150000,($X62*P63-150000)*6%*45%,0)</f>
        <v>0</v>
      </c>
      <c r="AT63" s="161" t="n">
        <f aca="false">IF($X62*Q63&gt;150000,($X62*Q63-150000)*6%*45%,0)</f>
        <v>0</v>
      </c>
      <c r="AU63" s="161" t="n">
        <f aca="false">IF($X62*R63&gt;150000,($X62*R63-150000)*6%*45%,0)</f>
        <v>0</v>
      </c>
      <c r="AV63" s="161" t="n">
        <f aca="false">IF($X62*S63&gt;150000,($X62*S63-150000)*6%*45%,0)</f>
        <v>0</v>
      </c>
      <c r="AW63" s="161" t="n">
        <f aca="false">IF($X62*T63&gt;150000,($X62*T63-150000)*6%*45%,0)</f>
        <v>0</v>
      </c>
      <c r="AX63" s="161" t="n">
        <f aca="false">IF($X62*U63&gt;150000,($X62*U63-150000)*6%*45%,0)</f>
        <v>0</v>
      </c>
      <c r="AY63" s="161" t="n">
        <f aca="false">IF($X62*V63&gt;150000,($X62*V63-150000)*6%*45%,0)</f>
        <v>0</v>
      </c>
      <c r="AZ63" s="162"/>
      <c r="BA63" s="163"/>
      <c r="BB63" s="163"/>
      <c r="BC63" s="358"/>
      <c r="BD63" s="358"/>
      <c r="BE63" s="358"/>
      <c r="BF63" s="358"/>
      <c r="BG63" s="358"/>
      <c r="BH63" s="358"/>
      <c r="BI63" s="358"/>
      <c r="BJ63" s="358"/>
      <c r="BK63" s="358"/>
      <c r="BL63" s="358"/>
      <c r="BM63" s="358"/>
      <c r="BN63" s="358"/>
      <c r="BO63" s="358"/>
      <c r="BP63" s="358"/>
      <c r="BQ63" s="358"/>
      <c r="BR63" s="358"/>
      <c r="BS63" s="358"/>
      <c r="BT63" s="358"/>
      <c r="BU63" s="358"/>
      <c r="BV63" s="358"/>
      <c r="BW63" s="358"/>
      <c r="BX63" s="358"/>
      <c r="BY63" s="358"/>
      <c r="BZ63" s="358"/>
      <c r="CA63" s="358"/>
      <c r="CB63" s="358"/>
      <c r="CC63" s="358"/>
      <c r="CD63" s="358"/>
      <c r="CE63" s="358"/>
      <c r="CF63" s="358"/>
      <c r="CG63" s="358"/>
      <c r="CH63" s="358"/>
      <c r="CI63" s="358"/>
      <c r="CJ63" s="358"/>
      <c r="CK63" s="358"/>
      <c r="CL63" s="358"/>
      <c r="CM63" s="358"/>
      <c r="CN63" s="358"/>
      <c r="CO63" s="358"/>
      <c r="CP63" s="358"/>
      <c r="CQ63" s="358"/>
      <c r="CR63" s="358"/>
      <c r="CS63" s="358"/>
      <c r="CT63" s="358"/>
      <c r="CU63" s="358"/>
      <c r="CV63" s="358"/>
      <c r="CW63" s="358"/>
      <c r="CX63" s="358"/>
      <c r="CY63" s="358"/>
      <c r="CZ63" s="358"/>
      <c r="DA63" s="358"/>
      <c r="DB63" s="358"/>
      <c r="DC63" s="358"/>
      <c r="DD63" s="358"/>
      <c r="DE63" s="358"/>
      <c r="DF63" s="358"/>
      <c r="DG63" s="358"/>
      <c r="DH63" s="358"/>
      <c r="DI63" s="358"/>
      <c r="DJ63" s="358"/>
      <c r="DK63" s="358"/>
      <c r="DL63" s="358"/>
      <c r="DM63" s="358"/>
      <c r="DN63" s="358"/>
      <c r="DO63" s="358"/>
      <c r="DP63" s="358"/>
      <c r="DQ63" s="358"/>
      <c r="DR63" s="358"/>
      <c r="DS63" s="358"/>
      <c r="DT63" s="358"/>
      <c r="DU63" s="358"/>
      <c r="DV63" s="358"/>
      <c r="DW63" s="358"/>
      <c r="DX63" s="358"/>
      <c r="DY63" s="358"/>
      <c r="DZ63" s="358"/>
      <c r="EA63" s="358"/>
      <c r="EB63" s="358"/>
      <c r="EC63" s="358"/>
      <c r="ED63" s="358"/>
      <c r="EE63" s="358"/>
      <c r="EF63" s="358"/>
      <c r="EG63" s="358"/>
      <c r="EH63" s="358"/>
      <c r="EI63" s="358"/>
      <c r="EJ63" s="358"/>
      <c r="EK63" s="358"/>
      <c r="EL63" s="358"/>
      <c r="EM63" s="358"/>
      <c r="EN63" s="358"/>
      <c r="EO63" s="358"/>
      <c r="EP63" s="358"/>
      <c r="EQ63" s="358"/>
      <c r="ER63" s="358"/>
      <c r="ES63" s="358"/>
      <c r="ET63" s="358"/>
      <c r="EU63" s="358"/>
      <c r="EV63" s="358"/>
      <c r="EW63" s="358"/>
      <c r="EX63" s="358"/>
      <c r="EY63" s="358"/>
      <c r="EZ63" s="358"/>
      <c r="FA63" s="358"/>
      <c r="FB63" s="358"/>
      <c r="FC63" s="358"/>
      <c r="FD63" s="358"/>
      <c r="FE63" s="358"/>
      <c r="FF63" s="358"/>
      <c r="FG63" s="358"/>
      <c r="FH63" s="358"/>
      <c r="FI63" s="358"/>
      <c r="FJ63" s="358"/>
      <c r="FK63" s="358"/>
      <c r="FL63" s="358"/>
      <c r="FM63" s="358"/>
      <c r="FN63" s="358"/>
      <c r="FO63" s="358"/>
      <c r="FP63" s="358"/>
      <c r="FQ63" s="358"/>
      <c r="FR63" s="358"/>
      <c r="FS63" s="358"/>
      <c r="FT63" s="358"/>
      <c r="FU63" s="358"/>
      <c r="FV63" s="358"/>
      <c r="FW63" s="358"/>
      <c r="FX63" s="358"/>
      <c r="FY63" s="358"/>
      <c r="FZ63" s="358"/>
      <c r="GA63" s="358"/>
      <c r="GB63" s="358"/>
      <c r="GC63" s="358"/>
      <c r="GD63" s="358"/>
      <c r="GE63" s="358"/>
      <c r="GF63" s="358"/>
      <c r="GG63" s="358"/>
      <c r="GH63" s="358"/>
      <c r="GI63" s="358"/>
      <c r="GJ63" s="358"/>
      <c r="GK63" s="358"/>
      <c r="GL63" s="358"/>
      <c r="GM63" s="358"/>
      <c r="GN63" s="358"/>
      <c r="GO63" s="358"/>
      <c r="GP63" s="358"/>
      <c r="GQ63" s="358"/>
      <c r="GR63" s="358"/>
      <c r="GS63" s="358"/>
      <c r="GT63" s="358"/>
      <c r="GU63" s="358"/>
      <c r="GV63" s="358"/>
      <c r="GW63" s="358"/>
      <c r="GX63" s="358"/>
      <c r="GY63" s="358"/>
      <c r="GZ63" s="358"/>
      <c r="HA63" s="358"/>
      <c r="HB63" s="358"/>
      <c r="HC63" s="358"/>
      <c r="HD63" s="358"/>
      <c r="HE63" s="358"/>
      <c r="HF63" s="358"/>
      <c r="HG63" s="358"/>
      <c r="HH63" s="358"/>
      <c r="HI63" s="358"/>
      <c r="HJ63" s="358"/>
      <c r="HK63" s="358"/>
      <c r="HL63" s="358"/>
      <c r="HM63" s="358"/>
      <c r="HN63" s="358"/>
      <c r="HO63" s="358"/>
      <c r="HP63" s="358"/>
      <c r="HQ63" s="358"/>
      <c r="HR63" s="358"/>
      <c r="HS63" s="358"/>
      <c r="HT63" s="358"/>
      <c r="HU63" s="358"/>
      <c r="HV63" s="358"/>
      <c r="HW63" s="358"/>
      <c r="HX63" s="358"/>
      <c r="HY63" s="358"/>
      <c r="HZ63" s="358"/>
      <c r="IA63" s="358"/>
      <c r="IB63" s="358"/>
      <c r="IC63" s="358"/>
      <c r="ID63" s="358"/>
      <c r="IE63" s="358"/>
      <c r="IF63" s="358"/>
      <c r="IG63" s="358"/>
      <c r="IH63" s="358"/>
      <c r="II63" s="358"/>
      <c r="IJ63" s="358"/>
      <c r="IK63" s="358"/>
      <c r="IL63" s="358"/>
      <c r="IM63" s="358"/>
      <c r="IN63" s="358"/>
      <c r="IO63" s="358"/>
      <c r="IP63" s="358"/>
      <c r="IQ63" s="358"/>
      <c r="IW63" s="11"/>
    </row>
    <row r="64" customFormat="false" ht="13.5" hidden="true" customHeight="true" outlineLevel="0" collapsed="false">
      <c r="A64" s="108" t="n">
        <f aca="false">A62+1</f>
        <v>28</v>
      </c>
      <c r="B64" s="404"/>
      <c r="C64" s="159" t="n">
        <f aca="false">IF(ISERROR(VLOOKUP(D64,[34]일용직명단!$A$3:$I$97,2,FALSE())),0,VLOOKUP(D64,[34]일용직명단!$A$3:$I$97,2,FALSE()))</f>
        <v>0</v>
      </c>
      <c r="D64" s="203"/>
      <c r="E64" s="311" t="n">
        <f aca="false">IF(ISERROR(VLOOKUP(D64,[33]일용직명단!$A$3:$K$1183,3,FALSE())),0,VLOOKUP(D64,[33]일용직명단!$A$3:$K$1183,3,FALSE()))</f>
        <v>0</v>
      </c>
      <c r="F64" s="112" t="n">
        <f aca="false">IF(ISERROR(VLOOKUP(D64,일용직명단!$A$3:$K$1246,4,FALSE())),0,VLOOKUP(D64,일용직명단!$A$3:$K$1246,4,FALSE()))</f>
        <v>0</v>
      </c>
      <c r="G64" s="208"/>
      <c r="H64" s="415"/>
      <c r="I64" s="415"/>
      <c r="J64" s="415"/>
      <c r="K64" s="415"/>
      <c r="L64" s="415"/>
      <c r="M64" s="415"/>
      <c r="N64" s="415"/>
      <c r="O64" s="415"/>
      <c r="P64" s="415"/>
      <c r="Q64" s="415"/>
      <c r="R64" s="415"/>
      <c r="S64" s="415"/>
      <c r="T64" s="415"/>
      <c r="U64" s="415"/>
      <c r="V64" s="416"/>
      <c r="W64" s="144" t="n">
        <f aca="false">SUM(G64:V65)</f>
        <v>0</v>
      </c>
      <c r="X64" s="121" t="n">
        <f aca="false">IF(ISERROR(VLOOKUP(D64,일용직명단!$A$3:$K$1246,8,FALSE())),0,VLOOKUP(D64,일용직명단!$A$3:$K$1246,8,FALSE()))</f>
        <v>0</v>
      </c>
      <c r="Y64" s="122" t="n">
        <f aca="false">IFERROR(IF(AH64&gt;=65,0,ROUNDDOWN(X65*$AA$4,-1)),0)</f>
        <v>0</v>
      </c>
      <c r="Z64" s="122" t="n">
        <f aca="false">IF(AF64&gt;=8,ROUNDDOWN(X65*$N$4,-1),0)</f>
        <v>0</v>
      </c>
      <c r="AA64" s="123" t="n">
        <f aca="false">IFERROR(IF(AND(COUNT(G64:V65)&gt;=8,$AH64&lt;60,X65&lt;=5530000),ROUNDDOWN(ROUNDDOWN(X65,-3)*4.5%,-1),IF(AND(COUNT(G64:V65)&gt;=8,AH64&lt;60,X65&gt;5530000),248850,0)),0)</f>
        <v>0</v>
      </c>
      <c r="AB64" s="145" t="n">
        <f aca="false">+Y64+Z64+Y65+Z65+AA64+AA65</f>
        <v>0</v>
      </c>
      <c r="AC64" s="146" t="n">
        <f aca="false">X65-AB64</f>
        <v>0</v>
      </c>
      <c r="AD64" s="157" t="n">
        <f aca="false">IF(ISERROR(VLOOKUP(D64,[31]일용직명단!$A$3:$I$1200,5,FALSE())),0,VLOOKUP(D64,[31]일용직명단!$A$3:$I$1200,5,FALSE()))</f>
        <v>0</v>
      </c>
      <c r="AE64" s="158" t="n">
        <f aca="false">IF(ISERROR(VLOOKUP(D64,[31]일용직명단!$A$3:$I$1200,6,FALSE())),0,VLOOKUP(D64,[31]일용직명단!$A$3:$I$1200,6,FALSE()))</f>
        <v>0</v>
      </c>
      <c r="AF64" s="141" t="n">
        <f aca="false">COUNT(G64:V65)</f>
        <v>0</v>
      </c>
      <c r="AG64" s="129" t="str">
        <f aca="false">IF(OR(MID(E64,8,1)="1",MID(E64,8,1)="2"),19&amp;LEFT(E64,2),20&amp;LEFT(E64,2))&amp;"-"&amp;MID(E64,3,2)&amp;"-"&amp;MID(E64,5,2)</f>
        <v>200--</v>
      </c>
      <c r="AH64" s="129" t="e">
        <f aca="true">INT((TODAY()-AG64)/365.25)</f>
        <v>#VALUE!</v>
      </c>
      <c r="AI64" s="161" t="n">
        <f aca="false">ROUNDDOWN(SUM(AJ64:AY65),-1)</f>
        <v>0</v>
      </c>
      <c r="AJ64" s="161" t="n">
        <f aca="false">IF($X64*G64&gt;150000,($X64*G64-150000)*6%*45%,0)</f>
        <v>0</v>
      </c>
      <c r="AK64" s="161" t="n">
        <f aca="false">IF($X64*H64&gt;150000,($X64*H64-150000)*6%*45%,0)</f>
        <v>0</v>
      </c>
      <c r="AL64" s="161" t="n">
        <f aca="false">IF($X64*I64&gt;150000,($X64*I64-150000)*6%*45%,0)</f>
        <v>0</v>
      </c>
      <c r="AM64" s="161" t="n">
        <f aca="false">IF($X64*J64&gt;150000,($X64*J64-150000)*6%*45%,0)</f>
        <v>0</v>
      </c>
      <c r="AN64" s="161" t="n">
        <f aca="false">IF($X64*K64&gt;150000,($X64*K64-150000)*6%*45%,0)</f>
        <v>0</v>
      </c>
      <c r="AO64" s="161" t="n">
        <f aca="false">IF($X64*L64&gt;150000,($X64*L64-150000)*6%*45%,0)</f>
        <v>0</v>
      </c>
      <c r="AP64" s="161" t="n">
        <f aca="false">IF($X64*M64&gt;150000,($X64*M64-150000)*6%*45%,0)</f>
        <v>0</v>
      </c>
      <c r="AQ64" s="161" t="n">
        <f aca="false">IF($X64*N64&gt;150000,($X64*N64-150000)*6%*45%,0)</f>
        <v>0</v>
      </c>
      <c r="AR64" s="161" t="n">
        <f aca="false">IF($X64*O64&gt;150000,($X64*O64-150000)*6%*45%,0)</f>
        <v>0</v>
      </c>
      <c r="AS64" s="161" t="n">
        <f aca="false">IF($X64*P64&gt;150000,($X64*P64-150000)*6%*45%,0)</f>
        <v>0</v>
      </c>
      <c r="AT64" s="161" t="n">
        <f aca="false">IF($X64*Q64&gt;150000,($X64*Q64-150000)*6%*45%,0)</f>
        <v>0</v>
      </c>
      <c r="AU64" s="161" t="n">
        <f aca="false">IF($X64*R64&gt;150000,($X64*R64-150000)*6%*45%,0)</f>
        <v>0</v>
      </c>
      <c r="AV64" s="161" t="n">
        <f aca="false">IF($X64*S64&gt;150000,($X64*S64-150000)*6%*45%,0)</f>
        <v>0</v>
      </c>
      <c r="AW64" s="161" t="n">
        <f aca="false">IF($X64*T64&gt;150000,($X64*T64-150000)*6%*45%,0)</f>
        <v>0</v>
      </c>
      <c r="AX64" s="161" t="n">
        <f aca="false">IF($X64*U64&gt;150000,($X64*U64-150000)*6%*45%,0)</f>
        <v>0</v>
      </c>
      <c r="AY64" s="161"/>
      <c r="AZ64" s="162" t="n">
        <f aca="false">IF(ISERROR(VLOOKUP(D64,[27]일용직명단!$A$3:$M$1151,11,FALSE())),0,VLOOKUP(D64,[27]일용직명단!$A$3:$M$1151,11,FALSE()))</f>
        <v>0</v>
      </c>
      <c r="BA64" s="163"/>
      <c r="BB64" s="163"/>
      <c r="BC64" s="163"/>
      <c r="BD64" s="163"/>
      <c r="BE64" s="163"/>
      <c r="BF64" s="163"/>
      <c r="BG64" s="163"/>
      <c r="BH64" s="163"/>
      <c r="BI64" s="163"/>
      <c r="BJ64" s="163"/>
      <c r="BK64" s="163"/>
      <c r="BL64" s="163"/>
      <c r="BM64" s="163"/>
      <c r="BN64" s="163"/>
      <c r="BO64" s="163"/>
      <c r="BP64" s="163"/>
      <c r="BQ64" s="163"/>
      <c r="BR64" s="163"/>
      <c r="BS64" s="163"/>
      <c r="BT64" s="163"/>
      <c r="BU64" s="163"/>
      <c r="BV64" s="163"/>
      <c r="BW64" s="163"/>
      <c r="BX64" s="163"/>
      <c r="BY64" s="163"/>
      <c r="BZ64" s="163"/>
      <c r="CA64" s="163"/>
      <c r="CB64" s="163"/>
      <c r="CC64" s="163"/>
      <c r="CD64" s="163"/>
      <c r="CE64" s="163"/>
      <c r="CF64" s="163"/>
      <c r="CG64" s="163"/>
      <c r="CH64" s="163"/>
      <c r="CI64" s="163"/>
      <c r="CJ64" s="163"/>
      <c r="CK64" s="163"/>
      <c r="CL64" s="163"/>
      <c r="CM64" s="163"/>
      <c r="CN64" s="163"/>
      <c r="CO64" s="163"/>
      <c r="CP64" s="163"/>
      <c r="CQ64" s="163"/>
      <c r="CR64" s="163"/>
      <c r="CS64" s="163"/>
      <c r="CT64" s="163"/>
      <c r="CU64" s="163"/>
      <c r="CV64" s="163"/>
      <c r="CW64" s="163"/>
      <c r="CX64" s="163"/>
      <c r="CY64" s="163"/>
      <c r="CZ64" s="163"/>
      <c r="DA64" s="163"/>
      <c r="DB64" s="163"/>
      <c r="DC64" s="163"/>
      <c r="DD64" s="163"/>
      <c r="DE64" s="163"/>
      <c r="DF64" s="163"/>
      <c r="DG64" s="163"/>
      <c r="DH64" s="163"/>
      <c r="DI64" s="163"/>
      <c r="DJ64" s="163"/>
      <c r="DK64" s="163"/>
      <c r="DL64" s="163"/>
      <c r="DM64" s="163"/>
      <c r="DN64" s="163"/>
      <c r="DO64" s="163"/>
      <c r="DP64" s="163"/>
      <c r="DQ64" s="163"/>
      <c r="DR64" s="163"/>
      <c r="DS64" s="163"/>
      <c r="DT64" s="163"/>
      <c r="DU64" s="163"/>
      <c r="DV64" s="163"/>
      <c r="DW64" s="163"/>
      <c r="DX64" s="163"/>
      <c r="DY64" s="163"/>
      <c r="DZ64" s="163"/>
      <c r="EA64" s="163"/>
      <c r="EB64" s="163"/>
      <c r="EC64" s="163"/>
      <c r="ED64" s="163"/>
      <c r="EE64" s="163"/>
      <c r="EF64" s="163"/>
      <c r="EG64" s="163"/>
      <c r="EH64" s="163"/>
      <c r="EI64" s="163"/>
      <c r="EJ64" s="163"/>
      <c r="EK64" s="163"/>
      <c r="EL64" s="163"/>
      <c r="EM64" s="163"/>
      <c r="EN64" s="163"/>
      <c r="EO64" s="163"/>
      <c r="EP64" s="163"/>
      <c r="EQ64" s="163"/>
      <c r="ER64" s="163"/>
      <c r="ES64" s="163"/>
      <c r="ET64" s="163"/>
      <c r="EU64" s="163"/>
      <c r="EV64" s="163"/>
      <c r="EW64" s="163"/>
      <c r="EX64" s="163"/>
      <c r="EY64" s="163"/>
      <c r="EZ64" s="163"/>
      <c r="FA64" s="163"/>
      <c r="FB64" s="163"/>
      <c r="FC64" s="163"/>
      <c r="FD64" s="163"/>
      <c r="FE64" s="163"/>
      <c r="FF64" s="163"/>
      <c r="FG64" s="163"/>
      <c r="FH64" s="163"/>
      <c r="FI64" s="163"/>
      <c r="FJ64" s="163"/>
      <c r="FK64" s="163"/>
      <c r="FL64" s="163"/>
      <c r="FM64" s="163"/>
      <c r="FN64" s="163"/>
      <c r="FO64" s="163"/>
      <c r="FP64" s="163"/>
      <c r="FQ64" s="163"/>
      <c r="FR64" s="163"/>
      <c r="FS64" s="163"/>
      <c r="FT64" s="163"/>
      <c r="FU64" s="163"/>
      <c r="FV64" s="163"/>
      <c r="FW64" s="163"/>
      <c r="FX64" s="163"/>
      <c r="FY64" s="163"/>
      <c r="FZ64" s="163"/>
      <c r="GA64" s="163"/>
      <c r="GB64" s="163"/>
      <c r="GC64" s="163"/>
      <c r="GD64" s="163"/>
      <c r="GE64" s="163"/>
      <c r="GF64" s="163"/>
      <c r="GG64" s="163"/>
      <c r="GH64" s="163"/>
      <c r="GI64" s="163"/>
      <c r="GJ64" s="163"/>
      <c r="GK64" s="163"/>
      <c r="GL64" s="163"/>
      <c r="GM64" s="163"/>
      <c r="GN64" s="163"/>
      <c r="GO64" s="163"/>
      <c r="GP64" s="163"/>
      <c r="GQ64" s="163"/>
      <c r="GR64" s="163"/>
      <c r="GS64" s="163"/>
      <c r="GT64" s="163"/>
      <c r="GU64" s="163"/>
      <c r="GV64" s="163"/>
      <c r="GW64" s="163"/>
      <c r="GX64" s="163"/>
      <c r="GY64" s="163"/>
      <c r="GZ64" s="163"/>
      <c r="HA64" s="163"/>
      <c r="HB64" s="163"/>
      <c r="HC64" s="163"/>
      <c r="HD64" s="163"/>
      <c r="HE64" s="163"/>
      <c r="HF64" s="163"/>
      <c r="HG64" s="163"/>
      <c r="HH64" s="163"/>
      <c r="HI64" s="163"/>
      <c r="HJ64" s="163"/>
      <c r="HK64" s="163"/>
      <c r="HL64" s="163"/>
      <c r="HM64" s="163"/>
      <c r="HN64" s="163"/>
      <c r="HO64" s="163"/>
      <c r="HP64" s="163"/>
      <c r="HQ64" s="163"/>
      <c r="HR64" s="163"/>
      <c r="HS64" s="163"/>
      <c r="HT64" s="163"/>
      <c r="HU64" s="163"/>
      <c r="HV64" s="163"/>
      <c r="HW64" s="163"/>
      <c r="HX64" s="163"/>
      <c r="HY64" s="163"/>
      <c r="HZ64" s="163"/>
      <c r="IA64" s="163"/>
      <c r="IB64" s="163"/>
      <c r="IC64" s="163"/>
      <c r="ID64" s="163"/>
      <c r="IE64" s="163"/>
      <c r="IF64" s="163"/>
      <c r="IG64" s="163"/>
      <c r="IH64" s="163"/>
      <c r="II64" s="163"/>
      <c r="IJ64" s="163"/>
      <c r="IK64" s="163"/>
      <c r="IL64" s="163"/>
      <c r="IM64" s="163"/>
      <c r="IN64" s="163"/>
      <c r="IO64" s="163"/>
      <c r="IP64" s="163"/>
      <c r="IQ64" s="163"/>
      <c r="IR64" s="163"/>
      <c r="IS64" s="163"/>
      <c r="IT64" s="163"/>
      <c r="IU64" s="163"/>
      <c r="IV64" s="163"/>
      <c r="IW64" s="11"/>
    </row>
    <row r="65" customFormat="false" ht="13.5" hidden="true" customHeight="true" outlineLevel="0" collapsed="false">
      <c r="A65" s="108"/>
      <c r="B65" s="404"/>
      <c r="C65" s="159"/>
      <c r="D65" s="203"/>
      <c r="E65" s="311"/>
      <c r="F65" s="112" t="n">
        <f aca="false">IF(ISERROR(VLOOKUP(D64,일용직명단!$A$3:$K$1246,9,FALSE())),0,VLOOKUP(D64,일용직명단!$A$3:$K$1246,9,FALSE()))</f>
        <v>0</v>
      </c>
      <c r="G65" s="415"/>
      <c r="H65" s="415"/>
      <c r="I65" s="415"/>
      <c r="J65" s="415"/>
      <c r="K65" s="415"/>
      <c r="L65" s="415"/>
      <c r="M65" s="415"/>
      <c r="N65" s="415"/>
      <c r="O65" s="415"/>
      <c r="P65" s="415"/>
      <c r="Q65" s="415"/>
      <c r="R65" s="415"/>
      <c r="S65" s="415"/>
      <c r="T65" s="415"/>
      <c r="U65" s="415"/>
      <c r="V65" s="417"/>
      <c r="W65" s="144"/>
      <c r="X65" s="138" t="n">
        <f aca="false">X64*W64</f>
        <v>0</v>
      </c>
      <c r="Y65" s="122" t="n">
        <f aca="false">IF(AI64&lt;1000,0,AI64)</f>
        <v>0</v>
      </c>
      <c r="Z65" s="122" t="n">
        <f aca="false">ROUNDDOWN(Y65*10%,-1)</f>
        <v>0</v>
      </c>
      <c r="AA65" s="123" t="n">
        <f aca="false">IF(AF64&gt;=8,ROUNDDOWN(Z64*$R$4,-1),0)</f>
        <v>0</v>
      </c>
      <c r="AB65" s="145"/>
      <c r="AC65" s="146"/>
      <c r="AD65" s="158" t="n">
        <f aca="false">IF(ISERROR(VLOOKUP(D64,[31]일용직명단!$A$3:$I$1200,7,FALSE())),0,VLOOKUP(D64,[31]일용직명단!$A$3:$I$1200,7,FALSE()))</f>
        <v>0</v>
      </c>
      <c r="AE65" s="158"/>
      <c r="AF65" s="141"/>
      <c r="AG65" s="129"/>
      <c r="AH65" s="129"/>
      <c r="AI65" s="161"/>
      <c r="AJ65" s="161" t="n">
        <f aca="false">IF($X64*G65&gt;150000,($X64*G65-150000)*6%*45%,0)</f>
        <v>0</v>
      </c>
      <c r="AK65" s="161" t="n">
        <f aca="false">IF($X64*H65&gt;150000,($X64*H65-150000)*6%*45%,0)</f>
        <v>0</v>
      </c>
      <c r="AL65" s="161" t="n">
        <f aca="false">IF($X64*I65&gt;150000,($X64*I65-150000)*6%*45%,0)</f>
        <v>0</v>
      </c>
      <c r="AM65" s="161" t="n">
        <f aca="false">IF($X64*J65&gt;150000,($X64*J65-150000)*6%*45%,0)</f>
        <v>0</v>
      </c>
      <c r="AN65" s="161" t="n">
        <f aca="false">IF($X64*K65&gt;150000,($X64*K65-150000)*6%*45%,0)</f>
        <v>0</v>
      </c>
      <c r="AO65" s="161" t="n">
        <f aca="false">IF($X64*L65&gt;150000,($X64*L65-150000)*6%*45%,0)</f>
        <v>0</v>
      </c>
      <c r="AP65" s="161" t="n">
        <f aca="false">IF($X64*M65&gt;150000,($X64*M65-150000)*6%*45%,0)</f>
        <v>0</v>
      </c>
      <c r="AQ65" s="161" t="n">
        <f aca="false">IF($X64*N65&gt;150000,($X64*N65-150000)*6%*45%,0)</f>
        <v>0</v>
      </c>
      <c r="AR65" s="161" t="n">
        <f aca="false">IF($X64*O65&gt;150000,($X64*O65-150000)*6%*45%,0)</f>
        <v>0</v>
      </c>
      <c r="AS65" s="161" t="n">
        <f aca="false">IF($X64*P65&gt;150000,($X64*P65-150000)*6%*45%,0)</f>
        <v>0</v>
      </c>
      <c r="AT65" s="161" t="n">
        <f aca="false">IF($X64*Q65&gt;150000,($X64*Q65-150000)*6%*45%,0)</f>
        <v>0</v>
      </c>
      <c r="AU65" s="161" t="n">
        <f aca="false">IF($X64*R65&gt;150000,($X64*R65-150000)*6%*45%,0)</f>
        <v>0</v>
      </c>
      <c r="AV65" s="161" t="n">
        <f aca="false">IF($X64*S65&gt;150000,($X64*S65-150000)*6%*45%,0)</f>
        <v>0</v>
      </c>
      <c r="AW65" s="161" t="n">
        <f aca="false">IF($X64*T65&gt;150000,($X64*T65-150000)*6%*45%,0)</f>
        <v>0</v>
      </c>
      <c r="AX65" s="161" t="n">
        <f aca="false">IF($X64*U65&gt;150000,($X64*U65-150000)*6%*45%,0)</f>
        <v>0</v>
      </c>
      <c r="AY65" s="161" t="n">
        <f aca="false">IF($X64*V65&gt;150000,($X64*V65-150000)*6%*45%,0)</f>
        <v>0</v>
      </c>
      <c r="AZ65" s="162"/>
      <c r="BA65" s="163"/>
      <c r="BB65" s="163"/>
      <c r="BC65" s="163"/>
      <c r="BD65" s="163"/>
      <c r="BE65" s="163"/>
      <c r="BF65" s="163"/>
      <c r="BG65" s="163"/>
      <c r="BH65" s="163"/>
      <c r="BI65" s="163"/>
      <c r="BJ65" s="163"/>
      <c r="BK65" s="163"/>
      <c r="BL65" s="163"/>
      <c r="BM65" s="163"/>
      <c r="BN65" s="163"/>
      <c r="BO65" s="163"/>
      <c r="BP65" s="163"/>
      <c r="BQ65" s="163"/>
      <c r="BR65" s="163"/>
      <c r="BS65" s="163"/>
      <c r="BT65" s="163"/>
      <c r="BU65" s="163"/>
      <c r="BV65" s="163"/>
      <c r="BW65" s="163"/>
      <c r="BX65" s="163"/>
      <c r="BY65" s="163"/>
      <c r="BZ65" s="163"/>
      <c r="CA65" s="163"/>
      <c r="CB65" s="163"/>
      <c r="CC65" s="163"/>
      <c r="CD65" s="163"/>
      <c r="CE65" s="163"/>
      <c r="CF65" s="163"/>
      <c r="CG65" s="163"/>
      <c r="CH65" s="163"/>
      <c r="CI65" s="163"/>
      <c r="CJ65" s="163"/>
      <c r="CK65" s="163"/>
      <c r="CL65" s="163"/>
      <c r="CM65" s="163"/>
      <c r="CN65" s="163"/>
      <c r="CO65" s="163"/>
      <c r="CP65" s="163"/>
      <c r="CQ65" s="163"/>
      <c r="CR65" s="163"/>
      <c r="CS65" s="163"/>
      <c r="CT65" s="163"/>
      <c r="CU65" s="163"/>
      <c r="CV65" s="163"/>
      <c r="CW65" s="163"/>
      <c r="CX65" s="163"/>
      <c r="CY65" s="163"/>
      <c r="CZ65" s="163"/>
      <c r="DA65" s="163"/>
      <c r="DB65" s="163"/>
      <c r="DC65" s="163"/>
      <c r="DD65" s="163"/>
      <c r="DE65" s="163"/>
      <c r="DF65" s="163"/>
      <c r="DG65" s="163"/>
      <c r="DH65" s="163"/>
      <c r="DI65" s="163"/>
      <c r="DJ65" s="163"/>
      <c r="DK65" s="163"/>
      <c r="DL65" s="163"/>
      <c r="DM65" s="163"/>
      <c r="DN65" s="163"/>
      <c r="DO65" s="163"/>
      <c r="DP65" s="163"/>
      <c r="DQ65" s="163"/>
      <c r="DR65" s="163"/>
      <c r="DS65" s="163"/>
      <c r="DT65" s="163"/>
      <c r="DU65" s="163"/>
      <c r="DV65" s="163"/>
      <c r="DW65" s="163"/>
      <c r="DX65" s="163"/>
      <c r="DY65" s="163"/>
      <c r="DZ65" s="163"/>
      <c r="EA65" s="163"/>
      <c r="EB65" s="163"/>
      <c r="EC65" s="163"/>
      <c r="ED65" s="163"/>
      <c r="EE65" s="163"/>
      <c r="EF65" s="163"/>
      <c r="EG65" s="163"/>
      <c r="EH65" s="163"/>
      <c r="EI65" s="163"/>
      <c r="EJ65" s="163"/>
      <c r="EK65" s="163"/>
      <c r="EL65" s="163"/>
      <c r="EM65" s="163"/>
      <c r="EN65" s="163"/>
      <c r="EO65" s="163"/>
      <c r="EP65" s="163"/>
      <c r="EQ65" s="163"/>
      <c r="ER65" s="163"/>
      <c r="ES65" s="163"/>
      <c r="ET65" s="163"/>
      <c r="EU65" s="163"/>
      <c r="EV65" s="163"/>
      <c r="EW65" s="163"/>
      <c r="EX65" s="163"/>
      <c r="EY65" s="163"/>
      <c r="EZ65" s="163"/>
      <c r="FA65" s="163"/>
      <c r="FB65" s="163"/>
      <c r="FC65" s="163"/>
      <c r="FD65" s="163"/>
      <c r="FE65" s="163"/>
      <c r="FF65" s="163"/>
      <c r="FG65" s="163"/>
      <c r="FH65" s="163"/>
      <c r="FI65" s="163"/>
      <c r="FJ65" s="163"/>
      <c r="FK65" s="163"/>
      <c r="FL65" s="163"/>
      <c r="FM65" s="163"/>
      <c r="FN65" s="163"/>
      <c r="FO65" s="163"/>
      <c r="FP65" s="163"/>
      <c r="FQ65" s="163"/>
      <c r="FR65" s="163"/>
      <c r="FS65" s="163"/>
      <c r="FT65" s="163"/>
      <c r="FU65" s="163"/>
      <c r="FV65" s="163"/>
      <c r="FW65" s="163"/>
      <c r="FX65" s="163"/>
      <c r="FY65" s="163"/>
      <c r="FZ65" s="163"/>
      <c r="GA65" s="163"/>
      <c r="GB65" s="163"/>
      <c r="GC65" s="163"/>
      <c r="GD65" s="163"/>
      <c r="GE65" s="163"/>
      <c r="GF65" s="163"/>
      <c r="GG65" s="163"/>
      <c r="GH65" s="163"/>
      <c r="GI65" s="163"/>
      <c r="GJ65" s="163"/>
      <c r="GK65" s="163"/>
      <c r="GL65" s="163"/>
      <c r="GM65" s="163"/>
      <c r="GN65" s="163"/>
      <c r="GO65" s="163"/>
      <c r="GP65" s="163"/>
      <c r="GQ65" s="163"/>
      <c r="GR65" s="163"/>
      <c r="GS65" s="163"/>
      <c r="GT65" s="163"/>
      <c r="GU65" s="163"/>
      <c r="GV65" s="163"/>
      <c r="GW65" s="163"/>
      <c r="GX65" s="163"/>
      <c r="GY65" s="163"/>
      <c r="GZ65" s="163"/>
      <c r="HA65" s="163"/>
      <c r="HB65" s="163"/>
      <c r="HC65" s="163"/>
      <c r="HD65" s="163"/>
      <c r="HE65" s="163"/>
      <c r="HF65" s="163"/>
      <c r="HG65" s="163"/>
      <c r="HH65" s="163"/>
      <c r="HI65" s="163"/>
      <c r="HJ65" s="163"/>
      <c r="HK65" s="163"/>
      <c r="HL65" s="163"/>
      <c r="HM65" s="163"/>
      <c r="HN65" s="163"/>
      <c r="HO65" s="163"/>
      <c r="HP65" s="163"/>
      <c r="HQ65" s="163"/>
      <c r="HR65" s="163"/>
      <c r="HS65" s="163"/>
      <c r="HT65" s="163"/>
      <c r="HU65" s="163"/>
      <c r="HV65" s="163"/>
      <c r="HW65" s="163"/>
      <c r="HX65" s="163"/>
      <c r="HY65" s="163"/>
      <c r="HZ65" s="163"/>
      <c r="IA65" s="163"/>
      <c r="IB65" s="163"/>
      <c r="IC65" s="163"/>
      <c r="ID65" s="163"/>
      <c r="IE65" s="163"/>
      <c r="IF65" s="163"/>
      <c r="IG65" s="163"/>
      <c r="IH65" s="163"/>
      <c r="II65" s="163"/>
      <c r="IJ65" s="163"/>
      <c r="IK65" s="163"/>
      <c r="IL65" s="163"/>
      <c r="IM65" s="163"/>
      <c r="IN65" s="163"/>
      <c r="IO65" s="163"/>
      <c r="IP65" s="163"/>
      <c r="IQ65" s="163"/>
      <c r="IR65" s="163"/>
      <c r="IS65" s="163"/>
      <c r="IT65" s="163"/>
      <c r="IU65" s="163"/>
      <c r="IV65" s="163"/>
      <c r="IW65" s="11"/>
    </row>
    <row r="66" customFormat="false" ht="13.5" hidden="true" customHeight="true" outlineLevel="0" collapsed="false">
      <c r="A66" s="108" t="n">
        <f aca="false">A64+1</f>
        <v>29</v>
      </c>
      <c r="B66" s="404"/>
      <c r="C66" s="159" t="n">
        <f aca="false">IF(ISERROR(VLOOKUP(D66,[34]일용직명단!$A$3:$I$97,2,FALSE())),0,VLOOKUP(D66,[34]일용직명단!$A$3:$I$97,2,FALSE()))</f>
        <v>0</v>
      </c>
      <c r="D66" s="203"/>
      <c r="E66" s="311" t="n">
        <f aca="false">IF(ISERROR(VLOOKUP(D66,[33]일용직명단!$A$3:$K$1183,3,FALSE())),0,VLOOKUP(D66,[33]일용직명단!$A$3:$K$1183,3,FALSE()))</f>
        <v>0</v>
      </c>
      <c r="F66" s="112" t="n">
        <f aca="false">IF(ISERROR(VLOOKUP(D66,일용직명단!$A$3:$K$1246,4,FALSE())),0,VLOOKUP(D66,일용직명단!$A$3:$K$1246,4,FALSE()))</f>
        <v>0</v>
      </c>
      <c r="G66" s="208"/>
      <c r="H66" s="415"/>
      <c r="I66" s="415"/>
      <c r="J66" s="415"/>
      <c r="K66" s="415"/>
      <c r="L66" s="415"/>
      <c r="M66" s="415"/>
      <c r="N66" s="415"/>
      <c r="O66" s="415"/>
      <c r="P66" s="415"/>
      <c r="Q66" s="415"/>
      <c r="R66" s="415"/>
      <c r="S66" s="418"/>
      <c r="T66" s="415"/>
      <c r="U66" s="415"/>
      <c r="V66" s="416"/>
      <c r="W66" s="144" t="n">
        <f aca="false">SUM(G66:V67)</f>
        <v>0</v>
      </c>
      <c r="X66" s="121" t="n">
        <f aca="false">IF(ISERROR(VLOOKUP(D66,일용직명단!$A$3:$K$1246,8,FALSE())),0,VLOOKUP(D66,일용직명단!$A$3:$K$1246,8,FALSE()))</f>
        <v>0</v>
      </c>
      <c r="Y66" s="122" t="n">
        <f aca="false">IFERROR(IF(AH66&gt;=65,0,ROUNDDOWN(X67*$AA$4,-1)),0)</f>
        <v>0</v>
      </c>
      <c r="Z66" s="122" t="n">
        <f aca="false">IF(AF66&gt;=8,ROUNDDOWN(X67*$N$4,-1),0)</f>
        <v>0</v>
      </c>
      <c r="AA66" s="123" t="n">
        <f aca="false">IFERROR(IF(AND(COUNT(G66:V67)&gt;=8,$AH66&lt;60,X67&lt;=5530000),ROUNDDOWN(ROUNDDOWN(X67,-3)*4.5%,-1),IF(AND(COUNT(G66:V67)&gt;=8,AH66&lt;60,X67&gt;5530000),248850,0)),0)</f>
        <v>0</v>
      </c>
      <c r="AB66" s="145" t="n">
        <f aca="false">+Y66+Z66+Y67+Z67+AA66+AA67</f>
        <v>0</v>
      </c>
      <c r="AC66" s="146" t="n">
        <f aca="false">X67-AB66</f>
        <v>0</v>
      </c>
      <c r="AD66" s="157" t="n">
        <f aca="false">IF(ISERROR(VLOOKUP(D66,[31]일용직명단!$A$3:$I$1200,5,FALSE())),0,VLOOKUP(D66,[31]일용직명단!$A$3:$I$1200,5,FALSE()))</f>
        <v>0</v>
      </c>
      <c r="AE66" s="158" t="n">
        <f aca="false">IF(ISERROR(VLOOKUP(D66,[31]일용직명단!$A$3:$I$1200,6,FALSE())),0,VLOOKUP(D66,[31]일용직명단!$A$3:$I$1200,6,FALSE()))</f>
        <v>0</v>
      </c>
      <c r="AF66" s="141" t="n">
        <f aca="false">COUNT(G66:V67)</f>
        <v>0</v>
      </c>
      <c r="AG66" s="129" t="str">
        <f aca="false">IF(OR(MID(E66,8,1)="1",MID(E66,8,1)="2"),19&amp;LEFT(E66,2),20&amp;LEFT(E66,2))&amp;"-"&amp;MID(E66,3,2)&amp;"-"&amp;MID(E66,5,2)</f>
        <v>200--</v>
      </c>
      <c r="AH66" s="129" t="e">
        <f aca="true">INT((TODAY()-AG66)/365.25)</f>
        <v>#VALUE!</v>
      </c>
      <c r="AI66" s="161" t="n">
        <f aca="false">ROUNDDOWN(SUM(AJ66:AY67),-1)</f>
        <v>0</v>
      </c>
      <c r="AJ66" s="161" t="n">
        <f aca="false">IF($X66*G66&gt;150000,($X66*G66-150000)*6%*45%,0)</f>
        <v>0</v>
      </c>
      <c r="AK66" s="161" t="n">
        <f aca="false">IF($X66*H66&gt;150000,($X66*H66-150000)*6%*45%,0)</f>
        <v>0</v>
      </c>
      <c r="AL66" s="161" t="n">
        <f aca="false">IF($X66*I66&gt;150000,($X66*I66-150000)*6%*45%,0)</f>
        <v>0</v>
      </c>
      <c r="AM66" s="161" t="n">
        <f aca="false">IF($X66*J66&gt;150000,($X66*J66-150000)*6%*45%,0)</f>
        <v>0</v>
      </c>
      <c r="AN66" s="161" t="n">
        <f aca="false">IF($X66*K66&gt;150000,($X66*K66-150000)*6%*45%,0)</f>
        <v>0</v>
      </c>
      <c r="AO66" s="161" t="n">
        <f aca="false">IF($X66*L66&gt;150000,($X66*L66-150000)*6%*45%,0)</f>
        <v>0</v>
      </c>
      <c r="AP66" s="161" t="n">
        <f aca="false">IF($X66*M66&gt;150000,($X66*M66-150000)*6%*45%,0)</f>
        <v>0</v>
      </c>
      <c r="AQ66" s="161" t="n">
        <f aca="false">IF($X66*N66&gt;150000,($X66*N66-150000)*6%*45%,0)</f>
        <v>0</v>
      </c>
      <c r="AR66" s="161" t="n">
        <f aca="false">IF($X66*O66&gt;150000,($X66*O66-150000)*6%*45%,0)</f>
        <v>0</v>
      </c>
      <c r="AS66" s="161" t="n">
        <f aca="false">IF($X66*P66&gt;150000,($X66*P66-150000)*6%*45%,0)</f>
        <v>0</v>
      </c>
      <c r="AT66" s="161" t="n">
        <f aca="false">IF($X66*Q66&gt;150000,($X66*Q66-150000)*6%*45%,0)</f>
        <v>0</v>
      </c>
      <c r="AU66" s="161" t="n">
        <f aca="false">IF($X66*R66&gt;150000,($X66*R66-150000)*6%*45%,0)</f>
        <v>0</v>
      </c>
      <c r="AV66" s="161" t="n">
        <f aca="false">IF($X66*S66&gt;150000,($X66*S66-150000)*6%*45%,0)</f>
        <v>0</v>
      </c>
      <c r="AW66" s="161" t="n">
        <f aca="false">IF($X66*T66&gt;150000,($X66*T66-150000)*6%*45%,0)</f>
        <v>0</v>
      </c>
      <c r="AX66" s="161" t="n">
        <f aca="false">IF($X66*U66&gt;150000,($X66*U66-150000)*6%*45%,0)</f>
        <v>0</v>
      </c>
      <c r="AY66" s="161"/>
      <c r="AZ66" s="162" t="n">
        <f aca="false">IF(ISERROR(VLOOKUP(D66,[27]일용직명단!$A$3:$M$1151,11,FALSE())),0,VLOOKUP(D66,[27]일용직명단!$A$3:$M$1151,11,FALSE()))</f>
        <v>0</v>
      </c>
      <c r="BA66" s="163"/>
      <c r="BB66" s="163"/>
      <c r="BC66" s="358"/>
      <c r="BD66" s="358"/>
      <c r="BE66" s="358"/>
      <c r="BF66" s="358"/>
      <c r="BG66" s="358"/>
      <c r="BH66" s="358"/>
      <c r="BI66" s="163"/>
      <c r="BJ66" s="163"/>
      <c r="BK66" s="163"/>
      <c r="BL66" s="163"/>
      <c r="BM66" s="163"/>
      <c r="BN66" s="163"/>
      <c r="BO66" s="163"/>
      <c r="BP66" s="163"/>
      <c r="BQ66" s="163"/>
      <c r="BR66" s="163"/>
      <c r="BS66" s="163"/>
      <c r="BT66" s="163"/>
      <c r="BU66" s="163"/>
      <c r="BV66" s="163"/>
      <c r="BW66" s="163"/>
      <c r="BX66" s="163"/>
      <c r="BY66" s="163"/>
      <c r="BZ66" s="163"/>
      <c r="CA66" s="163"/>
      <c r="CB66" s="163"/>
      <c r="CC66" s="163"/>
      <c r="CD66" s="163"/>
      <c r="CE66" s="163"/>
      <c r="CF66" s="163"/>
      <c r="CG66" s="163"/>
      <c r="CH66" s="163"/>
      <c r="CI66" s="163"/>
      <c r="CJ66" s="163"/>
      <c r="CK66" s="163"/>
      <c r="CL66" s="163"/>
      <c r="CM66" s="163"/>
      <c r="CN66" s="163"/>
      <c r="CO66" s="163"/>
      <c r="CP66" s="163"/>
      <c r="CQ66" s="163"/>
      <c r="CR66" s="163"/>
      <c r="CS66" s="163"/>
      <c r="CT66" s="163"/>
      <c r="CU66" s="163"/>
      <c r="CV66" s="163"/>
      <c r="CW66" s="163"/>
      <c r="CX66" s="163"/>
      <c r="CY66" s="163"/>
      <c r="CZ66" s="163"/>
      <c r="DA66" s="163"/>
      <c r="DB66" s="163"/>
      <c r="DC66" s="163"/>
      <c r="DD66" s="163"/>
      <c r="DE66" s="163"/>
      <c r="DF66" s="163"/>
      <c r="DG66" s="163"/>
      <c r="DH66" s="163"/>
      <c r="DI66" s="163"/>
      <c r="DJ66" s="163"/>
      <c r="DK66" s="163"/>
      <c r="DL66" s="163"/>
      <c r="DM66" s="163"/>
      <c r="DN66" s="163"/>
      <c r="DO66" s="163"/>
      <c r="DP66" s="163"/>
      <c r="DQ66" s="163"/>
      <c r="DR66" s="163"/>
      <c r="DS66" s="163"/>
      <c r="DT66" s="163"/>
      <c r="DU66" s="163"/>
      <c r="DV66" s="163"/>
      <c r="DW66" s="163"/>
      <c r="DX66" s="163"/>
      <c r="DY66" s="163"/>
      <c r="DZ66" s="163"/>
      <c r="EA66" s="163"/>
      <c r="EB66" s="163"/>
      <c r="EC66" s="163"/>
      <c r="ED66" s="163"/>
      <c r="EE66" s="163"/>
      <c r="EF66" s="163"/>
      <c r="EG66" s="163"/>
      <c r="EH66" s="163"/>
      <c r="EI66" s="163"/>
      <c r="EJ66" s="163"/>
      <c r="EK66" s="163"/>
      <c r="EL66" s="163"/>
      <c r="EM66" s="163"/>
      <c r="EN66" s="163"/>
      <c r="EO66" s="163"/>
      <c r="EP66" s="163"/>
      <c r="EQ66" s="163"/>
      <c r="ER66" s="163"/>
      <c r="ES66" s="163"/>
      <c r="ET66" s="163"/>
      <c r="EU66" s="163"/>
      <c r="EV66" s="163"/>
      <c r="EW66" s="163"/>
      <c r="EX66" s="163"/>
      <c r="EY66" s="163"/>
      <c r="EZ66" s="163"/>
      <c r="FA66" s="163"/>
      <c r="FB66" s="163"/>
      <c r="FC66" s="163"/>
      <c r="FD66" s="163"/>
      <c r="FE66" s="163"/>
      <c r="FF66" s="163"/>
      <c r="FG66" s="163"/>
      <c r="FH66" s="163"/>
      <c r="FI66" s="163"/>
      <c r="FJ66" s="163"/>
      <c r="FK66" s="163"/>
      <c r="FL66" s="163"/>
      <c r="FM66" s="163"/>
      <c r="FN66" s="163"/>
      <c r="FO66" s="163"/>
      <c r="FP66" s="163"/>
      <c r="FQ66" s="163"/>
      <c r="FR66" s="163"/>
      <c r="FS66" s="163"/>
      <c r="FT66" s="163"/>
      <c r="FU66" s="163"/>
      <c r="FV66" s="163"/>
      <c r="FW66" s="163"/>
      <c r="FX66" s="163"/>
      <c r="FY66" s="163"/>
      <c r="FZ66" s="163"/>
      <c r="GA66" s="163"/>
      <c r="GB66" s="163"/>
      <c r="GC66" s="163"/>
      <c r="GD66" s="163"/>
      <c r="GE66" s="163"/>
      <c r="GF66" s="163"/>
      <c r="GG66" s="163"/>
      <c r="GH66" s="163"/>
      <c r="GI66" s="163"/>
      <c r="GJ66" s="163"/>
      <c r="GK66" s="163"/>
      <c r="GL66" s="163"/>
      <c r="GM66" s="163"/>
      <c r="GN66" s="163"/>
      <c r="GO66" s="163"/>
      <c r="GP66" s="163"/>
      <c r="GQ66" s="163"/>
      <c r="GR66" s="163"/>
      <c r="GS66" s="163"/>
      <c r="GT66" s="163"/>
      <c r="GU66" s="163"/>
      <c r="GV66" s="163"/>
      <c r="GW66" s="163"/>
      <c r="GX66" s="163"/>
      <c r="GY66" s="163"/>
      <c r="GZ66" s="163"/>
      <c r="HA66" s="163"/>
      <c r="HB66" s="163"/>
      <c r="HC66" s="163"/>
      <c r="HD66" s="163"/>
      <c r="HE66" s="163"/>
      <c r="HF66" s="163"/>
      <c r="HG66" s="163"/>
      <c r="HH66" s="163"/>
      <c r="HI66" s="163"/>
      <c r="HJ66" s="163"/>
      <c r="HK66" s="163"/>
      <c r="HL66" s="163"/>
      <c r="HM66" s="163"/>
      <c r="HN66" s="163"/>
      <c r="HO66" s="163"/>
      <c r="HP66" s="163"/>
      <c r="HQ66" s="163"/>
      <c r="HR66" s="163"/>
      <c r="HS66" s="163"/>
      <c r="HT66" s="163"/>
      <c r="HU66" s="163"/>
      <c r="HV66" s="163"/>
      <c r="HW66" s="163"/>
      <c r="HX66" s="163"/>
      <c r="HY66" s="163"/>
      <c r="HZ66" s="163"/>
      <c r="IA66" s="163"/>
      <c r="IB66" s="163"/>
      <c r="IC66" s="163"/>
      <c r="ID66" s="163"/>
      <c r="IE66" s="163"/>
      <c r="IF66" s="163"/>
      <c r="IG66" s="163"/>
      <c r="IH66" s="163"/>
      <c r="II66" s="163"/>
      <c r="IJ66" s="163"/>
      <c r="IK66" s="163"/>
      <c r="IL66" s="163"/>
      <c r="IM66" s="163"/>
      <c r="IN66" s="163"/>
      <c r="IO66" s="163"/>
      <c r="IP66" s="163"/>
      <c r="IQ66" s="163"/>
      <c r="IR66" s="163"/>
      <c r="IS66" s="163"/>
      <c r="IT66" s="163"/>
      <c r="IU66" s="163"/>
      <c r="IV66" s="163"/>
      <c r="IW66" s="11"/>
    </row>
    <row r="67" customFormat="false" ht="13.5" hidden="true" customHeight="true" outlineLevel="0" collapsed="false">
      <c r="A67" s="108"/>
      <c r="B67" s="404"/>
      <c r="C67" s="159"/>
      <c r="D67" s="203"/>
      <c r="E67" s="311"/>
      <c r="F67" s="112" t="n">
        <f aca="false">IF(ISERROR(VLOOKUP(D66,일용직명단!$A$3:$K$1246,9,FALSE())),0,VLOOKUP(D66,일용직명단!$A$3:$K$1246,9,FALSE()))</f>
        <v>0</v>
      </c>
      <c r="G67" s="415"/>
      <c r="H67" s="415"/>
      <c r="I67" s="415"/>
      <c r="J67" s="415"/>
      <c r="K67" s="415"/>
      <c r="L67" s="415"/>
      <c r="M67" s="415"/>
      <c r="N67" s="415"/>
      <c r="O67" s="415"/>
      <c r="P67" s="415"/>
      <c r="Q67" s="415"/>
      <c r="R67" s="415"/>
      <c r="S67" s="415"/>
      <c r="T67" s="415"/>
      <c r="U67" s="415"/>
      <c r="V67" s="417"/>
      <c r="W67" s="144"/>
      <c r="X67" s="138" t="n">
        <f aca="false">X66*W66</f>
        <v>0</v>
      </c>
      <c r="Y67" s="122" t="n">
        <f aca="false">IF(AI66&lt;1000,0,AI66)</f>
        <v>0</v>
      </c>
      <c r="Z67" s="122" t="n">
        <f aca="false">ROUNDDOWN(Y67*10%,-1)</f>
        <v>0</v>
      </c>
      <c r="AA67" s="123" t="n">
        <f aca="false">IF(AF66&gt;=8,ROUNDDOWN(Z66*$R$4,-1),0)</f>
        <v>0</v>
      </c>
      <c r="AB67" s="145"/>
      <c r="AC67" s="146"/>
      <c r="AD67" s="158" t="n">
        <f aca="false">IF(ISERROR(VLOOKUP(D66,[31]일용직명단!$A$3:$I$1200,7,FALSE())),0,VLOOKUP(D66,[31]일용직명단!$A$3:$I$1200,7,FALSE()))</f>
        <v>0</v>
      </c>
      <c r="AE67" s="158"/>
      <c r="AF67" s="141"/>
      <c r="AG67" s="129"/>
      <c r="AH67" s="129"/>
      <c r="AI67" s="161"/>
      <c r="AJ67" s="161" t="n">
        <f aca="false">IF($X66*G67&gt;150000,($X66*G67-150000)*6%*45%,0)</f>
        <v>0</v>
      </c>
      <c r="AK67" s="161" t="n">
        <f aca="false">IF($X66*H67&gt;150000,($X66*H67-150000)*6%*45%,0)</f>
        <v>0</v>
      </c>
      <c r="AL67" s="161" t="n">
        <f aca="false">IF($X66*I67&gt;150000,($X66*I67-150000)*6%*45%,0)</f>
        <v>0</v>
      </c>
      <c r="AM67" s="161" t="n">
        <f aca="false">IF($X66*J67&gt;150000,($X66*J67-150000)*6%*45%,0)</f>
        <v>0</v>
      </c>
      <c r="AN67" s="161" t="n">
        <f aca="false">IF($X66*K67&gt;150000,($X66*K67-150000)*6%*45%,0)</f>
        <v>0</v>
      </c>
      <c r="AO67" s="161" t="n">
        <f aca="false">IF($X66*L67&gt;150000,($X66*L67-150000)*6%*45%,0)</f>
        <v>0</v>
      </c>
      <c r="AP67" s="161" t="n">
        <f aca="false">IF($X66*M67&gt;150000,($X66*M67-150000)*6%*45%,0)</f>
        <v>0</v>
      </c>
      <c r="AQ67" s="161" t="n">
        <f aca="false">IF($X66*N67&gt;150000,($X66*N67-150000)*6%*45%,0)</f>
        <v>0</v>
      </c>
      <c r="AR67" s="161" t="n">
        <f aca="false">IF($X66*O67&gt;150000,($X66*O67-150000)*6%*45%,0)</f>
        <v>0</v>
      </c>
      <c r="AS67" s="161" t="n">
        <f aca="false">IF($X66*P67&gt;150000,($X66*P67-150000)*6%*45%,0)</f>
        <v>0</v>
      </c>
      <c r="AT67" s="161" t="n">
        <f aca="false">IF($X66*Q67&gt;150000,($X66*Q67-150000)*6%*45%,0)</f>
        <v>0</v>
      </c>
      <c r="AU67" s="161" t="n">
        <f aca="false">IF($X66*R67&gt;150000,($X66*R67-150000)*6%*45%,0)</f>
        <v>0</v>
      </c>
      <c r="AV67" s="161" t="n">
        <f aca="false">IF($X66*S67&gt;150000,($X66*S67-150000)*6%*45%,0)</f>
        <v>0</v>
      </c>
      <c r="AW67" s="161" t="n">
        <f aca="false">IF($X66*T67&gt;150000,($X66*T67-150000)*6%*45%,0)</f>
        <v>0</v>
      </c>
      <c r="AX67" s="161" t="n">
        <f aca="false">IF($X66*U67&gt;150000,($X66*U67-150000)*6%*45%,0)</f>
        <v>0</v>
      </c>
      <c r="AY67" s="161" t="n">
        <f aca="false">IF($X66*V67&gt;150000,($X66*V67-150000)*6%*45%,0)</f>
        <v>0</v>
      </c>
      <c r="AZ67" s="162"/>
      <c r="BA67" s="163"/>
      <c r="BB67" s="163"/>
      <c r="BC67" s="358"/>
      <c r="BD67" s="358"/>
      <c r="BE67" s="358"/>
      <c r="BF67" s="358"/>
      <c r="BG67" s="358"/>
      <c r="BH67" s="358"/>
      <c r="BI67" s="163"/>
      <c r="BJ67" s="163"/>
      <c r="BK67" s="163"/>
      <c r="BL67" s="163"/>
      <c r="BM67" s="163"/>
      <c r="BN67" s="163"/>
      <c r="BO67" s="163"/>
      <c r="BP67" s="163"/>
      <c r="BQ67" s="163"/>
      <c r="BR67" s="163"/>
      <c r="BS67" s="163"/>
      <c r="BT67" s="163"/>
      <c r="BU67" s="163"/>
      <c r="BV67" s="163"/>
      <c r="BW67" s="163"/>
      <c r="BX67" s="163"/>
      <c r="BY67" s="163"/>
      <c r="BZ67" s="163"/>
      <c r="CA67" s="163"/>
      <c r="CB67" s="163"/>
      <c r="CC67" s="163"/>
      <c r="CD67" s="163"/>
      <c r="CE67" s="163"/>
      <c r="CF67" s="163"/>
      <c r="CG67" s="163"/>
      <c r="CH67" s="163"/>
      <c r="CI67" s="163"/>
      <c r="CJ67" s="163"/>
      <c r="CK67" s="163"/>
      <c r="CL67" s="163"/>
      <c r="CM67" s="163"/>
      <c r="CN67" s="163"/>
      <c r="CO67" s="163"/>
      <c r="CP67" s="163"/>
      <c r="CQ67" s="163"/>
      <c r="CR67" s="163"/>
      <c r="CS67" s="163"/>
      <c r="CT67" s="163"/>
      <c r="CU67" s="163"/>
      <c r="CV67" s="163"/>
      <c r="CW67" s="163"/>
      <c r="CX67" s="163"/>
      <c r="CY67" s="163"/>
      <c r="CZ67" s="163"/>
      <c r="DA67" s="163"/>
      <c r="DB67" s="163"/>
      <c r="DC67" s="163"/>
      <c r="DD67" s="163"/>
      <c r="DE67" s="163"/>
      <c r="DF67" s="163"/>
      <c r="DG67" s="163"/>
      <c r="DH67" s="163"/>
      <c r="DI67" s="163"/>
      <c r="DJ67" s="163"/>
      <c r="DK67" s="163"/>
      <c r="DL67" s="163"/>
      <c r="DM67" s="163"/>
      <c r="DN67" s="163"/>
      <c r="DO67" s="163"/>
      <c r="DP67" s="163"/>
      <c r="DQ67" s="163"/>
      <c r="DR67" s="163"/>
      <c r="DS67" s="163"/>
      <c r="DT67" s="163"/>
      <c r="DU67" s="163"/>
      <c r="DV67" s="163"/>
      <c r="DW67" s="163"/>
      <c r="DX67" s="163"/>
      <c r="DY67" s="163"/>
      <c r="DZ67" s="163"/>
      <c r="EA67" s="163"/>
      <c r="EB67" s="163"/>
      <c r="EC67" s="163"/>
      <c r="ED67" s="163"/>
      <c r="EE67" s="163"/>
      <c r="EF67" s="163"/>
      <c r="EG67" s="163"/>
      <c r="EH67" s="163"/>
      <c r="EI67" s="163"/>
      <c r="EJ67" s="163"/>
      <c r="EK67" s="163"/>
      <c r="EL67" s="163"/>
      <c r="EM67" s="163"/>
      <c r="EN67" s="163"/>
      <c r="EO67" s="163"/>
      <c r="EP67" s="163"/>
      <c r="EQ67" s="163"/>
      <c r="ER67" s="163"/>
      <c r="ES67" s="163"/>
      <c r="ET67" s="163"/>
      <c r="EU67" s="163"/>
      <c r="EV67" s="163"/>
      <c r="EW67" s="163"/>
      <c r="EX67" s="163"/>
      <c r="EY67" s="163"/>
      <c r="EZ67" s="163"/>
      <c r="FA67" s="163"/>
      <c r="FB67" s="163"/>
      <c r="FC67" s="163"/>
      <c r="FD67" s="163"/>
      <c r="FE67" s="163"/>
      <c r="FF67" s="163"/>
      <c r="FG67" s="163"/>
      <c r="FH67" s="163"/>
      <c r="FI67" s="163"/>
      <c r="FJ67" s="163"/>
      <c r="FK67" s="163"/>
      <c r="FL67" s="163"/>
      <c r="FM67" s="163"/>
      <c r="FN67" s="163"/>
      <c r="FO67" s="163"/>
      <c r="FP67" s="163"/>
      <c r="FQ67" s="163"/>
      <c r="FR67" s="163"/>
      <c r="FS67" s="163"/>
      <c r="FT67" s="163"/>
      <c r="FU67" s="163"/>
      <c r="FV67" s="163"/>
      <c r="FW67" s="163"/>
      <c r="FX67" s="163"/>
      <c r="FY67" s="163"/>
      <c r="FZ67" s="163"/>
      <c r="GA67" s="163"/>
      <c r="GB67" s="163"/>
      <c r="GC67" s="163"/>
      <c r="GD67" s="163"/>
      <c r="GE67" s="163"/>
      <c r="GF67" s="163"/>
      <c r="GG67" s="163"/>
      <c r="GH67" s="163"/>
      <c r="GI67" s="163"/>
      <c r="GJ67" s="163"/>
      <c r="GK67" s="163"/>
      <c r="GL67" s="163"/>
      <c r="GM67" s="163"/>
      <c r="GN67" s="163"/>
      <c r="GO67" s="163"/>
      <c r="GP67" s="163"/>
      <c r="GQ67" s="163"/>
      <c r="GR67" s="163"/>
      <c r="GS67" s="163"/>
      <c r="GT67" s="163"/>
      <c r="GU67" s="163"/>
      <c r="GV67" s="163"/>
      <c r="GW67" s="163"/>
      <c r="GX67" s="163"/>
      <c r="GY67" s="163"/>
      <c r="GZ67" s="163"/>
      <c r="HA67" s="163"/>
      <c r="HB67" s="163"/>
      <c r="HC67" s="163"/>
      <c r="HD67" s="163"/>
      <c r="HE67" s="163"/>
      <c r="HF67" s="163"/>
      <c r="HG67" s="163"/>
      <c r="HH67" s="163"/>
      <c r="HI67" s="163"/>
      <c r="HJ67" s="163"/>
      <c r="HK67" s="163"/>
      <c r="HL67" s="163"/>
      <c r="HM67" s="163"/>
      <c r="HN67" s="163"/>
      <c r="HO67" s="163"/>
      <c r="HP67" s="163"/>
      <c r="HQ67" s="163"/>
      <c r="HR67" s="163"/>
      <c r="HS67" s="163"/>
      <c r="HT67" s="163"/>
      <c r="HU67" s="163"/>
      <c r="HV67" s="163"/>
      <c r="HW67" s="163"/>
      <c r="HX67" s="163"/>
      <c r="HY67" s="163"/>
      <c r="HZ67" s="163"/>
      <c r="IA67" s="163"/>
      <c r="IB67" s="163"/>
      <c r="IC67" s="163"/>
      <c r="ID67" s="163"/>
      <c r="IE67" s="163"/>
      <c r="IF67" s="163"/>
      <c r="IG67" s="163"/>
      <c r="IH67" s="163"/>
      <c r="II67" s="163"/>
      <c r="IJ67" s="163"/>
      <c r="IK67" s="163"/>
      <c r="IL67" s="163"/>
      <c r="IM67" s="163"/>
      <c r="IN67" s="163"/>
      <c r="IO67" s="163"/>
      <c r="IP67" s="163"/>
      <c r="IQ67" s="163"/>
      <c r="IR67" s="163"/>
      <c r="IS67" s="163"/>
      <c r="IT67" s="163"/>
      <c r="IU67" s="163"/>
      <c r="IV67" s="163"/>
      <c r="IW67" s="11"/>
    </row>
    <row r="68" customFormat="false" ht="13.5" hidden="true" customHeight="true" outlineLevel="0" collapsed="false">
      <c r="A68" s="108" t="n">
        <f aca="false">A66+1</f>
        <v>30</v>
      </c>
      <c r="B68" s="393"/>
      <c r="C68" s="159" t="n">
        <f aca="false">IF(ISERROR(VLOOKUP(D68,[31]일용직명단!$A$3:$I$105,2,FALSE())),0,VLOOKUP(D68,[31]일용직명단!$A$3:$I$105,2,FALSE()))</f>
        <v>0</v>
      </c>
      <c r="D68" s="203"/>
      <c r="E68" s="311" t="n">
        <f aca="false">IF(ISERROR(VLOOKUP(D68,[35]일용직명단!$A$3:$K$1182,3,FALSE())),0,VLOOKUP(D68,[35]일용직명단!$A$3:$K$1182,3,FALSE()))</f>
        <v>0</v>
      </c>
      <c r="F68" s="112" t="n">
        <f aca="false">IF(ISERROR(VLOOKUP(D68,일용직명단!$A$3:$K$1246,4,FALSE())),0,VLOOKUP(D68,일용직명단!$A$3:$K$1246,4,FALSE()))</f>
        <v>0</v>
      </c>
      <c r="G68" s="417"/>
      <c r="H68" s="417"/>
      <c r="I68" s="417"/>
      <c r="J68" s="419"/>
      <c r="K68" s="417"/>
      <c r="L68" s="419"/>
      <c r="M68" s="417"/>
      <c r="N68" s="417"/>
      <c r="O68" s="420"/>
      <c r="P68" s="420"/>
      <c r="Q68" s="417"/>
      <c r="R68" s="420"/>
      <c r="S68" s="419"/>
      <c r="T68" s="420"/>
      <c r="U68" s="419"/>
      <c r="V68" s="421"/>
      <c r="W68" s="168" t="n">
        <f aca="false">SUM(G68:V69)</f>
        <v>0</v>
      </c>
      <c r="X68" s="121" t="n">
        <f aca="false">IF(ISERROR(VLOOKUP(D68,일용직명단!$A$3:$K$1246,8,FALSE())),0,VLOOKUP(D68,일용직명단!$A$3:$K$1246,8,FALSE()))</f>
        <v>0</v>
      </c>
      <c r="Y68" s="122" t="n">
        <f aca="false">IFERROR(IF(AH68&gt;=65,0,ROUNDDOWN(X69*$AA$4,-1)),0)</f>
        <v>0</v>
      </c>
      <c r="Z68" s="122" t="n">
        <f aca="false">IF(AF68&gt;=8,ROUNDDOWN(X69*$N$4,-1),0)</f>
        <v>0</v>
      </c>
      <c r="AA68" s="123" t="n">
        <f aca="false">IFERROR(IF(AND(COUNT(G68:V69)&gt;=8,$AH68&lt;60,X69&lt;=5530000),ROUNDDOWN(ROUNDDOWN(X69,-3)*4.5%,-1),IF(AND(COUNT(G68:V69)&gt;=8,AH68&lt;60,X69&gt;5530000),248850,0)),0)</f>
        <v>0</v>
      </c>
      <c r="AB68" s="145" t="n">
        <f aca="false">+Y68+Z68+Y69+Z69+AA68+AA69</f>
        <v>0</v>
      </c>
      <c r="AC68" s="146" t="n">
        <f aca="false">X69-AB68</f>
        <v>0</v>
      </c>
      <c r="AD68" s="422" t="n">
        <f aca="false">IF(ISERROR(VLOOKUP(D68,[35]일용직명단!$A$3:$I$1165,5,FALSE())),0,VLOOKUP(D68,[35]일용직명단!$A$3:$I$1165,5,FALSE()))</f>
        <v>0</v>
      </c>
      <c r="AE68" s="423" t="n">
        <f aca="false">IF(ISERROR(VLOOKUP(D68,[35]일용직명단!$A$3:$I$1165,6,FALSE())),0,VLOOKUP(D68,[35]일용직명단!$A$3:$I$1165,6,FALSE()))</f>
        <v>0</v>
      </c>
      <c r="AF68" s="141" t="n">
        <f aca="false">COUNT(G68:V69)</f>
        <v>0</v>
      </c>
      <c r="AG68" s="129" t="str">
        <f aca="false">IF(OR(MID(E68,8,1)="1",MID(E68,8,1)="2"),19&amp;LEFT(E68,2),20&amp;LEFT(E68,2))&amp;"-"&amp;MID(E68,3,2)&amp;"-"&amp;MID(E68,5,2)</f>
        <v>200--</v>
      </c>
      <c r="AH68" s="129" t="e">
        <f aca="true">INT((TODAY()-AG68)/365.25)</f>
        <v>#VALUE!</v>
      </c>
      <c r="AI68" s="130" t="n">
        <f aca="false">ROUNDDOWN(SUM(AJ68:AY69),-1)</f>
        <v>0</v>
      </c>
      <c r="AJ68" s="130" t="n">
        <f aca="false">IF($X68*G68&gt;150000,($X68*G68-150000)*6%*45%,0)</f>
        <v>0</v>
      </c>
      <c r="AK68" s="130" t="n">
        <f aca="false">IF($X68*H68&gt;150000,($X68*H68-150000)*6%*45%,0)</f>
        <v>0</v>
      </c>
      <c r="AL68" s="130" t="n">
        <f aca="false">IF($X68*I68&gt;150000,($X68*I68-150000)*6%*45%,0)</f>
        <v>0</v>
      </c>
      <c r="AM68" s="130" t="n">
        <f aca="false">IF($X68*J68&gt;150000,($X68*J68-150000)*6%*45%,0)</f>
        <v>0</v>
      </c>
      <c r="AN68" s="130" t="n">
        <f aca="false">IF($X68*K68&gt;150000,($X68*K68-150000)*6%*45%,0)</f>
        <v>0</v>
      </c>
      <c r="AO68" s="130" t="n">
        <f aca="false">IF($X68*L68&gt;150000,($X68*L68-150000)*6%*45%,0)</f>
        <v>0</v>
      </c>
      <c r="AP68" s="130" t="n">
        <f aca="false">IF($X68*M68&gt;150000,($X68*M68-150000)*6%*45%,0)</f>
        <v>0</v>
      </c>
      <c r="AQ68" s="130" t="n">
        <f aca="false">IF($X68*N68&gt;150000,($X68*N68-150000)*6%*45%,0)</f>
        <v>0</v>
      </c>
      <c r="AR68" s="130" t="n">
        <f aca="false">IF($X68*O68&gt;150000,($X68*O68-150000)*6%*45%,0)</f>
        <v>0</v>
      </c>
      <c r="AS68" s="130" t="n">
        <f aca="false">IF($X68*P68&gt;150000,($X68*P68-150000)*6%*45%,0)</f>
        <v>0</v>
      </c>
      <c r="AT68" s="130" t="n">
        <f aca="false">IF($X68*Q68&gt;150000,($X68*Q68-150000)*6%*45%,0)</f>
        <v>0</v>
      </c>
      <c r="AU68" s="130" t="n">
        <f aca="false">IF($X68*R68&gt;150000,($X68*R68-150000)*6%*45%,0)</f>
        <v>0</v>
      </c>
      <c r="AV68" s="130" t="n">
        <f aca="false">IF($X68*S68&gt;150000,($X68*S68-150000)*6%*45%,0)</f>
        <v>0</v>
      </c>
      <c r="AW68" s="130" t="n">
        <f aca="false">IF($X68*T68&gt;150000,($X68*T68-150000)*6%*45%,0)</f>
        <v>0</v>
      </c>
      <c r="AX68" s="130" t="n">
        <f aca="false">IF($X68*U68&gt;150000,($X68*U68-150000)*6%*45%,0)</f>
        <v>0</v>
      </c>
      <c r="AY68" s="130"/>
      <c r="AZ68" s="131" t="n">
        <f aca="false">IF(ISERROR(VLOOKUP(D68,[32]일용직명단!$A$3:$M$1151,11,FALSE())),0,VLOOKUP(D68,[32]일용직명단!$A$3:$M$1151,11,FALSE()))</f>
        <v>0</v>
      </c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</row>
    <row r="69" customFormat="false" ht="13.5" hidden="true" customHeight="true" outlineLevel="0" collapsed="false">
      <c r="A69" s="108"/>
      <c r="B69" s="393"/>
      <c r="C69" s="159"/>
      <c r="D69" s="203"/>
      <c r="E69" s="311"/>
      <c r="F69" s="112" t="n">
        <f aca="false">IF(ISERROR(VLOOKUP(D68,일용직명단!$A$3:$K$1246,9,FALSE())),0,VLOOKUP(D68,일용직명단!$A$3:$K$1246,9,FALSE()))</f>
        <v>0</v>
      </c>
      <c r="G69" s="417"/>
      <c r="H69" s="420"/>
      <c r="I69" s="419"/>
      <c r="J69" s="420"/>
      <c r="K69" s="419"/>
      <c r="L69" s="420"/>
      <c r="M69" s="420"/>
      <c r="N69" s="419"/>
      <c r="O69" s="420"/>
      <c r="P69" s="419"/>
      <c r="Q69" s="420"/>
      <c r="R69" s="420"/>
      <c r="S69" s="417"/>
      <c r="T69" s="417"/>
      <c r="U69" s="417"/>
      <c r="V69" s="417"/>
      <c r="W69" s="168"/>
      <c r="X69" s="138" t="n">
        <f aca="false">X68*W68</f>
        <v>0</v>
      </c>
      <c r="Y69" s="122" t="n">
        <f aca="false">IF(AI68&lt;1000,0,AI68)</f>
        <v>0</v>
      </c>
      <c r="Z69" s="122" t="n">
        <f aca="false">ROUNDDOWN(Y69*10%,-1)</f>
        <v>0</v>
      </c>
      <c r="AA69" s="123" t="n">
        <f aca="false">IF(AF68&gt;=8,ROUNDDOWN(Z68*$R$4,-1),0)</f>
        <v>0</v>
      </c>
      <c r="AB69" s="145"/>
      <c r="AC69" s="146"/>
      <c r="AD69" s="423" t="n">
        <f aca="false">IF(ISERROR(VLOOKUP(D68,[35]일용직명단!$A$3:$I$1165,7,FALSE())),0,VLOOKUP(D68,[35]일용직명단!$A$3:$I$1165,7,FALSE()))</f>
        <v>0</v>
      </c>
      <c r="AE69" s="423"/>
      <c r="AF69" s="141"/>
      <c r="AG69" s="129"/>
      <c r="AH69" s="129"/>
      <c r="AI69" s="130"/>
      <c r="AJ69" s="130" t="n">
        <f aca="false">IF($X68*G69&gt;150000,($X68*G69-150000)*6%*45%,0)</f>
        <v>0</v>
      </c>
      <c r="AK69" s="130" t="n">
        <f aca="false">IF($X68*H69&gt;150000,($X68*H69-150000)*6%*45%,0)</f>
        <v>0</v>
      </c>
      <c r="AL69" s="130" t="n">
        <f aca="false">IF($X68*I69&gt;150000,($X68*I69-150000)*6%*45%,0)</f>
        <v>0</v>
      </c>
      <c r="AM69" s="130" t="n">
        <f aca="false">IF($X68*J69&gt;150000,($X68*J69-150000)*6%*45%,0)</f>
        <v>0</v>
      </c>
      <c r="AN69" s="130" t="n">
        <f aca="false">IF($X68*K69&gt;150000,($X68*K69-150000)*6%*45%,0)</f>
        <v>0</v>
      </c>
      <c r="AO69" s="130" t="n">
        <f aca="false">IF($X68*L69&gt;150000,($X68*L69-150000)*6%*45%,0)</f>
        <v>0</v>
      </c>
      <c r="AP69" s="130" t="n">
        <f aca="false">IF($X68*M69&gt;150000,($X68*M69-150000)*6%*45%,0)</f>
        <v>0</v>
      </c>
      <c r="AQ69" s="130" t="n">
        <f aca="false">IF($X68*N69&gt;150000,($X68*N69-150000)*6%*45%,0)</f>
        <v>0</v>
      </c>
      <c r="AR69" s="130" t="n">
        <f aca="false">IF($X68*O69&gt;150000,($X68*O69-150000)*6%*45%,0)</f>
        <v>0</v>
      </c>
      <c r="AS69" s="130" t="n">
        <f aca="false">IF($X68*P69&gt;150000,($X68*P69-150000)*6%*45%,0)</f>
        <v>0</v>
      </c>
      <c r="AT69" s="130" t="n">
        <f aca="false">IF($X68*Q69&gt;150000,($X68*Q69-150000)*6%*45%,0)</f>
        <v>0</v>
      </c>
      <c r="AU69" s="130" t="n">
        <f aca="false">IF($X68*R69&gt;150000,($X68*R69-150000)*6%*45%,0)</f>
        <v>0</v>
      </c>
      <c r="AV69" s="130" t="n">
        <f aca="false">IF($X68*S69&gt;150000,($X68*S69-150000)*6%*45%,0)</f>
        <v>0</v>
      </c>
      <c r="AW69" s="130" t="n">
        <f aca="false">IF($X68*T69&gt;150000,($X68*T69-150000)*6%*45%,0)</f>
        <v>0</v>
      </c>
      <c r="AX69" s="130" t="n">
        <f aca="false">IF($X68*U69&gt;150000,($X68*U69-150000)*6%*45%,0)</f>
        <v>0</v>
      </c>
      <c r="AY69" s="130" t="n">
        <f aca="false">IF($X68*V69&gt;150000,($X68*V69-150000)*6%*45%,0)</f>
        <v>0</v>
      </c>
      <c r="AZ69" s="13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</row>
    <row r="70" customFormat="false" ht="13.5" hidden="true" customHeight="true" outlineLevel="0" collapsed="false">
      <c r="A70" s="108" t="n">
        <f aca="false">A68+1</f>
        <v>31</v>
      </c>
      <c r="B70" s="404"/>
      <c r="C70" s="159" t="n">
        <f aca="false">IF(ISERROR(VLOOKUP(D70,[31]일용직명단!$A$3:$I$105,2,FALSE())),0,VLOOKUP(D70,[31]일용직명단!$A$3:$I$105,2,FALSE()))</f>
        <v>0</v>
      </c>
      <c r="D70" s="203"/>
      <c r="E70" s="311" t="n">
        <f aca="false">IF(ISERROR(VLOOKUP(D70,[35]일용직명단!$A$3:$K$1182,3,FALSE())),0,VLOOKUP(D70,[35]일용직명단!$A$3:$K$1182,3,FALSE()))</f>
        <v>0</v>
      </c>
      <c r="F70" s="112" t="n">
        <f aca="false">IF(ISERROR(VLOOKUP(D70,일용직명단!$A$3:$K$1246,4,FALSE())),0,VLOOKUP(D70,일용직명단!$A$3:$K$1246,4,FALSE()))</f>
        <v>0</v>
      </c>
      <c r="G70" s="417"/>
      <c r="H70" s="417"/>
      <c r="I70" s="417"/>
      <c r="J70" s="419"/>
      <c r="K70" s="417"/>
      <c r="L70" s="419"/>
      <c r="M70" s="417"/>
      <c r="N70" s="419"/>
      <c r="O70" s="420"/>
      <c r="P70" s="419"/>
      <c r="Q70" s="420"/>
      <c r="R70" s="420"/>
      <c r="S70" s="417"/>
      <c r="T70" s="417"/>
      <c r="U70" s="417"/>
      <c r="V70" s="421"/>
      <c r="W70" s="168" t="n">
        <f aca="false">SUM(G70:V71)</f>
        <v>0</v>
      </c>
      <c r="X70" s="121" t="n">
        <f aca="false">IF(ISERROR(VLOOKUP(D70,일용직명단!$A$3:$K$1246,8,FALSE())),0,VLOOKUP(D70,일용직명단!$A$3:$K$1246,8,FALSE()))</f>
        <v>0</v>
      </c>
      <c r="Y70" s="122" t="n">
        <f aca="false">IFERROR(IF(AH70&gt;=65,0,ROUNDDOWN(X71*$AA$4,-1)),0)</f>
        <v>0</v>
      </c>
      <c r="Z70" s="122" t="n">
        <f aca="false">IF(AF70&gt;=8,ROUNDDOWN(X71*$N$4,-1),0)</f>
        <v>0</v>
      </c>
      <c r="AA70" s="123" t="n">
        <f aca="false">IFERROR(IF(AND(COUNT(G70:V71)&gt;=8,$AH70&lt;60,X71&lt;=5530000),ROUNDDOWN(ROUNDDOWN(X71,-3)*4.5%,-1),IF(AND(COUNT(G70:V71)&gt;=8,AH70&lt;60,X71&gt;5530000),248850,0)),0)</f>
        <v>0</v>
      </c>
      <c r="AB70" s="145" t="n">
        <f aca="false">+Y70+Z70+Y71+Z71+AA70+AA71</f>
        <v>0</v>
      </c>
      <c r="AC70" s="146" t="n">
        <f aca="false">X71-AB70</f>
        <v>0</v>
      </c>
      <c r="AD70" s="422" t="n">
        <f aca="false">IF(ISERROR(VLOOKUP(D70,[35]일용직명단!$A$3:$I$1165,5,FALSE())),0,VLOOKUP(D70,[35]일용직명단!$A$3:$I$1165,5,FALSE()))</f>
        <v>0</v>
      </c>
      <c r="AE70" s="423" t="n">
        <f aca="false">IF(ISERROR(VLOOKUP(D70,[35]일용직명단!$A$3:$I$1165,6,FALSE())),0,VLOOKUP(D70,[35]일용직명단!$A$3:$I$1165,6,FALSE()))</f>
        <v>0</v>
      </c>
      <c r="AF70" s="141" t="n">
        <f aca="false">COUNT(G70:V71)</f>
        <v>0</v>
      </c>
      <c r="AG70" s="129" t="str">
        <f aca="false">IF(OR(MID(E70,8,1)="1",MID(E70,8,1)="2"),19&amp;LEFT(E70,2),20&amp;LEFT(E70,2))&amp;"-"&amp;MID(E70,3,2)&amp;"-"&amp;MID(E70,5,2)</f>
        <v>200--</v>
      </c>
      <c r="AH70" s="129" t="e">
        <f aca="true">INT((TODAY()-AG70)/365.25)</f>
        <v>#VALUE!</v>
      </c>
      <c r="AI70" s="130" t="n">
        <f aca="false">ROUNDDOWN(SUM(AJ70:AY71),-1)</f>
        <v>0</v>
      </c>
      <c r="AJ70" s="130" t="n">
        <f aca="false">IF($X70*G70&gt;150000,($X70*G70-150000)*6%*45%,0)</f>
        <v>0</v>
      </c>
      <c r="AK70" s="130" t="n">
        <f aca="false">IF($X70*H70&gt;150000,($X70*H70-150000)*6%*45%,0)</f>
        <v>0</v>
      </c>
      <c r="AL70" s="130" t="n">
        <f aca="false">IF($X70*I70&gt;150000,($X70*I70-150000)*6%*45%,0)</f>
        <v>0</v>
      </c>
      <c r="AM70" s="130" t="n">
        <f aca="false">IF($X70*J70&gt;150000,($X70*J70-150000)*6%*45%,0)</f>
        <v>0</v>
      </c>
      <c r="AN70" s="130" t="n">
        <f aca="false">IF($X70*K70&gt;150000,($X70*K70-150000)*6%*45%,0)</f>
        <v>0</v>
      </c>
      <c r="AO70" s="130" t="n">
        <f aca="false">IF($X70*L70&gt;150000,($X70*L70-150000)*6%*45%,0)</f>
        <v>0</v>
      </c>
      <c r="AP70" s="130" t="n">
        <f aca="false">IF($X70*M70&gt;150000,($X70*M70-150000)*6%*45%,0)</f>
        <v>0</v>
      </c>
      <c r="AQ70" s="130" t="n">
        <f aca="false">IF($X70*N70&gt;150000,($X70*N70-150000)*6%*45%,0)</f>
        <v>0</v>
      </c>
      <c r="AR70" s="130" t="n">
        <f aca="false">IF($X70*O70&gt;150000,($X70*O70-150000)*6%*45%,0)</f>
        <v>0</v>
      </c>
      <c r="AS70" s="130" t="n">
        <f aca="false">IF($X70*P70&gt;150000,($X70*P70-150000)*6%*45%,0)</f>
        <v>0</v>
      </c>
      <c r="AT70" s="130" t="n">
        <f aca="false">IF($X70*Q70&gt;150000,($X70*Q70-150000)*6%*45%,0)</f>
        <v>0</v>
      </c>
      <c r="AU70" s="130" t="n">
        <f aca="false">IF($X70*R70&gt;150000,($X70*R70-150000)*6%*45%,0)</f>
        <v>0</v>
      </c>
      <c r="AV70" s="130" t="n">
        <f aca="false">IF($X70*S70&gt;150000,($X70*S70-150000)*6%*45%,0)</f>
        <v>0</v>
      </c>
      <c r="AW70" s="130" t="n">
        <f aca="false">IF($X70*T70&gt;150000,($X70*T70-150000)*6%*45%,0)</f>
        <v>0</v>
      </c>
      <c r="AX70" s="130" t="n">
        <f aca="false">IF($X70*U70&gt;150000,($X70*U70-150000)*6%*45%,0)</f>
        <v>0</v>
      </c>
      <c r="AY70" s="130"/>
      <c r="AZ70" s="131" t="n">
        <f aca="false">IF(ISERROR(VLOOKUP(D70,[32]일용직명단!$A$3:$M$1151,11,FALSE())),0,VLOOKUP(D70,[32]일용직명단!$A$3:$M$1151,11,FALSE()))</f>
        <v>0</v>
      </c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</row>
    <row r="71" customFormat="false" ht="13.5" hidden="true" customHeight="true" outlineLevel="0" collapsed="false">
      <c r="A71" s="108"/>
      <c r="B71" s="404"/>
      <c r="C71" s="159"/>
      <c r="D71" s="203"/>
      <c r="E71" s="311"/>
      <c r="F71" s="112" t="n">
        <f aca="false">IF(ISERROR(VLOOKUP(D70,일용직명단!$A$3:$K$1246,9,FALSE())),0,VLOOKUP(D70,일용직명단!$A$3:$K$1246,9,FALSE()))</f>
        <v>0</v>
      </c>
      <c r="G71" s="417"/>
      <c r="H71" s="420"/>
      <c r="I71" s="419"/>
      <c r="J71" s="420"/>
      <c r="K71" s="419"/>
      <c r="L71" s="420"/>
      <c r="M71" s="420"/>
      <c r="N71" s="417"/>
      <c r="O71" s="420"/>
      <c r="P71" s="420"/>
      <c r="Q71" s="417"/>
      <c r="R71" s="420"/>
      <c r="S71" s="419"/>
      <c r="T71" s="420"/>
      <c r="U71" s="419"/>
      <c r="V71" s="417"/>
      <c r="W71" s="168"/>
      <c r="X71" s="138" t="n">
        <f aca="false">X70*W70</f>
        <v>0</v>
      </c>
      <c r="Y71" s="122" t="n">
        <f aca="false">IF(AI70&lt;1000,0,AI70)</f>
        <v>0</v>
      </c>
      <c r="Z71" s="122" t="n">
        <f aca="false">ROUNDDOWN(Y71*10%,-1)</f>
        <v>0</v>
      </c>
      <c r="AA71" s="123" t="n">
        <f aca="false">IF(AF70&gt;=8,ROUNDDOWN(Z70*$R$4,-1),0)</f>
        <v>0</v>
      </c>
      <c r="AB71" s="145"/>
      <c r="AC71" s="146"/>
      <c r="AD71" s="423" t="n">
        <f aca="false">IF(ISERROR(VLOOKUP(D70,[35]일용직명단!$A$3:$I$1165,7,FALSE())),0,VLOOKUP(D70,[35]일용직명단!$A$3:$I$1165,7,FALSE()))</f>
        <v>0</v>
      </c>
      <c r="AE71" s="423"/>
      <c r="AF71" s="141"/>
      <c r="AG71" s="129"/>
      <c r="AH71" s="129"/>
      <c r="AI71" s="130"/>
      <c r="AJ71" s="130" t="n">
        <f aca="false">IF($X70*G71&gt;150000,($X70*G71-150000)*6%*45%,0)</f>
        <v>0</v>
      </c>
      <c r="AK71" s="130" t="n">
        <f aca="false">IF($X70*H71&gt;150000,($X70*H71-150000)*6%*45%,0)</f>
        <v>0</v>
      </c>
      <c r="AL71" s="130" t="n">
        <f aca="false">IF($X70*I71&gt;150000,($X70*I71-150000)*6%*45%,0)</f>
        <v>0</v>
      </c>
      <c r="AM71" s="130" t="n">
        <f aca="false">IF($X70*J71&gt;150000,($X70*J71-150000)*6%*45%,0)</f>
        <v>0</v>
      </c>
      <c r="AN71" s="130" t="n">
        <f aca="false">IF($X70*K71&gt;150000,($X70*K71-150000)*6%*45%,0)</f>
        <v>0</v>
      </c>
      <c r="AO71" s="130" t="n">
        <f aca="false">IF($X70*L71&gt;150000,($X70*L71-150000)*6%*45%,0)</f>
        <v>0</v>
      </c>
      <c r="AP71" s="130" t="n">
        <f aca="false">IF($X70*M71&gt;150000,($X70*M71-150000)*6%*45%,0)</f>
        <v>0</v>
      </c>
      <c r="AQ71" s="130" t="n">
        <f aca="false">IF($X70*N71&gt;150000,($X70*N71-150000)*6%*45%,0)</f>
        <v>0</v>
      </c>
      <c r="AR71" s="130" t="n">
        <f aca="false">IF($X70*O71&gt;150000,($X70*O71-150000)*6%*45%,0)</f>
        <v>0</v>
      </c>
      <c r="AS71" s="130" t="n">
        <f aca="false">IF($X70*P71&gt;150000,($X70*P71-150000)*6%*45%,0)</f>
        <v>0</v>
      </c>
      <c r="AT71" s="130" t="n">
        <f aca="false">IF($X70*Q71&gt;150000,($X70*Q71-150000)*6%*45%,0)</f>
        <v>0</v>
      </c>
      <c r="AU71" s="130" t="n">
        <f aca="false">IF($X70*R71&gt;150000,($X70*R71-150000)*6%*45%,0)</f>
        <v>0</v>
      </c>
      <c r="AV71" s="130" t="n">
        <f aca="false">IF($X70*S71&gt;150000,($X70*S71-150000)*6%*45%,0)</f>
        <v>0</v>
      </c>
      <c r="AW71" s="130" t="n">
        <f aca="false">IF($X70*T71&gt;150000,($X70*T71-150000)*6%*45%,0)</f>
        <v>0</v>
      </c>
      <c r="AX71" s="130" t="n">
        <f aca="false">IF($X70*U71&gt;150000,($X70*U71-150000)*6%*45%,0)</f>
        <v>0</v>
      </c>
      <c r="AY71" s="130" t="n">
        <f aca="false">IF($X70*V71&gt;150000,($X70*V71-150000)*6%*45%,0)</f>
        <v>0</v>
      </c>
      <c r="AZ71" s="13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/>
    </row>
    <row r="72" customFormat="false" ht="13.5" hidden="true" customHeight="true" outlineLevel="0" collapsed="false">
      <c r="A72" s="108" t="n">
        <f aca="false">A70+1</f>
        <v>32</v>
      </c>
      <c r="B72" s="404"/>
      <c r="C72" s="159" t="n">
        <f aca="false">IF(ISERROR(VLOOKUP(D72,[31]일용직명단!$A$3:$I$105,2,FALSE())),0,VLOOKUP(D72,[31]일용직명단!$A$3:$I$105,2,FALSE()))</f>
        <v>0</v>
      </c>
      <c r="D72" s="203"/>
      <c r="E72" s="311" t="n">
        <f aca="false">IF(ISERROR(VLOOKUP(D72,[35]일용직명단!$A$3:$K$1182,3,FALSE())),0,VLOOKUP(D72,[35]일용직명단!$A$3:$K$1182,3,FALSE()))</f>
        <v>0</v>
      </c>
      <c r="F72" s="112" t="n">
        <f aca="false">IF(ISERROR(VLOOKUP(D72,일용직명단!$A$3:$K$1246,4,FALSE())),0,VLOOKUP(D72,일용직명단!$A$3:$K$1246,4,FALSE()))</f>
        <v>0</v>
      </c>
      <c r="G72" s="417"/>
      <c r="H72" s="417"/>
      <c r="I72" s="417"/>
      <c r="J72" s="419"/>
      <c r="K72" s="417"/>
      <c r="L72" s="419"/>
      <c r="M72" s="417"/>
      <c r="N72" s="417"/>
      <c r="O72" s="420"/>
      <c r="P72" s="420"/>
      <c r="Q72" s="417"/>
      <c r="R72" s="420"/>
      <c r="S72" s="419"/>
      <c r="T72" s="420"/>
      <c r="U72" s="419"/>
      <c r="V72" s="421"/>
      <c r="W72" s="144" t="n">
        <f aca="false">SUM(G72:V73)</f>
        <v>0</v>
      </c>
      <c r="X72" s="121" t="n">
        <f aca="false">IF(ISERROR(VLOOKUP(D72,일용직명단!$A$3:$K$1246,8,FALSE())),0,VLOOKUP(D72,일용직명단!$A$3:$K$1246,8,FALSE()))</f>
        <v>0</v>
      </c>
      <c r="Y72" s="122" t="n">
        <f aca="false">IFERROR(IF(AH72&gt;=65,0,ROUNDDOWN(X73*$AA$4,-1)),0)</f>
        <v>0</v>
      </c>
      <c r="Z72" s="122" t="n">
        <f aca="false">IF(AF72&gt;=8,ROUNDDOWN(X73*$N$4,-1),0)</f>
        <v>0</v>
      </c>
      <c r="AA72" s="123" t="n">
        <f aca="false">IFERROR(IF(AND(COUNT(G72:V73)&gt;=8,$AH72&lt;60,X73&lt;=5530000),ROUNDDOWN(ROUNDDOWN(X73,-3)*4.5%,-1),IF(AND(COUNT(G72:V73)&gt;=8,AH72&lt;60,X73&gt;5530000),248850,0)),0)</f>
        <v>0</v>
      </c>
      <c r="AB72" s="145" t="n">
        <f aca="false">+Y72+Z72+Y73+Z73+AA72+AA73</f>
        <v>0</v>
      </c>
      <c r="AC72" s="146" t="n">
        <f aca="false">X73-AB72</f>
        <v>0</v>
      </c>
      <c r="AD72" s="422" t="n">
        <f aca="false">IF(ISERROR(VLOOKUP(D72,[35]일용직명단!$A$3:$I$1165,5,FALSE())),0,VLOOKUP(D72,[35]일용직명단!$A$3:$I$1165,5,FALSE()))</f>
        <v>0</v>
      </c>
      <c r="AE72" s="423" t="n">
        <f aca="false">IF(ISERROR(VLOOKUP(D72,[35]일용직명단!$A$3:$I$1165,6,FALSE())),0,VLOOKUP(D72,[35]일용직명단!$A$3:$I$1165,6,FALSE()))</f>
        <v>0</v>
      </c>
      <c r="AF72" s="141" t="n">
        <f aca="false">COUNT(G72:V73)</f>
        <v>0</v>
      </c>
      <c r="AG72" s="129" t="str">
        <f aca="false">IF(OR(MID(E72,8,1)="1",MID(E72,8,1)="2"),19&amp;LEFT(E72,2),20&amp;LEFT(E72,2))&amp;"-"&amp;MID(E72,3,2)&amp;"-"&amp;MID(E72,5,2)</f>
        <v>200--</v>
      </c>
      <c r="AH72" s="129" t="e">
        <f aca="true">INT((TODAY()-AG72)/365.25)</f>
        <v>#VALUE!</v>
      </c>
      <c r="AI72" s="130" t="n">
        <f aca="false">ROUNDDOWN(SUM(AJ72:AY73),-1)</f>
        <v>0</v>
      </c>
      <c r="AJ72" s="130" t="n">
        <f aca="false">IF($X72*G72&gt;150000,($X72*G72-150000)*6%*45%,0)</f>
        <v>0</v>
      </c>
      <c r="AK72" s="130" t="n">
        <f aca="false">IF($X72*H72&gt;150000,($X72*H72-150000)*6%*45%,0)</f>
        <v>0</v>
      </c>
      <c r="AL72" s="130" t="n">
        <f aca="false">IF($X72*I72&gt;150000,($X72*I72-150000)*6%*45%,0)</f>
        <v>0</v>
      </c>
      <c r="AM72" s="130" t="n">
        <f aca="false">IF($X72*J72&gt;150000,($X72*J72-150000)*6%*45%,0)</f>
        <v>0</v>
      </c>
      <c r="AN72" s="130" t="n">
        <f aca="false">IF($X72*K72&gt;150000,($X72*K72-150000)*6%*45%,0)</f>
        <v>0</v>
      </c>
      <c r="AO72" s="130" t="n">
        <f aca="false">IF($X72*L72&gt;150000,($X72*L72-150000)*6%*45%,0)</f>
        <v>0</v>
      </c>
      <c r="AP72" s="130" t="n">
        <f aca="false">IF($X72*M72&gt;150000,($X72*M72-150000)*6%*45%,0)</f>
        <v>0</v>
      </c>
      <c r="AQ72" s="130" t="n">
        <f aca="false">IF($X72*N72&gt;150000,($X72*N72-150000)*6%*45%,0)</f>
        <v>0</v>
      </c>
      <c r="AR72" s="130" t="n">
        <f aca="false">IF($X72*O72&gt;150000,($X72*O72-150000)*6%*45%,0)</f>
        <v>0</v>
      </c>
      <c r="AS72" s="130" t="n">
        <f aca="false">IF($X72*P72&gt;150000,($X72*P72-150000)*6%*45%,0)</f>
        <v>0</v>
      </c>
      <c r="AT72" s="130" t="n">
        <f aca="false">IF($X72*Q72&gt;150000,($X72*Q72-150000)*6%*45%,0)</f>
        <v>0</v>
      </c>
      <c r="AU72" s="130" t="n">
        <f aca="false">IF($X72*R72&gt;150000,($X72*R72-150000)*6%*45%,0)</f>
        <v>0</v>
      </c>
      <c r="AV72" s="130" t="n">
        <f aca="false">IF($X72*S72&gt;150000,($X72*S72-150000)*6%*45%,0)</f>
        <v>0</v>
      </c>
      <c r="AW72" s="130" t="n">
        <f aca="false">IF($X72*T72&gt;150000,($X72*T72-150000)*6%*45%,0)</f>
        <v>0</v>
      </c>
      <c r="AX72" s="130" t="n">
        <f aca="false">IF($X72*U72&gt;150000,($X72*U72-150000)*6%*45%,0)</f>
        <v>0</v>
      </c>
      <c r="AY72" s="130"/>
      <c r="AZ72" s="131" t="n">
        <f aca="false">IF(ISERROR(VLOOKUP(D72,[32]일용직명단!$A$3:$M$1151,11,FALSE())),0,VLOOKUP(D72,[32]일용직명단!$A$3:$M$1151,11,FALSE()))</f>
        <v>0</v>
      </c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</row>
    <row r="73" customFormat="false" ht="13.5" hidden="true" customHeight="true" outlineLevel="0" collapsed="false">
      <c r="A73" s="108"/>
      <c r="B73" s="404"/>
      <c r="C73" s="159"/>
      <c r="D73" s="203"/>
      <c r="E73" s="311"/>
      <c r="F73" s="112" t="n">
        <f aca="false">IF(ISERROR(VLOOKUP(D72,일용직명단!$A$3:$K$1246,9,FALSE())),0,VLOOKUP(D72,일용직명단!$A$3:$K$1246,9,FALSE()))</f>
        <v>0</v>
      </c>
      <c r="G73" s="417"/>
      <c r="H73" s="420"/>
      <c r="I73" s="419"/>
      <c r="J73" s="420"/>
      <c r="K73" s="419"/>
      <c r="L73" s="420"/>
      <c r="M73" s="420"/>
      <c r="N73" s="419"/>
      <c r="O73" s="420"/>
      <c r="P73" s="419"/>
      <c r="Q73" s="420"/>
      <c r="R73" s="420"/>
      <c r="S73" s="417"/>
      <c r="T73" s="417"/>
      <c r="U73" s="417"/>
      <c r="V73" s="417"/>
      <c r="W73" s="144"/>
      <c r="X73" s="138" t="n">
        <f aca="false">X72*W72</f>
        <v>0</v>
      </c>
      <c r="Y73" s="122" t="n">
        <f aca="false">IF(AI72&lt;1000,0,AI72)</f>
        <v>0</v>
      </c>
      <c r="Z73" s="122" t="n">
        <f aca="false">ROUNDDOWN(Y73*10%,-1)</f>
        <v>0</v>
      </c>
      <c r="AA73" s="123" t="n">
        <f aca="false">IF(AF72&gt;=8,ROUNDDOWN(Z72*$R$4,-1),0)</f>
        <v>0</v>
      </c>
      <c r="AB73" s="145"/>
      <c r="AC73" s="146"/>
      <c r="AD73" s="423" t="n">
        <f aca="false">IF(ISERROR(VLOOKUP(D72,[35]일용직명단!$A$3:$I$1165,7,FALSE())),0,VLOOKUP(D72,[35]일용직명단!$A$3:$I$1165,7,FALSE()))</f>
        <v>0</v>
      </c>
      <c r="AE73" s="423"/>
      <c r="AF73" s="141"/>
      <c r="AG73" s="129"/>
      <c r="AH73" s="129"/>
      <c r="AI73" s="130"/>
      <c r="AJ73" s="130" t="n">
        <f aca="false">IF($X72*G73&gt;150000,($X72*G73-150000)*6%*45%,0)</f>
        <v>0</v>
      </c>
      <c r="AK73" s="130" t="n">
        <f aca="false">IF($X72*H73&gt;150000,($X72*H73-150000)*6%*45%,0)</f>
        <v>0</v>
      </c>
      <c r="AL73" s="130" t="n">
        <f aca="false">IF($X72*I73&gt;150000,($X72*I73-150000)*6%*45%,0)</f>
        <v>0</v>
      </c>
      <c r="AM73" s="130" t="n">
        <f aca="false">IF($X72*J73&gt;150000,($X72*J73-150000)*6%*45%,0)</f>
        <v>0</v>
      </c>
      <c r="AN73" s="130" t="n">
        <f aca="false">IF($X72*K73&gt;150000,($X72*K73-150000)*6%*45%,0)</f>
        <v>0</v>
      </c>
      <c r="AO73" s="130" t="n">
        <f aca="false">IF($X72*L73&gt;150000,($X72*L73-150000)*6%*45%,0)</f>
        <v>0</v>
      </c>
      <c r="AP73" s="130" t="n">
        <f aca="false">IF($X72*M73&gt;150000,($X72*M73-150000)*6%*45%,0)</f>
        <v>0</v>
      </c>
      <c r="AQ73" s="130" t="n">
        <f aca="false">IF($X72*N73&gt;150000,($X72*N73-150000)*6%*45%,0)</f>
        <v>0</v>
      </c>
      <c r="AR73" s="130" t="n">
        <f aca="false">IF($X72*O73&gt;150000,($X72*O73-150000)*6%*45%,0)</f>
        <v>0</v>
      </c>
      <c r="AS73" s="130" t="n">
        <f aca="false">IF($X72*P73&gt;150000,($X72*P73-150000)*6%*45%,0)</f>
        <v>0</v>
      </c>
      <c r="AT73" s="130" t="n">
        <f aca="false">IF($X72*Q73&gt;150000,($X72*Q73-150000)*6%*45%,0)</f>
        <v>0</v>
      </c>
      <c r="AU73" s="130" t="n">
        <f aca="false">IF($X72*R73&gt;150000,($X72*R73-150000)*6%*45%,0)</f>
        <v>0</v>
      </c>
      <c r="AV73" s="130" t="n">
        <f aca="false">IF($X72*S73&gt;150000,($X72*S73-150000)*6%*45%,0)</f>
        <v>0</v>
      </c>
      <c r="AW73" s="130" t="n">
        <f aca="false">IF($X72*T73&gt;150000,($X72*T73-150000)*6%*45%,0)</f>
        <v>0</v>
      </c>
      <c r="AX73" s="130" t="n">
        <f aca="false">IF($X72*U73&gt;150000,($X72*U73-150000)*6%*45%,0)</f>
        <v>0</v>
      </c>
      <c r="AY73" s="130" t="n">
        <f aca="false">IF($X72*V73&gt;150000,($X72*V73-150000)*6%*45%,0)</f>
        <v>0</v>
      </c>
      <c r="AZ73" s="13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</row>
    <row r="74" customFormat="false" ht="13.5" hidden="true" customHeight="true" outlineLevel="0" collapsed="false">
      <c r="A74" s="108" t="n">
        <f aca="false">A72+1</f>
        <v>33</v>
      </c>
      <c r="B74" s="404"/>
      <c r="C74" s="159" t="n">
        <f aca="false">IF(ISERROR(VLOOKUP(D74,[31]일용직명단!$A$3:$I$105,2,FALSE())),0,VLOOKUP(D74,[31]일용직명단!$A$3:$I$105,2,FALSE()))</f>
        <v>0</v>
      </c>
      <c r="D74" s="207"/>
      <c r="E74" s="311" t="n">
        <f aca="false">IF(ISERROR(VLOOKUP(D74,[35]일용직명단!$A$3:$K$1182,3,FALSE())),0,VLOOKUP(D74,[35]일용직명단!$A$3:$K$1182,3,FALSE()))</f>
        <v>0</v>
      </c>
      <c r="F74" s="112" t="n">
        <f aca="false">IF(ISERROR(VLOOKUP(D74,일용직명단!$A$3:$K$1246,4,FALSE())),0,VLOOKUP(D74,일용직명단!$A$3:$K$1246,4,FALSE()))</f>
        <v>0</v>
      </c>
      <c r="G74" s="417"/>
      <c r="H74" s="417"/>
      <c r="I74" s="417"/>
      <c r="J74" s="419"/>
      <c r="K74" s="417"/>
      <c r="L74" s="419"/>
      <c r="M74" s="417"/>
      <c r="N74" s="417"/>
      <c r="O74" s="420"/>
      <c r="P74" s="420"/>
      <c r="Q74" s="417"/>
      <c r="R74" s="420"/>
      <c r="S74" s="419"/>
      <c r="T74" s="420"/>
      <c r="U74" s="419"/>
      <c r="V74" s="421"/>
      <c r="W74" s="144" t="n">
        <f aca="false">SUM(G74:V75)</f>
        <v>0</v>
      </c>
      <c r="X74" s="121" t="n">
        <f aca="false">IF(ISERROR(VLOOKUP(D74,일용직명단!$A$3:$K$1246,8,FALSE())),0,VLOOKUP(D74,일용직명단!$A$3:$K$1246,8,FALSE()))</f>
        <v>0</v>
      </c>
      <c r="Y74" s="122" t="n">
        <f aca="false">IFERROR(IF(AH74&gt;=65,0,ROUNDDOWN(X75*$AA$4,-1)),0)</f>
        <v>0</v>
      </c>
      <c r="Z74" s="122" t="n">
        <f aca="false">IF(AF74&gt;=8,ROUNDDOWN(X75*$N$4,-1),0)</f>
        <v>0</v>
      </c>
      <c r="AA74" s="123" t="n">
        <f aca="false">IFERROR(IF(AND(COUNT(G74:V75)&gt;=8,$AH74&lt;60,X75&lt;=5530000),ROUNDDOWN(ROUNDDOWN(X75,-3)*4.5%,-1),IF(AND(COUNT(G74:V75)&gt;=8,AH74&lt;60,X75&gt;5530000),248850,0)),0)</f>
        <v>0</v>
      </c>
      <c r="AB74" s="145" t="n">
        <f aca="false">+Y74+Z74+Y75+Z75+AA74+AA75</f>
        <v>0</v>
      </c>
      <c r="AC74" s="146" t="n">
        <f aca="false">X75-AB74</f>
        <v>0</v>
      </c>
      <c r="AD74" s="422" t="n">
        <f aca="false">IF(ISERROR(VLOOKUP(D74,[35]일용직명단!$A$3:$I$1165,5,FALSE())),0,VLOOKUP(D74,[35]일용직명단!$A$3:$I$1165,5,FALSE()))</f>
        <v>0</v>
      </c>
      <c r="AE74" s="423" t="n">
        <f aca="false">IF(ISERROR(VLOOKUP(D74,[35]일용직명단!$A$3:$I$1165,6,FALSE())),0,VLOOKUP(D74,[35]일용직명단!$A$3:$I$1165,6,FALSE()))</f>
        <v>0</v>
      </c>
      <c r="AF74" s="149" t="n">
        <f aca="false">COUNT(G74:V75)</f>
        <v>0</v>
      </c>
      <c r="AG74" s="129" t="str">
        <f aca="false">IF(OR(MID(E74,8,1)="1",MID(E74,8,1)="2"),19&amp;LEFT(E74,2),20&amp;LEFT(E74,2))&amp;"-"&amp;MID(E74,3,2)&amp;"-"&amp;MID(E74,5,2)</f>
        <v>200--</v>
      </c>
      <c r="AH74" s="129" t="e">
        <f aca="true">INT((TODAY()-AG74)/365.25)</f>
        <v>#VALUE!</v>
      </c>
      <c r="AI74" s="130" t="n">
        <f aca="false">ROUNDDOWN(SUM(AJ74:AY75),-1)</f>
        <v>0</v>
      </c>
      <c r="AJ74" s="130" t="n">
        <f aca="false">IF($X74*G74&gt;150000,($X74*G74-150000)*6%*45%,0)</f>
        <v>0</v>
      </c>
      <c r="AK74" s="130" t="n">
        <f aca="false">IF($X74*H74&gt;150000,($X74*H74-150000)*6%*45%,0)</f>
        <v>0</v>
      </c>
      <c r="AL74" s="130" t="n">
        <f aca="false">IF($X74*I74&gt;150000,($X74*I74-150000)*6%*45%,0)</f>
        <v>0</v>
      </c>
      <c r="AM74" s="130" t="n">
        <f aca="false">IF($X74*J74&gt;150000,($X74*J74-150000)*6%*45%,0)</f>
        <v>0</v>
      </c>
      <c r="AN74" s="130" t="n">
        <f aca="false">IF($X74*K74&gt;150000,($X74*K74-150000)*6%*45%,0)</f>
        <v>0</v>
      </c>
      <c r="AO74" s="130" t="n">
        <f aca="false">IF($X74*L74&gt;150000,($X74*L74-150000)*6%*45%,0)</f>
        <v>0</v>
      </c>
      <c r="AP74" s="130" t="n">
        <f aca="false">IF($X74*M74&gt;150000,($X74*M74-150000)*6%*45%,0)</f>
        <v>0</v>
      </c>
      <c r="AQ74" s="130" t="n">
        <f aca="false">IF($X74*N74&gt;150000,($X74*N74-150000)*6%*45%,0)</f>
        <v>0</v>
      </c>
      <c r="AR74" s="130" t="n">
        <f aca="false">IF($X74*O74&gt;150000,($X74*O74-150000)*6%*45%,0)</f>
        <v>0</v>
      </c>
      <c r="AS74" s="130" t="n">
        <f aca="false">IF($X74*P74&gt;150000,($X74*P74-150000)*6%*45%,0)</f>
        <v>0</v>
      </c>
      <c r="AT74" s="130" t="n">
        <f aca="false">IF($X74*Q74&gt;150000,($X74*Q74-150000)*6%*45%,0)</f>
        <v>0</v>
      </c>
      <c r="AU74" s="130" t="n">
        <f aca="false">IF($X74*R74&gt;150000,($X74*R74-150000)*6%*45%,0)</f>
        <v>0</v>
      </c>
      <c r="AV74" s="130" t="n">
        <f aca="false">IF($X74*S74&gt;150000,($X74*S74-150000)*6%*45%,0)</f>
        <v>0</v>
      </c>
      <c r="AW74" s="130" t="n">
        <f aca="false">IF($X74*T74&gt;150000,($X74*T74-150000)*6%*45%,0)</f>
        <v>0</v>
      </c>
      <c r="AX74" s="130" t="n">
        <f aca="false">IF($X74*U74&gt;150000,($X74*U74-150000)*6%*45%,0)</f>
        <v>0</v>
      </c>
      <c r="AY74" s="130"/>
      <c r="AZ74" s="131" t="n">
        <f aca="false">IF(ISERROR(VLOOKUP(D74,[32]일용직명단!$A$3:$M$1151,11,FALSE())),0,VLOOKUP(D74,[32]일용직명단!$A$3:$M$1151,11,FALSE()))</f>
        <v>0</v>
      </c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11"/>
      <c r="GM74" s="11"/>
      <c r="GN74" s="11"/>
      <c r="GO74" s="11"/>
      <c r="GP74" s="11"/>
      <c r="GQ74" s="11"/>
      <c r="GR74" s="11"/>
      <c r="GS74" s="11"/>
      <c r="GT74" s="11"/>
      <c r="GU74" s="11"/>
      <c r="GV74" s="11"/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  <c r="HO74" s="11"/>
      <c r="HP74" s="11"/>
      <c r="HQ74" s="11"/>
      <c r="HR74" s="11"/>
      <c r="HS74" s="11"/>
      <c r="HT74" s="11"/>
      <c r="HU74" s="11"/>
      <c r="HV74" s="11"/>
      <c r="HW74" s="11"/>
      <c r="HX74" s="11"/>
      <c r="HY74" s="11"/>
      <c r="HZ74" s="11"/>
      <c r="IA74" s="11"/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  <c r="IM74" s="11"/>
      <c r="IN74" s="11"/>
      <c r="IO74" s="11"/>
      <c r="IP74" s="11"/>
      <c r="IQ74" s="11"/>
      <c r="IR74" s="11"/>
      <c r="IS74" s="11"/>
      <c r="IT74" s="11"/>
      <c r="IU74" s="11"/>
      <c r="IV74" s="11"/>
      <c r="IW74" s="11"/>
    </row>
    <row r="75" customFormat="false" ht="13.5" hidden="true" customHeight="true" outlineLevel="0" collapsed="false">
      <c r="A75" s="108"/>
      <c r="B75" s="404"/>
      <c r="C75" s="159"/>
      <c r="D75" s="207"/>
      <c r="E75" s="311"/>
      <c r="F75" s="112" t="n">
        <f aca="false">IF(ISERROR(VLOOKUP(D74,일용직명단!$A$3:$K$1246,9,FALSE())),0,VLOOKUP(D74,일용직명단!$A$3:$K$1246,9,FALSE()))</f>
        <v>0</v>
      </c>
      <c r="G75" s="417"/>
      <c r="H75" s="420"/>
      <c r="I75" s="419"/>
      <c r="J75" s="420"/>
      <c r="K75" s="419"/>
      <c r="L75" s="420"/>
      <c r="M75" s="420"/>
      <c r="N75" s="419"/>
      <c r="O75" s="420"/>
      <c r="P75" s="419"/>
      <c r="Q75" s="420"/>
      <c r="R75" s="420"/>
      <c r="S75" s="417"/>
      <c r="T75" s="417"/>
      <c r="U75" s="417"/>
      <c r="V75" s="417"/>
      <c r="W75" s="144"/>
      <c r="X75" s="138" t="n">
        <f aca="false">X74*W74</f>
        <v>0</v>
      </c>
      <c r="Y75" s="122" t="n">
        <f aca="false">IF(AI74&lt;1000,0,AI74)</f>
        <v>0</v>
      </c>
      <c r="Z75" s="122" t="n">
        <f aca="false">ROUNDDOWN(Y75*10%,-1)</f>
        <v>0</v>
      </c>
      <c r="AA75" s="123" t="n">
        <f aca="false">IF(AF74&gt;=8,ROUNDDOWN(Z74*$R$4,-1),0)</f>
        <v>0</v>
      </c>
      <c r="AB75" s="145"/>
      <c r="AC75" s="146"/>
      <c r="AD75" s="423" t="n">
        <f aca="false">IF(ISERROR(VLOOKUP(D74,[35]일용직명단!$A$3:$I$1165,7,FALSE())),0,VLOOKUP(D74,[35]일용직명단!$A$3:$I$1165,7,FALSE()))</f>
        <v>0</v>
      </c>
      <c r="AE75" s="423"/>
      <c r="AF75" s="149"/>
      <c r="AG75" s="129"/>
      <c r="AH75" s="129"/>
      <c r="AI75" s="130"/>
      <c r="AJ75" s="130" t="n">
        <f aca="false">IF($X74*G75&gt;150000,($X74*G75-150000)*6%*45%,0)</f>
        <v>0</v>
      </c>
      <c r="AK75" s="130" t="n">
        <f aca="false">IF($X74*H75&gt;150000,($X74*H75-150000)*6%*45%,0)</f>
        <v>0</v>
      </c>
      <c r="AL75" s="130" t="n">
        <f aca="false">IF($X74*I75&gt;150000,($X74*I75-150000)*6%*45%,0)</f>
        <v>0</v>
      </c>
      <c r="AM75" s="130" t="n">
        <f aca="false">IF($X74*J75&gt;150000,($X74*J75-150000)*6%*45%,0)</f>
        <v>0</v>
      </c>
      <c r="AN75" s="130" t="n">
        <f aca="false">IF($X74*K75&gt;150000,($X74*K75-150000)*6%*45%,0)</f>
        <v>0</v>
      </c>
      <c r="AO75" s="130" t="n">
        <f aca="false">IF($X74*L75&gt;150000,($X74*L75-150000)*6%*45%,0)</f>
        <v>0</v>
      </c>
      <c r="AP75" s="130" t="n">
        <f aca="false">IF($X74*M75&gt;150000,($X74*M75-150000)*6%*45%,0)</f>
        <v>0</v>
      </c>
      <c r="AQ75" s="130" t="n">
        <f aca="false">IF($X74*N75&gt;150000,($X74*N75-150000)*6%*45%,0)</f>
        <v>0</v>
      </c>
      <c r="AR75" s="130" t="n">
        <f aca="false">IF($X74*O75&gt;150000,($X74*O75-150000)*6%*45%,0)</f>
        <v>0</v>
      </c>
      <c r="AS75" s="130" t="n">
        <f aca="false">IF($X74*P75&gt;150000,($X74*P75-150000)*6%*45%,0)</f>
        <v>0</v>
      </c>
      <c r="AT75" s="130" t="n">
        <f aca="false">IF($X74*Q75&gt;150000,($X74*Q75-150000)*6%*45%,0)</f>
        <v>0</v>
      </c>
      <c r="AU75" s="130" t="n">
        <f aca="false">IF($X74*R75&gt;150000,($X74*R75-150000)*6%*45%,0)</f>
        <v>0</v>
      </c>
      <c r="AV75" s="130" t="n">
        <f aca="false">IF($X74*S75&gt;150000,($X74*S75-150000)*6%*45%,0)</f>
        <v>0</v>
      </c>
      <c r="AW75" s="130" t="n">
        <f aca="false">IF($X74*T75&gt;150000,($X74*T75-150000)*6%*45%,0)</f>
        <v>0</v>
      </c>
      <c r="AX75" s="130" t="n">
        <f aca="false">IF($X74*U75&gt;150000,($X74*U75-150000)*6%*45%,0)</f>
        <v>0</v>
      </c>
      <c r="AY75" s="130" t="n">
        <f aca="false">IF($X74*V75&gt;150000,($X74*V75-150000)*6%*45%,0)</f>
        <v>0</v>
      </c>
      <c r="AZ75" s="13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</row>
    <row r="76" customFormat="false" ht="13.5" hidden="true" customHeight="true" outlineLevel="0" collapsed="false">
      <c r="A76" s="108" t="n">
        <f aca="false">A74+1</f>
        <v>34</v>
      </c>
      <c r="B76" s="404"/>
      <c r="C76" s="159" t="n">
        <f aca="false">IF(ISERROR(VLOOKUP(D76,[31]일용직명단!$A$3:$I$105,2,FALSE())),0,VLOOKUP(D76,[31]일용직명단!$A$3:$I$105,2,FALSE()))</f>
        <v>0</v>
      </c>
      <c r="D76" s="203"/>
      <c r="E76" s="311" t="n">
        <f aca="false">IF(ISERROR(VLOOKUP(D76,[35]일용직명단!$A$3:$K$1182,3,FALSE())),0,VLOOKUP(D76,[35]일용직명단!$A$3:$K$1182,3,FALSE()))</f>
        <v>0</v>
      </c>
      <c r="F76" s="112" t="n">
        <f aca="false">IF(ISERROR(VLOOKUP(D76,일용직명단!$A$3:$K$1246,4,FALSE())),0,VLOOKUP(D76,일용직명단!$A$3:$K$1246,4,FALSE()))</f>
        <v>0</v>
      </c>
      <c r="G76" s="417"/>
      <c r="H76" s="417"/>
      <c r="I76" s="417"/>
      <c r="J76" s="419"/>
      <c r="K76" s="417"/>
      <c r="L76" s="419"/>
      <c r="M76" s="417"/>
      <c r="N76" s="417"/>
      <c r="O76" s="420"/>
      <c r="P76" s="420"/>
      <c r="Q76" s="417"/>
      <c r="R76" s="420"/>
      <c r="S76" s="419"/>
      <c r="T76" s="420"/>
      <c r="U76" s="419"/>
      <c r="V76" s="421"/>
      <c r="W76" s="144" t="n">
        <f aca="false">SUM(G76:V77)</f>
        <v>0</v>
      </c>
      <c r="X76" s="121" t="n">
        <f aca="false">IF(ISERROR(VLOOKUP(D76,일용직명단!$A$3:$K$1246,8,FALSE())),0,VLOOKUP(D76,일용직명단!$A$3:$K$1246,8,FALSE()))</f>
        <v>0</v>
      </c>
      <c r="Y76" s="122" t="n">
        <f aca="false">IFERROR(IF(AH76&gt;=65,0,ROUNDDOWN(X77*$AA$4,-1)),0)</f>
        <v>0</v>
      </c>
      <c r="Z76" s="122" t="n">
        <f aca="false">IF(AF76&gt;=8,ROUNDDOWN(X77*$N$4,-1),0)</f>
        <v>0</v>
      </c>
      <c r="AA76" s="123" t="n">
        <f aca="false">IFERROR(IF(AND(COUNT(G76:V77)&gt;=8,$AH76&lt;60,X77&lt;=5530000),ROUNDDOWN(ROUNDDOWN(X77,-3)*4.5%,-1),IF(AND(COUNT(G76:V77)&gt;=8,AH76&lt;60,X77&gt;5530000),248850,0)),0)</f>
        <v>0</v>
      </c>
      <c r="AB76" s="145" t="n">
        <f aca="false">+Y76+Z76+Y77+Z77+AA76+AA77</f>
        <v>0</v>
      </c>
      <c r="AC76" s="146" t="n">
        <f aca="false">X77-AB76</f>
        <v>0</v>
      </c>
      <c r="AD76" s="422" t="n">
        <f aca="false">IF(ISERROR(VLOOKUP(D76,[35]일용직명단!$A$3:$I$1165,5,FALSE())),0,VLOOKUP(D76,[35]일용직명단!$A$3:$I$1165,5,FALSE()))</f>
        <v>0</v>
      </c>
      <c r="AE76" s="423" t="n">
        <f aca="false">IF(ISERROR(VLOOKUP(D76,[35]일용직명단!$A$3:$I$1165,6,FALSE())),0,VLOOKUP(D76,[35]일용직명단!$A$3:$I$1165,6,FALSE()))</f>
        <v>0</v>
      </c>
      <c r="AF76" s="141" t="n">
        <f aca="false">COUNT(G76:V77)</f>
        <v>0</v>
      </c>
      <c r="AG76" s="129" t="str">
        <f aca="false">IF(OR(MID(E76,8,1)="1",MID(E76,8,1)="2"),19&amp;LEFT(E76,2),20&amp;LEFT(E76,2))&amp;"-"&amp;MID(E76,3,2)&amp;"-"&amp;MID(E76,5,2)</f>
        <v>200--</v>
      </c>
      <c r="AH76" s="129" t="e">
        <f aca="true">INT((TODAY()-AG76)/365.25)</f>
        <v>#VALUE!</v>
      </c>
      <c r="AI76" s="130" t="n">
        <f aca="false">ROUNDDOWN(SUM(AJ76:AY77),-1)</f>
        <v>0</v>
      </c>
      <c r="AJ76" s="130" t="n">
        <f aca="false">IF($X76*G76&gt;150000,($X76*G76-150000)*6%*45%,0)</f>
        <v>0</v>
      </c>
      <c r="AK76" s="130" t="n">
        <f aca="false">IF($X76*H76&gt;150000,($X76*H76-150000)*6%*45%,0)</f>
        <v>0</v>
      </c>
      <c r="AL76" s="130" t="n">
        <f aca="false">IF($X76*I76&gt;150000,($X76*I76-150000)*6%*45%,0)</f>
        <v>0</v>
      </c>
      <c r="AM76" s="130" t="n">
        <f aca="false">IF($X76*J76&gt;150000,($X76*J76-150000)*6%*45%,0)</f>
        <v>0</v>
      </c>
      <c r="AN76" s="130" t="n">
        <f aca="false">IF($X76*K76&gt;150000,($X76*K76-150000)*6%*45%,0)</f>
        <v>0</v>
      </c>
      <c r="AO76" s="130" t="n">
        <f aca="false">IF($X76*L76&gt;150000,($X76*L76-150000)*6%*45%,0)</f>
        <v>0</v>
      </c>
      <c r="AP76" s="130" t="n">
        <f aca="false">IF($X76*M76&gt;150000,($X76*M76-150000)*6%*45%,0)</f>
        <v>0</v>
      </c>
      <c r="AQ76" s="130" t="n">
        <f aca="false">IF($X76*N76&gt;150000,($X76*N76-150000)*6%*45%,0)</f>
        <v>0</v>
      </c>
      <c r="AR76" s="130" t="n">
        <f aca="false">IF($X76*O76&gt;150000,($X76*O76-150000)*6%*45%,0)</f>
        <v>0</v>
      </c>
      <c r="AS76" s="130" t="n">
        <f aca="false">IF($X76*P76&gt;150000,($X76*P76-150000)*6%*45%,0)</f>
        <v>0</v>
      </c>
      <c r="AT76" s="130" t="n">
        <f aca="false">IF($X76*Q76&gt;150000,($X76*Q76-150000)*6%*45%,0)</f>
        <v>0</v>
      </c>
      <c r="AU76" s="130" t="n">
        <f aca="false">IF($X76*R76&gt;150000,($X76*R76-150000)*6%*45%,0)</f>
        <v>0</v>
      </c>
      <c r="AV76" s="130" t="n">
        <f aca="false">IF($X76*S76&gt;150000,($X76*S76-150000)*6%*45%,0)</f>
        <v>0</v>
      </c>
      <c r="AW76" s="130" t="n">
        <f aca="false">IF($X76*T76&gt;150000,($X76*T76-150000)*6%*45%,0)</f>
        <v>0</v>
      </c>
      <c r="AX76" s="130" t="n">
        <f aca="false">IF($X76*U76&gt;150000,($X76*U76-150000)*6%*45%,0)</f>
        <v>0</v>
      </c>
      <c r="AY76" s="130"/>
      <c r="AZ76" s="131" t="n">
        <f aca="false">IF(ISERROR(VLOOKUP(D76,[32]일용직명단!$A$3:$M$1151,11,FALSE())),0,VLOOKUP(D76,[32]일용직명단!$A$3:$M$1151,11,FALSE()))</f>
        <v>0</v>
      </c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/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/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/>
      <c r="IS76" s="11"/>
      <c r="IT76" s="11"/>
      <c r="IU76" s="11"/>
      <c r="IV76" s="11"/>
      <c r="IW76" s="11"/>
    </row>
    <row r="77" customFormat="false" ht="13.5" hidden="true" customHeight="true" outlineLevel="0" collapsed="false">
      <c r="A77" s="108"/>
      <c r="B77" s="404"/>
      <c r="C77" s="159"/>
      <c r="D77" s="203"/>
      <c r="E77" s="311"/>
      <c r="F77" s="112" t="n">
        <f aca="false">IF(ISERROR(VLOOKUP(D76,일용직명단!$A$3:$K$1246,9,FALSE())),0,VLOOKUP(D76,일용직명단!$A$3:$K$1246,9,FALSE()))</f>
        <v>0</v>
      </c>
      <c r="G77" s="417"/>
      <c r="H77" s="420"/>
      <c r="I77" s="419"/>
      <c r="J77" s="420"/>
      <c r="K77" s="419"/>
      <c r="L77" s="420"/>
      <c r="M77" s="420"/>
      <c r="N77" s="419"/>
      <c r="O77" s="420"/>
      <c r="P77" s="419"/>
      <c r="Q77" s="420"/>
      <c r="R77" s="420"/>
      <c r="S77" s="417"/>
      <c r="T77" s="417"/>
      <c r="U77" s="417"/>
      <c r="V77" s="417"/>
      <c r="W77" s="144"/>
      <c r="X77" s="138" t="n">
        <f aca="false">X76*W76</f>
        <v>0</v>
      </c>
      <c r="Y77" s="122" t="n">
        <f aca="false">IF(AI76&lt;1000,0,AI76)</f>
        <v>0</v>
      </c>
      <c r="Z77" s="122" t="n">
        <f aca="false">ROUNDDOWN(Y77*10%,-1)</f>
        <v>0</v>
      </c>
      <c r="AA77" s="123" t="n">
        <f aca="false">IF(AF76&gt;=8,ROUNDDOWN(Z76*$R$4,-1),0)</f>
        <v>0</v>
      </c>
      <c r="AB77" s="145"/>
      <c r="AC77" s="146"/>
      <c r="AD77" s="423" t="n">
        <f aca="false">IF(ISERROR(VLOOKUP(D76,[35]일용직명단!$A$3:$I$1165,7,FALSE())),0,VLOOKUP(D76,[35]일용직명단!$A$3:$I$1165,7,FALSE()))</f>
        <v>0</v>
      </c>
      <c r="AE77" s="423"/>
      <c r="AF77" s="141"/>
      <c r="AG77" s="129"/>
      <c r="AH77" s="129"/>
      <c r="AI77" s="130"/>
      <c r="AJ77" s="130" t="n">
        <f aca="false">IF($X76*G77&gt;150000,($X76*G77-150000)*6%*45%,0)</f>
        <v>0</v>
      </c>
      <c r="AK77" s="130" t="n">
        <f aca="false">IF($X76*H77&gt;150000,($X76*H77-150000)*6%*45%,0)</f>
        <v>0</v>
      </c>
      <c r="AL77" s="130" t="n">
        <f aca="false">IF($X76*I77&gt;150000,($X76*I77-150000)*6%*45%,0)</f>
        <v>0</v>
      </c>
      <c r="AM77" s="130" t="n">
        <f aca="false">IF($X76*J77&gt;150000,($X76*J77-150000)*6%*45%,0)</f>
        <v>0</v>
      </c>
      <c r="AN77" s="130" t="n">
        <f aca="false">IF($X76*K77&gt;150000,($X76*K77-150000)*6%*45%,0)</f>
        <v>0</v>
      </c>
      <c r="AO77" s="130" t="n">
        <f aca="false">IF($X76*L77&gt;150000,($X76*L77-150000)*6%*45%,0)</f>
        <v>0</v>
      </c>
      <c r="AP77" s="130" t="n">
        <f aca="false">IF($X76*M77&gt;150000,($X76*M77-150000)*6%*45%,0)</f>
        <v>0</v>
      </c>
      <c r="AQ77" s="130" t="n">
        <f aca="false">IF($X76*N77&gt;150000,($X76*N77-150000)*6%*45%,0)</f>
        <v>0</v>
      </c>
      <c r="AR77" s="130" t="n">
        <f aca="false">IF($X76*O77&gt;150000,($X76*O77-150000)*6%*45%,0)</f>
        <v>0</v>
      </c>
      <c r="AS77" s="130" t="n">
        <f aca="false">IF($X76*P77&gt;150000,($X76*P77-150000)*6%*45%,0)</f>
        <v>0</v>
      </c>
      <c r="AT77" s="130" t="n">
        <f aca="false">IF($X76*Q77&gt;150000,($X76*Q77-150000)*6%*45%,0)</f>
        <v>0</v>
      </c>
      <c r="AU77" s="130" t="n">
        <f aca="false">IF($X76*R77&gt;150000,($X76*R77-150000)*6%*45%,0)</f>
        <v>0</v>
      </c>
      <c r="AV77" s="130" t="n">
        <f aca="false">IF($X76*S77&gt;150000,($X76*S77-150000)*6%*45%,0)</f>
        <v>0</v>
      </c>
      <c r="AW77" s="130" t="n">
        <f aca="false">IF($X76*T77&gt;150000,($X76*T77-150000)*6%*45%,0)</f>
        <v>0</v>
      </c>
      <c r="AX77" s="130" t="n">
        <f aca="false">IF($X76*U77&gt;150000,($X76*U77-150000)*6%*45%,0)</f>
        <v>0</v>
      </c>
      <c r="AY77" s="130" t="n">
        <f aca="false">IF($X76*V77&gt;150000,($X76*V77-150000)*6%*45%,0)</f>
        <v>0</v>
      </c>
      <c r="AZ77" s="13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</row>
    <row r="78" customFormat="false" ht="13.5" hidden="true" customHeight="true" outlineLevel="0" collapsed="false">
      <c r="A78" s="108" t="n">
        <f aca="false">A76+1</f>
        <v>35</v>
      </c>
      <c r="B78" s="393"/>
      <c r="C78" s="159" t="n">
        <f aca="false">IF(ISERROR(VLOOKUP(D78,[31]일용직명단!$A$3:$I$105,2,FALSE())),0,VLOOKUP(D78,[31]일용직명단!$A$3:$I$105,2,FALSE()))</f>
        <v>0</v>
      </c>
      <c r="D78" s="203"/>
      <c r="E78" s="311" t="n">
        <f aca="false">IF(ISERROR(VLOOKUP(D78,[35]일용직명단!$A$3:$K$1182,3,FALSE())),0,VLOOKUP(D78,[35]일용직명단!$A$3:$K$1182,3,FALSE()))</f>
        <v>0</v>
      </c>
      <c r="F78" s="112" t="n">
        <f aca="false">IF(ISERROR(VLOOKUP(D78,일용직명단!$A$3:$K$1246,4,FALSE())),0,VLOOKUP(D78,일용직명단!$A$3:$K$1246,4,FALSE()))</f>
        <v>0</v>
      </c>
      <c r="G78" s="417"/>
      <c r="H78" s="417"/>
      <c r="I78" s="417"/>
      <c r="J78" s="419"/>
      <c r="K78" s="417"/>
      <c r="L78" s="419"/>
      <c r="M78" s="417"/>
      <c r="N78" s="417"/>
      <c r="O78" s="420"/>
      <c r="P78" s="420"/>
      <c r="Q78" s="417"/>
      <c r="R78" s="420"/>
      <c r="S78" s="419"/>
      <c r="T78" s="420"/>
      <c r="U78" s="419"/>
      <c r="V78" s="421"/>
      <c r="W78" s="144" t="n">
        <f aca="false">SUM(G78:V79)</f>
        <v>0</v>
      </c>
      <c r="X78" s="121" t="n">
        <f aca="false">IF(ISERROR(VLOOKUP(D78,일용직명단!$A$3:$K$1246,8,FALSE())),0,VLOOKUP(D78,일용직명단!$A$3:$K$1246,8,FALSE()))</f>
        <v>0</v>
      </c>
      <c r="Y78" s="122" t="n">
        <f aca="false">IFERROR(IF(AH78&gt;=65,0,ROUNDDOWN(X79*$AA$4,-1)),0)</f>
        <v>0</v>
      </c>
      <c r="Z78" s="122" t="n">
        <f aca="false">IF(AF78&gt;=8,ROUNDDOWN(X79*$N$4,-1),0)</f>
        <v>0</v>
      </c>
      <c r="AA78" s="123" t="n">
        <f aca="false">IFERROR(IF(AND(COUNT(G78:V79)&gt;=8,$AH78&lt;60,X79&lt;=5530000),ROUNDDOWN(ROUNDDOWN(X79,-3)*4.5%,-1),IF(AND(COUNT(G78:V79)&gt;=8,AH78&lt;60,X79&gt;5530000),248850,0)),0)</f>
        <v>0</v>
      </c>
      <c r="AB78" s="145" t="n">
        <f aca="false">+Y78+Z78+Y79+Z79+AA78+AA79</f>
        <v>0</v>
      </c>
      <c r="AC78" s="146" t="n">
        <f aca="false">X79-AB78</f>
        <v>0</v>
      </c>
      <c r="AD78" s="422" t="n">
        <f aca="false">IF(ISERROR(VLOOKUP(D78,[35]일용직명단!$A$3:$I$1165,5,FALSE())),0,VLOOKUP(D78,[35]일용직명단!$A$3:$I$1165,5,FALSE()))</f>
        <v>0</v>
      </c>
      <c r="AE78" s="423" t="n">
        <f aca="false">IF(ISERROR(VLOOKUP(D78,[35]일용직명단!$A$3:$I$1165,6,FALSE())),0,VLOOKUP(D78,[35]일용직명단!$A$3:$I$1165,6,FALSE()))</f>
        <v>0</v>
      </c>
      <c r="AF78" s="141" t="n">
        <f aca="false">COUNT(G78:V79)</f>
        <v>0</v>
      </c>
      <c r="AG78" s="129" t="str">
        <f aca="false">IF(OR(MID(E78,8,1)="1",MID(E78,8,1)="2"),19&amp;LEFT(E78,2),20&amp;LEFT(E78,2))&amp;"-"&amp;MID(E78,3,2)&amp;"-"&amp;MID(E78,5,2)</f>
        <v>200--</v>
      </c>
      <c r="AH78" s="129" t="e">
        <f aca="true">INT((TODAY()-AG78)/365.25)</f>
        <v>#VALUE!</v>
      </c>
      <c r="AI78" s="130" t="n">
        <f aca="false">ROUNDDOWN(SUM(AJ78:AY79),-1)</f>
        <v>0</v>
      </c>
      <c r="AJ78" s="130" t="n">
        <f aca="false">IF($X78*G78&gt;150000,($X78*G78-150000)*6%*45%,0)</f>
        <v>0</v>
      </c>
      <c r="AK78" s="130" t="n">
        <f aca="false">IF($X78*H78&gt;150000,($X78*H78-150000)*6%*45%,0)</f>
        <v>0</v>
      </c>
      <c r="AL78" s="130" t="n">
        <f aca="false">IF($X78*I78&gt;150000,($X78*I78-150000)*6%*45%,0)</f>
        <v>0</v>
      </c>
      <c r="AM78" s="130" t="n">
        <f aca="false">IF($X78*J78&gt;150000,($X78*J78-150000)*6%*45%,0)</f>
        <v>0</v>
      </c>
      <c r="AN78" s="130" t="n">
        <f aca="false">IF($X78*K78&gt;150000,($X78*K78-150000)*6%*45%,0)</f>
        <v>0</v>
      </c>
      <c r="AO78" s="130" t="n">
        <f aca="false">IF($X78*L78&gt;150000,($X78*L78-150000)*6%*45%,0)</f>
        <v>0</v>
      </c>
      <c r="AP78" s="130" t="n">
        <f aca="false">IF($X78*M78&gt;150000,($X78*M78-150000)*6%*45%,0)</f>
        <v>0</v>
      </c>
      <c r="AQ78" s="130" t="n">
        <f aca="false">IF($X78*N78&gt;150000,($X78*N78-150000)*6%*45%,0)</f>
        <v>0</v>
      </c>
      <c r="AR78" s="130" t="n">
        <f aca="false">IF($X78*O78&gt;150000,($X78*O78-150000)*6%*45%,0)</f>
        <v>0</v>
      </c>
      <c r="AS78" s="130" t="n">
        <f aca="false">IF($X78*P78&gt;150000,($X78*P78-150000)*6%*45%,0)</f>
        <v>0</v>
      </c>
      <c r="AT78" s="130" t="n">
        <f aca="false">IF($X78*Q78&gt;150000,($X78*Q78-150000)*6%*45%,0)</f>
        <v>0</v>
      </c>
      <c r="AU78" s="130" t="n">
        <f aca="false">IF($X78*R78&gt;150000,($X78*R78-150000)*6%*45%,0)</f>
        <v>0</v>
      </c>
      <c r="AV78" s="130" t="n">
        <f aca="false">IF($X78*S78&gt;150000,($X78*S78-150000)*6%*45%,0)</f>
        <v>0</v>
      </c>
      <c r="AW78" s="130" t="n">
        <f aca="false">IF($X78*T78&gt;150000,($X78*T78-150000)*6%*45%,0)</f>
        <v>0</v>
      </c>
      <c r="AX78" s="130" t="n">
        <f aca="false">IF($X78*U78&gt;150000,($X78*U78-150000)*6%*45%,0)</f>
        <v>0</v>
      </c>
      <c r="AY78" s="130"/>
      <c r="AZ78" s="131" t="n">
        <f aca="false">IF(ISERROR(VLOOKUP(D78,[32]일용직명단!$A$3:$M$1151,11,FALSE())),0,VLOOKUP(D78,[32]일용직명단!$A$3:$M$1151,11,FALSE()))</f>
        <v>0</v>
      </c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</row>
    <row r="79" customFormat="false" ht="13.5" hidden="true" customHeight="true" outlineLevel="0" collapsed="false">
      <c r="A79" s="108"/>
      <c r="B79" s="393"/>
      <c r="C79" s="159"/>
      <c r="D79" s="203"/>
      <c r="E79" s="311"/>
      <c r="F79" s="112" t="n">
        <f aca="false">IF(ISERROR(VLOOKUP(D78,일용직명단!$A$3:$K$1246,9,FALSE())),0,VLOOKUP(D78,일용직명단!$A$3:$K$1246,9,FALSE()))</f>
        <v>0</v>
      </c>
      <c r="G79" s="417"/>
      <c r="H79" s="420"/>
      <c r="I79" s="419"/>
      <c r="J79" s="420"/>
      <c r="K79" s="419"/>
      <c r="L79" s="420"/>
      <c r="M79" s="417"/>
      <c r="N79" s="417"/>
      <c r="O79" s="420"/>
      <c r="P79" s="419"/>
      <c r="Q79" s="420"/>
      <c r="R79" s="420"/>
      <c r="S79" s="417"/>
      <c r="T79" s="417"/>
      <c r="U79" s="417"/>
      <c r="V79" s="417"/>
      <c r="W79" s="144"/>
      <c r="X79" s="138" t="n">
        <f aca="false">X78*W78</f>
        <v>0</v>
      </c>
      <c r="Y79" s="122" t="n">
        <f aca="false">IF(AI78&lt;1000,0,AI78)</f>
        <v>0</v>
      </c>
      <c r="Z79" s="122" t="n">
        <f aca="false">ROUNDDOWN(Y79*10%,-1)</f>
        <v>0</v>
      </c>
      <c r="AA79" s="123" t="n">
        <f aca="false">IF(AF78&gt;=8,ROUNDDOWN(Z78*$R$4,-1),0)</f>
        <v>0</v>
      </c>
      <c r="AB79" s="145"/>
      <c r="AC79" s="146"/>
      <c r="AD79" s="423" t="n">
        <f aca="false">IF(ISERROR(VLOOKUP(D78,[35]일용직명단!$A$3:$I$1165,7,FALSE())),0,VLOOKUP(D78,[35]일용직명단!$A$3:$I$1165,7,FALSE()))</f>
        <v>0</v>
      </c>
      <c r="AE79" s="423"/>
      <c r="AF79" s="141"/>
      <c r="AG79" s="129"/>
      <c r="AH79" s="129"/>
      <c r="AI79" s="130"/>
      <c r="AJ79" s="130" t="n">
        <f aca="false">IF($X78*G79&gt;150000,($X78*G79-150000)*6%*45%,0)</f>
        <v>0</v>
      </c>
      <c r="AK79" s="130" t="n">
        <f aca="false">IF($X78*H79&gt;150000,($X78*H79-150000)*6%*45%,0)</f>
        <v>0</v>
      </c>
      <c r="AL79" s="130" t="n">
        <f aca="false">IF($X78*I79&gt;150000,($X78*I79-150000)*6%*45%,0)</f>
        <v>0</v>
      </c>
      <c r="AM79" s="130" t="n">
        <f aca="false">IF($X78*J79&gt;150000,($X78*J79-150000)*6%*45%,0)</f>
        <v>0</v>
      </c>
      <c r="AN79" s="130" t="n">
        <f aca="false">IF($X78*K79&gt;150000,($X78*K79-150000)*6%*45%,0)</f>
        <v>0</v>
      </c>
      <c r="AO79" s="130" t="n">
        <f aca="false">IF($X78*L79&gt;150000,($X78*L79-150000)*6%*45%,0)</f>
        <v>0</v>
      </c>
      <c r="AP79" s="130" t="n">
        <f aca="false">IF($X78*M79&gt;150000,($X78*M79-150000)*6%*45%,0)</f>
        <v>0</v>
      </c>
      <c r="AQ79" s="130" t="n">
        <f aca="false">IF($X78*N79&gt;150000,($X78*N79-150000)*6%*45%,0)</f>
        <v>0</v>
      </c>
      <c r="AR79" s="130" t="n">
        <f aca="false">IF($X78*O79&gt;150000,($X78*O79-150000)*6%*45%,0)</f>
        <v>0</v>
      </c>
      <c r="AS79" s="130" t="n">
        <f aca="false">IF($X78*P79&gt;150000,($X78*P79-150000)*6%*45%,0)</f>
        <v>0</v>
      </c>
      <c r="AT79" s="130" t="n">
        <f aca="false">IF($X78*Q79&gt;150000,($X78*Q79-150000)*6%*45%,0)</f>
        <v>0</v>
      </c>
      <c r="AU79" s="130" t="n">
        <f aca="false">IF($X78*R79&gt;150000,($X78*R79-150000)*6%*45%,0)</f>
        <v>0</v>
      </c>
      <c r="AV79" s="130" t="n">
        <f aca="false">IF($X78*S79&gt;150000,($X78*S79-150000)*6%*45%,0)</f>
        <v>0</v>
      </c>
      <c r="AW79" s="130" t="n">
        <f aca="false">IF($X78*T79&gt;150000,($X78*T79-150000)*6%*45%,0)</f>
        <v>0</v>
      </c>
      <c r="AX79" s="130" t="n">
        <f aca="false">IF($X78*U79&gt;150000,($X78*U79-150000)*6%*45%,0)</f>
        <v>0</v>
      </c>
      <c r="AY79" s="130" t="n">
        <f aca="false">IF($X78*V79&gt;150000,($X78*V79-150000)*6%*45%,0)</f>
        <v>0</v>
      </c>
      <c r="AZ79" s="13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GZ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  <c r="HO79" s="11"/>
      <c r="HP79" s="11"/>
      <c r="HQ79" s="11"/>
      <c r="HR79" s="11"/>
      <c r="HS79" s="11"/>
      <c r="HT79" s="11"/>
      <c r="HU79" s="11"/>
      <c r="HV79" s="11"/>
      <c r="HW79" s="11"/>
      <c r="HX79" s="11"/>
      <c r="HY79" s="11"/>
      <c r="HZ79" s="11"/>
      <c r="IA79" s="11"/>
      <c r="IB79" s="11"/>
      <c r="IC79" s="11"/>
      <c r="ID79" s="11"/>
      <c r="IE79" s="11"/>
      <c r="IF79" s="11"/>
      <c r="IG79" s="11"/>
      <c r="IH79" s="11"/>
      <c r="II79" s="11"/>
      <c r="IJ79" s="11"/>
      <c r="IK79" s="11"/>
      <c r="IL79" s="11"/>
      <c r="IM79" s="11"/>
      <c r="IN79" s="11"/>
      <c r="IO79" s="11"/>
      <c r="IP79" s="11"/>
      <c r="IQ79" s="11"/>
      <c r="IR79" s="11"/>
      <c r="IS79" s="11"/>
      <c r="IT79" s="11"/>
      <c r="IU79" s="11"/>
      <c r="IV79" s="11"/>
      <c r="IW79" s="11"/>
    </row>
    <row r="80" customFormat="false" ht="13.5" hidden="true" customHeight="true" outlineLevel="0" collapsed="false">
      <c r="A80" s="108" t="n">
        <f aca="false">A78+1</f>
        <v>36</v>
      </c>
      <c r="B80" s="404"/>
      <c r="C80" s="159" t="n">
        <f aca="false">IF(ISERROR(VLOOKUP(D80,[31]일용직명단!$A$3:$I$105,2,FALSE())),0,VLOOKUP(D80,[31]일용직명단!$A$3:$I$105,2,FALSE()))</f>
        <v>0</v>
      </c>
      <c r="D80" s="203"/>
      <c r="E80" s="311" t="n">
        <f aca="false">IF(ISERROR(VLOOKUP(D80,[35]일용직명단!$A$3:$K$1182,3,FALSE())),0,VLOOKUP(D80,[35]일용직명단!$A$3:$K$1182,3,FALSE()))</f>
        <v>0</v>
      </c>
      <c r="F80" s="112" t="n">
        <f aca="false">IF(ISERROR(VLOOKUP(D80,일용직명단!$A$3:$K$1246,4,FALSE())),0,VLOOKUP(D80,일용직명단!$A$3:$K$1246,4,FALSE()))</f>
        <v>0</v>
      </c>
      <c r="G80" s="417"/>
      <c r="H80" s="417"/>
      <c r="I80" s="417"/>
      <c r="J80" s="419"/>
      <c r="K80" s="417"/>
      <c r="L80" s="419"/>
      <c r="M80" s="417"/>
      <c r="N80" s="417"/>
      <c r="O80" s="420"/>
      <c r="P80" s="420"/>
      <c r="Q80" s="417"/>
      <c r="R80" s="420"/>
      <c r="S80" s="419"/>
      <c r="T80" s="420"/>
      <c r="U80" s="419"/>
      <c r="V80" s="421"/>
      <c r="W80" s="144" t="n">
        <f aca="false">SUM(G80:V81)</f>
        <v>0</v>
      </c>
      <c r="X80" s="121" t="n">
        <f aca="false">IF(ISERROR(VLOOKUP(D80,일용직명단!$A$3:$K$1246,8,FALSE())),0,VLOOKUP(D80,일용직명단!$A$3:$K$1246,8,FALSE()))</f>
        <v>0</v>
      </c>
      <c r="Y80" s="122" t="n">
        <f aca="false">IFERROR(IF(AH80&gt;=65,0,ROUNDDOWN(X81*$AA$4,-1)),0)</f>
        <v>0</v>
      </c>
      <c r="Z80" s="122" t="n">
        <f aca="false">IF(AF80&gt;=8,ROUNDDOWN(X81*$N$4,-1),0)</f>
        <v>0</v>
      </c>
      <c r="AA80" s="123" t="n">
        <f aca="false">IFERROR(IF(AND(COUNT(G80:V81)&gt;=8,$AH80&lt;60,X81&lt;=5530000),ROUNDDOWN(ROUNDDOWN(X81,-3)*4.5%,-1),IF(AND(COUNT(G80:V81)&gt;=8,AH80&lt;60,X81&gt;5530000),248850,0)),0)</f>
        <v>0</v>
      </c>
      <c r="AB80" s="145" t="n">
        <f aca="false">+Y80+Z80+Y81+Z81+AA80+AA81</f>
        <v>0</v>
      </c>
      <c r="AC80" s="146" t="n">
        <f aca="false">X81-AB80</f>
        <v>0</v>
      </c>
      <c r="AD80" s="422" t="n">
        <f aca="false">IF(ISERROR(VLOOKUP(D80,[35]일용직명단!$A$3:$I$1165,5,FALSE())),0,VLOOKUP(D80,[35]일용직명단!$A$3:$I$1165,5,FALSE()))</f>
        <v>0</v>
      </c>
      <c r="AE80" s="423" t="n">
        <f aca="false">IF(ISERROR(VLOOKUP(D80,[35]일용직명단!$A$3:$I$1165,6,FALSE())),0,VLOOKUP(D80,[35]일용직명단!$A$3:$I$1165,6,FALSE()))</f>
        <v>0</v>
      </c>
      <c r="AF80" s="141" t="n">
        <f aca="false">COUNT(G80:V81)</f>
        <v>0</v>
      </c>
      <c r="AG80" s="129" t="str">
        <f aca="false">IF(OR(MID(E80,8,1)="1",MID(E80,8,1)="2"),19&amp;LEFT(E80,2),20&amp;LEFT(E80,2))&amp;"-"&amp;MID(E80,3,2)&amp;"-"&amp;MID(E80,5,2)</f>
        <v>200--</v>
      </c>
      <c r="AH80" s="129" t="e">
        <f aca="true">INT((TODAY()-AG80)/365.25)</f>
        <v>#VALUE!</v>
      </c>
      <c r="AI80" s="130" t="n">
        <f aca="false">ROUNDDOWN(SUM(AJ80:AY81),-1)</f>
        <v>0</v>
      </c>
      <c r="AJ80" s="130" t="n">
        <f aca="false">IF($X80*G80&gt;150000,($X80*G80-150000)*6%*45%,0)</f>
        <v>0</v>
      </c>
      <c r="AK80" s="130" t="n">
        <f aca="false">IF($X80*H80&gt;150000,($X80*H80-150000)*6%*45%,0)</f>
        <v>0</v>
      </c>
      <c r="AL80" s="130" t="n">
        <f aca="false">IF($X80*I80&gt;150000,($X80*I80-150000)*6%*45%,0)</f>
        <v>0</v>
      </c>
      <c r="AM80" s="130" t="n">
        <f aca="false">IF($X80*J80&gt;150000,($X80*J80-150000)*6%*45%,0)</f>
        <v>0</v>
      </c>
      <c r="AN80" s="130" t="n">
        <f aca="false">IF($X80*K80&gt;150000,($X80*K80-150000)*6%*45%,0)</f>
        <v>0</v>
      </c>
      <c r="AO80" s="130" t="n">
        <f aca="false">IF($X80*L80&gt;150000,($X80*L80-150000)*6%*45%,0)</f>
        <v>0</v>
      </c>
      <c r="AP80" s="130" t="n">
        <f aca="false">IF($X80*M80&gt;150000,($X80*M80-150000)*6%*45%,0)</f>
        <v>0</v>
      </c>
      <c r="AQ80" s="130" t="n">
        <f aca="false">IF($X80*N80&gt;150000,($X80*N80-150000)*6%*45%,0)</f>
        <v>0</v>
      </c>
      <c r="AR80" s="130" t="n">
        <f aca="false">IF($X80*O80&gt;150000,($X80*O80-150000)*6%*45%,0)</f>
        <v>0</v>
      </c>
      <c r="AS80" s="130" t="n">
        <f aca="false">IF($X80*P80&gt;150000,($X80*P80-150000)*6%*45%,0)</f>
        <v>0</v>
      </c>
      <c r="AT80" s="130" t="n">
        <f aca="false">IF($X80*Q80&gt;150000,($X80*Q80-150000)*6%*45%,0)</f>
        <v>0</v>
      </c>
      <c r="AU80" s="130" t="n">
        <f aca="false">IF($X80*R80&gt;150000,($X80*R80-150000)*6%*45%,0)</f>
        <v>0</v>
      </c>
      <c r="AV80" s="130" t="n">
        <f aca="false">IF($X80*S80&gt;150000,($X80*S80-150000)*6%*45%,0)</f>
        <v>0</v>
      </c>
      <c r="AW80" s="130" t="n">
        <f aca="false">IF($X80*T80&gt;150000,($X80*T80-150000)*6%*45%,0)</f>
        <v>0</v>
      </c>
      <c r="AX80" s="130" t="n">
        <f aca="false">IF($X80*U80&gt;150000,($X80*U80-150000)*6%*45%,0)</f>
        <v>0</v>
      </c>
      <c r="AY80" s="130"/>
      <c r="AZ80" s="131" t="n">
        <f aca="false">IF(ISERROR(VLOOKUP(D80,[32]일용직명단!$A$3:$M$1151,11,FALSE())),0,VLOOKUP(D80,[32]일용직명단!$A$3:$M$1151,11,FALSE()))</f>
        <v>0</v>
      </c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/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1"/>
      <c r="IO80" s="11"/>
      <c r="IP80" s="11"/>
      <c r="IQ80" s="11"/>
      <c r="IR80" s="11"/>
      <c r="IS80" s="11"/>
      <c r="IT80" s="11"/>
      <c r="IU80" s="11"/>
      <c r="IV80" s="11"/>
      <c r="IW80" s="11"/>
    </row>
    <row r="81" customFormat="false" ht="13.5" hidden="true" customHeight="true" outlineLevel="0" collapsed="false">
      <c r="A81" s="108"/>
      <c r="B81" s="404"/>
      <c r="C81" s="159"/>
      <c r="D81" s="203"/>
      <c r="E81" s="311"/>
      <c r="F81" s="112" t="n">
        <f aca="false">IF(ISERROR(VLOOKUP(D80,일용직명단!$A$3:$K$1246,9,FALSE())),0,VLOOKUP(D80,일용직명단!$A$3:$K$1246,9,FALSE()))</f>
        <v>0</v>
      </c>
      <c r="G81" s="417"/>
      <c r="H81" s="420"/>
      <c r="I81" s="419"/>
      <c r="J81" s="420"/>
      <c r="K81" s="419"/>
      <c r="L81" s="420"/>
      <c r="M81" s="417"/>
      <c r="N81" s="417"/>
      <c r="O81" s="420"/>
      <c r="P81" s="419"/>
      <c r="Q81" s="420"/>
      <c r="R81" s="420"/>
      <c r="S81" s="417"/>
      <c r="T81" s="417"/>
      <c r="U81" s="417"/>
      <c r="V81" s="417"/>
      <c r="W81" s="144"/>
      <c r="X81" s="138" t="n">
        <f aca="false">X80*W80</f>
        <v>0</v>
      </c>
      <c r="Y81" s="122" t="n">
        <f aca="false">IF(AI80&lt;1000,0,AI80)</f>
        <v>0</v>
      </c>
      <c r="Z81" s="122" t="n">
        <f aca="false">ROUNDDOWN(Y81*10%,-1)</f>
        <v>0</v>
      </c>
      <c r="AA81" s="123" t="n">
        <f aca="false">IF(AF80&gt;=8,ROUNDDOWN(Z80*$R$4,-1),0)</f>
        <v>0</v>
      </c>
      <c r="AB81" s="145"/>
      <c r="AC81" s="146"/>
      <c r="AD81" s="423" t="n">
        <f aca="false">IF(ISERROR(VLOOKUP(D80,[35]일용직명단!$A$3:$I$1165,7,FALSE())),0,VLOOKUP(D80,[35]일용직명단!$A$3:$I$1165,7,FALSE()))</f>
        <v>0</v>
      </c>
      <c r="AE81" s="423"/>
      <c r="AF81" s="141"/>
      <c r="AG81" s="129"/>
      <c r="AH81" s="129"/>
      <c r="AI81" s="130"/>
      <c r="AJ81" s="130" t="n">
        <f aca="false">IF($X80*G81&gt;150000,($X80*G81-150000)*6%*45%,0)</f>
        <v>0</v>
      </c>
      <c r="AK81" s="130" t="n">
        <f aca="false">IF($X80*H81&gt;150000,($X80*H81-150000)*6%*45%,0)</f>
        <v>0</v>
      </c>
      <c r="AL81" s="130" t="n">
        <f aca="false">IF($X80*I81&gt;150000,($X80*I81-150000)*6%*45%,0)</f>
        <v>0</v>
      </c>
      <c r="AM81" s="130" t="n">
        <f aca="false">IF($X80*J81&gt;150000,($X80*J81-150000)*6%*45%,0)</f>
        <v>0</v>
      </c>
      <c r="AN81" s="130" t="n">
        <f aca="false">IF($X80*K81&gt;150000,($X80*K81-150000)*6%*45%,0)</f>
        <v>0</v>
      </c>
      <c r="AO81" s="130" t="n">
        <f aca="false">IF($X80*L81&gt;150000,($X80*L81-150000)*6%*45%,0)</f>
        <v>0</v>
      </c>
      <c r="AP81" s="130" t="n">
        <f aca="false">IF($X80*M81&gt;150000,($X80*M81-150000)*6%*45%,0)</f>
        <v>0</v>
      </c>
      <c r="AQ81" s="130" t="n">
        <f aca="false">IF($X80*N81&gt;150000,($X80*N81-150000)*6%*45%,0)</f>
        <v>0</v>
      </c>
      <c r="AR81" s="130" t="n">
        <f aca="false">IF($X80*O81&gt;150000,($X80*O81-150000)*6%*45%,0)</f>
        <v>0</v>
      </c>
      <c r="AS81" s="130" t="n">
        <f aca="false">IF($X80*P81&gt;150000,($X80*P81-150000)*6%*45%,0)</f>
        <v>0</v>
      </c>
      <c r="AT81" s="130" t="n">
        <f aca="false">IF($X80*Q81&gt;150000,($X80*Q81-150000)*6%*45%,0)</f>
        <v>0</v>
      </c>
      <c r="AU81" s="130" t="n">
        <f aca="false">IF($X80*R81&gt;150000,($X80*R81-150000)*6%*45%,0)</f>
        <v>0</v>
      </c>
      <c r="AV81" s="130" t="n">
        <f aca="false">IF($X80*S81&gt;150000,($X80*S81-150000)*6%*45%,0)</f>
        <v>0</v>
      </c>
      <c r="AW81" s="130" t="n">
        <f aca="false">IF($X80*T81&gt;150000,($X80*T81-150000)*6%*45%,0)</f>
        <v>0</v>
      </c>
      <c r="AX81" s="130" t="n">
        <f aca="false">IF($X80*U81&gt;150000,($X80*U81-150000)*6%*45%,0)</f>
        <v>0</v>
      </c>
      <c r="AY81" s="130" t="n">
        <f aca="false">IF($X80*V81&gt;150000,($X80*V81-150000)*6%*45%,0)</f>
        <v>0</v>
      </c>
      <c r="AZ81" s="13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/>
    </row>
    <row r="82" customFormat="false" ht="13.5" hidden="true" customHeight="true" outlineLevel="0" collapsed="false">
      <c r="A82" s="108" t="n">
        <f aca="false">A80+1</f>
        <v>37</v>
      </c>
      <c r="B82" s="393"/>
      <c r="C82" s="159" t="n">
        <f aca="false">IF(ISERROR(VLOOKUP(D82,[31]일용직명단!$A$3:$I$105,2,FALSE())),0,VLOOKUP(D82,[31]일용직명단!$A$3:$I$105,2,FALSE()))</f>
        <v>0</v>
      </c>
      <c r="D82" s="203"/>
      <c r="E82" s="311" t="n">
        <f aca="false">IF(ISERROR(VLOOKUP(D82,[35]일용직명단!$A$3:$K$1182,3,FALSE())),0,VLOOKUP(D82,[35]일용직명단!$A$3:$K$1182,3,FALSE()))</f>
        <v>0</v>
      </c>
      <c r="F82" s="112" t="n">
        <f aca="false">IF(ISERROR(VLOOKUP(D82,일용직명단!$A$3:$K$1246,4,FALSE())),0,VLOOKUP(D82,일용직명단!$A$3:$K$1246,4,FALSE()))</f>
        <v>0</v>
      </c>
      <c r="G82" s="417"/>
      <c r="H82" s="417"/>
      <c r="I82" s="417"/>
      <c r="J82" s="419"/>
      <c r="K82" s="417"/>
      <c r="L82" s="419"/>
      <c r="M82" s="417"/>
      <c r="N82" s="417"/>
      <c r="O82" s="420"/>
      <c r="P82" s="420"/>
      <c r="Q82" s="417"/>
      <c r="R82" s="420"/>
      <c r="S82" s="419"/>
      <c r="T82" s="420"/>
      <c r="U82" s="419"/>
      <c r="V82" s="421"/>
      <c r="W82" s="144" t="n">
        <f aca="false">SUM(G82:V83)</f>
        <v>0</v>
      </c>
      <c r="X82" s="121" t="n">
        <f aca="false">IF(ISERROR(VLOOKUP(D82,일용직명단!$A$3:$K$1246,8,FALSE())),0,VLOOKUP(D82,일용직명단!$A$3:$K$1246,8,FALSE()))</f>
        <v>0</v>
      </c>
      <c r="Y82" s="122" t="n">
        <f aca="false">IFERROR(IF(AH82&gt;=65,0,ROUNDDOWN(X83*$AA$4,-1)),0)</f>
        <v>0</v>
      </c>
      <c r="Z82" s="122" t="n">
        <f aca="false">IF(AF82&gt;=8,ROUNDDOWN(X83*$N$4,-1),0)</f>
        <v>0</v>
      </c>
      <c r="AA82" s="123" t="n">
        <f aca="false">IFERROR(IF(AND(COUNT(G82:V83)&gt;=8,$AH82&lt;60,X83&lt;=5530000),ROUNDDOWN(ROUNDDOWN(X83,-3)*4.5%,-1),IF(AND(COUNT(G82:V83)&gt;=8,AH82&lt;60,X83&gt;5530000),248850,0)),0)</f>
        <v>0</v>
      </c>
      <c r="AB82" s="145" t="n">
        <f aca="false">+Y82+Z82+Y83+Z83+AA82+AA83</f>
        <v>0</v>
      </c>
      <c r="AC82" s="146" t="n">
        <f aca="false">X83-AB82</f>
        <v>0</v>
      </c>
      <c r="AD82" s="422" t="n">
        <f aca="false">IF(ISERROR(VLOOKUP(D82,[35]일용직명단!$A$3:$I$1165,5,FALSE())),0,VLOOKUP(D82,[35]일용직명단!$A$3:$I$1165,5,FALSE()))</f>
        <v>0</v>
      </c>
      <c r="AE82" s="423" t="n">
        <f aca="false">IF(ISERROR(VLOOKUP(D82,[35]일용직명단!$A$3:$I$1165,6,FALSE())),0,VLOOKUP(D82,[35]일용직명단!$A$3:$I$1165,6,FALSE()))</f>
        <v>0</v>
      </c>
      <c r="AF82" s="141" t="n">
        <f aca="false">COUNT(G82:V83)</f>
        <v>0</v>
      </c>
      <c r="AG82" s="129" t="str">
        <f aca="false">IF(OR(MID(E82,8,1)="1",MID(E82,8,1)="2"),19&amp;LEFT(E82,2),20&amp;LEFT(E82,2))&amp;"-"&amp;MID(E82,3,2)&amp;"-"&amp;MID(E82,5,2)</f>
        <v>200--</v>
      </c>
      <c r="AH82" s="129" t="e">
        <f aca="true">INT((TODAY()-AG82)/365.25)</f>
        <v>#VALUE!</v>
      </c>
      <c r="AI82" s="130" t="n">
        <f aca="false">ROUNDDOWN(SUM(AJ82:AY83),-1)</f>
        <v>0</v>
      </c>
      <c r="AJ82" s="130" t="n">
        <f aca="false">IF($X82*G82&gt;150000,($X82*G82-150000)*6%*45%,0)</f>
        <v>0</v>
      </c>
      <c r="AK82" s="130" t="n">
        <f aca="false">IF($X82*H82&gt;150000,($X82*H82-150000)*6%*45%,0)</f>
        <v>0</v>
      </c>
      <c r="AL82" s="130" t="n">
        <f aca="false">IF($X82*I82&gt;150000,($X82*I82-150000)*6%*45%,0)</f>
        <v>0</v>
      </c>
      <c r="AM82" s="130" t="n">
        <f aca="false">IF($X82*J82&gt;150000,($X82*J82-150000)*6%*45%,0)</f>
        <v>0</v>
      </c>
      <c r="AN82" s="130" t="n">
        <f aca="false">IF($X82*K82&gt;150000,($X82*K82-150000)*6%*45%,0)</f>
        <v>0</v>
      </c>
      <c r="AO82" s="130" t="n">
        <f aca="false">IF($X82*L82&gt;150000,($X82*L82-150000)*6%*45%,0)</f>
        <v>0</v>
      </c>
      <c r="AP82" s="130" t="n">
        <f aca="false">IF($X82*M82&gt;150000,($X82*M82-150000)*6%*45%,0)</f>
        <v>0</v>
      </c>
      <c r="AQ82" s="130" t="n">
        <f aca="false">IF($X82*N82&gt;150000,($X82*N82-150000)*6%*45%,0)</f>
        <v>0</v>
      </c>
      <c r="AR82" s="130" t="n">
        <f aca="false">IF($X82*O82&gt;150000,($X82*O82-150000)*6%*45%,0)</f>
        <v>0</v>
      </c>
      <c r="AS82" s="130" t="n">
        <f aca="false">IF($X82*P82&gt;150000,($X82*P82-150000)*6%*45%,0)</f>
        <v>0</v>
      </c>
      <c r="AT82" s="130" t="n">
        <f aca="false">IF($X82*Q82&gt;150000,($X82*Q82-150000)*6%*45%,0)</f>
        <v>0</v>
      </c>
      <c r="AU82" s="130" t="n">
        <f aca="false">IF($X82*R82&gt;150000,($X82*R82-150000)*6%*45%,0)</f>
        <v>0</v>
      </c>
      <c r="AV82" s="130" t="n">
        <f aca="false">IF($X82*S82&gt;150000,($X82*S82-150000)*6%*45%,0)</f>
        <v>0</v>
      </c>
      <c r="AW82" s="130" t="n">
        <f aca="false">IF($X82*T82&gt;150000,($X82*T82-150000)*6%*45%,0)</f>
        <v>0</v>
      </c>
      <c r="AX82" s="130" t="n">
        <f aca="false">IF($X82*U82&gt;150000,($X82*U82-150000)*6%*45%,0)</f>
        <v>0</v>
      </c>
      <c r="AY82" s="130"/>
      <c r="AZ82" s="131" t="n">
        <f aca="false">IF(ISERROR(VLOOKUP(D82,[32]일용직명단!$A$3:$M$1151,11,FALSE())),0,VLOOKUP(D82,[32]일용직명단!$A$3:$M$1151,11,FALSE()))</f>
        <v>0</v>
      </c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/>
    </row>
    <row r="83" customFormat="false" ht="13.5" hidden="true" customHeight="true" outlineLevel="0" collapsed="false">
      <c r="A83" s="108"/>
      <c r="B83" s="393"/>
      <c r="C83" s="159"/>
      <c r="D83" s="203"/>
      <c r="E83" s="311"/>
      <c r="F83" s="112" t="n">
        <f aca="false">IF(ISERROR(VLOOKUP(D82,일용직명단!$A$3:$K$1246,9,FALSE())),0,VLOOKUP(D82,일용직명단!$A$3:$K$1246,9,FALSE()))</f>
        <v>0</v>
      </c>
      <c r="G83" s="417"/>
      <c r="H83" s="420"/>
      <c r="I83" s="419"/>
      <c r="J83" s="420"/>
      <c r="K83" s="419"/>
      <c r="L83" s="420"/>
      <c r="M83" s="417"/>
      <c r="N83" s="417"/>
      <c r="O83" s="420"/>
      <c r="P83" s="419"/>
      <c r="Q83" s="420"/>
      <c r="R83" s="420"/>
      <c r="S83" s="417"/>
      <c r="T83" s="417"/>
      <c r="U83" s="417"/>
      <c r="V83" s="417"/>
      <c r="W83" s="144"/>
      <c r="X83" s="138" t="n">
        <f aca="false">X82*W82</f>
        <v>0</v>
      </c>
      <c r="Y83" s="122" t="n">
        <f aca="false">IF(AI82&lt;1000,0,AI82)</f>
        <v>0</v>
      </c>
      <c r="Z83" s="122" t="n">
        <f aca="false">ROUNDDOWN(Y83*10%,-1)</f>
        <v>0</v>
      </c>
      <c r="AA83" s="123" t="n">
        <f aca="false">IF(AF82&gt;=8,ROUNDDOWN(Z82*$R$4,-1),0)</f>
        <v>0</v>
      </c>
      <c r="AB83" s="145"/>
      <c r="AC83" s="146"/>
      <c r="AD83" s="423" t="n">
        <f aca="false">IF(ISERROR(VLOOKUP(D82,[35]일용직명단!$A$3:$I$1165,7,FALSE())),0,VLOOKUP(D82,[35]일용직명단!$A$3:$I$1165,7,FALSE()))</f>
        <v>0</v>
      </c>
      <c r="AE83" s="423"/>
      <c r="AF83" s="141"/>
      <c r="AG83" s="129"/>
      <c r="AH83" s="129"/>
      <c r="AI83" s="130"/>
      <c r="AJ83" s="130" t="n">
        <f aca="false">IF($X82*G83&gt;150000,($X82*G83-150000)*6%*45%,0)</f>
        <v>0</v>
      </c>
      <c r="AK83" s="130" t="n">
        <f aca="false">IF($X82*H83&gt;150000,($X82*H83-150000)*6%*45%,0)</f>
        <v>0</v>
      </c>
      <c r="AL83" s="130" t="n">
        <f aca="false">IF($X82*I83&gt;150000,($X82*I83-150000)*6%*45%,0)</f>
        <v>0</v>
      </c>
      <c r="AM83" s="130" t="n">
        <f aca="false">IF($X82*J83&gt;150000,($X82*J83-150000)*6%*45%,0)</f>
        <v>0</v>
      </c>
      <c r="AN83" s="130" t="n">
        <f aca="false">IF($X82*K83&gt;150000,($X82*K83-150000)*6%*45%,0)</f>
        <v>0</v>
      </c>
      <c r="AO83" s="130" t="n">
        <f aca="false">IF($X82*L83&gt;150000,($X82*L83-150000)*6%*45%,0)</f>
        <v>0</v>
      </c>
      <c r="AP83" s="130" t="n">
        <f aca="false">IF($X82*M83&gt;150000,($X82*M83-150000)*6%*45%,0)</f>
        <v>0</v>
      </c>
      <c r="AQ83" s="130" t="n">
        <f aca="false">IF($X82*N83&gt;150000,($X82*N83-150000)*6%*45%,0)</f>
        <v>0</v>
      </c>
      <c r="AR83" s="130" t="n">
        <f aca="false">IF($X82*O83&gt;150000,($X82*O83-150000)*6%*45%,0)</f>
        <v>0</v>
      </c>
      <c r="AS83" s="130" t="n">
        <f aca="false">IF($X82*P83&gt;150000,($X82*P83-150000)*6%*45%,0)</f>
        <v>0</v>
      </c>
      <c r="AT83" s="130" t="n">
        <f aca="false">IF($X82*Q83&gt;150000,($X82*Q83-150000)*6%*45%,0)</f>
        <v>0</v>
      </c>
      <c r="AU83" s="130" t="n">
        <f aca="false">IF($X82*R83&gt;150000,($X82*R83-150000)*6%*45%,0)</f>
        <v>0</v>
      </c>
      <c r="AV83" s="130" t="n">
        <f aca="false">IF($X82*S83&gt;150000,($X82*S83-150000)*6%*45%,0)</f>
        <v>0</v>
      </c>
      <c r="AW83" s="130" t="n">
        <f aca="false">IF($X82*T83&gt;150000,($X82*T83-150000)*6%*45%,0)</f>
        <v>0</v>
      </c>
      <c r="AX83" s="130" t="n">
        <f aca="false">IF($X82*U83&gt;150000,($X82*U83-150000)*6%*45%,0)</f>
        <v>0</v>
      </c>
      <c r="AY83" s="130" t="n">
        <f aca="false">IF($X82*V83&gt;150000,($X82*V83-150000)*6%*45%,0)</f>
        <v>0</v>
      </c>
      <c r="AZ83" s="13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/>
      <c r="FW83" s="11"/>
      <c r="FX83" s="11"/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1"/>
      <c r="GW83" s="11"/>
      <c r="GX83" s="11"/>
      <c r="GY83" s="11"/>
      <c r="GZ83" s="11"/>
      <c r="HA83" s="11"/>
      <c r="HB83" s="11"/>
      <c r="HC83" s="11"/>
      <c r="HD83" s="11"/>
      <c r="HE83" s="11"/>
      <c r="HF83" s="11"/>
      <c r="HG83" s="11"/>
      <c r="HH83" s="11"/>
      <c r="HI83" s="11"/>
      <c r="HJ83" s="11"/>
      <c r="HK83" s="11"/>
      <c r="HL83" s="11"/>
      <c r="HM83" s="11"/>
      <c r="HN83" s="11"/>
      <c r="HO83" s="11"/>
      <c r="HP83" s="11"/>
      <c r="HQ83" s="11"/>
      <c r="HR83" s="11"/>
      <c r="HS83" s="11"/>
      <c r="HT83" s="11"/>
      <c r="HU83" s="11"/>
      <c r="HV83" s="11"/>
      <c r="HW83" s="11"/>
      <c r="HX83" s="11"/>
      <c r="HY83" s="11"/>
      <c r="HZ83" s="11"/>
      <c r="IA83" s="11"/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1"/>
      <c r="IM83" s="11"/>
      <c r="IN83" s="11"/>
      <c r="IO83" s="11"/>
      <c r="IP83" s="11"/>
      <c r="IQ83" s="11"/>
      <c r="IR83" s="11"/>
      <c r="IS83" s="11"/>
      <c r="IT83" s="11"/>
      <c r="IU83" s="11"/>
      <c r="IV83" s="11"/>
      <c r="IW83" s="11"/>
    </row>
    <row r="84" customFormat="false" ht="13.5" hidden="true" customHeight="true" outlineLevel="0" collapsed="false">
      <c r="A84" s="108" t="n">
        <f aca="false">A82+1</f>
        <v>38</v>
      </c>
      <c r="B84" s="404"/>
      <c r="C84" s="159" t="n">
        <f aca="false">IF(ISERROR(VLOOKUP(D84,[31]일용직명단!$A$3:$I$105,2,FALSE())),0,VLOOKUP(D84,[31]일용직명단!$A$3:$I$105,2,FALSE()))</f>
        <v>0</v>
      </c>
      <c r="D84" s="422"/>
      <c r="E84" s="311" t="n">
        <f aca="false">IF(ISERROR(VLOOKUP(D84,[35]일용직명단!$A$3:$K$1182,3,FALSE())),0,VLOOKUP(D84,[35]일용직명단!$A$3:$K$1182,3,FALSE()))</f>
        <v>0</v>
      </c>
      <c r="F84" s="112" t="n">
        <f aca="false">IF(ISERROR(VLOOKUP(D84,일용직명단!$A$3:$K$1246,4,FALSE())),0,VLOOKUP(D84,일용직명단!$A$3:$K$1246,4,FALSE()))</f>
        <v>0</v>
      </c>
      <c r="G84" s="417"/>
      <c r="H84" s="417"/>
      <c r="I84" s="417"/>
      <c r="J84" s="419"/>
      <c r="K84" s="417"/>
      <c r="L84" s="419"/>
      <c r="M84" s="417"/>
      <c r="N84" s="417"/>
      <c r="O84" s="420"/>
      <c r="P84" s="420"/>
      <c r="Q84" s="417"/>
      <c r="R84" s="420"/>
      <c r="S84" s="419"/>
      <c r="T84" s="420"/>
      <c r="U84" s="419"/>
      <c r="V84" s="421"/>
      <c r="W84" s="144" t="n">
        <f aca="false">SUM(G84:V85)</f>
        <v>0</v>
      </c>
      <c r="X84" s="121" t="n">
        <f aca="false">IF(ISERROR(VLOOKUP(D84,일용직명단!$A$3:$K$1246,8,FALSE())),0,VLOOKUP(D84,일용직명단!$A$3:$K$1246,8,FALSE()))</f>
        <v>0</v>
      </c>
      <c r="Y84" s="122" t="n">
        <f aca="false">IFERROR(IF(AH84&gt;=65,0,ROUNDDOWN(X85*$AA$4,-1)),0)</f>
        <v>0</v>
      </c>
      <c r="Z84" s="122" t="n">
        <f aca="false">IF(AF84&gt;=8,ROUNDDOWN(X85*$N$4,-1),0)</f>
        <v>0</v>
      </c>
      <c r="AA84" s="123" t="n">
        <f aca="false">IFERROR(IF(AND(COUNT(G84:V85)&gt;=8,$AH84&lt;60,X85&lt;=5530000),ROUNDDOWN(ROUNDDOWN(X85,-3)*4.5%,-1),IF(AND(COUNT(G84:V85)&gt;=8,AH84&lt;60,X85&gt;5530000),248850,0)),0)</f>
        <v>0</v>
      </c>
      <c r="AB84" s="145" t="n">
        <f aca="false">+Y84+Z84+Y85+Z85+AA84+AA85</f>
        <v>0</v>
      </c>
      <c r="AC84" s="146" t="n">
        <f aca="false">X85-AB84</f>
        <v>0</v>
      </c>
      <c r="AD84" s="422" t="n">
        <f aca="false">IF(ISERROR(VLOOKUP(D84,[35]일용직명단!$A$3:$I$1165,5,FALSE())),0,VLOOKUP(D84,[35]일용직명단!$A$3:$I$1165,5,FALSE()))</f>
        <v>0</v>
      </c>
      <c r="AE84" s="423" t="n">
        <f aca="false">IF(ISERROR(VLOOKUP(D84,[35]일용직명단!$A$3:$I$1165,6,FALSE())),0,VLOOKUP(D84,[35]일용직명단!$A$3:$I$1165,6,FALSE()))</f>
        <v>0</v>
      </c>
      <c r="AF84" s="141" t="n">
        <f aca="false">COUNT(G84:V85)</f>
        <v>0</v>
      </c>
      <c r="AG84" s="129" t="str">
        <f aca="false">IF(OR(MID(E84,8,1)="1",MID(E84,8,1)="2"),19&amp;LEFT(E84,2),20&amp;LEFT(E84,2))&amp;"-"&amp;MID(E84,3,2)&amp;"-"&amp;MID(E84,5,2)</f>
        <v>200--</v>
      </c>
      <c r="AH84" s="129" t="e">
        <f aca="true">INT((TODAY()-AG84)/365.25)</f>
        <v>#VALUE!</v>
      </c>
      <c r="AI84" s="130" t="n">
        <f aca="false">ROUNDDOWN(SUM(AJ84:AY85),-1)</f>
        <v>0</v>
      </c>
      <c r="AJ84" s="130" t="n">
        <f aca="false">IF($X84*G84&gt;150000,($X84*G84-150000)*6%*45%,0)</f>
        <v>0</v>
      </c>
      <c r="AK84" s="130" t="n">
        <f aca="false">IF($X84*H84&gt;150000,($X84*H84-150000)*6%*45%,0)</f>
        <v>0</v>
      </c>
      <c r="AL84" s="130" t="n">
        <f aca="false">IF($X84*I84&gt;150000,($X84*I84-150000)*6%*45%,0)</f>
        <v>0</v>
      </c>
      <c r="AM84" s="130" t="n">
        <f aca="false">IF($X84*J84&gt;150000,($X84*J84-150000)*6%*45%,0)</f>
        <v>0</v>
      </c>
      <c r="AN84" s="130" t="n">
        <f aca="false">IF($X84*K84&gt;150000,($X84*K84-150000)*6%*45%,0)</f>
        <v>0</v>
      </c>
      <c r="AO84" s="130" t="n">
        <f aca="false">IF($X84*L84&gt;150000,($X84*L84-150000)*6%*45%,0)</f>
        <v>0</v>
      </c>
      <c r="AP84" s="130" t="n">
        <f aca="false">IF($X84*M84&gt;150000,($X84*M84-150000)*6%*45%,0)</f>
        <v>0</v>
      </c>
      <c r="AQ84" s="130" t="n">
        <f aca="false">IF($X84*N84&gt;150000,($X84*N84-150000)*6%*45%,0)</f>
        <v>0</v>
      </c>
      <c r="AR84" s="130" t="n">
        <f aca="false">IF($X84*O84&gt;150000,($X84*O84-150000)*6%*45%,0)</f>
        <v>0</v>
      </c>
      <c r="AS84" s="130" t="n">
        <f aca="false">IF($X84*P84&gt;150000,($X84*P84-150000)*6%*45%,0)</f>
        <v>0</v>
      </c>
      <c r="AT84" s="130" t="n">
        <f aca="false">IF($X84*Q84&gt;150000,($X84*Q84-150000)*6%*45%,0)</f>
        <v>0</v>
      </c>
      <c r="AU84" s="130" t="n">
        <f aca="false">IF($X84*R84&gt;150000,($X84*R84-150000)*6%*45%,0)</f>
        <v>0</v>
      </c>
      <c r="AV84" s="130" t="n">
        <f aca="false">IF($X84*S84&gt;150000,($X84*S84-150000)*6%*45%,0)</f>
        <v>0</v>
      </c>
      <c r="AW84" s="130" t="n">
        <f aca="false">IF($X84*T84&gt;150000,($X84*T84-150000)*6%*45%,0)</f>
        <v>0</v>
      </c>
      <c r="AX84" s="130" t="n">
        <f aca="false">IF($X84*U84&gt;150000,($X84*U84-150000)*6%*45%,0)</f>
        <v>0</v>
      </c>
      <c r="AY84" s="130"/>
      <c r="AZ84" s="131" t="n">
        <f aca="false">IF(ISERROR(VLOOKUP(D84,[32]일용직명단!$A$3:$M$1151,11,FALSE())),0,VLOOKUP(D84,[32]일용직명단!$A$3:$M$1151,11,FALSE()))</f>
        <v>0</v>
      </c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  <c r="GP84" s="11"/>
      <c r="GQ84" s="11"/>
      <c r="GR84" s="11"/>
      <c r="GS84" s="11"/>
      <c r="GT84" s="11"/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/>
    </row>
    <row r="85" customFormat="false" ht="13.5" hidden="true" customHeight="true" outlineLevel="0" collapsed="false">
      <c r="A85" s="108"/>
      <c r="B85" s="404"/>
      <c r="C85" s="159"/>
      <c r="D85" s="422"/>
      <c r="E85" s="311"/>
      <c r="F85" s="112" t="n">
        <f aca="false">IF(ISERROR(VLOOKUP(D84,일용직명단!$A$3:$K$1246,9,FALSE())),0,VLOOKUP(D84,일용직명단!$A$3:$K$1246,9,FALSE()))</f>
        <v>0</v>
      </c>
      <c r="G85" s="417"/>
      <c r="H85" s="420"/>
      <c r="I85" s="419"/>
      <c r="J85" s="420"/>
      <c r="K85" s="419"/>
      <c r="L85" s="420"/>
      <c r="M85" s="417"/>
      <c r="N85" s="417"/>
      <c r="O85" s="420"/>
      <c r="P85" s="419"/>
      <c r="Q85" s="420"/>
      <c r="R85" s="420"/>
      <c r="S85" s="417"/>
      <c r="T85" s="417"/>
      <c r="U85" s="417"/>
      <c r="V85" s="417"/>
      <c r="W85" s="144"/>
      <c r="X85" s="138" t="n">
        <f aca="false">X84*W84</f>
        <v>0</v>
      </c>
      <c r="Y85" s="122" t="n">
        <f aca="false">IF(AI84&lt;1000,0,AI84)</f>
        <v>0</v>
      </c>
      <c r="Z85" s="122" t="n">
        <f aca="false">ROUNDDOWN(Y85*10%,-1)</f>
        <v>0</v>
      </c>
      <c r="AA85" s="123" t="n">
        <f aca="false">IF(AF84&gt;=8,ROUNDDOWN(Z84*$R$4,-1),0)</f>
        <v>0</v>
      </c>
      <c r="AB85" s="145"/>
      <c r="AC85" s="146"/>
      <c r="AD85" s="423" t="n">
        <f aca="false">IF(ISERROR(VLOOKUP(D84,[35]일용직명단!$A$3:$I$1165,7,FALSE())),0,VLOOKUP(D84,[35]일용직명단!$A$3:$I$1165,7,FALSE()))</f>
        <v>0</v>
      </c>
      <c r="AE85" s="423"/>
      <c r="AF85" s="141"/>
      <c r="AG85" s="129"/>
      <c r="AH85" s="129"/>
      <c r="AI85" s="130"/>
      <c r="AJ85" s="130" t="n">
        <f aca="false">IF($X84*G85&gt;150000,($X84*G85-150000)*6%*45%,0)</f>
        <v>0</v>
      </c>
      <c r="AK85" s="130" t="n">
        <f aca="false">IF($X84*H85&gt;150000,($X84*H85-150000)*6%*45%,0)</f>
        <v>0</v>
      </c>
      <c r="AL85" s="130" t="n">
        <f aca="false">IF($X84*I85&gt;150000,($X84*I85-150000)*6%*45%,0)</f>
        <v>0</v>
      </c>
      <c r="AM85" s="130" t="n">
        <f aca="false">IF($X84*J85&gt;150000,($X84*J85-150000)*6%*45%,0)</f>
        <v>0</v>
      </c>
      <c r="AN85" s="130" t="n">
        <f aca="false">IF($X84*K85&gt;150000,($X84*K85-150000)*6%*45%,0)</f>
        <v>0</v>
      </c>
      <c r="AO85" s="130" t="n">
        <f aca="false">IF($X84*L85&gt;150000,($X84*L85-150000)*6%*45%,0)</f>
        <v>0</v>
      </c>
      <c r="AP85" s="130" t="n">
        <f aca="false">IF($X84*M85&gt;150000,($X84*M85-150000)*6%*45%,0)</f>
        <v>0</v>
      </c>
      <c r="AQ85" s="130" t="n">
        <f aca="false">IF($X84*N85&gt;150000,($X84*N85-150000)*6%*45%,0)</f>
        <v>0</v>
      </c>
      <c r="AR85" s="130" t="n">
        <f aca="false">IF($X84*O85&gt;150000,($X84*O85-150000)*6%*45%,0)</f>
        <v>0</v>
      </c>
      <c r="AS85" s="130" t="n">
        <f aca="false">IF($X84*P85&gt;150000,($X84*P85-150000)*6%*45%,0)</f>
        <v>0</v>
      </c>
      <c r="AT85" s="130" t="n">
        <f aca="false">IF($X84*Q85&gt;150000,($X84*Q85-150000)*6%*45%,0)</f>
        <v>0</v>
      </c>
      <c r="AU85" s="130" t="n">
        <f aca="false">IF($X84*R85&gt;150000,($X84*R85-150000)*6%*45%,0)</f>
        <v>0</v>
      </c>
      <c r="AV85" s="130" t="n">
        <f aca="false">IF($X84*S85&gt;150000,($X84*S85-150000)*6%*45%,0)</f>
        <v>0</v>
      </c>
      <c r="AW85" s="130" t="n">
        <f aca="false">IF($X84*T85&gt;150000,($X84*T85-150000)*6%*45%,0)</f>
        <v>0</v>
      </c>
      <c r="AX85" s="130" t="n">
        <f aca="false">IF($X84*U85&gt;150000,($X84*U85-150000)*6%*45%,0)</f>
        <v>0</v>
      </c>
      <c r="AY85" s="130" t="n">
        <f aca="false">IF($X84*V85&gt;150000,($X84*V85-150000)*6%*45%,0)</f>
        <v>0</v>
      </c>
      <c r="AZ85" s="13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/>
      <c r="GL85" s="11"/>
      <c r="GM85" s="11"/>
      <c r="GN85" s="11"/>
      <c r="GO85" s="11"/>
      <c r="GP85" s="11"/>
      <c r="GQ85" s="11"/>
      <c r="GR85" s="11"/>
      <c r="GS85" s="11"/>
      <c r="GT85" s="11"/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/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  <c r="IV85" s="11"/>
      <c r="IW85" s="11"/>
    </row>
    <row r="86" customFormat="false" ht="13.5" hidden="true" customHeight="true" outlineLevel="0" collapsed="false">
      <c r="A86" s="108" t="n">
        <f aca="false">A84+1</f>
        <v>39</v>
      </c>
      <c r="B86" s="402"/>
      <c r="C86" s="403"/>
      <c r="D86" s="110"/>
      <c r="E86" s="311" t="n">
        <f aca="false">IF(ISERROR(VLOOKUP(D86,[31]일용직명단!$A$3:$K$1220,3,FALSE())),0,VLOOKUP(D86,[31]일용직명단!$A$3:$K$1220,3,FALSE()))</f>
        <v>0</v>
      </c>
      <c r="F86" s="112" t="n">
        <f aca="false">IF(ISERROR(VLOOKUP(D86,일용직명단!$A$3:$K$1246,4,FALSE())),0,VLOOKUP(D86,일용직명단!$A$3:$K$1246,4,FALSE()))</f>
        <v>0</v>
      </c>
      <c r="G86" s="417"/>
      <c r="H86" s="417"/>
      <c r="I86" s="417"/>
      <c r="J86" s="419"/>
      <c r="K86" s="417"/>
      <c r="L86" s="419"/>
      <c r="M86" s="417"/>
      <c r="N86" s="417"/>
      <c r="O86" s="424"/>
      <c r="P86" s="424"/>
      <c r="Q86" s="424"/>
      <c r="R86" s="424"/>
      <c r="S86" s="419"/>
      <c r="T86" s="424"/>
      <c r="U86" s="419"/>
      <c r="V86" s="416"/>
      <c r="W86" s="168" t="n">
        <f aca="false">SUM(G86:V87)</f>
        <v>0</v>
      </c>
      <c r="X86" s="121" t="n">
        <f aca="false">IF(ISERROR(VLOOKUP(D86,일용직명단!$A$3:$K$1246,8,FALSE())),0,VLOOKUP(D86,일용직명단!$A$3:$K$1246,8,FALSE()))</f>
        <v>0</v>
      </c>
      <c r="Y86" s="122" t="n">
        <f aca="false">IFERROR(IF(AH86&gt;=65,0,ROUNDDOWN(X87*$AA$4,-1)),0)</f>
        <v>0</v>
      </c>
      <c r="Z86" s="122" t="n">
        <f aca="false">IF(AF86&gt;=8,ROUNDDOWN(X87*$N$4,-1),0)</f>
        <v>0</v>
      </c>
      <c r="AA86" s="123" t="n">
        <f aca="false">IFERROR(IF(AND(COUNT(G86:V87)&gt;=8,$AH86&lt;60,X87&lt;=5530000),ROUNDDOWN(ROUNDDOWN(X87,-3)*4.5%,-1),IF(AND(COUNT(G86:V87)&gt;=8,AH86&lt;60,X87&gt;5530000),248850,0)),0)</f>
        <v>0</v>
      </c>
      <c r="AB86" s="145" t="n">
        <f aca="false">+Y86+Z86+Y87+Z87+AA86+AA87</f>
        <v>0</v>
      </c>
      <c r="AC86" s="146" t="n">
        <f aca="false">X87-AB86</f>
        <v>0</v>
      </c>
      <c r="AD86" s="413" t="n">
        <f aca="false">IF(ISERROR(VLOOKUP(D86,[31]일용직명단!$A$3:$I$1200,5,FALSE())),0,VLOOKUP(D86,[31]일용직명단!$A$3:$I$1200,5,FALSE()))</f>
        <v>0</v>
      </c>
      <c r="AE86" s="414" t="n">
        <f aca="false">IF(ISERROR(VLOOKUP(D86,[31]일용직명단!$A$3:$I$1200,6,FALSE())),0,VLOOKUP(D86,[31]일용직명단!$A$3:$I$1200,6,FALSE()))</f>
        <v>0</v>
      </c>
      <c r="AF86" s="141" t="n">
        <f aca="false">COUNT(G86:V87)</f>
        <v>0</v>
      </c>
      <c r="AG86" s="169" t="str">
        <f aca="false">IF(OR(MID(E86,8,1)="1",MID(E86,8,1)="2"),19&amp;LEFT(E86,2),20&amp;LEFT(E86,2))&amp;"-"&amp;MID(E86,3,2)&amp;"-"&amp;MID(E86,5,2)</f>
        <v>200--</v>
      </c>
      <c r="AH86" s="169" t="e">
        <f aca="true">INT((TODAY()-AG86)/365.25)</f>
        <v>#VALUE!</v>
      </c>
      <c r="AI86" s="130" t="n">
        <f aca="false">ROUNDDOWN(SUM(AJ86:AY87),-1)</f>
        <v>0</v>
      </c>
      <c r="AJ86" s="130" t="n">
        <f aca="false">IF($X86*G86&gt;150000,($X86*G86-150000)*6%*45%,0)</f>
        <v>0</v>
      </c>
      <c r="AK86" s="130" t="n">
        <f aca="false">IF($X86*H86&gt;150000,($X86*H86-150000)*6%*45%,0)</f>
        <v>0</v>
      </c>
      <c r="AL86" s="130" t="n">
        <f aca="false">IF($X86*I86&gt;150000,($X86*I86-150000)*6%*45%,0)</f>
        <v>0</v>
      </c>
      <c r="AM86" s="130" t="n">
        <f aca="false">IF($X86*J86&gt;150000,($X86*J86-150000)*6%*45%,0)</f>
        <v>0</v>
      </c>
      <c r="AN86" s="130" t="n">
        <f aca="false">IF($X86*K86&gt;150000,($X86*K86-150000)*6%*45%,0)</f>
        <v>0</v>
      </c>
      <c r="AO86" s="130" t="n">
        <f aca="false">IF($X86*L86&gt;150000,($X86*L86-150000)*6%*45%,0)</f>
        <v>0</v>
      </c>
      <c r="AP86" s="130" t="n">
        <f aca="false">IF($X86*M86&gt;150000,($X86*M86-150000)*6%*45%,0)</f>
        <v>0</v>
      </c>
      <c r="AQ86" s="130" t="n">
        <f aca="false">IF($X86*N86&gt;150000,($X86*N86-150000)*6%*45%,0)</f>
        <v>0</v>
      </c>
      <c r="AR86" s="130" t="n">
        <f aca="false">IF($X86*O86&gt;150000,($X86*O86-150000)*6%*45%,0)</f>
        <v>0</v>
      </c>
      <c r="AS86" s="130" t="n">
        <f aca="false">IF($X86*P86&gt;150000,($X86*P86-150000)*6%*45%,0)</f>
        <v>0</v>
      </c>
      <c r="AT86" s="130" t="n">
        <f aca="false">IF($X86*Q86&gt;150000,($X86*Q86-150000)*6%*45%,0)</f>
        <v>0</v>
      </c>
      <c r="AU86" s="130" t="n">
        <f aca="false">IF($X86*R86&gt;150000,($X86*R86-150000)*6%*45%,0)</f>
        <v>0</v>
      </c>
      <c r="AV86" s="130" t="n">
        <f aca="false">IF($X86*S86&gt;150000,($X86*S86-150000)*6%*45%,0)</f>
        <v>0</v>
      </c>
      <c r="AW86" s="130" t="n">
        <f aca="false">IF($X86*T86&gt;150000,($X86*T86-150000)*6%*45%,0)</f>
        <v>0</v>
      </c>
      <c r="AX86" s="130" t="n">
        <f aca="false">IF($X86*U86&gt;150000,($X86*U86-150000)*6%*45%,0)</f>
        <v>0</v>
      </c>
      <c r="AY86" s="130"/>
      <c r="AZ86" s="131" t="n">
        <f aca="false">IF(ISERROR(VLOOKUP(D86,[32]일용직명단!$A$3:$M$1151,11,FALSE())),0,VLOOKUP(D86,[32]일용직명단!$A$3:$M$1151,11,FALSE()))</f>
        <v>0</v>
      </c>
      <c r="BA86" s="11"/>
      <c r="BC86" s="358"/>
      <c r="BD86" s="358"/>
      <c r="BE86" s="358"/>
      <c r="BF86" s="358"/>
      <c r="BG86" s="358"/>
      <c r="BH86" s="358"/>
      <c r="BI86" s="358"/>
      <c r="BJ86" s="358"/>
      <c r="BK86" s="358"/>
      <c r="BL86" s="358"/>
      <c r="BM86" s="358"/>
      <c r="BN86" s="358"/>
      <c r="BO86" s="358"/>
      <c r="BP86" s="358"/>
      <c r="BQ86" s="358"/>
      <c r="BR86" s="358"/>
      <c r="BS86" s="358"/>
      <c r="BT86" s="358"/>
      <c r="BU86" s="358"/>
      <c r="BV86" s="358"/>
      <c r="BW86" s="358"/>
      <c r="BX86" s="358"/>
      <c r="BY86" s="358"/>
      <c r="BZ86" s="358"/>
      <c r="CA86" s="358"/>
      <c r="CB86" s="358"/>
      <c r="CC86" s="358"/>
      <c r="CD86" s="358"/>
      <c r="CE86" s="358"/>
      <c r="CF86" s="358"/>
      <c r="CG86" s="358"/>
      <c r="CH86" s="358"/>
      <c r="CI86" s="358"/>
      <c r="CJ86" s="358"/>
      <c r="CK86" s="358"/>
      <c r="CL86" s="358"/>
      <c r="CM86" s="358"/>
      <c r="CN86" s="358"/>
      <c r="CO86" s="358"/>
      <c r="CP86" s="358"/>
      <c r="CQ86" s="358"/>
      <c r="CR86" s="358"/>
      <c r="CS86" s="358"/>
      <c r="CT86" s="358"/>
      <c r="CU86" s="358"/>
      <c r="CV86" s="358"/>
      <c r="CW86" s="358"/>
      <c r="CX86" s="358"/>
      <c r="CY86" s="358"/>
      <c r="CZ86" s="358"/>
      <c r="DA86" s="358"/>
      <c r="DB86" s="358"/>
      <c r="DC86" s="358"/>
      <c r="DD86" s="358"/>
      <c r="DE86" s="358"/>
      <c r="DF86" s="358"/>
      <c r="DG86" s="358"/>
      <c r="DH86" s="358"/>
      <c r="DI86" s="358"/>
      <c r="DJ86" s="358"/>
      <c r="DK86" s="358"/>
      <c r="DL86" s="358"/>
      <c r="DM86" s="358"/>
      <c r="DN86" s="358"/>
      <c r="DO86" s="358"/>
      <c r="DP86" s="358"/>
      <c r="DQ86" s="358"/>
      <c r="DR86" s="358"/>
      <c r="DS86" s="358"/>
      <c r="DT86" s="358"/>
      <c r="DU86" s="358"/>
      <c r="DV86" s="358"/>
      <c r="DW86" s="358"/>
      <c r="DX86" s="358"/>
      <c r="DY86" s="358"/>
      <c r="DZ86" s="358"/>
      <c r="EA86" s="358"/>
      <c r="EB86" s="358"/>
      <c r="EC86" s="358"/>
      <c r="ED86" s="358"/>
      <c r="EE86" s="358"/>
      <c r="EF86" s="358"/>
      <c r="EG86" s="358"/>
      <c r="EH86" s="358"/>
      <c r="EI86" s="358"/>
      <c r="EJ86" s="358"/>
      <c r="EK86" s="358"/>
      <c r="EL86" s="358"/>
      <c r="EM86" s="358"/>
      <c r="EN86" s="358"/>
      <c r="EO86" s="358"/>
      <c r="EP86" s="358"/>
      <c r="EQ86" s="358"/>
      <c r="ER86" s="358"/>
      <c r="ES86" s="358"/>
      <c r="ET86" s="358"/>
      <c r="EU86" s="358"/>
      <c r="EV86" s="358"/>
      <c r="EW86" s="358"/>
      <c r="EX86" s="358"/>
      <c r="EY86" s="358"/>
      <c r="EZ86" s="358"/>
      <c r="FA86" s="358"/>
      <c r="FB86" s="358"/>
      <c r="FC86" s="358"/>
      <c r="FD86" s="358"/>
      <c r="FE86" s="358"/>
      <c r="FF86" s="358"/>
      <c r="FG86" s="358"/>
      <c r="FH86" s="358"/>
      <c r="FI86" s="358"/>
      <c r="FJ86" s="358"/>
      <c r="FK86" s="358"/>
      <c r="FL86" s="358"/>
      <c r="FM86" s="358"/>
      <c r="FN86" s="358"/>
      <c r="FO86" s="358"/>
      <c r="FP86" s="358"/>
      <c r="FQ86" s="358"/>
      <c r="FR86" s="358"/>
      <c r="FS86" s="358"/>
      <c r="FT86" s="358"/>
      <c r="FU86" s="358"/>
      <c r="FV86" s="358"/>
      <c r="FW86" s="358"/>
      <c r="FX86" s="358"/>
      <c r="FY86" s="358"/>
      <c r="FZ86" s="358"/>
      <c r="GA86" s="358"/>
      <c r="GB86" s="358"/>
      <c r="GC86" s="358"/>
      <c r="GD86" s="358"/>
      <c r="GE86" s="358"/>
      <c r="GF86" s="358"/>
      <c r="GG86" s="358"/>
      <c r="GH86" s="358"/>
      <c r="GI86" s="358"/>
      <c r="GJ86" s="358"/>
      <c r="GK86" s="358"/>
      <c r="GL86" s="358"/>
      <c r="GM86" s="358"/>
      <c r="GN86" s="358"/>
      <c r="GO86" s="358"/>
      <c r="GP86" s="358"/>
      <c r="GQ86" s="358"/>
      <c r="GR86" s="358"/>
      <c r="GS86" s="358"/>
      <c r="GT86" s="358"/>
      <c r="GU86" s="358"/>
      <c r="GV86" s="358"/>
      <c r="GW86" s="358"/>
      <c r="GX86" s="358"/>
      <c r="GY86" s="358"/>
      <c r="GZ86" s="358"/>
      <c r="HA86" s="358"/>
      <c r="HB86" s="358"/>
      <c r="HC86" s="358"/>
      <c r="HD86" s="358"/>
      <c r="HE86" s="358"/>
      <c r="HF86" s="358"/>
      <c r="HG86" s="358"/>
      <c r="HH86" s="358"/>
      <c r="HI86" s="358"/>
      <c r="HJ86" s="358"/>
      <c r="HK86" s="358"/>
      <c r="HL86" s="358"/>
      <c r="HM86" s="358"/>
      <c r="HN86" s="358"/>
      <c r="HO86" s="358"/>
      <c r="HP86" s="358"/>
      <c r="HQ86" s="358"/>
      <c r="HR86" s="358"/>
      <c r="HS86" s="358"/>
      <c r="HT86" s="358"/>
      <c r="HU86" s="358"/>
      <c r="HV86" s="358"/>
      <c r="HW86" s="358"/>
      <c r="HX86" s="358"/>
      <c r="HY86" s="358"/>
      <c r="HZ86" s="358"/>
      <c r="IA86" s="358"/>
      <c r="IB86" s="358"/>
      <c r="IC86" s="358"/>
      <c r="ID86" s="358"/>
      <c r="IE86" s="358"/>
      <c r="IF86" s="358"/>
      <c r="IG86" s="358"/>
      <c r="IH86" s="358"/>
      <c r="II86" s="358"/>
      <c r="IJ86" s="358"/>
      <c r="IK86" s="358"/>
      <c r="IL86" s="358"/>
      <c r="IM86" s="358"/>
      <c r="IN86" s="358"/>
      <c r="IO86" s="358"/>
      <c r="IP86" s="358"/>
      <c r="IQ86" s="358"/>
    </row>
    <row r="87" customFormat="false" ht="13.5" hidden="true" customHeight="true" outlineLevel="0" collapsed="false">
      <c r="A87" s="108"/>
      <c r="B87" s="402"/>
      <c r="C87" s="403"/>
      <c r="D87" s="110"/>
      <c r="E87" s="311"/>
      <c r="F87" s="112" t="n">
        <f aca="false">IF(ISERROR(VLOOKUP(D86,일용직명단!$A$3:$K$1246,9,FALSE())),0,VLOOKUP(D86,일용직명단!$A$3:$K$1246,9,FALSE()))</f>
        <v>0</v>
      </c>
      <c r="G87" s="417"/>
      <c r="H87" s="424"/>
      <c r="I87" s="419"/>
      <c r="J87" s="424"/>
      <c r="K87" s="419"/>
      <c r="L87" s="424"/>
      <c r="M87" s="424"/>
      <c r="N87" s="419"/>
      <c r="O87" s="424"/>
      <c r="P87" s="419"/>
      <c r="Q87" s="424"/>
      <c r="R87" s="424"/>
      <c r="S87" s="417"/>
      <c r="T87" s="417"/>
      <c r="U87" s="417"/>
      <c r="V87" s="417"/>
      <c r="W87" s="168"/>
      <c r="X87" s="138" t="n">
        <f aca="false">X86*W86</f>
        <v>0</v>
      </c>
      <c r="Y87" s="122" t="n">
        <f aca="false">IF(AI86&lt;1000,0,AI86)</f>
        <v>0</v>
      </c>
      <c r="Z87" s="122" t="n">
        <f aca="false">ROUNDDOWN(Y87*10%,-1)</f>
        <v>0</v>
      </c>
      <c r="AA87" s="123" t="n">
        <f aca="false">IF(AF86&gt;=8,ROUNDDOWN(Z86*$R$4,-1),0)</f>
        <v>0</v>
      </c>
      <c r="AB87" s="145"/>
      <c r="AC87" s="146"/>
      <c r="AD87" s="414" t="n">
        <f aca="false">IF(ISERROR(VLOOKUP(D86,[31]일용직명단!$A$3:$I$1200,7,FALSE())),0,VLOOKUP(D86,[31]일용직명단!$A$3:$I$1200,7,FALSE()))</f>
        <v>0</v>
      </c>
      <c r="AE87" s="414"/>
      <c r="AF87" s="141"/>
      <c r="AG87" s="169"/>
      <c r="AH87" s="169"/>
      <c r="AI87" s="130"/>
      <c r="AJ87" s="130" t="n">
        <f aca="false">IF($X86*G87&gt;150000,($X86*G87-150000)*6%*45%,0)</f>
        <v>0</v>
      </c>
      <c r="AK87" s="130" t="n">
        <f aca="false">IF($X86*H87&gt;150000,($X86*H87-150000)*6%*45%,0)</f>
        <v>0</v>
      </c>
      <c r="AL87" s="130" t="n">
        <f aca="false">IF($X86*I87&gt;150000,($X86*I87-150000)*6%*45%,0)</f>
        <v>0</v>
      </c>
      <c r="AM87" s="130" t="n">
        <f aca="false">IF($X86*J87&gt;150000,($X86*J87-150000)*6%*45%,0)</f>
        <v>0</v>
      </c>
      <c r="AN87" s="130" t="n">
        <f aca="false">IF($X86*K87&gt;150000,($X86*K87-150000)*6%*45%,0)</f>
        <v>0</v>
      </c>
      <c r="AO87" s="130" t="n">
        <f aca="false">IF($X86*L87&gt;150000,($X86*L87-150000)*6%*45%,0)</f>
        <v>0</v>
      </c>
      <c r="AP87" s="130" t="n">
        <f aca="false">IF($X86*M87&gt;150000,($X86*M87-150000)*6%*45%,0)</f>
        <v>0</v>
      </c>
      <c r="AQ87" s="130" t="n">
        <f aca="false">IF($X86*N87&gt;150000,($X86*N87-150000)*6%*45%,0)</f>
        <v>0</v>
      </c>
      <c r="AR87" s="130" t="n">
        <f aca="false">IF($X86*O87&gt;150000,($X86*O87-150000)*6%*45%,0)</f>
        <v>0</v>
      </c>
      <c r="AS87" s="130" t="n">
        <f aca="false">IF($X86*P87&gt;150000,($X86*P87-150000)*6%*45%,0)</f>
        <v>0</v>
      </c>
      <c r="AT87" s="130" t="n">
        <f aca="false">IF($X86*Q87&gt;150000,($X86*Q87-150000)*6%*45%,0)</f>
        <v>0</v>
      </c>
      <c r="AU87" s="130" t="n">
        <f aca="false">IF($X86*R87&gt;150000,($X86*R87-150000)*6%*45%,0)</f>
        <v>0</v>
      </c>
      <c r="AV87" s="130" t="n">
        <f aca="false">IF($X86*S87&gt;150000,($X86*S87-150000)*6%*45%,0)</f>
        <v>0</v>
      </c>
      <c r="AW87" s="130" t="n">
        <f aca="false">IF($X86*T87&gt;150000,($X86*T87-150000)*6%*45%,0)</f>
        <v>0</v>
      </c>
      <c r="AX87" s="130" t="n">
        <f aca="false">IF($X86*U87&gt;150000,($X86*U87-150000)*6%*45%,0)</f>
        <v>0</v>
      </c>
      <c r="AY87" s="130" t="n">
        <f aca="false">IF($X86*V87&gt;150000,($X86*V87-150000)*6%*45%,0)</f>
        <v>0</v>
      </c>
      <c r="AZ87" s="131"/>
      <c r="BA87" s="11"/>
      <c r="BC87" s="358"/>
      <c r="BD87" s="358"/>
      <c r="BE87" s="358"/>
      <c r="BF87" s="358"/>
      <c r="BG87" s="358"/>
      <c r="BH87" s="358"/>
      <c r="BI87" s="358"/>
      <c r="BJ87" s="358"/>
      <c r="BK87" s="358"/>
      <c r="BL87" s="358"/>
      <c r="BM87" s="358"/>
      <c r="BN87" s="358"/>
      <c r="BO87" s="358"/>
      <c r="BP87" s="358"/>
      <c r="BQ87" s="358"/>
      <c r="BR87" s="358"/>
      <c r="BS87" s="358"/>
      <c r="BT87" s="358"/>
      <c r="BU87" s="358"/>
      <c r="BV87" s="358"/>
      <c r="BW87" s="358"/>
      <c r="BX87" s="358"/>
      <c r="BY87" s="358"/>
      <c r="BZ87" s="358"/>
      <c r="CA87" s="358"/>
      <c r="CB87" s="358"/>
      <c r="CC87" s="358"/>
      <c r="CD87" s="358"/>
      <c r="CE87" s="358"/>
      <c r="CF87" s="358"/>
      <c r="CG87" s="358"/>
      <c r="CH87" s="358"/>
      <c r="CI87" s="358"/>
      <c r="CJ87" s="358"/>
      <c r="CK87" s="358"/>
      <c r="CL87" s="358"/>
      <c r="CM87" s="358"/>
      <c r="CN87" s="358"/>
      <c r="CO87" s="358"/>
      <c r="CP87" s="358"/>
      <c r="CQ87" s="358"/>
      <c r="CR87" s="358"/>
      <c r="CS87" s="358"/>
      <c r="CT87" s="358"/>
      <c r="CU87" s="358"/>
      <c r="CV87" s="358"/>
      <c r="CW87" s="358"/>
      <c r="CX87" s="358"/>
      <c r="CY87" s="358"/>
      <c r="CZ87" s="358"/>
      <c r="DA87" s="358"/>
      <c r="DB87" s="358"/>
      <c r="DC87" s="358"/>
      <c r="DD87" s="358"/>
      <c r="DE87" s="358"/>
      <c r="DF87" s="358"/>
      <c r="DG87" s="358"/>
      <c r="DH87" s="358"/>
      <c r="DI87" s="358"/>
      <c r="DJ87" s="358"/>
      <c r="DK87" s="358"/>
      <c r="DL87" s="358"/>
      <c r="DM87" s="358"/>
      <c r="DN87" s="358"/>
      <c r="DO87" s="358"/>
      <c r="DP87" s="358"/>
      <c r="DQ87" s="358"/>
      <c r="DR87" s="358"/>
      <c r="DS87" s="358"/>
      <c r="DT87" s="358"/>
      <c r="DU87" s="358"/>
      <c r="DV87" s="358"/>
      <c r="DW87" s="358"/>
      <c r="DX87" s="358"/>
      <c r="DY87" s="358"/>
      <c r="DZ87" s="358"/>
      <c r="EA87" s="358"/>
      <c r="EB87" s="358"/>
      <c r="EC87" s="358"/>
      <c r="ED87" s="358"/>
      <c r="EE87" s="358"/>
      <c r="EF87" s="358"/>
      <c r="EG87" s="358"/>
      <c r="EH87" s="358"/>
      <c r="EI87" s="358"/>
      <c r="EJ87" s="358"/>
      <c r="EK87" s="358"/>
      <c r="EL87" s="358"/>
      <c r="EM87" s="358"/>
      <c r="EN87" s="358"/>
      <c r="EO87" s="358"/>
      <c r="EP87" s="358"/>
      <c r="EQ87" s="358"/>
      <c r="ER87" s="358"/>
      <c r="ES87" s="358"/>
      <c r="ET87" s="358"/>
      <c r="EU87" s="358"/>
      <c r="EV87" s="358"/>
      <c r="EW87" s="358"/>
      <c r="EX87" s="358"/>
      <c r="EY87" s="358"/>
      <c r="EZ87" s="358"/>
      <c r="FA87" s="358"/>
      <c r="FB87" s="358"/>
      <c r="FC87" s="358"/>
      <c r="FD87" s="358"/>
      <c r="FE87" s="358"/>
      <c r="FF87" s="358"/>
      <c r="FG87" s="358"/>
      <c r="FH87" s="358"/>
      <c r="FI87" s="358"/>
      <c r="FJ87" s="358"/>
      <c r="FK87" s="358"/>
      <c r="FL87" s="358"/>
      <c r="FM87" s="358"/>
      <c r="FN87" s="358"/>
      <c r="FO87" s="358"/>
      <c r="FP87" s="358"/>
      <c r="FQ87" s="358"/>
      <c r="FR87" s="358"/>
      <c r="FS87" s="358"/>
      <c r="FT87" s="358"/>
      <c r="FU87" s="358"/>
      <c r="FV87" s="358"/>
      <c r="FW87" s="358"/>
      <c r="FX87" s="358"/>
      <c r="FY87" s="358"/>
      <c r="FZ87" s="358"/>
      <c r="GA87" s="358"/>
      <c r="GB87" s="358"/>
      <c r="GC87" s="358"/>
      <c r="GD87" s="358"/>
      <c r="GE87" s="358"/>
      <c r="GF87" s="358"/>
      <c r="GG87" s="358"/>
      <c r="GH87" s="358"/>
      <c r="GI87" s="358"/>
      <c r="GJ87" s="358"/>
      <c r="GK87" s="358"/>
      <c r="GL87" s="358"/>
      <c r="GM87" s="358"/>
      <c r="GN87" s="358"/>
      <c r="GO87" s="358"/>
      <c r="GP87" s="358"/>
      <c r="GQ87" s="358"/>
      <c r="GR87" s="358"/>
      <c r="GS87" s="358"/>
      <c r="GT87" s="358"/>
      <c r="GU87" s="358"/>
      <c r="GV87" s="358"/>
      <c r="GW87" s="358"/>
      <c r="GX87" s="358"/>
      <c r="GY87" s="358"/>
      <c r="GZ87" s="358"/>
      <c r="HA87" s="358"/>
      <c r="HB87" s="358"/>
      <c r="HC87" s="358"/>
      <c r="HD87" s="358"/>
      <c r="HE87" s="358"/>
      <c r="HF87" s="358"/>
      <c r="HG87" s="358"/>
      <c r="HH87" s="358"/>
      <c r="HI87" s="358"/>
      <c r="HJ87" s="358"/>
      <c r="HK87" s="358"/>
      <c r="HL87" s="358"/>
      <c r="HM87" s="358"/>
      <c r="HN87" s="358"/>
      <c r="HO87" s="358"/>
      <c r="HP87" s="358"/>
      <c r="HQ87" s="358"/>
      <c r="HR87" s="358"/>
      <c r="HS87" s="358"/>
      <c r="HT87" s="358"/>
      <c r="HU87" s="358"/>
      <c r="HV87" s="358"/>
      <c r="HW87" s="358"/>
      <c r="HX87" s="358"/>
      <c r="HY87" s="358"/>
      <c r="HZ87" s="358"/>
      <c r="IA87" s="358"/>
      <c r="IB87" s="358"/>
      <c r="IC87" s="358"/>
      <c r="ID87" s="358"/>
      <c r="IE87" s="358"/>
      <c r="IF87" s="358"/>
      <c r="IG87" s="358"/>
      <c r="IH87" s="358"/>
      <c r="II87" s="358"/>
      <c r="IJ87" s="358"/>
      <c r="IK87" s="358"/>
      <c r="IL87" s="358"/>
      <c r="IM87" s="358"/>
      <c r="IN87" s="358"/>
      <c r="IO87" s="358"/>
      <c r="IP87" s="358"/>
      <c r="IQ87" s="358"/>
    </row>
    <row r="88" customFormat="false" ht="13.5" hidden="true" customHeight="true" outlineLevel="0" collapsed="false">
      <c r="A88" s="108" t="n">
        <f aca="false">A86+1</f>
        <v>40</v>
      </c>
      <c r="B88" s="402"/>
      <c r="C88" s="403"/>
      <c r="D88" s="110"/>
      <c r="E88" s="311" t="n">
        <f aca="false">IF(ISERROR(VLOOKUP(D88,[31]일용직명단!$A$3:$K$1220,3,FALSE())),0,VLOOKUP(D88,[31]일용직명단!$A$3:$K$1220,3,FALSE()))</f>
        <v>0</v>
      </c>
      <c r="F88" s="112" t="n">
        <f aca="false">IF(ISERROR(VLOOKUP(D88,일용직명단!$A$3:$K$1246,4,FALSE())),0,VLOOKUP(D88,일용직명단!$A$3:$K$1246,4,FALSE()))</f>
        <v>0</v>
      </c>
      <c r="G88" s="417"/>
      <c r="H88" s="417"/>
      <c r="I88" s="417"/>
      <c r="J88" s="419"/>
      <c r="K88" s="417"/>
      <c r="L88" s="419"/>
      <c r="M88" s="417"/>
      <c r="N88" s="417"/>
      <c r="O88" s="424"/>
      <c r="P88" s="424"/>
      <c r="Q88" s="424"/>
      <c r="R88" s="424"/>
      <c r="S88" s="419"/>
      <c r="T88" s="424"/>
      <c r="U88" s="419"/>
      <c r="V88" s="416"/>
      <c r="W88" s="168" t="n">
        <f aca="false">SUM(G88:V89)</f>
        <v>0</v>
      </c>
      <c r="X88" s="121" t="n">
        <f aca="false">IF(ISERROR(VLOOKUP(D88,일용직명단!$A$3:$K$1246,8,FALSE())),0,VLOOKUP(D88,일용직명단!$A$3:$K$1246,8,FALSE()))</f>
        <v>0</v>
      </c>
      <c r="Y88" s="122" t="n">
        <f aca="false">IFERROR(IF(AH88&gt;=65,0,ROUNDDOWN(X89*$AA$4,-1)),0)</f>
        <v>0</v>
      </c>
      <c r="Z88" s="122" t="n">
        <f aca="false">IF(AF88&gt;=8,ROUNDDOWN(X89*$N$4,-1),0)</f>
        <v>0</v>
      </c>
      <c r="AA88" s="123" t="n">
        <f aca="false">IFERROR(IF(AND(COUNT(G88:V89)&gt;=8,$AH88&lt;60,X89&lt;=5530000),ROUNDDOWN(ROUNDDOWN(X89,-3)*4.5%,-1),IF(AND(COUNT(G88:V89)&gt;=8,AH88&lt;60,X89&gt;5530000),248850,0)),0)</f>
        <v>0</v>
      </c>
      <c r="AB88" s="145" t="n">
        <f aca="false">+Y88+Z88+Y89+Z89+AA88+AA89</f>
        <v>0</v>
      </c>
      <c r="AC88" s="146" t="n">
        <f aca="false">X89-AB88</f>
        <v>0</v>
      </c>
      <c r="AD88" s="413" t="n">
        <f aca="false">IF(ISERROR(VLOOKUP(D88,[31]일용직명단!$A$3:$I$1200,5,FALSE())),0,VLOOKUP(D88,[31]일용직명단!$A$3:$I$1200,5,FALSE()))</f>
        <v>0</v>
      </c>
      <c r="AE88" s="414" t="n">
        <f aca="false">IF(ISERROR(VLOOKUP(D88,[31]일용직명단!$A$3:$I$1200,6,FALSE())),0,VLOOKUP(D88,[31]일용직명단!$A$3:$I$1200,6,FALSE()))</f>
        <v>0</v>
      </c>
      <c r="AF88" s="141" t="n">
        <f aca="false">COUNT(G88:V89)</f>
        <v>0</v>
      </c>
      <c r="AG88" s="169" t="str">
        <f aca="false">IF(OR(MID(E88,8,1)="1",MID(E88,8,1)="2"),19&amp;LEFT(E88,2),20&amp;LEFT(E88,2))&amp;"-"&amp;MID(E88,3,2)&amp;"-"&amp;MID(E88,5,2)</f>
        <v>200--</v>
      </c>
      <c r="AH88" s="169" t="e">
        <f aca="true">INT((TODAY()-AG88)/365.25)</f>
        <v>#VALUE!</v>
      </c>
      <c r="AI88" s="130" t="n">
        <f aca="false">ROUNDDOWN(SUM(AJ88:AY89),-1)</f>
        <v>0</v>
      </c>
      <c r="AJ88" s="130" t="n">
        <f aca="false">IF($X88*G88&gt;150000,($X88*G88-150000)*6%*45%,0)</f>
        <v>0</v>
      </c>
      <c r="AK88" s="130" t="n">
        <f aca="false">IF($X88*H88&gt;150000,($X88*H88-150000)*6%*45%,0)</f>
        <v>0</v>
      </c>
      <c r="AL88" s="130" t="n">
        <f aca="false">IF($X88*I88&gt;150000,($X88*I88-150000)*6%*45%,0)</f>
        <v>0</v>
      </c>
      <c r="AM88" s="130" t="n">
        <f aca="false">IF($X88*J88&gt;150000,($X88*J88-150000)*6%*45%,0)</f>
        <v>0</v>
      </c>
      <c r="AN88" s="130" t="n">
        <f aca="false">IF($X88*K88&gt;150000,($X88*K88-150000)*6%*45%,0)</f>
        <v>0</v>
      </c>
      <c r="AO88" s="130" t="n">
        <f aca="false">IF($X88*L88&gt;150000,($X88*L88-150000)*6%*45%,0)</f>
        <v>0</v>
      </c>
      <c r="AP88" s="130" t="n">
        <f aca="false">IF($X88*M88&gt;150000,($X88*M88-150000)*6%*45%,0)</f>
        <v>0</v>
      </c>
      <c r="AQ88" s="130" t="n">
        <f aca="false">IF($X88*N88&gt;150000,($X88*N88-150000)*6%*45%,0)</f>
        <v>0</v>
      </c>
      <c r="AR88" s="130" t="n">
        <f aca="false">IF($X88*O88&gt;150000,($X88*O88-150000)*6%*45%,0)</f>
        <v>0</v>
      </c>
      <c r="AS88" s="130" t="n">
        <f aca="false">IF($X88*P88&gt;150000,($X88*P88-150000)*6%*45%,0)</f>
        <v>0</v>
      </c>
      <c r="AT88" s="130" t="n">
        <f aca="false">IF($X88*Q88&gt;150000,($X88*Q88-150000)*6%*45%,0)</f>
        <v>0</v>
      </c>
      <c r="AU88" s="130" t="n">
        <f aca="false">IF($X88*R88&gt;150000,($X88*R88-150000)*6%*45%,0)</f>
        <v>0</v>
      </c>
      <c r="AV88" s="130" t="n">
        <f aca="false">IF($X88*S88&gt;150000,($X88*S88-150000)*6%*45%,0)</f>
        <v>0</v>
      </c>
      <c r="AW88" s="130" t="n">
        <f aca="false">IF($X88*T88&gt;150000,($X88*T88-150000)*6%*45%,0)</f>
        <v>0</v>
      </c>
      <c r="AX88" s="130" t="n">
        <f aca="false">IF($X88*U88&gt;150000,($X88*U88-150000)*6%*45%,0)</f>
        <v>0</v>
      </c>
      <c r="AY88" s="130"/>
      <c r="AZ88" s="131" t="n">
        <f aca="false">IF(ISERROR(VLOOKUP(D88,[32]일용직명단!$A$3:$M$1151,11,FALSE())),0,VLOOKUP(D88,[32]일용직명단!$A$3:$M$1151,11,FALSE()))</f>
        <v>0</v>
      </c>
      <c r="BA88" s="11"/>
      <c r="BC88" s="358"/>
      <c r="BD88" s="358"/>
      <c r="BE88" s="358"/>
      <c r="BF88" s="358"/>
      <c r="BG88" s="358"/>
      <c r="BH88" s="358"/>
      <c r="BI88" s="358"/>
      <c r="BJ88" s="358"/>
      <c r="BK88" s="358"/>
      <c r="BL88" s="358"/>
      <c r="BM88" s="358"/>
      <c r="BN88" s="358"/>
      <c r="BO88" s="358"/>
      <c r="BP88" s="358"/>
      <c r="BQ88" s="358"/>
      <c r="BR88" s="358"/>
      <c r="BS88" s="358"/>
      <c r="BT88" s="358"/>
      <c r="BU88" s="358"/>
      <c r="BV88" s="358"/>
      <c r="BW88" s="358"/>
      <c r="BX88" s="358"/>
      <c r="BY88" s="358"/>
      <c r="BZ88" s="358"/>
      <c r="CA88" s="358"/>
      <c r="CB88" s="358"/>
      <c r="CC88" s="358"/>
      <c r="CD88" s="358"/>
      <c r="CE88" s="358"/>
      <c r="CF88" s="358"/>
      <c r="CG88" s="358"/>
      <c r="CH88" s="358"/>
      <c r="CI88" s="358"/>
      <c r="CJ88" s="358"/>
      <c r="CK88" s="358"/>
      <c r="CL88" s="358"/>
      <c r="CM88" s="358"/>
      <c r="CN88" s="358"/>
      <c r="CO88" s="358"/>
      <c r="CP88" s="358"/>
      <c r="CQ88" s="358"/>
      <c r="CR88" s="358"/>
      <c r="CS88" s="358"/>
      <c r="CT88" s="358"/>
      <c r="CU88" s="358"/>
      <c r="CV88" s="358"/>
      <c r="CW88" s="358"/>
      <c r="CX88" s="358"/>
      <c r="CY88" s="358"/>
      <c r="CZ88" s="358"/>
      <c r="DA88" s="358"/>
      <c r="DB88" s="358"/>
      <c r="DC88" s="358"/>
      <c r="DD88" s="358"/>
      <c r="DE88" s="358"/>
      <c r="DF88" s="358"/>
      <c r="DG88" s="358"/>
      <c r="DH88" s="358"/>
      <c r="DI88" s="358"/>
      <c r="DJ88" s="358"/>
      <c r="DK88" s="358"/>
      <c r="DL88" s="358"/>
      <c r="DM88" s="358"/>
      <c r="DN88" s="358"/>
      <c r="DO88" s="358"/>
      <c r="DP88" s="358"/>
      <c r="DQ88" s="358"/>
      <c r="DR88" s="358"/>
      <c r="DS88" s="358"/>
      <c r="DT88" s="358"/>
      <c r="DU88" s="358"/>
      <c r="DV88" s="358"/>
      <c r="DW88" s="358"/>
      <c r="DX88" s="358"/>
      <c r="DY88" s="358"/>
      <c r="DZ88" s="358"/>
      <c r="EA88" s="358"/>
      <c r="EB88" s="358"/>
      <c r="EC88" s="358"/>
      <c r="ED88" s="358"/>
      <c r="EE88" s="358"/>
      <c r="EF88" s="358"/>
      <c r="EG88" s="358"/>
      <c r="EH88" s="358"/>
      <c r="EI88" s="358"/>
      <c r="EJ88" s="358"/>
      <c r="EK88" s="358"/>
      <c r="EL88" s="358"/>
      <c r="EM88" s="358"/>
      <c r="EN88" s="358"/>
      <c r="EO88" s="358"/>
      <c r="EP88" s="358"/>
      <c r="EQ88" s="358"/>
      <c r="ER88" s="358"/>
      <c r="ES88" s="358"/>
      <c r="ET88" s="358"/>
      <c r="EU88" s="358"/>
      <c r="EV88" s="358"/>
      <c r="EW88" s="358"/>
      <c r="EX88" s="358"/>
      <c r="EY88" s="358"/>
      <c r="EZ88" s="358"/>
      <c r="FA88" s="358"/>
      <c r="FB88" s="358"/>
      <c r="FC88" s="358"/>
      <c r="FD88" s="358"/>
      <c r="FE88" s="358"/>
      <c r="FF88" s="358"/>
      <c r="FG88" s="358"/>
      <c r="FH88" s="358"/>
      <c r="FI88" s="358"/>
      <c r="FJ88" s="358"/>
      <c r="FK88" s="358"/>
      <c r="FL88" s="358"/>
      <c r="FM88" s="358"/>
      <c r="FN88" s="358"/>
      <c r="FO88" s="358"/>
      <c r="FP88" s="358"/>
      <c r="FQ88" s="358"/>
      <c r="FR88" s="358"/>
      <c r="FS88" s="358"/>
      <c r="FT88" s="358"/>
      <c r="FU88" s="358"/>
      <c r="FV88" s="358"/>
      <c r="FW88" s="358"/>
      <c r="FX88" s="358"/>
      <c r="FY88" s="358"/>
      <c r="FZ88" s="358"/>
      <c r="GA88" s="358"/>
      <c r="GB88" s="358"/>
      <c r="GC88" s="358"/>
      <c r="GD88" s="358"/>
      <c r="GE88" s="358"/>
      <c r="GF88" s="358"/>
      <c r="GG88" s="358"/>
      <c r="GH88" s="358"/>
      <c r="GI88" s="358"/>
      <c r="GJ88" s="358"/>
      <c r="GK88" s="358"/>
      <c r="GL88" s="358"/>
      <c r="GM88" s="358"/>
      <c r="GN88" s="358"/>
      <c r="GO88" s="358"/>
      <c r="GP88" s="358"/>
      <c r="GQ88" s="358"/>
      <c r="GR88" s="358"/>
      <c r="GS88" s="358"/>
      <c r="GT88" s="358"/>
      <c r="GU88" s="358"/>
      <c r="GV88" s="358"/>
      <c r="GW88" s="358"/>
      <c r="GX88" s="358"/>
      <c r="GY88" s="358"/>
      <c r="GZ88" s="358"/>
      <c r="HA88" s="358"/>
      <c r="HB88" s="358"/>
      <c r="HC88" s="358"/>
      <c r="HD88" s="358"/>
      <c r="HE88" s="358"/>
      <c r="HF88" s="358"/>
      <c r="HG88" s="358"/>
      <c r="HH88" s="358"/>
      <c r="HI88" s="358"/>
      <c r="HJ88" s="358"/>
      <c r="HK88" s="358"/>
      <c r="HL88" s="358"/>
      <c r="HM88" s="358"/>
      <c r="HN88" s="358"/>
      <c r="HO88" s="358"/>
      <c r="HP88" s="358"/>
      <c r="HQ88" s="358"/>
      <c r="HR88" s="358"/>
      <c r="HS88" s="358"/>
      <c r="HT88" s="358"/>
      <c r="HU88" s="358"/>
      <c r="HV88" s="358"/>
      <c r="HW88" s="358"/>
      <c r="HX88" s="358"/>
      <c r="HY88" s="358"/>
      <c r="HZ88" s="358"/>
      <c r="IA88" s="358"/>
      <c r="IB88" s="358"/>
      <c r="IC88" s="358"/>
      <c r="ID88" s="358"/>
      <c r="IE88" s="358"/>
      <c r="IF88" s="358"/>
      <c r="IG88" s="358"/>
      <c r="IH88" s="358"/>
      <c r="II88" s="358"/>
      <c r="IJ88" s="358"/>
      <c r="IK88" s="358"/>
      <c r="IL88" s="358"/>
      <c r="IM88" s="358"/>
      <c r="IN88" s="358"/>
      <c r="IO88" s="358"/>
      <c r="IP88" s="358"/>
      <c r="IQ88" s="358"/>
    </row>
    <row r="89" customFormat="false" ht="13.5" hidden="true" customHeight="true" outlineLevel="0" collapsed="false">
      <c r="A89" s="108"/>
      <c r="B89" s="402"/>
      <c r="C89" s="403"/>
      <c r="D89" s="110"/>
      <c r="E89" s="311"/>
      <c r="F89" s="112" t="n">
        <f aca="false">IF(ISERROR(VLOOKUP(D88,일용직명단!$A$3:$K$1246,9,FALSE())),0,VLOOKUP(D88,일용직명단!$A$3:$K$1246,9,FALSE()))</f>
        <v>0</v>
      </c>
      <c r="G89" s="417"/>
      <c r="H89" s="424"/>
      <c r="I89" s="419"/>
      <c r="J89" s="424"/>
      <c r="K89" s="419"/>
      <c r="L89" s="424"/>
      <c r="M89" s="424"/>
      <c r="N89" s="419"/>
      <c r="O89" s="424"/>
      <c r="P89" s="419"/>
      <c r="Q89" s="424"/>
      <c r="R89" s="424"/>
      <c r="S89" s="417"/>
      <c r="T89" s="417"/>
      <c r="U89" s="417"/>
      <c r="V89" s="417"/>
      <c r="W89" s="168"/>
      <c r="X89" s="138" t="n">
        <f aca="false">X88*W88</f>
        <v>0</v>
      </c>
      <c r="Y89" s="122" t="n">
        <f aca="false">IF(AI88&lt;1000,0,AI88)</f>
        <v>0</v>
      </c>
      <c r="Z89" s="122" t="n">
        <f aca="false">ROUNDDOWN(Y89*10%,-1)</f>
        <v>0</v>
      </c>
      <c r="AA89" s="123" t="n">
        <f aca="false">IF(AF88&gt;=8,ROUNDDOWN(Z88*$R$4,-1),0)</f>
        <v>0</v>
      </c>
      <c r="AB89" s="145"/>
      <c r="AC89" s="146"/>
      <c r="AD89" s="414" t="n">
        <f aca="false">IF(ISERROR(VLOOKUP(D88,[31]일용직명단!$A$3:$I$1200,7,FALSE())),0,VLOOKUP(D88,[31]일용직명단!$A$3:$I$1200,7,FALSE()))</f>
        <v>0</v>
      </c>
      <c r="AE89" s="414"/>
      <c r="AF89" s="141"/>
      <c r="AG89" s="169"/>
      <c r="AH89" s="169"/>
      <c r="AI89" s="130"/>
      <c r="AJ89" s="130" t="n">
        <f aca="false">IF($X88*G89&gt;150000,($X88*G89-150000)*6%*45%,0)</f>
        <v>0</v>
      </c>
      <c r="AK89" s="130" t="n">
        <f aca="false">IF($X88*H89&gt;150000,($X88*H89-150000)*6%*45%,0)</f>
        <v>0</v>
      </c>
      <c r="AL89" s="130" t="n">
        <f aca="false">IF($X88*I89&gt;150000,($X88*I89-150000)*6%*45%,0)</f>
        <v>0</v>
      </c>
      <c r="AM89" s="130" t="n">
        <f aca="false">IF($X88*J89&gt;150000,($X88*J89-150000)*6%*45%,0)</f>
        <v>0</v>
      </c>
      <c r="AN89" s="130" t="n">
        <f aca="false">IF($X88*K89&gt;150000,($X88*K89-150000)*6%*45%,0)</f>
        <v>0</v>
      </c>
      <c r="AO89" s="130" t="n">
        <f aca="false">IF($X88*L89&gt;150000,($X88*L89-150000)*6%*45%,0)</f>
        <v>0</v>
      </c>
      <c r="AP89" s="130" t="n">
        <f aca="false">IF($X88*M89&gt;150000,($X88*M89-150000)*6%*45%,0)</f>
        <v>0</v>
      </c>
      <c r="AQ89" s="130" t="n">
        <f aca="false">IF($X88*N89&gt;150000,($X88*N89-150000)*6%*45%,0)</f>
        <v>0</v>
      </c>
      <c r="AR89" s="130" t="n">
        <f aca="false">IF($X88*O89&gt;150000,($X88*O89-150000)*6%*45%,0)</f>
        <v>0</v>
      </c>
      <c r="AS89" s="130" t="n">
        <f aca="false">IF($X88*P89&gt;150000,($X88*P89-150000)*6%*45%,0)</f>
        <v>0</v>
      </c>
      <c r="AT89" s="130" t="n">
        <f aca="false">IF($X88*Q89&gt;150000,($X88*Q89-150000)*6%*45%,0)</f>
        <v>0</v>
      </c>
      <c r="AU89" s="130" t="n">
        <f aca="false">IF($X88*R89&gt;150000,($X88*R89-150000)*6%*45%,0)</f>
        <v>0</v>
      </c>
      <c r="AV89" s="130" t="n">
        <f aca="false">IF($X88*S89&gt;150000,($X88*S89-150000)*6%*45%,0)</f>
        <v>0</v>
      </c>
      <c r="AW89" s="130" t="n">
        <f aca="false">IF($X88*T89&gt;150000,($X88*T89-150000)*6%*45%,0)</f>
        <v>0</v>
      </c>
      <c r="AX89" s="130" t="n">
        <f aca="false">IF($X88*U89&gt;150000,($X88*U89-150000)*6%*45%,0)</f>
        <v>0</v>
      </c>
      <c r="AY89" s="130" t="n">
        <f aca="false">IF($X88*V89&gt;150000,($X88*V89-150000)*6%*45%,0)</f>
        <v>0</v>
      </c>
      <c r="AZ89" s="131"/>
      <c r="BA89" s="11"/>
      <c r="BC89" s="358"/>
      <c r="BD89" s="358"/>
      <c r="BE89" s="358"/>
      <c r="BF89" s="358"/>
      <c r="BG89" s="358"/>
      <c r="BH89" s="358"/>
      <c r="BI89" s="358"/>
      <c r="BJ89" s="358"/>
      <c r="BK89" s="358"/>
      <c r="BL89" s="358"/>
      <c r="BM89" s="358"/>
      <c r="BN89" s="358"/>
      <c r="BO89" s="358"/>
      <c r="BP89" s="358"/>
      <c r="BQ89" s="358"/>
      <c r="BR89" s="358"/>
      <c r="BS89" s="358"/>
      <c r="BT89" s="358"/>
      <c r="BU89" s="358"/>
      <c r="BV89" s="358"/>
      <c r="BW89" s="358"/>
      <c r="BX89" s="358"/>
      <c r="BY89" s="358"/>
      <c r="BZ89" s="358"/>
      <c r="CA89" s="358"/>
      <c r="CB89" s="358"/>
      <c r="CC89" s="358"/>
      <c r="CD89" s="358"/>
      <c r="CE89" s="358"/>
      <c r="CF89" s="358"/>
      <c r="CG89" s="358"/>
      <c r="CH89" s="358"/>
      <c r="CI89" s="358"/>
      <c r="CJ89" s="358"/>
      <c r="CK89" s="358"/>
      <c r="CL89" s="358"/>
      <c r="CM89" s="358"/>
      <c r="CN89" s="358"/>
      <c r="CO89" s="358"/>
      <c r="CP89" s="358"/>
      <c r="CQ89" s="358"/>
      <c r="CR89" s="358"/>
      <c r="CS89" s="358"/>
      <c r="CT89" s="358"/>
      <c r="CU89" s="358"/>
      <c r="CV89" s="358"/>
      <c r="CW89" s="358"/>
      <c r="CX89" s="358"/>
      <c r="CY89" s="358"/>
      <c r="CZ89" s="358"/>
      <c r="DA89" s="358"/>
      <c r="DB89" s="358"/>
      <c r="DC89" s="358"/>
      <c r="DD89" s="358"/>
      <c r="DE89" s="358"/>
      <c r="DF89" s="358"/>
      <c r="DG89" s="358"/>
      <c r="DH89" s="358"/>
      <c r="DI89" s="358"/>
      <c r="DJ89" s="358"/>
      <c r="DK89" s="358"/>
      <c r="DL89" s="358"/>
      <c r="DM89" s="358"/>
      <c r="DN89" s="358"/>
      <c r="DO89" s="358"/>
      <c r="DP89" s="358"/>
      <c r="DQ89" s="358"/>
      <c r="DR89" s="358"/>
      <c r="DS89" s="358"/>
      <c r="DT89" s="358"/>
      <c r="DU89" s="358"/>
      <c r="DV89" s="358"/>
      <c r="DW89" s="358"/>
      <c r="DX89" s="358"/>
      <c r="DY89" s="358"/>
      <c r="DZ89" s="358"/>
      <c r="EA89" s="358"/>
      <c r="EB89" s="358"/>
      <c r="EC89" s="358"/>
      <c r="ED89" s="358"/>
      <c r="EE89" s="358"/>
      <c r="EF89" s="358"/>
      <c r="EG89" s="358"/>
      <c r="EH89" s="358"/>
      <c r="EI89" s="358"/>
      <c r="EJ89" s="358"/>
      <c r="EK89" s="358"/>
      <c r="EL89" s="358"/>
      <c r="EM89" s="358"/>
      <c r="EN89" s="358"/>
      <c r="EO89" s="358"/>
      <c r="EP89" s="358"/>
      <c r="EQ89" s="358"/>
      <c r="ER89" s="358"/>
      <c r="ES89" s="358"/>
      <c r="ET89" s="358"/>
      <c r="EU89" s="358"/>
      <c r="EV89" s="358"/>
      <c r="EW89" s="358"/>
      <c r="EX89" s="358"/>
      <c r="EY89" s="358"/>
      <c r="EZ89" s="358"/>
      <c r="FA89" s="358"/>
      <c r="FB89" s="358"/>
      <c r="FC89" s="358"/>
      <c r="FD89" s="358"/>
      <c r="FE89" s="358"/>
      <c r="FF89" s="358"/>
      <c r="FG89" s="358"/>
      <c r="FH89" s="358"/>
      <c r="FI89" s="358"/>
      <c r="FJ89" s="358"/>
      <c r="FK89" s="358"/>
      <c r="FL89" s="358"/>
      <c r="FM89" s="358"/>
      <c r="FN89" s="358"/>
      <c r="FO89" s="358"/>
      <c r="FP89" s="358"/>
      <c r="FQ89" s="358"/>
      <c r="FR89" s="358"/>
      <c r="FS89" s="358"/>
      <c r="FT89" s="358"/>
      <c r="FU89" s="358"/>
      <c r="FV89" s="358"/>
      <c r="FW89" s="358"/>
      <c r="FX89" s="358"/>
      <c r="FY89" s="358"/>
      <c r="FZ89" s="358"/>
      <c r="GA89" s="358"/>
      <c r="GB89" s="358"/>
      <c r="GC89" s="358"/>
      <c r="GD89" s="358"/>
      <c r="GE89" s="358"/>
      <c r="GF89" s="358"/>
      <c r="GG89" s="358"/>
      <c r="GH89" s="358"/>
      <c r="GI89" s="358"/>
      <c r="GJ89" s="358"/>
      <c r="GK89" s="358"/>
      <c r="GL89" s="358"/>
      <c r="GM89" s="358"/>
      <c r="GN89" s="358"/>
      <c r="GO89" s="358"/>
      <c r="GP89" s="358"/>
      <c r="GQ89" s="358"/>
      <c r="GR89" s="358"/>
      <c r="GS89" s="358"/>
      <c r="GT89" s="358"/>
      <c r="GU89" s="358"/>
      <c r="GV89" s="358"/>
      <c r="GW89" s="358"/>
      <c r="GX89" s="358"/>
      <c r="GY89" s="358"/>
      <c r="GZ89" s="358"/>
      <c r="HA89" s="358"/>
      <c r="HB89" s="358"/>
      <c r="HC89" s="358"/>
      <c r="HD89" s="358"/>
      <c r="HE89" s="358"/>
      <c r="HF89" s="358"/>
      <c r="HG89" s="358"/>
      <c r="HH89" s="358"/>
      <c r="HI89" s="358"/>
      <c r="HJ89" s="358"/>
      <c r="HK89" s="358"/>
      <c r="HL89" s="358"/>
      <c r="HM89" s="358"/>
      <c r="HN89" s="358"/>
      <c r="HO89" s="358"/>
      <c r="HP89" s="358"/>
      <c r="HQ89" s="358"/>
      <c r="HR89" s="358"/>
      <c r="HS89" s="358"/>
      <c r="HT89" s="358"/>
      <c r="HU89" s="358"/>
      <c r="HV89" s="358"/>
      <c r="HW89" s="358"/>
      <c r="HX89" s="358"/>
      <c r="HY89" s="358"/>
      <c r="HZ89" s="358"/>
      <c r="IA89" s="358"/>
      <c r="IB89" s="358"/>
      <c r="IC89" s="358"/>
      <c r="ID89" s="358"/>
      <c r="IE89" s="358"/>
      <c r="IF89" s="358"/>
      <c r="IG89" s="358"/>
      <c r="IH89" s="358"/>
      <c r="II89" s="358"/>
      <c r="IJ89" s="358"/>
      <c r="IK89" s="358"/>
      <c r="IL89" s="358"/>
      <c r="IM89" s="358"/>
      <c r="IN89" s="358"/>
      <c r="IO89" s="358"/>
      <c r="IP89" s="358"/>
      <c r="IQ89" s="358"/>
    </row>
    <row r="90" customFormat="false" ht="13.5" hidden="true" customHeight="true" outlineLevel="0" collapsed="false">
      <c r="A90" s="108" t="n">
        <f aca="false">A88+1</f>
        <v>41</v>
      </c>
      <c r="B90" s="402"/>
      <c r="C90" s="403"/>
      <c r="D90" s="110"/>
      <c r="E90" s="311" t="n">
        <f aca="false">IF(ISERROR(VLOOKUP(D90,[31]일용직명단!$A$3:$K$1220,3,FALSE())),0,VLOOKUP(D90,[31]일용직명단!$A$3:$K$1220,3,FALSE()))</f>
        <v>0</v>
      </c>
      <c r="F90" s="112" t="n">
        <f aca="false">IF(ISERROR(VLOOKUP(D90,일용직명단!$A$3:$K$1246,4,FALSE())),0,VLOOKUP(D90,일용직명단!$A$3:$K$1246,4,FALSE()))</f>
        <v>0</v>
      </c>
      <c r="G90" s="417"/>
      <c r="H90" s="417"/>
      <c r="I90" s="417"/>
      <c r="J90" s="419"/>
      <c r="K90" s="417"/>
      <c r="L90" s="419"/>
      <c r="M90" s="417"/>
      <c r="N90" s="417"/>
      <c r="O90" s="424"/>
      <c r="P90" s="424"/>
      <c r="Q90" s="424"/>
      <c r="R90" s="424"/>
      <c r="S90" s="419"/>
      <c r="T90" s="424"/>
      <c r="U90" s="419"/>
      <c r="V90" s="416"/>
      <c r="W90" s="168" t="n">
        <f aca="false">SUM(G90:V91)</f>
        <v>0</v>
      </c>
      <c r="X90" s="121" t="n">
        <f aca="false">IF(ISERROR(VLOOKUP(D90,일용직명단!$A$3:$K$1246,8,FALSE())),0,VLOOKUP(D90,일용직명단!$A$3:$K$1246,8,FALSE()))</f>
        <v>0</v>
      </c>
      <c r="Y90" s="122" t="n">
        <f aca="false">IFERROR(IF(AH90&gt;=65,0,ROUNDDOWN(X91*$AA$4,-1)),0)</f>
        <v>0</v>
      </c>
      <c r="Z90" s="122" t="n">
        <f aca="false">IF(AF90&gt;=8,ROUNDDOWN(X91*$N$4,-1),0)</f>
        <v>0</v>
      </c>
      <c r="AA90" s="123" t="n">
        <f aca="false">IFERROR(IF(AND(COUNT(G90:V91)&gt;=8,$AH90&lt;60,X91&lt;=5530000),ROUNDDOWN(ROUNDDOWN(X91,-3)*4.5%,-1),IF(AND(COUNT(G90:V91)&gt;=8,AH90&lt;60,X91&gt;5530000),248850,0)),0)</f>
        <v>0</v>
      </c>
      <c r="AB90" s="145" t="n">
        <f aca="false">+Y90+Z90+Y91+Z91+AA90+AA91</f>
        <v>0</v>
      </c>
      <c r="AC90" s="146" t="n">
        <f aca="false">X91-AB90</f>
        <v>0</v>
      </c>
      <c r="AD90" s="413" t="n">
        <f aca="false">IF(ISERROR(VLOOKUP(D90,[31]일용직명단!$A$3:$I$1200,5,FALSE())),0,VLOOKUP(D90,[31]일용직명단!$A$3:$I$1200,5,FALSE()))</f>
        <v>0</v>
      </c>
      <c r="AE90" s="414" t="n">
        <f aca="false">IF(ISERROR(VLOOKUP(D90,[31]일용직명단!$A$3:$I$1200,6,FALSE())),0,VLOOKUP(D90,[31]일용직명단!$A$3:$I$1200,6,FALSE()))</f>
        <v>0</v>
      </c>
      <c r="AF90" s="141" t="n">
        <f aca="false">COUNT(G90:V91)</f>
        <v>0</v>
      </c>
      <c r="AG90" s="169" t="str">
        <f aca="false">IF(OR(MID(E90,8,1)="1",MID(E90,8,1)="2"),19&amp;LEFT(E90,2),20&amp;LEFT(E90,2))&amp;"-"&amp;MID(E90,3,2)&amp;"-"&amp;MID(E90,5,2)</f>
        <v>200--</v>
      </c>
      <c r="AH90" s="169" t="e">
        <f aca="true">INT((TODAY()-AG90)/365.25)</f>
        <v>#VALUE!</v>
      </c>
      <c r="AI90" s="130" t="n">
        <f aca="false">ROUNDDOWN(SUM(AJ90:AY91),-1)</f>
        <v>0</v>
      </c>
      <c r="AJ90" s="130" t="n">
        <f aca="false">IF($X90*G90&gt;150000,($X90*G90-150000)*6%*45%,0)</f>
        <v>0</v>
      </c>
      <c r="AK90" s="130" t="n">
        <f aca="false">IF($X90*H90&gt;150000,($X90*H90-150000)*6%*45%,0)</f>
        <v>0</v>
      </c>
      <c r="AL90" s="130" t="n">
        <f aca="false">IF($X90*I90&gt;150000,($X90*I90-150000)*6%*45%,0)</f>
        <v>0</v>
      </c>
      <c r="AM90" s="130" t="n">
        <f aca="false">IF($X90*J90&gt;150000,($X90*J90-150000)*6%*45%,0)</f>
        <v>0</v>
      </c>
      <c r="AN90" s="130" t="n">
        <f aca="false">IF($X90*K90&gt;150000,($X90*K90-150000)*6%*45%,0)</f>
        <v>0</v>
      </c>
      <c r="AO90" s="130" t="n">
        <f aca="false">IF($X90*L90&gt;150000,($X90*L90-150000)*6%*45%,0)</f>
        <v>0</v>
      </c>
      <c r="AP90" s="130" t="n">
        <f aca="false">IF($X90*M90&gt;150000,($X90*M90-150000)*6%*45%,0)</f>
        <v>0</v>
      </c>
      <c r="AQ90" s="130" t="n">
        <f aca="false">IF($X90*N90&gt;150000,($X90*N90-150000)*6%*45%,0)</f>
        <v>0</v>
      </c>
      <c r="AR90" s="130" t="n">
        <f aca="false">IF($X90*O90&gt;150000,($X90*O90-150000)*6%*45%,0)</f>
        <v>0</v>
      </c>
      <c r="AS90" s="130" t="n">
        <f aca="false">IF($X90*P90&gt;150000,($X90*P90-150000)*6%*45%,0)</f>
        <v>0</v>
      </c>
      <c r="AT90" s="130" t="n">
        <f aca="false">IF($X90*Q90&gt;150000,($X90*Q90-150000)*6%*45%,0)</f>
        <v>0</v>
      </c>
      <c r="AU90" s="130" t="n">
        <f aca="false">IF($X90*R90&gt;150000,($X90*R90-150000)*6%*45%,0)</f>
        <v>0</v>
      </c>
      <c r="AV90" s="130" t="n">
        <f aca="false">IF($X90*S90&gt;150000,($X90*S90-150000)*6%*45%,0)</f>
        <v>0</v>
      </c>
      <c r="AW90" s="130" t="n">
        <f aca="false">IF($X90*T90&gt;150000,($X90*T90-150000)*6%*45%,0)</f>
        <v>0</v>
      </c>
      <c r="AX90" s="130" t="n">
        <f aca="false">IF($X90*U90&gt;150000,($X90*U90-150000)*6%*45%,0)</f>
        <v>0</v>
      </c>
      <c r="AY90" s="130"/>
      <c r="AZ90" s="131" t="n">
        <f aca="false">IF(ISERROR(VLOOKUP(D90,[32]일용직명단!$A$3:$M$1151,11,FALSE())),0,VLOOKUP(D90,[32]일용직명단!$A$3:$M$1151,11,FALSE()))</f>
        <v>0</v>
      </c>
      <c r="BA90" s="11"/>
      <c r="BC90" s="358"/>
      <c r="BD90" s="358"/>
      <c r="BE90" s="358"/>
      <c r="BF90" s="358"/>
      <c r="BG90" s="358"/>
      <c r="BH90" s="358"/>
      <c r="BI90" s="358"/>
      <c r="BJ90" s="358"/>
      <c r="BK90" s="358"/>
      <c r="BL90" s="358"/>
      <c r="BM90" s="358"/>
      <c r="BN90" s="358"/>
      <c r="BO90" s="358"/>
      <c r="BP90" s="358"/>
      <c r="BQ90" s="358"/>
      <c r="BR90" s="358"/>
      <c r="BS90" s="358"/>
      <c r="BT90" s="358"/>
      <c r="BU90" s="358"/>
      <c r="BV90" s="358"/>
      <c r="BW90" s="358"/>
      <c r="BX90" s="358"/>
      <c r="BY90" s="358"/>
      <c r="BZ90" s="358"/>
      <c r="CA90" s="358"/>
      <c r="CB90" s="358"/>
      <c r="CC90" s="358"/>
      <c r="CD90" s="358"/>
      <c r="CE90" s="358"/>
      <c r="CF90" s="358"/>
      <c r="CG90" s="358"/>
      <c r="CH90" s="358"/>
      <c r="CI90" s="358"/>
      <c r="CJ90" s="358"/>
      <c r="CK90" s="358"/>
      <c r="CL90" s="358"/>
      <c r="CM90" s="358"/>
      <c r="CN90" s="358"/>
      <c r="CO90" s="358"/>
      <c r="CP90" s="358"/>
      <c r="CQ90" s="358"/>
      <c r="CR90" s="358"/>
      <c r="CS90" s="358"/>
      <c r="CT90" s="358"/>
      <c r="CU90" s="358"/>
      <c r="CV90" s="358"/>
      <c r="CW90" s="358"/>
      <c r="CX90" s="358"/>
      <c r="CY90" s="358"/>
      <c r="CZ90" s="358"/>
      <c r="DA90" s="358"/>
      <c r="DB90" s="358"/>
      <c r="DC90" s="358"/>
      <c r="DD90" s="358"/>
      <c r="DE90" s="358"/>
      <c r="DF90" s="358"/>
      <c r="DG90" s="358"/>
      <c r="DH90" s="358"/>
      <c r="DI90" s="358"/>
      <c r="DJ90" s="358"/>
      <c r="DK90" s="358"/>
      <c r="DL90" s="358"/>
      <c r="DM90" s="358"/>
      <c r="DN90" s="358"/>
      <c r="DO90" s="358"/>
      <c r="DP90" s="358"/>
      <c r="DQ90" s="358"/>
      <c r="DR90" s="358"/>
      <c r="DS90" s="358"/>
      <c r="DT90" s="358"/>
      <c r="DU90" s="358"/>
      <c r="DV90" s="358"/>
      <c r="DW90" s="358"/>
      <c r="DX90" s="358"/>
      <c r="DY90" s="358"/>
      <c r="DZ90" s="358"/>
      <c r="EA90" s="358"/>
      <c r="EB90" s="358"/>
      <c r="EC90" s="358"/>
      <c r="ED90" s="358"/>
      <c r="EE90" s="358"/>
      <c r="EF90" s="358"/>
      <c r="EG90" s="358"/>
      <c r="EH90" s="358"/>
      <c r="EI90" s="358"/>
      <c r="EJ90" s="358"/>
      <c r="EK90" s="358"/>
      <c r="EL90" s="358"/>
      <c r="EM90" s="358"/>
      <c r="EN90" s="358"/>
      <c r="EO90" s="358"/>
      <c r="EP90" s="358"/>
      <c r="EQ90" s="358"/>
      <c r="ER90" s="358"/>
      <c r="ES90" s="358"/>
      <c r="ET90" s="358"/>
      <c r="EU90" s="358"/>
      <c r="EV90" s="358"/>
      <c r="EW90" s="358"/>
      <c r="EX90" s="358"/>
      <c r="EY90" s="358"/>
      <c r="EZ90" s="358"/>
      <c r="FA90" s="358"/>
      <c r="FB90" s="358"/>
      <c r="FC90" s="358"/>
      <c r="FD90" s="358"/>
      <c r="FE90" s="358"/>
      <c r="FF90" s="358"/>
      <c r="FG90" s="358"/>
      <c r="FH90" s="358"/>
      <c r="FI90" s="358"/>
      <c r="FJ90" s="358"/>
      <c r="FK90" s="358"/>
      <c r="FL90" s="358"/>
      <c r="FM90" s="358"/>
      <c r="FN90" s="358"/>
      <c r="FO90" s="358"/>
      <c r="FP90" s="358"/>
      <c r="FQ90" s="358"/>
      <c r="FR90" s="358"/>
      <c r="FS90" s="358"/>
      <c r="FT90" s="358"/>
      <c r="FU90" s="358"/>
      <c r="FV90" s="358"/>
      <c r="FW90" s="358"/>
      <c r="FX90" s="358"/>
      <c r="FY90" s="358"/>
      <c r="FZ90" s="358"/>
      <c r="GA90" s="358"/>
      <c r="GB90" s="358"/>
      <c r="GC90" s="358"/>
      <c r="GD90" s="358"/>
      <c r="GE90" s="358"/>
      <c r="GF90" s="358"/>
      <c r="GG90" s="358"/>
      <c r="GH90" s="358"/>
      <c r="GI90" s="358"/>
      <c r="GJ90" s="358"/>
      <c r="GK90" s="358"/>
      <c r="GL90" s="358"/>
      <c r="GM90" s="358"/>
      <c r="GN90" s="358"/>
      <c r="GO90" s="358"/>
      <c r="GP90" s="358"/>
      <c r="GQ90" s="358"/>
      <c r="GR90" s="358"/>
      <c r="GS90" s="358"/>
      <c r="GT90" s="358"/>
      <c r="GU90" s="358"/>
      <c r="GV90" s="358"/>
      <c r="GW90" s="358"/>
      <c r="GX90" s="358"/>
      <c r="GY90" s="358"/>
      <c r="GZ90" s="358"/>
      <c r="HA90" s="358"/>
      <c r="HB90" s="358"/>
      <c r="HC90" s="358"/>
      <c r="HD90" s="358"/>
      <c r="HE90" s="358"/>
      <c r="HF90" s="358"/>
      <c r="HG90" s="358"/>
      <c r="HH90" s="358"/>
      <c r="HI90" s="358"/>
      <c r="HJ90" s="358"/>
      <c r="HK90" s="358"/>
      <c r="HL90" s="358"/>
      <c r="HM90" s="358"/>
      <c r="HN90" s="358"/>
      <c r="HO90" s="358"/>
      <c r="HP90" s="358"/>
      <c r="HQ90" s="358"/>
      <c r="HR90" s="358"/>
      <c r="HS90" s="358"/>
      <c r="HT90" s="358"/>
      <c r="HU90" s="358"/>
      <c r="HV90" s="358"/>
      <c r="HW90" s="358"/>
      <c r="HX90" s="358"/>
      <c r="HY90" s="358"/>
      <c r="HZ90" s="358"/>
      <c r="IA90" s="358"/>
      <c r="IB90" s="358"/>
      <c r="IC90" s="358"/>
      <c r="ID90" s="358"/>
      <c r="IE90" s="358"/>
      <c r="IF90" s="358"/>
      <c r="IG90" s="358"/>
      <c r="IH90" s="358"/>
      <c r="II90" s="358"/>
      <c r="IJ90" s="358"/>
      <c r="IK90" s="358"/>
      <c r="IL90" s="358"/>
      <c r="IM90" s="358"/>
      <c r="IN90" s="358"/>
      <c r="IO90" s="358"/>
      <c r="IP90" s="358"/>
      <c r="IQ90" s="358"/>
    </row>
    <row r="91" customFormat="false" ht="13.5" hidden="true" customHeight="true" outlineLevel="0" collapsed="false">
      <c r="A91" s="108"/>
      <c r="B91" s="402"/>
      <c r="C91" s="403"/>
      <c r="D91" s="110"/>
      <c r="E91" s="311"/>
      <c r="F91" s="112" t="n">
        <f aca="false">IF(ISERROR(VLOOKUP(D90,일용직명단!$A$3:$K$1246,9,FALSE())),0,VLOOKUP(D90,일용직명단!$A$3:$K$1246,9,FALSE()))</f>
        <v>0</v>
      </c>
      <c r="G91" s="417"/>
      <c r="H91" s="424"/>
      <c r="I91" s="419"/>
      <c r="J91" s="424"/>
      <c r="K91" s="419"/>
      <c r="L91" s="424"/>
      <c r="M91" s="424"/>
      <c r="N91" s="419"/>
      <c r="O91" s="424"/>
      <c r="P91" s="419"/>
      <c r="Q91" s="424"/>
      <c r="R91" s="424"/>
      <c r="S91" s="417"/>
      <c r="T91" s="417"/>
      <c r="U91" s="417"/>
      <c r="V91" s="417"/>
      <c r="W91" s="168"/>
      <c r="X91" s="138" t="n">
        <f aca="false">X90*W90</f>
        <v>0</v>
      </c>
      <c r="Y91" s="122" t="n">
        <f aca="false">IF(AI90&lt;1000,0,AI90)</f>
        <v>0</v>
      </c>
      <c r="Z91" s="122" t="n">
        <f aca="false">ROUNDDOWN(Y91*10%,-1)</f>
        <v>0</v>
      </c>
      <c r="AA91" s="123" t="n">
        <f aca="false">IF(AF90&gt;=8,ROUNDDOWN(Z90*$R$4,-1),0)</f>
        <v>0</v>
      </c>
      <c r="AB91" s="145"/>
      <c r="AC91" s="146"/>
      <c r="AD91" s="414" t="n">
        <f aca="false">IF(ISERROR(VLOOKUP(D90,[31]일용직명단!$A$3:$I$1200,7,FALSE())),0,VLOOKUP(D90,[31]일용직명단!$A$3:$I$1200,7,FALSE()))</f>
        <v>0</v>
      </c>
      <c r="AE91" s="414"/>
      <c r="AF91" s="141"/>
      <c r="AG91" s="169"/>
      <c r="AH91" s="169"/>
      <c r="AI91" s="130"/>
      <c r="AJ91" s="130" t="n">
        <f aca="false">IF($X90*G91&gt;150000,($X90*G91-150000)*6%*45%,0)</f>
        <v>0</v>
      </c>
      <c r="AK91" s="130" t="n">
        <f aca="false">IF($X90*H91&gt;150000,($X90*H91-150000)*6%*45%,0)</f>
        <v>0</v>
      </c>
      <c r="AL91" s="130" t="n">
        <f aca="false">IF($X90*I91&gt;150000,($X90*I91-150000)*6%*45%,0)</f>
        <v>0</v>
      </c>
      <c r="AM91" s="130" t="n">
        <f aca="false">IF($X90*J91&gt;150000,($X90*J91-150000)*6%*45%,0)</f>
        <v>0</v>
      </c>
      <c r="AN91" s="130" t="n">
        <f aca="false">IF($X90*K91&gt;150000,($X90*K91-150000)*6%*45%,0)</f>
        <v>0</v>
      </c>
      <c r="AO91" s="130" t="n">
        <f aca="false">IF($X90*L91&gt;150000,($X90*L91-150000)*6%*45%,0)</f>
        <v>0</v>
      </c>
      <c r="AP91" s="130" t="n">
        <f aca="false">IF($X90*M91&gt;150000,($X90*M91-150000)*6%*45%,0)</f>
        <v>0</v>
      </c>
      <c r="AQ91" s="130" t="n">
        <f aca="false">IF($X90*N91&gt;150000,($X90*N91-150000)*6%*45%,0)</f>
        <v>0</v>
      </c>
      <c r="AR91" s="130" t="n">
        <f aca="false">IF($X90*O91&gt;150000,($X90*O91-150000)*6%*45%,0)</f>
        <v>0</v>
      </c>
      <c r="AS91" s="130" t="n">
        <f aca="false">IF($X90*P91&gt;150000,($X90*P91-150000)*6%*45%,0)</f>
        <v>0</v>
      </c>
      <c r="AT91" s="130" t="n">
        <f aca="false">IF($X90*Q91&gt;150000,($X90*Q91-150000)*6%*45%,0)</f>
        <v>0</v>
      </c>
      <c r="AU91" s="130" t="n">
        <f aca="false">IF($X90*R91&gt;150000,($X90*R91-150000)*6%*45%,0)</f>
        <v>0</v>
      </c>
      <c r="AV91" s="130" t="n">
        <f aca="false">IF($X90*S91&gt;150000,($X90*S91-150000)*6%*45%,0)</f>
        <v>0</v>
      </c>
      <c r="AW91" s="130" t="n">
        <f aca="false">IF($X90*T91&gt;150000,($X90*T91-150000)*6%*45%,0)</f>
        <v>0</v>
      </c>
      <c r="AX91" s="130" t="n">
        <f aca="false">IF($X90*U91&gt;150000,($X90*U91-150000)*6%*45%,0)</f>
        <v>0</v>
      </c>
      <c r="AY91" s="130" t="n">
        <f aca="false">IF($X90*V91&gt;150000,($X90*V91-150000)*6%*45%,0)</f>
        <v>0</v>
      </c>
      <c r="AZ91" s="131"/>
      <c r="BA91" s="11"/>
      <c r="BC91" s="358"/>
      <c r="BD91" s="358"/>
      <c r="BE91" s="358"/>
      <c r="BF91" s="358"/>
      <c r="BG91" s="358"/>
      <c r="BH91" s="358"/>
      <c r="BI91" s="358"/>
      <c r="BJ91" s="358"/>
      <c r="BK91" s="358"/>
      <c r="BL91" s="358"/>
      <c r="BM91" s="358"/>
      <c r="BN91" s="358"/>
      <c r="BO91" s="358"/>
      <c r="BP91" s="358"/>
      <c r="BQ91" s="358"/>
      <c r="BR91" s="358"/>
      <c r="BS91" s="358"/>
      <c r="BT91" s="358"/>
      <c r="BU91" s="358"/>
      <c r="BV91" s="358"/>
      <c r="BW91" s="358"/>
      <c r="BX91" s="358"/>
      <c r="BY91" s="358"/>
      <c r="BZ91" s="358"/>
      <c r="CA91" s="358"/>
      <c r="CB91" s="358"/>
      <c r="CC91" s="358"/>
      <c r="CD91" s="358"/>
      <c r="CE91" s="358"/>
      <c r="CF91" s="358"/>
      <c r="CG91" s="358"/>
      <c r="CH91" s="358"/>
      <c r="CI91" s="358"/>
      <c r="CJ91" s="358"/>
      <c r="CK91" s="358"/>
      <c r="CL91" s="358"/>
      <c r="CM91" s="358"/>
      <c r="CN91" s="358"/>
      <c r="CO91" s="358"/>
      <c r="CP91" s="358"/>
      <c r="CQ91" s="358"/>
      <c r="CR91" s="358"/>
      <c r="CS91" s="358"/>
      <c r="CT91" s="358"/>
      <c r="CU91" s="358"/>
      <c r="CV91" s="358"/>
      <c r="CW91" s="358"/>
      <c r="CX91" s="358"/>
      <c r="CY91" s="358"/>
      <c r="CZ91" s="358"/>
      <c r="DA91" s="358"/>
      <c r="DB91" s="358"/>
      <c r="DC91" s="358"/>
      <c r="DD91" s="358"/>
      <c r="DE91" s="358"/>
      <c r="DF91" s="358"/>
      <c r="DG91" s="358"/>
      <c r="DH91" s="358"/>
      <c r="DI91" s="358"/>
      <c r="DJ91" s="358"/>
      <c r="DK91" s="358"/>
      <c r="DL91" s="358"/>
      <c r="DM91" s="358"/>
      <c r="DN91" s="358"/>
      <c r="DO91" s="358"/>
      <c r="DP91" s="358"/>
      <c r="DQ91" s="358"/>
      <c r="DR91" s="358"/>
      <c r="DS91" s="358"/>
      <c r="DT91" s="358"/>
      <c r="DU91" s="358"/>
      <c r="DV91" s="358"/>
      <c r="DW91" s="358"/>
      <c r="DX91" s="358"/>
      <c r="DY91" s="358"/>
      <c r="DZ91" s="358"/>
      <c r="EA91" s="358"/>
      <c r="EB91" s="358"/>
      <c r="EC91" s="358"/>
      <c r="ED91" s="358"/>
      <c r="EE91" s="358"/>
      <c r="EF91" s="358"/>
      <c r="EG91" s="358"/>
      <c r="EH91" s="358"/>
      <c r="EI91" s="358"/>
      <c r="EJ91" s="358"/>
      <c r="EK91" s="358"/>
      <c r="EL91" s="358"/>
      <c r="EM91" s="358"/>
      <c r="EN91" s="358"/>
      <c r="EO91" s="358"/>
      <c r="EP91" s="358"/>
      <c r="EQ91" s="358"/>
      <c r="ER91" s="358"/>
      <c r="ES91" s="358"/>
      <c r="ET91" s="358"/>
      <c r="EU91" s="358"/>
      <c r="EV91" s="358"/>
      <c r="EW91" s="358"/>
      <c r="EX91" s="358"/>
      <c r="EY91" s="358"/>
      <c r="EZ91" s="358"/>
      <c r="FA91" s="358"/>
      <c r="FB91" s="358"/>
      <c r="FC91" s="358"/>
      <c r="FD91" s="358"/>
      <c r="FE91" s="358"/>
      <c r="FF91" s="358"/>
      <c r="FG91" s="358"/>
      <c r="FH91" s="358"/>
      <c r="FI91" s="358"/>
      <c r="FJ91" s="358"/>
      <c r="FK91" s="358"/>
      <c r="FL91" s="358"/>
      <c r="FM91" s="358"/>
      <c r="FN91" s="358"/>
      <c r="FO91" s="358"/>
      <c r="FP91" s="358"/>
      <c r="FQ91" s="358"/>
      <c r="FR91" s="358"/>
      <c r="FS91" s="358"/>
      <c r="FT91" s="358"/>
      <c r="FU91" s="358"/>
      <c r="FV91" s="358"/>
      <c r="FW91" s="358"/>
      <c r="FX91" s="358"/>
      <c r="FY91" s="358"/>
      <c r="FZ91" s="358"/>
      <c r="GA91" s="358"/>
      <c r="GB91" s="358"/>
      <c r="GC91" s="358"/>
      <c r="GD91" s="358"/>
      <c r="GE91" s="358"/>
      <c r="GF91" s="358"/>
      <c r="GG91" s="358"/>
      <c r="GH91" s="358"/>
      <c r="GI91" s="358"/>
      <c r="GJ91" s="358"/>
      <c r="GK91" s="358"/>
      <c r="GL91" s="358"/>
      <c r="GM91" s="358"/>
      <c r="GN91" s="358"/>
      <c r="GO91" s="358"/>
      <c r="GP91" s="358"/>
      <c r="GQ91" s="358"/>
      <c r="GR91" s="358"/>
      <c r="GS91" s="358"/>
      <c r="GT91" s="358"/>
      <c r="GU91" s="358"/>
      <c r="GV91" s="358"/>
      <c r="GW91" s="358"/>
      <c r="GX91" s="358"/>
      <c r="GY91" s="358"/>
      <c r="GZ91" s="358"/>
      <c r="HA91" s="358"/>
      <c r="HB91" s="358"/>
      <c r="HC91" s="358"/>
      <c r="HD91" s="358"/>
      <c r="HE91" s="358"/>
      <c r="HF91" s="358"/>
      <c r="HG91" s="358"/>
      <c r="HH91" s="358"/>
      <c r="HI91" s="358"/>
      <c r="HJ91" s="358"/>
      <c r="HK91" s="358"/>
      <c r="HL91" s="358"/>
      <c r="HM91" s="358"/>
      <c r="HN91" s="358"/>
      <c r="HO91" s="358"/>
      <c r="HP91" s="358"/>
      <c r="HQ91" s="358"/>
      <c r="HR91" s="358"/>
      <c r="HS91" s="358"/>
      <c r="HT91" s="358"/>
      <c r="HU91" s="358"/>
      <c r="HV91" s="358"/>
      <c r="HW91" s="358"/>
      <c r="HX91" s="358"/>
      <c r="HY91" s="358"/>
      <c r="HZ91" s="358"/>
      <c r="IA91" s="358"/>
      <c r="IB91" s="358"/>
      <c r="IC91" s="358"/>
      <c r="ID91" s="358"/>
      <c r="IE91" s="358"/>
      <c r="IF91" s="358"/>
      <c r="IG91" s="358"/>
      <c r="IH91" s="358"/>
      <c r="II91" s="358"/>
      <c r="IJ91" s="358"/>
      <c r="IK91" s="358"/>
      <c r="IL91" s="358"/>
      <c r="IM91" s="358"/>
      <c r="IN91" s="358"/>
      <c r="IO91" s="358"/>
      <c r="IP91" s="358"/>
      <c r="IQ91" s="358"/>
    </row>
    <row r="92" customFormat="false" ht="13.5" hidden="true" customHeight="true" outlineLevel="0" collapsed="false">
      <c r="A92" s="108" t="n">
        <f aca="false">A90+1</f>
        <v>42</v>
      </c>
      <c r="B92" s="404"/>
      <c r="C92" s="403" t="n">
        <f aca="false">IF(ISERROR(VLOOKUP(D92,[31]일용직명단!$A$3:$I$105,2,FALSE())),0,VLOOKUP(D92,[31]일용직명단!$A$3:$I$105,2,FALSE()))</f>
        <v>0</v>
      </c>
      <c r="D92" s="394"/>
      <c r="E92" s="311" t="n">
        <f aca="false">IF(ISERROR(VLOOKUP(D92,[31]일용직명단!$A$3:$K$1220,3,FALSE())),0,VLOOKUP(D92,[31]일용직명단!$A$3:$K$1220,3,FALSE()))</f>
        <v>0</v>
      </c>
      <c r="F92" s="112" t="n">
        <f aca="false">IF(ISERROR(VLOOKUP(D92,일용직명단!$A$3:$K$1246,4,FALSE())),0,VLOOKUP(D92,일용직명단!$A$3:$K$1246,4,FALSE()))</f>
        <v>0</v>
      </c>
      <c r="G92" s="417"/>
      <c r="H92" s="417"/>
      <c r="I92" s="417"/>
      <c r="J92" s="419"/>
      <c r="K92" s="417"/>
      <c r="L92" s="419"/>
      <c r="M92" s="417"/>
      <c r="N92" s="417"/>
      <c r="O92" s="424"/>
      <c r="P92" s="424"/>
      <c r="Q92" s="424"/>
      <c r="R92" s="424"/>
      <c r="S92" s="419"/>
      <c r="T92" s="424"/>
      <c r="U92" s="419"/>
      <c r="V92" s="416"/>
      <c r="W92" s="168" t="n">
        <f aca="false">SUM(G92:V93)</f>
        <v>0</v>
      </c>
      <c r="X92" s="121" t="n">
        <f aca="false">IF(ISERROR(VLOOKUP(D92,일용직명단!$A$3:$K$1246,8,FALSE())),0,VLOOKUP(D92,일용직명단!$A$3:$K$1246,8,FALSE()))</f>
        <v>0</v>
      </c>
      <c r="Y92" s="122" t="n">
        <f aca="false">IFERROR(IF(AH92&gt;=65,0,ROUNDDOWN(X93*$AA$4,-1)),0)</f>
        <v>0</v>
      </c>
      <c r="Z92" s="122" t="n">
        <f aca="false">IF(AF92&gt;=8,ROUNDDOWN(X93*$N$4,-1),0)</f>
        <v>0</v>
      </c>
      <c r="AA92" s="123" t="n">
        <f aca="false">IFERROR(IF(AND(COUNT(G92:V93)&gt;=8,$AH92&lt;60,X93&lt;=5530000),ROUNDDOWN(ROUNDDOWN(X93,-3)*4.5%,-1),IF(AND(COUNT(G92:V93)&gt;=8,AH92&lt;60,X93&gt;5530000),248850,0)),0)</f>
        <v>0</v>
      </c>
      <c r="AB92" s="145" t="n">
        <f aca="false">+Y92+Z92+Y93+Z93+AA92+AA93</f>
        <v>0</v>
      </c>
      <c r="AC92" s="146" t="n">
        <f aca="false">X93-AB92</f>
        <v>0</v>
      </c>
      <c r="AD92" s="411" t="n">
        <f aca="false">IF(ISERROR(VLOOKUP(D92,[31]일용직명단!$A$3:$I$1200,5,FALSE())),0,VLOOKUP(D92,[31]일용직명단!$A$3:$I$1200,5,FALSE()))</f>
        <v>0</v>
      </c>
      <c r="AE92" s="412" t="n">
        <f aca="false">IF(ISERROR(VLOOKUP(D92,[31]일용직명단!$A$3:$I$1200,6,FALSE())),0,VLOOKUP(D92,[31]일용직명단!$A$3:$I$1200,6,FALSE()))</f>
        <v>0</v>
      </c>
      <c r="AF92" s="141" t="n">
        <f aca="false">COUNT(G92:V93)</f>
        <v>0</v>
      </c>
      <c r="AG92" s="129" t="str">
        <f aca="false">IF(OR(MID(E92,8,1)="1",MID(E92,8,1)="2"),19&amp;LEFT(E92,2),20&amp;LEFT(E92,2))&amp;"-"&amp;MID(E92,3,2)&amp;"-"&amp;MID(E92,5,2)</f>
        <v>200--</v>
      </c>
      <c r="AH92" s="129" t="e">
        <f aca="true">INT((TODAY()-AG92)/365.25)</f>
        <v>#VALUE!</v>
      </c>
      <c r="AI92" s="130" t="n">
        <f aca="false">ROUNDDOWN(SUM(AJ92:AY93),-1)</f>
        <v>0</v>
      </c>
      <c r="AJ92" s="130" t="n">
        <f aca="false">IF($X92*G92&gt;150000,($X92*G92-150000)*6%*45%,0)</f>
        <v>0</v>
      </c>
      <c r="AK92" s="130" t="n">
        <f aca="false">IF($X92*H92&gt;150000,($X92*H92-150000)*6%*45%,0)</f>
        <v>0</v>
      </c>
      <c r="AL92" s="130" t="n">
        <f aca="false">IF($X92*I92&gt;150000,($X92*I92-150000)*6%*45%,0)</f>
        <v>0</v>
      </c>
      <c r="AM92" s="130" t="n">
        <f aca="false">IF($X92*J92&gt;150000,($X92*J92-150000)*6%*45%,0)</f>
        <v>0</v>
      </c>
      <c r="AN92" s="130" t="n">
        <f aca="false">IF($X92*K92&gt;150000,($X92*K92-150000)*6%*45%,0)</f>
        <v>0</v>
      </c>
      <c r="AO92" s="130" t="n">
        <f aca="false">IF($X92*L92&gt;150000,($X92*L92-150000)*6%*45%,0)</f>
        <v>0</v>
      </c>
      <c r="AP92" s="130" t="n">
        <f aca="false">IF($X92*M92&gt;150000,($X92*M92-150000)*6%*45%,0)</f>
        <v>0</v>
      </c>
      <c r="AQ92" s="130" t="n">
        <f aca="false">IF($X92*N92&gt;150000,($X92*N92-150000)*6%*45%,0)</f>
        <v>0</v>
      </c>
      <c r="AR92" s="130" t="n">
        <f aca="false">IF($X92*O92&gt;150000,($X92*O92-150000)*6%*45%,0)</f>
        <v>0</v>
      </c>
      <c r="AS92" s="130" t="n">
        <f aca="false">IF($X92*P92&gt;150000,($X92*P92-150000)*6%*45%,0)</f>
        <v>0</v>
      </c>
      <c r="AT92" s="130" t="n">
        <f aca="false">IF($X92*Q92&gt;150000,($X92*Q92-150000)*6%*45%,0)</f>
        <v>0</v>
      </c>
      <c r="AU92" s="130" t="n">
        <f aca="false">IF($X92*R92&gt;150000,($X92*R92-150000)*6%*45%,0)</f>
        <v>0</v>
      </c>
      <c r="AV92" s="130" t="n">
        <f aca="false">IF($X92*S92&gt;150000,($X92*S92-150000)*6%*45%,0)</f>
        <v>0</v>
      </c>
      <c r="AW92" s="130" t="n">
        <f aca="false">IF($X92*T92&gt;150000,($X92*T92-150000)*6%*45%,0)</f>
        <v>0</v>
      </c>
      <c r="AX92" s="130" t="n">
        <f aca="false">IF($X92*U92&gt;150000,($X92*U92-150000)*6%*45%,0)</f>
        <v>0</v>
      </c>
      <c r="AY92" s="130"/>
      <c r="AZ92" s="131" t="n">
        <f aca="false">IF(ISERROR(VLOOKUP(D92,[32]일용직명단!$A$3:$M$1151,11,FALSE())),0,VLOOKUP(D92,[32]일용직명단!$A$3:$M$1151,11,FALSE()))</f>
        <v>0</v>
      </c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A92" s="11"/>
      <c r="HB92" s="11"/>
      <c r="HC92" s="11"/>
      <c r="HD92" s="11"/>
      <c r="HE92" s="11"/>
      <c r="HF92" s="11"/>
      <c r="HG92" s="11"/>
      <c r="HH92" s="11"/>
      <c r="HI92" s="11"/>
      <c r="HJ92" s="11"/>
      <c r="HK92" s="11"/>
      <c r="HL92" s="11"/>
      <c r="HM92" s="11"/>
      <c r="HN92" s="11"/>
      <c r="HO92" s="11"/>
      <c r="HP92" s="11"/>
      <c r="HQ92" s="11"/>
      <c r="HR92" s="11"/>
      <c r="HS92" s="11"/>
      <c r="HT92" s="11"/>
      <c r="HU92" s="11"/>
      <c r="HV92" s="11"/>
      <c r="HW92" s="11"/>
      <c r="HX92" s="11"/>
      <c r="HY92" s="11"/>
      <c r="HZ92" s="11"/>
      <c r="IA92" s="11"/>
      <c r="IB92" s="11"/>
      <c r="IC92" s="11"/>
      <c r="ID92" s="11"/>
      <c r="IE92" s="11"/>
      <c r="IF92" s="11"/>
      <c r="IG92" s="11"/>
      <c r="IH92" s="11"/>
      <c r="II92" s="11"/>
      <c r="IJ92" s="11"/>
      <c r="IK92" s="11"/>
      <c r="IL92" s="11"/>
      <c r="IM92" s="11"/>
      <c r="IN92" s="11"/>
      <c r="IO92" s="11"/>
      <c r="IP92" s="11"/>
      <c r="IQ92" s="11"/>
      <c r="IR92" s="11"/>
      <c r="IS92" s="11"/>
      <c r="IT92" s="11"/>
      <c r="IU92" s="11"/>
      <c r="IV92" s="11"/>
      <c r="IW92" s="11"/>
    </row>
    <row r="93" customFormat="false" ht="13.5" hidden="true" customHeight="true" outlineLevel="0" collapsed="false">
      <c r="A93" s="108"/>
      <c r="B93" s="404"/>
      <c r="C93" s="403"/>
      <c r="D93" s="394"/>
      <c r="E93" s="311"/>
      <c r="F93" s="112" t="n">
        <f aca="false">IF(ISERROR(VLOOKUP(D92,일용직명단!$A$3:$K$1246,9,FALSE())),0,VLOOKUP(D92,일용직명단!$A$3:$K$1246,9,FALSE()))</f>
        <v>0</v>
      </c>
      <c r="G93" s="417"/>
      <c r="H93" s="424"/>
      <c r="I93" s="419"/>
      <c r="J93" s="424"/>
      <c r="K93" s="419"/>
      <c r="L93" s="424"/>
      <c r="M93" s="424"/>
      <c r="N93" s="419"/>
      <c r="O93" s="424"/>
      <c r="P93" s="419"/>
      <c r="Q93" s="424"/>
      <c r="R93" s="424"/>
      <c r="S93" s="417"/>
      <c r="T93" s="417"/>
      <c r="U93" s="417"/>
      <c r="V93" s="417"/>
      <c r="W93" s="168"/>
      <c r="X93" s="138" t="n">
        <f aca="false">X92*W92</f>
        <v>0</v>
      </c>
      <c r="Y93" s="122" t="n">
        <f aca="false">IF(AI92&lt;1000,0,AI92)</f>
        <v>0</v>
      </c>
      <c r="Z93" s="122" t="n">
        <f aca="false">ROUNDDOWN(Y93*10%,-1)</f>
        <v>0</v>
      </c>
      <c r="AA93" s="123" t="n">
        <f aca="false">IF(AF92&gt;=8,ROUNDDOWN(Z92*$R$4,-1),0)</f>
        <v>0</v>
      </c>
      <c r="AB93" s="145"/>
      <c r="AC93" s="146"/>
      <c r="AD93" s="412" t="n">
        <f aca="false">IF(ISERROR(VLOOKUP(D92,[31]일용직명단!$A$3:$I$1200,7,FALSE())),0,VLOOKUP(D92,[31]일용직명단!$A$3:$I$1200,7,FALSE()))</f>
        <v>0</v>
      </c>
      <c r="AE93" s="412"/>
      <c r="AF93" s="141"/>
      <c r="AG93" s="129"/>
      <c r="AH93" s="129"/>
      <c r="AI93" s="130"/>
      <c r="AJ93" s="130" t="n">
        <f aca="false">IF($X92*G93&gt;150000,($X92*G93-150000)*6%*45%,0)</f>
        <v>0</v>
      </c>
      <c r="AK93" s="130" t="n">
        <f aca="false">IF($X92*H93&gt;150000,($X92*H93-150000)*6%*45%,0)</f>
        <v>0</v>
      </c>
      <c r="AL93" s="130" t="n">
        <f aca="false">IF($X92*I93&gt;150000,($X92*I93-150000)*6%*45%,0)</f>
        <v>0</v>
      </c>
      <c r="AM93" s="130" t="n">
        <f aca="false">IF($X92*J93&gt;150000,($X92*J93-150000)*6%*45%,0)</f>
        <v>0</v>
      </c>
      <c r="AN93" s="130" t="n">
        <f aca="false">IF($X92*K93&gt;150000,($X92*K93-150000)*6%*45%,0)</f>
        <v>0</v>
      </c>
      <c r="AO93" s="130" t="n">
        <f aca="false">IF($X92*L93&gt;150000,($X92*L93-150000)*6%*45%,0)</f>
        <v>0</v>
      </c>
      <c r="AP93" s="130" t="n">
        <f aca="false">IF($X92*M93&gt;150000,($X92*M93-150000)*6%*45%,0)</f>
        <v>0</v>
      </c>
      <c r="AQ93" s="130" t="n">
        <f aca="false">IF($X92*N93&gt;150000,($X92*N93-150000)*6%*45%,0)</f>
        <v>0</v>
      </c>
      <c r="AR93" s="130" t="n">
        <f aca="false">IF($X92*O93&gt;150000,($X92*O93-150000)*6%*45%,0)</f>
        <v>0</v>
      </c>
      <c r="AS93" s="130" t="n">
        <f aca="false">IF($X92*P93&gt;150000,($X92*P93-150000)*6%*45%,0)</f>
        <v>0</v>
      </c>
      <c r="AT93" s="130" t="n">
        <f aca="false">IF($X92*Q93&gt;150000,($X92*Q93-150000)*6%*45%,0)</f>
        <v>0</v>
      </c>
      <c r="AU93" s="130" t="n">
        <f aca="false">IF($X92*R93&gt;150000,($X92*R93-150000)*6%*45%,0)</f>
        <v>0</v>
      </c>
      <c r="AV93" s="130" t="n">
        <f aca="false">IF($X92*S93&gt;150000,($X92*S93-150000)*6%*45%,0)</f>
        <v>0</v>
      </c>
      <c r="AW93" s="130" t="n">
        <f aca="false">IF($X92*T93&gt;150000,($X92*T93-150000)*6%*45%,0)</f>
        <v>0</v>
      </c>
      <c r="AX93" s="130" t="n">
        <f aca="false">IF($X92*U93&gt;150000,($X92*U93-150000)*6%*45%,0)</f>
        <v>0</v>
      </c>
      <c r="AY93" s="130" t="n">
        <f aca="false">IF($X92*V93&gt;150000,($X92*V93-150000)*6%*45%,0)</f>
        <v>0</v>
      </c>
      <c r="AZ93" s="13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  <c r="IV93" s="11"/>
      <c r="IW93" s="11"/>
    </row>
    <row r="94" customFormat="false" ht="13.5" hidden="true" customHeight="true" outlineLevel="0" collapsed="false">
      <c r="A94" s="108" t="n">
        <f aca="false">A92+1</f>
        <v>43</v>
      </c>
      <c r="B94" s="404"/>
      <c r="C94" s="159" t="n">
        <f aca="false">IF(ISERROR(VLOOKUP(D94,[31]일용직명단!$A$3:$I$105,2,FALSE())),0,VLOOKUP(D94,[31]일용직명단!$A$3:$I$105,2,FALSE()))</f>
        <v>0</v>
      </c>
      <c r="D94" s="110"/>
      <c r="E94" s="311" t="n">
        <f aca="false">IF(ISERROR(VLOOKUP(D94,[31]일용직명단!$A$3:$K$1220,3,FALSE())),0,VLOOKUP(D94,[31]일용직명단!$A$3:$K$1220,3,FALSE()))</f>
        <v>0</v>
      </c>
      <c r="F94" s="112" t="n">
        <f aca="false">IF(ISERROR(VLOOKUP(D94,일용직명단!$A$3:$K$1246,4,FALSE())),0,VLOOKUP(D94,일용직명단!$A$3:$K$1246,4,FALSE()))</f>
        <v>0</v>
      </c>
      <c r="G94" s="417"/>
      <c r="H94" s="417"/>
      <c r="I94" s="417"/>
      <c r="J94" s="419"/>
      <c r="K94" s="417"/>
      <c r="L94" s="419"/>
      <c r="M94" s="417"/>
      <c r="N94" s="417"/>
      <c r="O94" s="424"/>
      <c r="P94" s="424"/>
      <c r="Q94" s="424"/>
      <c r="R94" s="424"/>
      <c r="S94" s="419"/>
      <c r="T94" s="424"/>
      <c r="U94" s="419"/>
      <c r="V94" s="416"/>
      <c r="W94" s="144" t="n">
        <f aca="false">SUM(G94:V95)</f>
        <v>0</v>
      </c>
      <c r="X94" s="121" t="n">
        <f aca="false">IF(ISERROR(VLOOKUP(D94,일용직명단!$A$3:$K$1246,8,FALSE())),0,VLOOKUP(D94,일용직명단!$A$3:$K$1246,8,FALSE()))</f>
        <v>0</v>
      </c>
      <c r="Y94" s="122" t="n">
        <f aca="false">IFERROR(IF(AH94&gt;=65,0,ROUNDDOWN(X95*$AA$4,-1)),0)</f>
        <v>0</v>
      </c>
      <c r="Z94" s="122" t="n">
        <f aca="false">IF(AF94&gt;=8,ROUNDDOWN(X95*$N$4,-1),0)</f>
        <v>0</v>
      </c>
      <c r="AA94" s="123" t="n">
        <f aca="false">IFERROR(IF(AND(COUNT(G94:V95)&gt;=8,$AH94&lt;60,X95&lt;=5530000),ROUNDDOWN(ROUNDDOWN(X95,-3)*4.5%,-1),IF(AND(COUNT(G94:V95)&gt;=8,AH94&lt;60,X95&gt;5530000),248850,0)),0)</f>
        <v>0</v>
      </c>
      <c r="AB94" s="145" t="n">
        <f aca="false">+Y94+Z94+Y95+Z95+AA94+AA95</f>
        <v>0</v>
      </c>
      <c r="AC94" s="146" t="n">
        <f aca="false">X95-AB94</f>
        <v>0</v>
      </c>
      <c r="AD94" s="411" t="n">
        <f aca="false">IF(ISERROR(VLOOKUP(D94,[31]일용직명단!$A$3:$I$1200,5,FALSE())),0,VLOOKUP(D94,[31]일용직명단!$A$3:$I$1200,5,FALSE()))</f>
        <v>0</v>
      </c>
      <c r="AE94" s="412" t="n">
        <f aca="false">IF(ISERROR(VLOOKUP(D94,[31]일용직명단!$A$3:$I$1200,6,FALSE())),0,VLOOKUP(D94,[31]일용직명단!$A$3:$I$1200,6,FALSE()))</f>
        <v>0</v>
      </c>
      <c r="AF94" s="141" t="n">
        <f aca="false">COUNT(G94:V95)</f>
        <v>0</v>
      </c>
      <c r="AG94" s="129" t="str">
        <f aca="false">IF(OR(MID(E94,8,1)="1",MID(E94,8,1)="2"),19&amp;LEFT(E94,2),20&amp;LEFT(E94,2))&amp;"-"&amp;MID(E94,3,2)&amp;"-"&amp;MID(E94,5,2)</f>
        <v>200--</v>
      </c>
      <c r="AH94" s="129" t="e">
        <f aca="true">INT((TODAY()-AG94)/365.25)</f>
        <v>#VALUE!</v>
      </c>
      <c r="AI94" s="130" t="n">
        <f aca="false">ROUNDDOWN(SUM(AJ94:AY95),-1)</f>
        <v>0</v>
      </c>
      <c r="AJ94" s="130" t="n">
        <f aca="false">IF($X94*G94&gt;150000,($X94*G94-150000)*6%*45%,0)</f>
        <v>0</v>
      </c>
      <c r="AK94" s="130" t="n">
        <f aca="false">IF($X94*H94&gt;150000,($X94*H94-150000)*6%*45%,0)</f>
        <v>0</v>
      </c>
      <c r="AL94" s="130" t="n">
        <f aca="false">IF($X94*I94&gt;150000,($X94*I94-150000)*6%*45%,0)</f>
        <v>0</v>
      </c>
      <c r="AM94" s="130" t="n">
        <f aca="false">IF($X94*J94&gt;150000,($X94*J94-150000)*6%*45%,0)</f>
        <v>0</v>
      </c>
      <c r="AN94" s="130" t="n">
        <f aca="false">IF($X94*K94&gt;150000,($X94*K94-150000)*6%*45%,0)</f>
        <v>0</v>
      </c>
      <c r="AO94" s="130" t="n">
        <f aca="false">IF($X94*L94&gt;150000,($X94*L94-150000)*6%*45%,0)</f>
        <v>0</v>
      </c>
      <c r="AP94" s="130" t="n">
        <f aca="false">IF($X94*M94&gt;150000,($X94*M94-150000)*6%*45%,0)</f>
        <v>0</v>
      </c>
      <c r="AQ94" s="130" t="n">
        <f aca="false">IF($X94*N94&gt;150000,($X94*N94-150000)*6%*45%,0)</f>
        <v>0</v>
      </c>
      <c r="AR94" s="130" t="n">
        <f aca="false">IF($X94*O94&gt;150000,($X94*O94-150000)*6%*45%,0)</f>
        <v>0</v>
      </c>
      <c r="AS94" s="130" t="n">
        <f aca="false">IF($X94*P94&gt;150000,($X94*P94-150000)*6%*45%,0)</f>
        <v>0</v>
      </c>
      <c r="AT94" s="130" t="n">
        <f aca="false">IF($X94*Q94&gt;150000,($X94*Q94-150000)*6%*45%,0)</f>
        <v>0</v>
      </c>
      <c r="AU94" s="130" t="n">
        <f aca="false">IF($X94*R94&gt;150000,($X94*R94-150000)*6%*45%,0)</f>
        <v>0</v>
      </c>
      <c r="AV94" s="130" t="n">
        <f aca="false">IF($X94*S94&gt;150000,($X94*S94-150000)*6%*45%,0)</f>
        <v>0</v>
      </c>
      <c r="AW94" s="130" t="n">
        <f aca="false">IF($X94*T94&gt;150000,($X94*T94-150000)*6%*45%,0)</f>
        <v>0</v>
      </c>
      <c r="AX94" s="130" t="n">
        <f aca="false">IF($X94*U94&gt;150000,($X94*U94-150000)*6%*45%,0)</f>
        <v>0</v>
      </c>
      <c r="AY94" s="130"/>
      <c r="AZ94" s="131" t="n">
        <f aca="false">IF(ISERROR(VLOOKUP(D94,[32]일용직명단!$A$3:$M$1151,11,FALSE())),0,VLOOKUP(D94,[32]일용직명단!$A$3:$M$1151,11,FALSE()))</f>
        <v>0</v>
      </c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  <c r="GP94" s="11"/>
      <c r="GQ94" s="11"/>
      <c r="GR94" s="11"/>
      <c r="GS94" s="11"/>
      <c r="GT94" s="11"/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  <c r="IV94" s="11"/>
      <c r="IW94" s="11"/>
    </row>
    <row r="95" customFormat="false" ht="13.5" hidden="true" customHeight="true" outlineLevel="0" collapsed="false">
      <c r="A95" s="108"/>
      <c r="B95" s="404"/>
      <c r="C95" s="159"/>
      <c r="D95" s="110"/>
      <c r="E95" s="311"/>
      <c r="F95" s="112" t="n">
        <f aca="false">IF(ISERROR(VLOOKUP(D94,일용직명단!$A$3:$K$1246,9,FALSE())),0,VLOOKUP(D94,일용직명단!$A$3:$K$1246,9,FALSE()))</f>
        <v>0</v>
      </c>
      <c r="G95" s="417"/>
      <c r="H95" s="424"/>
      <c r="I95" s="419"/>
      <c r="J95" s="424"/>
      <c r="K95" s="419"/>
      <c r="L95" s="424"/>
      <c r="M95" s="424"/>
      <c r="N95" s="419"/>
      <c r="O95" s="424"/>
      <c r="P95" s="419"/>
      <c r="Q95" s="424"/>
      <c r="R95" s="424"/>
      <c r="S95" s="417"/>
      <c r="T95" s="417"/>
      <c r="U95" s="417"/>
      <c r="V95" s="417"/>
      <c r="W95" s="144"/>
      <c r="X95" s="138" t="n">
        <f aca="false">X94*W94</f>
        <v>0</v>
      </c>
      <c r="Y95" s="122" t="n">
        <f aca="false">IF(AI94&lt;1000,0,AI94)</f>
        <v>0</v>
      </c>
      <c r="Z95" s="122" t="n">
        <f aca="false">ROUNDDOWN(Y95*10%,-1)</f>
        <v>0</v>
      </c>
      <c r="AA95" s="123" t="n">
        <f aca="false">IF(AF94&gt;=8,ROUNDDOWN(Z94*$R$4,-1),0)</f>
        <v>0</v>
      </c>
      <c r="AB95" s="145"/>
      <c r="AC95" s="146"/>
      <c r="AD95" s="412" t="n">
        <f aca="false">IF(ISERROR(VLOOKUP(D94,[31]일용직명단!$A$3:$I$1200,7,FALSE())),0,VLOOKUP(D94,[31]일용직명단!$A$3:$I$1200,7,FALSE()))</f>
        <v>0</v>
      </c>
      <c r="AE95" s="412"/>
      <c r="AF95" s="141"/>
      <c r="AG95" s="129"/>
      <c r="AH95" s="129"/>
      <c r="AI95" s="130"/>
      <c r="AJ95" s="130" t="n">
        <f aca="false">IF($X94*G95&gt;150000,($X94*G95-150000)*6%*45%,0)</f>
        <v>0</v>
      </c>
      <c r="AK95" s="130" t="n">
        <f aca="false">IF($X94*H95&gt;150000,($X94*H95-150000)*6%*45%,0)</f>
        <v>0</v>
      </c>
      <c r="AL95" s="130" t="n">
        <f aca="false">IF($X94*I95&gt;150000,($X94*I95-150000)*6%*45%,0)</f>
        <v>0</v>
      </c>
      <c r="AM95" s="130" t="n">
        <f aca="false">IF($X94*J95&gt;150000,($X94*J95-150000)*6%*45%,0)</f>
        <v>0</v>
      </c>
      <c r="AN95" s="130" t="n">
        <f aca="false">IF($X94*K95&gt;150000,($X94*K95-150000)*6%*45%,0)</f>
        <v>0</v>
      </c>
      <c r="AO95" s="130" t="n">
        <f aca="false">IF($X94*L95&gt;150000,($X94*L95-150000)*6%*45%,0)</f>
        <v>0</v>
      </c>
      <c r="AP95" s="130" t="n">
        <f aca="false">IF($X94*M95&gt;150000,($X94*M95-150000)*6%*45%,0)</f>
        <v>0</v>
      </c>
      <c r="AQ95" s="130" t="n">
        <f aca="false">IF($X94*N95&gt;150000,($X94*N95-150000)*6%*45%,0)</f>
        <v>0</v>
      </c>
      <c r="AR95" s="130" t="n">
        <f aca="false">IF($X94*O95&gt;150000,($X94*O95-150000)*6%*45%,0)</f>
        <v>0</v>
      </c>
      <c r="AS95" s="130" t="n">
        <f aca="false">IF($X94*P95&gt;150000,($X94*P95-150000)*6%*45%,0)</f>
        <v>0</v>
      </c>
      <c r="AT95" s="130" t="n">
        <f aca="false">IF($X94*Q95&gt;150000,($X94*Q95-150000)*6%*45%,0)</f>
        <v>0</v>
      </c>
      <c r="AU95" s="130" t="n">
        <f aca="false">IF($X94*R95&gt;150000,($X94*R95-150000)*6%*45%,0)</f>
        <v>0</v>
      </c>
      <c r="AV95" s="130" t="n">
        <f aca="false">IF($X94*S95&gt;150000,($X94*S95-150000)*6%*45%,0)</f>
        <v>0</v>
      </c>
      <c r="AW95" s="130" t="n">
        <f aca="false">IF($X94*T95&gt;150000,($X94*T95-150000)*6%*45%,0)</f>
        <v>0</v>
      </c>
      <c r="AX95" s="130" t="n">
        <f aca="false">IF($X94*U95&gt;150000,($X94*U95-150000)*6%*45%,0)</f>
        <v>0</v>
      </c>
      <c r="AY95" s="130" t="n">
        <f aca="false">IF($X94*V95&gt;150000,($X94*V95-150000)*6%*45%,0)</f>
        <v>0</v>
      </c>
      <c r="AZ95" s="13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</row>
    <row r="96" customFormat="false" ht="13.5" hidden="true" customHeight="true" outlineLevel="0" collapsed="false">
      <c r="A96" s="108" t="n">
        <f aca="false">A94+1</f>
        <v>44</v>
      </c>
      <c r="B96" s="404"/>
      <c r="C96" s="159" t="n">
        <f aca="false">IF(ISERROR(VLOOKUP(D96,[31]일용직명단!$A$3:$I$105,2,FALSE())),0,VLOOKUP(D96,[31]일용직명단!$A$3:$I$105,2,FALSE()))</f>
        <v>0</v>
      </c>
      <c r="D96" s="394"/>
      <c r="E96" s="311" t="n">
        <f aca="false">IF(ISERROR(VLOOKUP(D96,[31]일용직명단!$A$3:$K$1220,3,FALSE())),0,VLOOKUP(D96,[31]일용직명단!$A$3:$K$1220,3,FALSE()))</f>
        <v>0</v>
      </c>
      <c r="F96" s="112" t="n">
        <f aca="false">IF(ISERROR(VLOOKUP(D96,일용직명단!$A$3:$K$1246,4,FALSE())),0,VLOOKUP(D96,일용직명단!$A$3:$K$1246,4,FALSE()))</f>
        <v>0</v>
      </c>
      <c r="G96" s="425"/>
      <c r="H96" s="424"/>
      <c r="I96" s="424"/>
      <c r="J96" s="417"/>
      <c r="K96" s="419"/>
      <c r="L96" s="419"/>
      <c r="M96" s="419"/>
      <c r="N96" s="419"/>
      <c r="O96" s="417"/>
      <c r="P96" s="417"/>
      <c r="Q96" s="417"/>
      <c r="R96" s="417"/>
      <c r="S96" s="426"/>
      <c r="T96" s="426"/>
      <c r="U96" s="426"/>
      <c r="V96" s="416"/>
      <c r="W96" s="144" t="n">
        <f aca="false">SUM(G96:V97)</f>
        <v>0</v>
      </c>
      <c r="X96" s="121" t="n">
        <f aca="false">IF(ISERROR(VLOOKUP(D96,일용직명단!$A$3:$K$1246,8,FALSE())),0,VLOOKUP(D96,일용직명단!$A$3:$K$1246,8,FALSE()))</f>
        <v>0</v>
      </c>
      <c r="Y96" s="122" t="n">
        <f aca="false">IFERROR(IF(AH96&gt;=65,0,ROUNDDOWN(X97*$AA$4,-1)),0)</f>
        <v>0</v>
      </c>
      <c r="Z96" s="122" t="n">
        <f aca="false">IF(AF96&gt;=8,ROUNDDOWN(X97*$N$4,-1),0)</f>
        <v>0</v>
      </c>
      <c r="AA96" s="123" t="n">
        <f aca="false">IFERROR(IF(AND(COUNT(G96:V97)&gt;=8,$AH96&lt;60,X97&lt;=5530000),ROUNDDOWN(ROUNDDOWN(X97,-3)*4.5%,-1),IF(AND(COUNT(G96:V97)&gt;=8,AH96&lt;60,X97&gt;5530000),248850,0)),0)</f>
        <v>0</v>
      </c>
      <c r="AB96" s="145" t="n">
        <f aca="false">+Y96+Z96+Y97+Z97+AA96+AA97</f>
        <v>0</v>
      </c>
      <c r="AC96" s="146" t="n">
        <f aca="false">X97-AB96</f>
        <v>0</v>
      </c>
      <c r="AD96" s="411" t="n">
        <f aca="false">IF(ISERROR(VLOOKUP(D96,[31]일용직명단!$A$3:$I$1200,5,FALSE())),0,VLOOKUP(D96,[31]일용직명단!$A$3:$I$1200,5,FALSE()))</f>
        <v>0</v>
      </c>
      <c r="AE96" s="412" t="n">
        <f aca="false">IF(ISERROR(VLOOKUP(D96,[31]일용직명단!$A$3:$I$1200,6,FALSE())),0,VLOOKUP(D96,[31]일용직명단!$A$3:$I$1200,6,FALSE()))</f>
        <v>0</v>
      </c>
      <c r="AF96" s="141" t="n">
        <f aca="false">COUNT(G96:V97)</f>
        <v>0</v>
      </c>
      <c r="AG96" s="129" t="str">
        <f aca="false">IF(OR(MID(E96,8,1)="1",MID(E96,8,1)="2"),19&amp;LEFT(E96,2),20&amp;LEFT(E96,2))&amp;"-"&amp;MID(E96,3,2)&amp;"-"&amp;MID(E96,5,2)</f>
        <v>200--</v>
      </c>
      <c r="AH96" s="129" t="e">
        <f aca="true">INT((TODAY()-AG96)/365.25)</f>
        <v>#VALUE!</v>
      </c>
      <c r="AI96" s="130" t="n">
        <f aca="false">ROUNDDOWN(SUM(AJ96:AY97),-1)</f>
        <v>0</v>
      </c>
      <c r="AJ96" s="130" t="n">
        <f aca="false">IF($X96*G96&gt;150000,($X96*G96-150000)*6%*45%,0)</f>
        <v>0</v>
      </c>
      <c r="AK96" s="130" t="n">
        <f aca="false">IF($X96*H96&gt;150000,($X96*H96-150000)*6%*45%,0)</f>
        <v>0</v>
      </c>
      <c r="AL96" s="130" t="n">
        <f aca="false">IF($X96*I96&gt;150000,($X96*I96-150000)*6%*45%,0)</f>
        <v>0</v>
      </c>
      <c r="AM96" s="130" t="n">
        <f aca="false">IF($X96*J96&gt;150000,($X96*J96-150000)*6%*45%,0)</f>
        <v>0</v>
      </c>
      <c r="AN96" s="130" t="n">
        <f aca="false">IF($X96*K96&gt;150000,($X96*K96-150000)*6%*45%,0)</f>
        <v>0</v>
      </c>
      <c r="AO96" s="130" t="n">
        <f aca="false">IF($X96*L96&gt;150000,($X96*L96-150000)*6%*45%,0)</f>
        <v>0</v>
      </c>
      <c r="AP96" s="130" t="n">
        <f aca="false">IF($X96*M96&gt;150000,($X96*M96-150000)*6%*45%,0)</f>
        <v>0</v>
      </c>
      <c r="AQ96" s="130" t="n">
        <f aca="false">IF($X96*N96&gt;150000,($X96*N96-150000)*6%*45%,0)</f>
        <v>0</v>
      </c>
      <c r="AR96" s="130" t="n">
        <f aca="false">IF($X96*O96&gt;150000,($X96*O96-150000)*6%*45%,0)</f>
        <v>0</v>
      </c>
      <c r="AS96" s="130" t="n">
        <f aca="false">IF($X96*P96&gt;150000,($X96*P96-150000)*6%*45%,0)</f>
        <v>0</v>
      </c>
      <c r="AT96" s="130" t="n">
        <f aca="false">IF($X96*Q96&gt;150000,($X96*Q96-150000)*6%*45%,0)</f>
        <v>0</v>
      </c>
      <c r="AU96" s="130" t="n">
        <f aca="false">IF($X96*R96&gt;150000,($X96*R96-150000)*6%*45%,0)</f>
        <v>0</v>
      </c>
      <c r="AV96" s="130" t="n">
        <f aca="false">IF($X96*S96&gt;150000,($X96*S96-150000)*6%*45%,0)</f>
        <v>0</v>
      </c>
      <c r="AW96" s="130" t="n">
        <f aca="false">IF($X96*T96&gt;150000,($X96*T96-150000)*6%*45%,0)</f>
        <v>0</v>
      </c>
      <c r="AX96" s="130" t="n">
        <f aca="false">IF($X96*U96&gt;150000,($X96*U96-150000)*6%*45%,0)</f>
        <v>0</v>
      </c>
      <c r="AY96" s="130"/>
      <c r="AZ96" s="131" t="n">
        <f aca="false">IF(ISERROR(VLOOKUP(D96,[32]일용직명단!$A$3:$M$1151,11,FALSE())),0,VLOOKUP(D96,[32]일용직명단!$A$3:$M$1151,11,FALSE()))</f>
        <v>0</v>
      </c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  <c r="GM96" s="11"/>
      <c r="GN96" s="11"/>
      <c r="GO96" s="11"/>
      <c r="GP96" s="11"/>
      <c r="GQ96" s="11"/>
      <c r="GR96" s="11"/>
      <c r="GS96" s="11"/>
      <c r="GT96" s="11"/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/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  <c r="IV96" s="11"/>
      <c r="IW96" s="11"/>
    </row>
    <row r="97" customFormat="false" ht="13.5" hidden="true" customHeight="true" outlineLevel="0" collapsed="false">
      <c r="A97" s="108"/>
      <c r="B97" s="404"/>
      <c r="C97" s="159"/>
      <c r="D97" s="394"/>
      <c r="E97" s="311"/>
      <c r="F97" s="112" t="n">
        <f aca="false">IF(ISERROR(VLOOKUP(D96,일용직명단!$A$3:$K$1246,9,FALSE())),0,VLOOKUP(D96,일용직명단!$A$3:$K$1246,9,FALSE()))</f>
        <v>0</v>
      </c>
      <c r="G97" s="424"/>
      <c r="H97" s="424"/>
      <c r="I97" s="424"/>
      <c r="J97" s="417"/>
      <c r="K97" s="417"/>
      <c r="L97" s="419"/>
      <c r="M97" s="419"/>
      <c r="N97" s="419"/>
      <c r="O97" s="426"/>
      <c r="P97" s="426"/>
      <c r="Q97" s="417"/>
      <c r="R97" s="426"/>
      <c r="S97" s="426"/>
      <c r="T97" s="426"/>
      <c r="U97" s="426"/>
      <c r="V97" s="426"/>
      <c r="W97" s="144"/>
      <c r="X97" s="138" t="n">
        <f aca="false">X96*W96</f>
        <v>0</v>
      </c>
      <c r="Y97" s="122" t="n">
        <f aca="false">IF(AI96&lt;1000,0,AI96)</f>
        <v>0</v>
      </c>
      <c r="Z97" s="122" t="n">
        <f aca="false">ROUNDDOWN(Y97*10%,-1)</f>
        <v>0</v>
      </c>
      <c r="AA97" s="123" t="n">
        <f aca="false">IF(AF96&gt;=8,ROUNDDOWN(Z96*$R$4,-1),0)</f>
        <v>0</v>
      </c>
      <c r="AB97" s="145"/>
      <c r="AC97" s="146"/>
      <c r="AD97" s="412" t="n">
        <f aca="false">IF(ISERROR(VLOOKUP(D96,[31]일용직명단!$A$3:$I$1200,7,FALSE())),0,VLOOKUP(D96,[31]일용직명단!$A$3:$I$1200,7,FALSE()))</f>
        <v>0</v>
      </c>
      <c r="AE97" s="412"/>
      <c r="AF97" s="141"/>
      <c r="AG97" s="129"/>
      <c r="AH97" s="129"/>
      <c r="AI97" s="130"/>
      <c r="AJ97" s="130" t="n">
        <f aca="false">IF($X96*G97&gt;150000,($X96*G97-150000)*6%*45%,0)</f>
        <v>0</v>
      </c>
      <c r="AK97" s="130" t="n">
        <f aca="false">IF($X96*H97&gt;150000,($X96*H97-150000)*6%*45%,0)</f>
        <v>0</v>
      </c>
      <c r="AL97" s="130" t="n">
        <f aca="false">IF($X96*I97&gt;150000,($X96*I97-150000)*6%*45%,0)</f>
        <v>0</v>
      </c>
      <c r="AM97" s="130" t="n">
        <f aca="false">IF($X96*J97&gt;150000,($X96*J97-150000)*6%*45%,0)</f>
        <v>0</v>
      </c>
      <c r="AN97" s="130" t="n">
        <f aca="false">IF($X96*K97&gt;150000,($X96*K97-150000)*6%*45%,0)</f>
        <v>0</v>
      </c>
      <c r="AO97" s="130" t="n">
        <f aca="false">IF($X96*L97&gt;150000,($X96*L97-150000)*6%*45%,0)</f>
        <v>0</v>
      </c>
      <c r="AP97" s="130" t="n">
        <f aca="false">IF($X96*M97&gt;150000,($X96*M97-150000)*6%*45%,0)</f>
        <v>0</v>
      </c>
      <c r="AQ97" s="130" t="n">
        <f aca="false">IF($X96*N97&gt;150000,($X96*N97-150000)*6%*45%,0)</f>
        <v>0</v>
      </c>
      <c r="AR97" s="130" t="n">
        <f aca="false">IF($X96*O97&gt;150000,($X96*O97-150000)*6%*45%,0)</f>
        <v>0</v>
      </c>
      <c r="AS97" s="130" t="n">
        <f aca="false">IF($X96*P97&gt;150000,($X96*P97-150000)*6%*45%,0)</f>
        <v>0</v>
      </c>
      <c r="AT97" s="130" t="n">
        <f aca="false">IF($X96*Q97&gt;150000,($X96*Q97-150000)*6%*45%,0)</f>
        <v>0</v>
      </c>
      <c r="AU97" s="130" t="n">
        <f aca="false">IF($X96*R97&gt;150000,($X96*R97-150000)*6%*45%,0)</f>
        <v>0</v>
      </c>
      <c r="AV97" s="130" t="n">
        <f aca="false">IF($X96*S97&gt;150000,($X96*S97-150000)*6%*45%,0)</f>
        <v>0</v>
      </c>
      <c r="AW97" s="130" t="n">
        <f aca="false">IF($X96*T97&gt;150000,($X96*T97-150000)*6%*45%,0)</f>
        <v>0</v>
      </c>
      <c r="AX97" s="130" t="n">
        <f aca="false">IF($X96*U97&gt;150000,($X96*U97-150000)*6%*45%,0)</f>
        <v>0</v>
      </c>
      <c r="AY97" s="130" t="n">
        <f aca="false">IF($X96*V97&gt;150000,($X96*V97-150000)*6%*45%,0)</f>
        <v>0</v>
      </c>
      <c r="AZ97" s="13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  <c r="GJ97" s="11"/>
      <c r="GK97" s="11"/>
      <c r="GL97" s="11"/>
      <c r="GM97" s="11"/>
      <c r="GN97" s="11"/>
      <c r="GO97" s="11"/>
      <c r="GP97" s="11"/>
      <c r="GQ97" s="11"/>
      <c r="GR97" s="11"/>
      <c r="GS97" s="11"/>
      <c r="GT97" s="11"/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/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/>
      <c r="IS97" s="11"/>
      <c r="IT97" s="11"/>
      <c r="IU97" s="11"/>
      <c r="IV97" s="11"/>
      <c r="IW97" s="11"/>
    </row>
    <row r="98" customFormat="false" ht="13.5" hidden="true" customHeight="true" outlineLevel="0" collapsed="false">
      <c r="A98" s="108" t="n">
        <f aca="false">A96+1</f>
        <v>45</v>
      </c>
      <c r="B98" s="404"/>
      <c r="C98" s="159" t="n">
        <f aca="false">IF(ISERROR(VLOOKUP(D98,[31]일용직명단!$A$3:$I$105,2,FALSE())),0,VLOOKUP(D98,[31]일용직명단!$A$3:$I$105,2,FALSE()))</f>
        <v>0</v>
      </c>
      <c r="D98" s="394"/>
      <c r="E98" s="311" t="n">
        <f aca="false">IF(ISERROR(VLOOKUP(D98,[31]일용직명단!$A$3:$K$1220,3,FALSE())),0,VLOOKUP(D98,[31]일용직명단!$A$3:$K$1220,3,FALSE()))</f>
        <v>0</v>
      </c>
      <c r="F98" s="112" t="n">
        <f aca="false">IF(ISERROR(VLOOKUP(D98,일용직명단!$A$3:$K$1246,4,FALSE())),0,VLOOKUP(D98,일용직명단!$A$3:$K$1246,4,FALSE()))</f>
        <v>0</v>
      </c>
      <c r="G98" s="425"/>
      <c r="H98" s="424"/>
      <c r="I98" s="424"/>
      <c r="J98" s="417"/>
      <c r="K98" s="419"/>
      <c r="L98" s="419"/>
      <c r="M98" s="419"/>
      <c r="N98" s="419"/>
      <c r="O98" s="417"/>
      <c r="P98" s="417"/>
      <c r="Q98" s="417"/>
      <c r="R98" s="417"/>
      <c r="S98" s="426"/>
      <c r="T98" s="426"/>
      <c r="U98" s="426"/>
      <c r="V98" s="416"/>
      <c r="W98" s="144" t="n">
        <f aca="false">SUM(G98:V99)</f>
        <v>0</v>
      </c>
      <c r="X98" s="121" t="n">
        <f aca="false">IF(ISERROR(VLOOKUP(D98,일용직명단!$A$3:$K$1246,8,FALSE())),0,VLOOKUP(D98,일용직명단!$A$3:$K$1246,8,FALSE()))</f>
        <v>0</v>
      </c>
      <c r="Y98" s="122" t="n">
        <f aca="false">IFERROR(IF(AH98&gt;=65,0,ROUNDDOWN(X99*$AA$4,-1)),0)</f>
        <v>0</v>
      </c>
      <c r="Z98" s="122" t="n">
        <f aca="false">IF(AF98&gt;=8,ROUNDDOWN(X99*$N$4,-1),0)</f>
        <v>0</v>
      </c>
      <c r="AA98" s="123" t="n">
        <f aca="false">IFERROR(IF(AND(COUNT(G98:V99)&gt;=8,$AH98&lt;60,X99&lt;=5530000),ROUNDDOWN(ROUNDDOWN(X99,-3)*4.5%,-1),IF(AND(COUNT(G98:V99)&gt;=8,AH98&lt;60,X99&gt;5530000),248850,0)),0)</f>
        <v>0</v>
      </c>
      <c r="AB98" s="145" t="n">
        <f aca="false">+Y98+Z98+Y99+Z99+AA98+AA99</f>
        <v>0</v>
      </c>
      <c r="AC98" s="146" t="n">
        <f aca="false">X99-AB98</f>
        <v>0</v>
      </c>
      <c r="AD98" s="411" t="n">
        <f aca="false">IF(ISERROR(VLOOKUP(D98,[31]일용직명단!$A$3:$I$1200,5,FALSE())),0,VLOOKUP(D98,[31]일용직명단!$A$3:$I$1200,5,FALSE()))</f>
        <v>0</v>
      </c>
      <c r="AE98" s="412" t="n">
        <f aca="false">IF(ISERROR(VLOOKUP(D98,[31]일용직명단!$A$3:$I$1200,6,FALSE())),0,VLOOKUP(D98,[31]일용직명단!$A$3:$I$1200,6,FALSE()))</f>
        <v>0</v>
      </c>
      <c r="AF98" s="141" t="n">
        <f aca="false">COUNT(G98:V99)</f>
        <v>0</v>
      </c>
      <c r="AG98" s="129" t="str">
        <f aca="false">IF(OR(MID(E98,8,1)="1",MID(E98,8,1)="2"),19&amp;LEFT(E98,2),20&amp;LEFT(E98,2))&amp;"-"&amp;MID(E98,3,2)&amp;"-"&amp;MID(E98,5,2)</f>
        <v>200--</v>
      </c>
      <c r="AH98" s="129" t="e">
        <f aca="true">INT((TODAY()-AG98)/365.25)</f>
        <v>#VALUE!</v>
      </c>
      <c r="AI98" s="130" t="n">
        <f aca="false">ROUNDDOWN(SUM(AJ98:AY99),-1)</f>
        <v>0</v>
      </c>
      <c r="AJ98" s="130" t="n">
        <f aca="false">IF($X98*G98&gt;150000,($X98*G98-150000)*6%*45%,0)</f>
        <v>0</v>
      </c>
      <c r="AK98" s="130" t="n">
        <f aca="false">IF($X98*H98&gt;150000,($X98*H98-150000)*6%*45%,0)</f>
        <v>0</v>
      </c>
      <c r="AL98" s="130" t="n">
        <f aca="false">IF($X98*I98&gt;150000,($X98*I98-150000)*6%*45%,0)</f>
        <v>0</v>
      </c>
      <c r="AM98" s="130" t="n">
        <f aca="false">IF($X98*J98&gt;150000,($X98*J98-150000)*6%*45%,0)</f>
        <v>0</v>
      </c>
      <c r="AN98" s="130" t="n">
        <f aca="false">IF($X98*K98&gt;150000,($X98*K98-150000)*6%*45%,0)</f>
        <v>0</v>
      </c>
      <c r="AO98" s="130" t="n">
        <f aca="false">IF($X98*L98&gt;150000,($X98*L98-150000)*6%*45%,0)</f>
        <v>0</v>
      </c>
      <c r="AP98" s="130" t="n">
        <f aca="false">IF($X98*M98&gt;150000,($X98*M98-150000)*6%*45%,0)</f>
        <v>0</v>
      </c>
      <c r="AQ98" s="130" t="n">
        <f aca="false">IF($X98*N98&gt;150000,($X98*N98-150000)*6%*45%,0)</f>
        <v>0</v>
      </c>
      <c r="AR98" s="130" t="n">
        <f aca="false">IF($X98*O98&gt;150000,($X98*O98-150000)*6%*45%,0)</f>
        <v>0</v>
      </c>
      <c r="AS98" s="130" t="n">
        <f aca="false">IF($X98*P98&gt;150000,($X98*P98-150000)*6%*45%,0)</f>
        <v>0</v>
      </c>
      <c r="AT98" s="130" t="n">
        <f aca="false">IF($X98*Q98&gt;150000,($X98*Q98-150000)*6%*45%,0)</f>
        <v>0</v>
      </c>
      <c r="AU98" s="130" t="n">
        <f aca="false">IF($X98*R98&gt;150000,($X98*R98-150000)*6%*45%,0)</f>
        <v>0</v>
      </c>
      <c r="AV98" s="130" t="n">
        <f aca="false">IF($X98*S98&gt;150000,($X98*S98-150000)*6%*45%,0)</f>
        <v>0</v>
      </c>
      <c r="AW98" s="130" t="n">
        <f aca="false">IF($X98*T98&gt;150000,($X98*T98-150000)*6%*45%,0)</f>
        <v>0</v>
      </c>
      <c r="AX98" s="130" t="n">
        <f aca="false">IF($X98*U98&gt;150000,($X98*U98-150000)*6%*45%,0)</f>
        <v>0</v>
      </c>
      <c r="AY98" s="130"/>
      <c r="AZ98" s="131" t="n">
        <f aca="false">IF(ISERROR(VLOOKUP(D98,[32]일용직명단!$A$3:$M$1151,11,FALSE())),0,VLOOKUP(D98,[32]일용직명단!$A$3:$M$1151,11,FALSE()))</f>
        <v>0</v>
      </c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  <c r="GM98" s="11"/>
      <c r="GN98" s="11"/>
      <c r="GO98" s="11"/>
      <c r="GP98" s="11"/>
      <c r="GQ98" s="11"/>
      <c r="GR98" s="11"/>
      <c r="GS98" s="11"/>
      <c r="GT98" s="11"/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/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/>
      <c r="IS98" s="11"/>
      <c r="IT98" s="11"/>
      <c r="IU98" s="11"/>
      <c r="IV98" s="11"/>
      <c r="IW98" s="11"/>
    </row>
    <row r="99" customFormat="false" ht="13.5" hidden="true" customHeight="true" outlineLevel="0" collapsed="false">
      <c r="A99" s="108"/>
      <c r="B99" s="404"/>
      <c r="C99" s="159"/>
      <c r="D99" s="394"/>
      <c r="E99" s="311"/>
      <c r="F99" s="112" t="n">
        <f aca="false">IF(ISERROR(VLOOKUP(D98,일용직명단!$A$3:$K$1246,9,FALSE())),0,VLOOKUP(D98,일용직명단!$A$3:$K$1246,9,FALSE()))</f>
        <v>0</v>
      </c>
      <c r="G99" s="424"/>
      <c r="H99" s="424"/>
      <c r="I99" s="424"/>
      <c r="J99" s="417"/>
      <c r="K99" s="417"/>
      <c r="L99" s="419"/>
      <c r="M99" s="419"/>
      <c r="N99" s="419"/>
      <c r="O99" s="426"/>
      <c r="P99" s="426"/>
      <c r="Q99" s="417"/>
      <c r="R99" s="426"/>
      <c r="S99" s="426"/>
      <c r="T99" s="426"/>
      <c r="U99" s="426"/>
      <c r="V99" s="426"/>
      <c r="W99" s="144"/>
      <c r="X99" s="138" t="n">
        <f aca="false">X98*W98</f>
        <v>0</v>
      </c>
      <c r="Y99" s="122" t="n">
        <f aca="false">IF(AI98&lt;1000,0,AI98)</f>
        <v>0</v>
      </c>
      <c r="Z99" s="122" t="n">
        <f aca="false">ROUNDDOWN(Y99*10%,-1)</f>
        <v>0</v>
      </c>
      <c r="AA99" s="123" t="n">
        <f aca="false">IF(AF98&gt;=8,ROUNDDOWN(Z98*$R$4,-1),0)</f>
        <v>0</v>
      </c>
      <c r="AB99" s="145"/>
      <c r="AC99" s="146"/>
      <c r="AD99" s="412" t="n">
        <f aca="false">IF(ISERROR(VLOOKUP(D98,[31]일용직명단!$A$3:$I$1200,7,FALSE())),0,VLOOKUP(D98,[31]일용직명단!$A$3:$I$1200,7,FALSE()))</f>
        <v>0</v>
      </c>
      <c r="AE99" s="412"/>
      <c r="AF99" s="141"/>
      <c r="AG99" s="129"/>
      <c r="AH99" s="129"/>
      <c r="AI99" s="130"/>
      <c r="AJ99" s="130" t="n">
        <f aca="false">IF($X98*G99&gt;150000,($X98*G99-150000)*6%*45%,0)</f>
        <v>0</v>
      </c>
      <c r="AK99" s="130" t="n">
        <f aca="false">IF($X98*H99&gt;150000,($X98*H99-150000)*6%*45%,0)</f>
        <v>0</v>
      </c>
      <c r="AL99" s="130" t="n">
        <f aca="false">IF($X98*I99&gt;150000,($X98*I99-150000)*6%*45%,0)</f>
        <v>0</v>
      </c>
      <c r="AM99" s="130" t="n">
        <f aca="false">IF($X98*J99&gt;150000,($X98*J99-150000)*6%*45%,0)</f>
        <v>0</v>
      </c>
      <c r="AN99" s="130" t="n">
        <f aca="false">IF($X98*K99&gt;150000,($X98*K99-150000)*6%*45%,0)</f>
        <v>0</v>
      </c>
      <c r="AO99" s="130" t="n">
        <f aca="false">IF($X98*L99&gt;150000,($X98*L99-150000)*6%*45%,0)</f>
        <v>0</v>
      </c>
      <c r="AP99" s="130" t="n">
        <f aca="false">IF($X98*M99&gt;150000,($X98*M99-150000)*6%*45%,0)</f>
        <v>0</v>
      </c>
      <c r="AQ99" s="130" t="n">
        <f aca="false">IF($X98*N99&gt;150000,($X98*N99-150000)*6%*45%,0)</f>
        <v>0</v>
      </c>
      <c r="AR99" s="130" t="n">
        <f aca="false">IF($X98*O99&gt;150000,($X98*O99-150000)*6%*45%,0)</f>
        <v>0</v>
      </c>
      <c r="AS99" s="130" t="n">
        <f aca="false">IF($X98*P99&gt;150000,($X98*P99-150000)*6%*45%,0)</f>
        <v>0</v>
      </c>
      <c r="AT99" s="130" t="n">
        <f aca="false">IF($X98*Q99&gt;150000,($X98*Q99-150000)*6%*45%,0)</f>
        <v>0</v>
      </c>
      <c r="AU99" s="130" t="n">
        <f aca="false">IF($X98*R99&gt;150000,($X98*R99-150000)*6%*45%,0)</f>
        <v>0</v>
      </c>
      <c r="AV99" s="130" t="n">
        <f aca="false">IF($X98*S99&gt;150000,($X98*S99-150000)*6%*45%,0)</f>
        <v>0</v>
      </c>
      <c r="AW99" s="130" t="n">
        <f aca="false">IF($X98*T99&gt;150000,($X98*T99-150000)*6%*45%,0)</f>
        <v>0</v>
      </c>
      <c r="AX99" s="130" t="n">
        <f aca="false">IF($X98*U99&gt;150000,($X98*U99-150000)*6%*45%,0)</f>
        <v>0</v>
      </c>
      <c r="AY99" s="130" t="n">
        <f aca="false">IF($X98*V99&gt;150000,($X98*V99-150000)*6%*45%,0)</f>
        <v>0</v>
      </c>
      <c r="AZ99" s="13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</row>
    <row r="100" customFormat="false" ht="13.5" hidden="true" customHeight="true" outlineLevel="0" collapsed="false">
      <c r="A100" s="427" t="n">
        <f aca="false">A98+1</f>
        <v>46</v>
      </c>
      <c r="B100" s="428"/>
      <c r="C100" s="429" t="n">
        <f aca="false">IF(ISERROR(VLOOKUP(D100,[31]일용직명단!$A$3:$I$105,2,FALSE())),0,VLOOKUP(D100,[31]일용직명단!$A$3:$I$105,2,FALSE()))</f>
        <v>0</v>
      </c>
      <c r="D100" s="430"/>
      <c r="E100" s="431" t="n">
        <f aca="false">IF(ISERROR(VLOOKUP(D100,[31]일용직명단!$A$3:$K$1220,3,FALSE())),0,VLOOKUP(D100,[31]일용직명단!$A$3:$K$1220,3,FALSE()))</f>
        <v>0</v>
      </c>
      <c r="F100" s="112" t="n">
        <f aca="false">IF(ISERROR(VLOOKUP(D100,일용직명단!$A$3:$K$1246,4,FALSE())),0,VLOOKUP(D100,일용직명단!$A$3:$K$1246,4,FALSE()))</f>
        <v>0</v>
      </c>
      <c r="G100" s="425"/>
      <c r="H100" s="424"/>
      <c r="I100" s="424"/>
      <c r="J100" s="417"/>
      <c r="K100" s="419"/>
      <c r="L100" s="419"/>
      <c r="M100" s="419"/>
      <c r="N100" s="419"/>
      <c r="O100" s="417"/>
      <c r="P100" s="417"/>
      <c r="Q100" s="417"/>
      <c r="R100" s="417"/>
      <c r="S100" s="426"/>
      <c r="T100" s="426"/>
      <c r="U100" s="426"/>
      <c r="V100" s="416"/>
      <c r="W100" s="432" t="n">
        <f aca="false">SUM(G100:V101)</f>
        <v>0</v>
      </c>
      <c r="X100" s="121" t="n">
        <f aca="false">IF(ISERROR(VLOOKUP(D100,일용직명단!$A$3:$K$1246,8,FALSE())),0,VLOOKUP(D100,일용직명단!$A$3:$K$1246,8,FALSE()))</f>
        <v>0</v>
      </c>
      <c r="Y100" s="122" t="n">
        <f aca="false">IFERROR(IF(AH100&gt;=65,0,ROUNDDOWN(X101*$AA$4,-1)),0)</f>
        <v>0</v>
      </c>
      <c r="Z100" s="122" t="n">
        <f aca="false">IF(AF100&gt;=8,ROUNDDOWN(X101*$N$4,-1),0)</f>
        <v>0</v>
      </c>
      <c r="AA100" s="123" t="n">
        <f aca="false">IFERROR(IF(AND(COUNT(G100:V101)&gt;=8,$AH100&lt;60,X101&lt;=5530000),ROUNDDOWN(ROUNDDOWN(X101,-3)*4.5%,-1),IF(AND(COUNT(G100:V101)&gt;=8,AH100&lt;60,X101&gt;5530000),248850,0)),0)</f>
        <v>0</v>
      </c>
      <c r="AB100" s="433" t="n">
        <f aca="false">+Y100+Z100+Y101+Z101+AA100+AA101</f>
        <v>0</v>
      </c>
      <c r="AC100" s="434" t="n">
        <f aca="false">X101-AB100</f>
        <v>0</v>
      </c>
      <c r="AD100" s="411" t="n">
        <f aca="false">IF(ISERROR(VLOOKUP(D100,[31]일용직명단!$A$3:$I$1200,5,FALSE())),0,VLOOKUP(D100,[31]일용직명단!$A$3:$I$1200,5,FALSE()))</f>
        <v>0</v>
      </c>
      <c r="AE100" s="412" t="n">
        <f aca="false">IF(ISERROR(VLOOKUP(D100,[31]일용직명단!$A$3:$I$1200,6,FALSE())),0,VLOOKUP(D100,[31]일용직명단!$A$3:$I$1200,6,FALSE()))</f>
        <v>0</v>
      </c>
      <c r="AF100" s="141" t="n">
        <f aca="false">COUNT(G100:V101)</f>
        <v>0</v>
      </c>
      <c r="AG100" s="129" t="str">
        <f aca="false">IF(OR(MID(E100,8,1)="1",MID(E100,8,1)="2"),19&amp;LEFT(E100,2),20&amp;LEFT(E100,2))&amp;"-"&amp;MID(E100,3,2)&amp;"-"&amp;MID(E100,5,2)</f>
        <v>200--</v>
      </c>
      <c r="AH100" s="129" t="e">
        <f aca="true">INT((TODAY()-AG100)/365.25)</f>
        <v>#VALUE!</v>
      </c>
      <c r="AI100" s="130" t="n">
        <f aca="false">ROUNDDOWN(SUM(AJ100:AY101),-1)</f>
        <v>0</v>
      </c>
      <c r="AJ100" s="130" t="n">
        <f aca="false">IF($X100*G100&gt;150000,($X100*G100-150000)*6%*45%,0)</f>
        <v>0</v>
      </c>
      <c r="AK100" s="130" t="n">
        <f aca="false">IF($X100*H100&gt;150000,($X100*H100-150000)*6%*45%,0)</f>
        <v>0</v>
      </c>
      <c r="AL100" s="130" t="n">
        <f aca="false">IF($X100*I100&gt;150000,($X100*I100-150000)*6%*45%,0)</f>
        <v>0</v>
      </c>
      <c r="AM100" s="130" t="n">
        <f aca="false">IF($X100*J100&gt;150000,($X100*J100-150000)*6%*45%,0)</f>
        <v>0</v>
      </c>
      <c r="AN100" s="130" t="n">
        <f aca="false">IF($X100*K100&gt;150000,($X100*K100-150000)*6%*45%,0)</f>
        <v>0</v>
      </c>
      <c r="AO100" s="130" t="n">
        <f aca="false">IF($X100*L100&gt;150000,($X100*L100-150000)*6%*45%,0)</f>
        <v>0</v>
      </c>
      <c r="AP100" s="130" t="n">
        <f aca="false">IF($X100*M100&gt;150000,($X100*M100-150000)*6%*45%,0)</f>
        <v>0</v>
      </c>
      <c r="AQ100" s="130" t="n">
        <f aca="false">IF($X100*N100&gt;150000,($X100*N100-150000)*6%*45%,0)</f>
        <v>0</v>
      </c>
      <c r="AR100" s="130" t="n">
        <f aca="false">IF($X100*O100&gt;150000,($X100*O100-150000)*6%*45%,0)</f>
        <v>0</v>
      </c>
      <c r="AS100" s="130" t="n">
        <f aca="false">IF($X100*P100&gt;150000,($X100*P100-150000)*6%*45%,0)</f>
        <v>0</v>
      </c>
      <c r="AT100" s="130" t="n">
        <f aca="false">IF($X100*Q100&gt;150000,($X100*Q100-150000)*6%*45%,0)</f>
        <v>0</v>
      </c>
      <c r="AU100" s="130" t="n">
        <f aca="false">IF($X100*R100&gt;150000,($X100*R100-150000)*6%*45%,0)</f>
        <v>0</v>
      </c>
      <c r="AV100" s="130" t="n">
        <f aca="false">IF($X100*S100&gt;150000,($X100*S100-150000)*6%*45%,0)</f>
        <v>0</v>
      </c>
      <c r="AW100" s="130" t="n">
        <f aca="false">IF($X100*T100&gt;150000,($X100*T100-150000)*6%*45%,0)</f>
        <v>0</v>
      </c>
      <c r="AX100" s="130" t="n">
        <f aca="false">IF($X100*U100&gt;150000,($X100*U100-150000)*6%*45%,0)</f>
        <v>0</v>
      </c>
      <c r="AY100" s="130"/>
      <c r="AZ100" s="131" t="n">
        <f aca="false">IF(ISERROR(VLOOKUP(D100,[32]일용직명단!$A$3:$M$1151,11,FALSE())),0,VLOOKUP(D100,[32]일용직명단!$A$3:$M$1151,11,FALSE()))</f>
        <v>0</v>
      </c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/>
    </row>
    <row r="101" customFormat="false" ht="13.5" hidden="true" customHeight="true" outlineLevel="0" collapsed="false">
      <c r="A101" s="427"/>
      <c r="B101" s="428"/>
      <c r="C101" s="429"/>
      <c r="D101" s="430"/>
      <c r="E101" s="431"/>
      <c r="F101" s="112" t="n">
        <f aca="false">IF(ISERROR(VLOOKUP(D100,일용직명단!$A$3:$K$1246,9,FALSE())),0,VLOOKUP(D100,일용직명단!$A$3:$K$1246,9,FALSE()))</f>
        <v>0</v>
      </c>
      <c r="G101" s="435"/>
      <c r="H101" s="435"/>
      <c r="I101" s="435"/>
      <c r="J101" s="436"/>
      <c r="K101" s="436"/>
      <c r="L101" s="437"/>
      <c r="M101" s="437"/>
      <c r="N101" s="437"/>
      <c r="O101" s="438"/>
      <c r="P101" s="438"/>
      <c r="Q101" s="436"/>
      <c r="R101" s="438"/>
      <c r="S101" s="438"/>
      <c r="T101" s="438"/>
      <c r="U101" s="438"/>
      <c r="V101" s="438"/>
      <c r="W101" s="432"/>
      <c r="X101" s="138" t="n">
        <f aca="false">X100*W100</f>
        <v>0</v>
      </c>
      <c r="Y101" s="122" t="n">
        <f aca="false">IF(AI100&lt;1000,0,AI100)</f>
        <v>0</v>
      </c>
      <c r="Z101" s="122" t="n">
        <f aca="false">ROUNDDOWN(Y101*10%,-1)</f>
        <v>0</v>
      </c>
      <c r="AA101" s="123" t="n">
        <f aca="false">IF(AF100&gt;=8,ROUNDDOWN(Z100*$R$4,-1),0)</f>
        <v>0</v>
      </c>
      <c r="AB101" s="433"/>
      <c r="AC101" s="434"/>
      <c r="AD101" s="439" t="n">
        <f aca="false">IF(ISERROR(VLOOKUP(D100,[31]일용직명단!$A$3:$I$1200,7,FALSE())),0,VLOOKUP(D100,[31]일용직명단!$A$3:$I$1200,7,FALSE()))</f>
        <v>0</v>
      </c>
      <c r="AE101" s="439"/>
      <c r="AF101" s="141"/>
      <c r="AG101" s="129"/>
      <c r="AH101" s="129"/>
      <c r="AI101" s="130"/>
      <c r="AJ101" s="130" t="n">
        <f aca="false">IF($X100*G101&gt;150000,($X100*G101-150000)*6%*45%,0)</f>
        <v>0</v>
      </c>
      <c r="AK101" s="130" t="n">
        <f aca="false">IF($X100*H101&gt;150000,($X100*H101-150000)*6%*45%,0)</f>
        <v>0</v>
      </c>
      <c r="AL101" s="130" t="n">
        <f aca="false">IF($X100*I101&gt;150000,($X100*I101-150000)*6%*45%,0)</f>
        <v>0</v>
      </c>
      <c r="AM101" s="130" t="n">
        <f aca="false">IF($X100*J101&gt;150000,($X100*J101-150000)*6%*45%,0)</f>
        <v>0</v>
      </c>
      <c r="AN101" s="130" t="n">
        <f aca="false">IF($X100*K101&gt;150000,($X100*K101-150000)*6%*45%,0)</f>
        <v>0</v>
      </c>
      <c r="AO101" s="130" t="n">
        <f aca="false">IF($X100*L101&gt;150000,($X100*L101-150000)*6%*45%,0)</f>
        <v>0</v>
      </c>
      <c r="AP101" s="130" t="n">
        <f aca="false">IF($X100*M101&gt;150000,($X100*M101-150000)*6%*45%,0)</f>
        <v>0</v>
      </c>
      <c r="AQ101" s="130" t="n">
        <f aca="false">IF($X100*N101&gt;150000,($X100*N101-150000)*6%*45%,0)</f>
        <v>0</v>
      </c>
      <c r="AR101" s="130" t="n">
        <f aca="false">IF($X100*O101&gt;150000,($X100*O101-150000)*6%*45%,0)</f>
        <v>0</v>
      </c>
      <c r="AS101" s="130" t="n">
        <f aca="false">IF($X100*P101&gt;150000,($X100*P101-150000)*6%*45%,0)</f>
        <v>0</v>
      </c>
      <c r="AT101" s="130" t="n">
        <f aca="false">IF($X100*Q101&gt;150000,($X100*Q101-150000)*6%*45%,0)</f>
        <v>0</v>
      </c>
      <c r="AU101" s="130" t="n">
        <f aca="false">IF($X100*R101&gt;150000,($X100*R101-150000)*6%*45%,0)</f>
        <v>0</v>
      </c>
      <c r="AV101" s="130" t="n">
        <f aca="false">IF($X100*S101&gt;150000,($X100*S101-150000)*6%*45%,0)</f>
        <v>0</v>
      </c>
      <c r="AW101" s="130" t="n">
        <f aca="false">IF($X100*T101&gt;150000,($X100*T101-150000)*6%*45%,0)</f>
        <v>0</v>
      </c>
      <c r="AX101" s="130" t="n">
        <f aca="false">IF($X100*U101&gt;150000,($X100*U101-150000)*6%*45%,0)</f>
        <v>0</v>
      </c>
      <c r="AY101" s="130" t="n">
        <f aca="false">IF($X100*V101&gt;150000,($X100*V101-150000)*6%*45%,0)</f>
        <v>0</v>
      </c>
      <c r="AZ101" s="13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/>
      <c r="GA101" s="11"/>
      <c r="GB101" s="11"/>
      <c r="GC101" s="11"/>
      <c r="GD101" s="11"/>
      <c r="GE101" s="11"/>
      <c r="GF101" s="11"/>
      <c r="GG101" s="11"/>
      <c r="GH101" s="11"/>
      <c r="GI101" s="11"/>
      <c r="GJ101" s="11"/>
      <c r="GK101" s="11"/>
      <c r="GL101" s="11"/>
      <c r="GM101" s="11"/>
      <c r="GN101" s="11"/>
      <c r="GO101" s="11"/>
      <c r="GP101" s="11"/>
      <c r="GQ101" s="11"/>
      <c r="GR101" s="11"/>
      <c r="GS101" s="11"/>
      <c r="GT101" s="11"/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P101" s="11"/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  <c r="IM101" s="11"/>
      <c r="IN101" s="11"/>
      <c r="IO101" s="11"/>
      <c r="IP101" s="11"/>
      <c r="IQ101" s="11"/>
      <c r="IR101" s="11"/>
      <c r="IS101" s="11"/>
      <c r="IT101" s="11"/>
      <c r="IU101" s="11"/>
      <c r="IV101" s="11"/>
      <c r="IW101" s="11"/>
    </row>
    <row r="102" customFormat="false" ht="13.5" hidden="false" customHeight="true" outlineLevel="0" collapsed="false">
      <c r="A102" s="218" t="s">
        <v>80</v>
      </c>
      <c r="B102" s="218"/>
      <c r="C102" s="218"/>
      <c r="D102" s="218"/>
      <c r="E102" s="218"/>
      <c r="F102" s="218"/>
      <c r="G102" s="219" t="n">
        <f aca="false" t="array" ref="G102:G102">SUMPRODUCT(N(MOD(ROW(G10:G101),2)=(MOD(ROW(G102),2))),G10:G101)</f>
        <v>0</v>
      </c>
      <c r="H102" s="219" t="n">
        <f aca="false" t="array" ref="H102:H102">SUMPRODUCT(N(MOD(ROW(H10:H101),2)=(MOD(ROW(H102),2))),H10:H101)</f>
        <v>0</v>
      </c>
      <c r="I102" s="219" t="n">
        <f aca="false" t="array" ref="I102:I102">SUMPRODUCT(N(MOD(ROW(I10:I101),2)=(MOD(ROW(I102),2))),I10:I101)</f>
        <v>0</v>
      </c>
      <c r="J102" s="219" t="n">
        <f aca="false" t="array" ref="J102:J102">SUMPRODUCT(N(MOD(ROW(J10:J101),2)=(MOD(ROW(J102),2))),J10:J101)</f>
        <v>1</v>
      </c>
      <c r="K102" s="219" t="n">
        <f aca="false" t="array" ref="K102:K102">SUMPRODUCT(N(MOD(ROW(K10:K101),2)=(MOD(ROW(K102),2))),K10:K101)</f>
        <v>1</v>
      </c>
      <c r="L102" s="219" t="n">
        <f aca="false" t="array" ref="L102:L102">SUMPRODUCT(N(MOD(ROW(L10:L101),2)=(MOD(ROW(L102),2))),L10:L101)</f>
        <v>1</v>
      </c>
      <c r="M102" s="219" t="n">
        <f aca="false" t="array" ref="M102:M102">SUMPRODUCT(N(MOD(ROW(M10:M101),2)=(MOD(ROW(M102),2))),M10:M101)</f>
        <v>0</v>
      </c>
      <c r="N102" s="219" t="n">
        <f aca="false" t="array" ref="N102:N102">SUMPRODUCT(N(MOD(ROW(N10:N101),2)=(MOD(ROW(N102),2))),N10:N101)</f>
        <v>1</v>
      </c>
      <c r="O102" s="219" t="n">
        <f aca="false" t="array" ref="O102:O102">SUMPRODUCT(N(MOD(ROW(O10:O101),2)=(MOD(ROW(O102),2))),O10:O101)</f>
        <v>1</v>
      </c>
      <c r="P102" s="219" t="n">
        <f aca="false" t="array" ref="P102:P102">SUMPRODUCT(N(MOD(ROW(P10:P101),2)=(MOD(ROW(P102),2))),P10:P101)</f>
        <v>0</v>
      </c>
      <c r="Q102" s="219" t="n">
        <f aca="false" t="array" ref="Q102:Q102">SUMPRODUCT(N(MOD(ROW(Q10:Q101),2)=(MOD(ROW(Q102),2))),Q10:Q101)</f>
        <v>0</v>
      </c>
      <c r="R102" s="219" t="n">
        <f aca="false" t="array" ref="R102:R102">SUMPRODUCT(N(MOD(ROW(R10:R101),2)=(MOD(ROW(R102),2))),R10:R101)</f>
        <v>0</v>
      </c>
      <c r="S102" s="219" t="n">
        <f aca="false" t="array" ref="S102:S102">SUMPRODUCT(N(MOD(ROW(S10:S101),2)=(MOD(ROW(S102),2))),S10:S101)</f>
        <v>0</v>
      </c>
      <c r="T102" s="219" t="n">
        <f aca="false" t="array" ref="T102:T102">SUMPRODUCT(N(MOD(ROW(T10:T101),2)=(MOD(ROW(T102),2))),T10:T101)</f>
        <v>0</v>
      </c>
      <c r="U102" s="219" t="n">
        <f aca="false" t="array" ref="U102:U102">SUMPRODUCT(N(MOD(ROW(U10:U101),2)=(MOD(ROW(U102),2))),U10:U101)</f>
        <v>0</v>
      </c>
      <c r="V102" s="219" t="n">
        <f aca="false" t="array" ref="V102:V102">SUMPRODUCT(N(MOD(ROW(V10:V101),2)=(MOD(ROW(V102),2))),V10:V101)</f>
        <v>0</v>
      </c>
      <c r="W102" s="220" t="n">
        <f aca="false">SUM(W10:W101)</f>
        <v>5</v>
      </c>
      <c r="X102" s="220" t="n">
        <f aca="false" t="array" ref="X102:X102">SUMPRODUCT((MOD(ROW(X$10:X$101),2)=1)*X$10:X$101)</f>
        <v>850000</v>
      </c>
      <c r="Y102" s="221" t="n">
        <f aca="false" t="array" ref="Y102:Y102">SUMPRODUCT((MOD(ROW(Y$10:Y$101),2)=0)*Y$10:Y$101)</f>
        <v>0</v>
      </c>
      <c r="Z102" s="221" t="n">
        <f aca="false" t="array" ref="Z102:Z102">SUMPRODUCT((MOD(ROW(Z$10:Z$101),2)=0)*Z$10:Z$101)</f>
        <v>0</v>
      </c>
      <c r="AA102" s="221" t="n">
        <f aca="false" t="array" ref="AA102:AA102">SUMPRODUCT((MOD(ROW(AA$10:AA$101),2)=0)*AA$10:AA$101)</f>
        <v>0</v>
      </c>
      <c r="AB102" s="220" t="n">
        <f aca="false">SUM(AB10:AB101)</f>
        <v>0</v>
      </c>
      <c r="AC102" s="220" t="n">
        <f aca="false">SUM(AC10:AC101)</f>
        <v>850000</v>
      </c>
      <c r="AD102" s="222"/>
      <c r="AE102" s="223"/>
      <c r="AF102" s="224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  <c r="AT102" s="130"/>
      <c r="AU102" s="130"/>
      <c r="AV102" s="130"/>
      <c r="AW102" s="130"/>
      <c r="AX102" s="130"/>
      <c r="AY102" s="130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  <c r="GM102" s="11"/>
      <c r="GN102" s="11"/>
      <c r="GO102" s="11"/>
      <c r="GP102" s="11"/>
      <c r="GQ102" s="11"/>
      <c r="GR102" s="11"/>
      <c r="GS102" s="11"/>
      <c r="GT102" s="11"/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</row>
    <row r="103" customFormat="false" ht="13.5" hidden="false" customHeight="true" outlineLevel="0" collapsed="false">
      <c r="A103" s="218"/>
      <c r="B103" s="218"/>
      <c r="C103" s="218"/>
      <c r="D103" s="218"/>
      <c r="E103" s="218"/>
      <c r="F103" s="218"/>
      <c r="G103" s="225" t="n">
        <f aca="false" t="array" ref="G103:G103">SUMPRODUCT(N(MOD(ROW(G10:G101),2)=(MOD(ROW(G103),2))),G10:G101)</f>
        <v>0</v>
      </c>
      <c r="H103" s="225" t="n">
        <f aca="false" t="array" ref="H103:H103">SUMPRODUCT(N(MOD(ROW(H10:H101),2)=(MOD(ROW(H103),2))),H10:H101)</f>
        <v>0</v>
      </c>
      <c r="I103" s="225" t="n">
        <f aca="false" t="array" ref="I103:I103">SUMPRODUCT(N(MOD(ROW(I10:I101),2)=(MOD(ROW(I103),2))),I10:I101)</f>
        <v>0</v>
      </c>
      <c r="J103" s="225" t="n">
        <f aca="false" t="array" ref="J103:J103">SUMPRODUCT(N(MOD(ROW(J10:J101),2)=(MOD(ROW(J103),2))),J10:J101)</f>
        <v>0</v>
      </c>
      <c r="K103" s="225" t="n">
        <f aca="false" t="array" ref="K103:K103">SUMPRODUCT(N(MOD(ROW(K10:K101),2)=(MOD(ROW(K103),2))),K10:K101)</f>
        <v>0</v>
      </c>
      <c r="L103" s="225" t="n">
        <f aca="false" t="array" ref="L103:L103">SUMPRODUCT(N(MOD(ROW(L10:L101),2)=(MOD(ROW(L103),2))),L10:L101)</f>
        <v>0</v>
      </c>
      <c r="M103" s="225" t="n">
        <f aca="false" t="array" ref="M103:M103">SUMPRODUCT(N(MOD(ROW(M10:M101),2)=(MOD(ROW(M103),2))),M10:M101)</f>
        <v>0</v>
      </c>
      <c r="N103" s="225" t="n">
        <f aca="false" t="array" ref="N103:N103">SUMPRODUCT(N(MOD(ROW(N10:N101),2)=(MOD(ROW(N103),2))),N10:N101)</f>
        <v>0</v>
      </c>
      <c r="O103" s="225" t="n">
        <f aca="false" t="array" ref="O103:O103">SUMPRODUCT(N(MOD(ROW(O10:O101),2)=(MOD(ROW(O103),2))),O10:O101)</f>
        <v>0</v>
      </c>
      <c r="P103" s="225" t="n">
        <f aca="false" t="array" ref="P103:P103">SUMPRODUCT(N(MOD(ROW(P10:P101),2)=(MOD(ROW(P103),2))),P10:P101)</f>
        <v>0</v>
      </c>
      <c r="Q103" s="225" t="n">
        <f aca="false" t="array" ref="Q103:Q103">SUMPRODUCT(N(MOD(ROW(Q10:Q101),2)=(MOD(ROW(Q103),2))),Q10:Q101)</f>
        <v>0</v>
      </c>
      <c r="R103" s="225" t="n">
        <f aca="false" t="array" ref="R103:R103">SUMPRODUCT(N(MOD(ROW(R10:R101),2)=(MOD(ROW(R103),2))),R10:R101)</f>
        <v>0</v>
      </c>
      <c r="S103" s="225" t="n">
        <f aca="false" t="array" ref="S103:S103">SUMPRODUCT(N(MOD(ROW(S10:S101),2)=(MOD(ROW(S103),2))),S10:S101)</f>
        <v>0</v>
      </c>
      <c r="T103" s="225" t="n">
        <f aca="false" t="array" ref="T103:T103">SUMPRODUCT(N(MOD(ROW(T10:T101),2)=(MOD(ROW(T103),2))),T10:T101)</f>
        <v>0</v>
      </c>
      <c r="U103" s="225" t="n">
        <f aca="false" t="array" ref="U103:U103">SUMPRODUCT(N(MOD(ROW(U10:U101),2)=(MOD(ROW(U103),2))),U10:U101)</f>
        <v>0</v>
      </c>
      <c r="V103" s="225" t="n">
        <f aca="false" t="array" ref="V103:V103">SUMPRODUCT(N(MOD(ROW(V10:V101),2)=(MOD(ROW(V103),2))),V10:V101)</f>
        <v>0</v>
      </c>
      <c r="W103" s="220"/>
      <c r="X103" s="220"/>
      <c r="Y103" s="226" t="n">
        <f aca="false" t="array" ref="Y103:Y103">SUMPRODUCT((MOD(ROW(Y$10:Y$101),2)=1)*Y$10:Y$101)</f>
        <v>0</v>
      </c>
      <c r="Z103" s="226" t="n">
        <f aca="false" t="array" ref="Z103:Z103">SUMPRODUCT((MOD(ROW(Z$10:Z$101),2)=1)*Z$10:Z$101)</f>
        <v>0</v>
      </c>
      <c r="AA103" s="226" t="n">
        <f aca="false" t="array" ref="AA103:AA103">SUMPRODUCT((MOD(ROW(AA$10:AA$101),2)=1)*AA$10:AA$101)</f>
        <v>0</v>
      </c>
      <c r="AB103" s="220"/>
      <c r="AC103" s="220"/>
      <c r="AD103" s="227"/>
      <c r="AE103" s="228"/>
      <c r="AF103" s="229"/>
      <c r="AG103" s="129"/>
      <c r="AH103" s="129"/>
      <c r="AJ103" s="130"/>
      <c r="AK103" s="130"/>
      <c r="AL103" s="130"/>
      <c r="AM103" s="130"/>
      <c r="AN103" s="130"/>
      <c r="AO103" s="130"/>
      <c r="AP103" s="130"/>
      <c r="AQ103" s="130"/>
      <c r="AR103" s="130"/>
      <c r="AS103" s="130"/>
      <c r="AT103" s="130"/>
      <c r="AU103" s="130"/>
      <c r="AV103" s="130"/>
      <c r="AW103" s="130"/>
      <c r="AX103" s="130"/>
      <c r="AY103" s="130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/>
      <c r="GR103" s="11"/>
      <c r="GS103" s="11"/>
      <c r="GT103" s="11"/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</row>
    <row r="104" customFormat="false" ht="13.5" hidden="false" customHeight="true" outlineLevel="0" collapsed="false">
      <c r="A104" s="440"/>
      <c r="B104" s="440"/>
      <c r="C104" s="440"/>
      <c r="D104" s="440"/>
      <c r="E104" s="440"/>
      <c r="F104" s="440"/>
      <c r="G104" s="441"/>
      <c r="H104" s="441"/>
      <c r="I104" s="441"/>
      <c r="J104" s="441"/>
      <c r="K104" s="441"/>
      <c r="L104" s="441"/>
      <c r="M104" s="441"/>
      <c r="N104" s="441"/>
      <c r="O104" s="441"/>
      <c r="P104" s="441"/>
      <c r="Q104" s="441"/>
      <c r="R104" s="441"/>
      <c r="S104" s="441"/>
      <c r="T104" s="441"/>
      <c r="U104" s="441"/>
      <c r="V104" s="441"/>
      <c r="W104" s="442"/>
      <c r="X104" s="442"/>
      <c r="Y104" s="442"/>
      <c r="Z104" s="442"/>
      <c r="AA104" s="442"/>
      <c r="AB104" s="442"/>
      <c r="AC104" s="442"/>
      <c r="AD104" s="443"/>
      <c r="AE104" s="443"/>
      <c r="AF104" s="444"/>
      <c r="AG104" s="129"/>
      <c r="AH104" s="129"/>
      <c r="AJ104" s="130"/>
      <c r="AK104" s="130"/>
      <c r="AL104" s="130"/>
      <c r="AM104" s="130"/>
      <c r="AN104" s="130"/>
      <c r="AO104" s="130"/>
      <c r="AP104" s="130"/>
      <c r="AQ104" s="130"/>
      <c r="AR104" s="130"/>
      <c r="AS104" s="130"/>
      <c r="AT104" s="130"/>
      <c r="AU104" s="130"/>
      <c r="AV104" s="130"/>
      <c r="AW104" s="130"/>
      <c r="AX104" s="130"/>
      <c r="AY104" s="130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/>
      <c r="GS104" s="11"/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/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</row>
    <row r="105" customFormat="false" ht="16.5" hidden="false" customHeight="true" outlineLevel="0" collapsed="false">
      <c r="A105" s="445" t="s">
        <v>1</v>
      </c>
      <c r="B105" s="445"/>
      <c r="C105" s="445"/>
      <c r="D105" s="445"/>
      <c r="E105" s="445"/>
      <c r="F105" s="360"/>
      <c r="G105" s="361"/>
      <c r="H105" s="361"/>
      <c r="I105" s="361"/>
      <c r="J105" s="361"/>
      <c r="K105" s="361"/>
      <c r="L105" s="362"/>
      <c r="M105" s="362"/>
      <c r="N105" s="362"/>
      <c r="O105" s="362"/>
      <c r="P105" s="362"/>
      <c r="Q105" s="363"/>
      <c r="R105" s="363"/>
      <c r="S105" s="363"/>
      <c r="T105" s="363"/>
      <c r="U105" s="363"/>
      <c r="V105" s="363"/>
      <c r="W105" s="364"/>
      <c r="X105" s="364"/>
      <c r="Y105" s="364"/>
      <c r="Z105" s="364"/>
      <c r="AA105" s="365"/>
      <c r="AB105" s="365"/>
      <c r="AC105" s="365"/>
      <c r="AD105" s="20"/>
      <c r="AE105" s="20"/>
      <c r="AF105" s="21"/>
      <c r="AG105" s="22"/>
      <c r="AH105" s="22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4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23"/>
      <c r="HO105" s="23"/>
      <c r="HP105" s="23"/>
      <c r="HQ105" s="23"/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  <c r="IL105" s="23"/>
      <c r="IM105" s="23"/>
      <c r="IN105" s="23"/>
      <c r="IO105" s="23"/>
      <c r="IP105" s="23"/>
      <c r="IQ105" s="23"/>
      <c r="IR105" s="23"/>
      <c r="IS105" s="23"/>
      <c r="IT105" s="23"/>
      <c r="IU105" s="23"/>
      <c r="IV105" s="23"/>
      <c r="IW105" s="23"/>
    </row>
    <row r="106" customFormat="false" ht="16.5" hidden="false" customHeight="true" outlineLevel="0" collapsed="false">
      <c r="A106" s="446"/>
      <c r="B106" s="446"/>
      <c r="C106" s="446"/>
      <c r="D106" s="446"/>
      <c r="E106" s="446"/>
      <c r="F106" s="367"/>
      <c r="G106" s="368"/>
      <c r="H106" s="368"/>
      <c r="I106" s="368"/>
      <c r="J106" s="368"/>
      <c r="K106" s="368"/>
      <c r="L106" s="369"/>
      <c r="M106" s="369"/>
      <c r="N106" s="369"/>
      <c r="O106" s="369"/>
      <c r="P106" s="369"/>
      <c r="Q106" s="370"/>
      <c r="R106" s="370"/>
      <c r="S106" s="370"/>
      <c r="T106" s="370"/>
      <c r="U106" s="370"/>
      <c r="V106" s="370"/>
      <c r="W106" s="371"/>
      <c r="X106" s="371"/>
      <c r="Y106" s="371"/>
      <c r="Z106" s="371"/>
      <c r="AA106" s="372"/>
      <c r="AB106" s="372"/>
      <c r="AC106" s="372"/>
      <c r="AD106" s="32"/>
      <c r="AE106" s="32"/>
      <c r="AF106" s="33"/>
      <c r="AG106" s="22"/>
      <c r="AH106" s="22"/>
      <c r="AI106" s="23"/>
      <c r="AJ106" s="23"/>
      <c r="AK106" s="23"/>
      <c r="AL106" s="373"/>
      <c r="AM106" s="373"/>
      <c r="AN106" s="373"/>
      <c r="AO106" s="23"/>
      <c r="AP106" s="23"/>
      <c r="AQ106" s="23"/>
      <c r="AR106" s="23"/>
      <c r="AS106" s="23"/>
      <c r="AT106" s="23"/>
      <c r="AU106" s="23"/>
      <c r="AV106" s="36" t="s">
        <v>6</v>
      </c>
      <c r="AW106" s="36"/>
      <c r="AX106" s="36"/>
      <c r="AY106" s="36"/>
      <c r="AZ106" s="24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3"/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  <c r="IL106" s="23"/>
      <c r="IM106" s="23"/>
      <c r="IN106" s="23"/>
      <c r="IO106" s="23"/>
      <c r="IP106" s="23"/>
      <c r="IQ106" s="23"/>
      <c r="IR106" s="23"/>
      <c r="IS106" s="23"/>
      <c r="IT106" s="23"/>
      <c r="IU106" s="23"/>
      <c r="IV106" s="23"/>
      <c r="IW106" s="23"/>
    </row>
    <row r="107" customFormat="false" ht="15.75" hidden="false" customHeight="true" outlineLevel="0" collapsed="false">
      <c r="A107" s="374" t="n">
        <f aca="false">I109</f>
        <v>45931</v>
      </c>
      <c r="B107" s="374"/>
      <c r="C107" s="374"/>
      <c r="D107" s="374"/>
      <c r="E107" s="375" t="s">
        <v>7</v>
      </c>
      <c r="F107" s="375"/>
      <c r="G107" s="375"/>
      <c r="H107" s="375"/>
      <c r="I107" s="376" t="s">
        <v>8</v>
      </c>
      <c r="J107" s="376"/>
      <c r="K107" s="377" t="s">
        <v>9</v>
      </c>
      <c r="L107" s="377"/>
      <c r="M107" s="377"/>
      <c r="N107" s="378" t="s">
        <v>10</v>
      </c>
      <c r="O107" s="378"/>
      <c r="P107" s="378"/>
      <c r="Q107" s="42" t="s">
        <v>11</v>
      </c>
      <c r="R107" s="42"/>
      <c r="S107" s="42"/>
      <c r="T107" s="42" t="s">
        <v>12</v>
      </c>
      <c r="U107" s="42"/>
      <c r="V107" s="42"/>
      <c r="W107" s="42" t="s">
        <v>13</v>
      </c>
      <c r="X107" s="42"/>
      <c r="Y107" s="42" t="s">
        <v>14</v>
      </c>
      <c r="Z107" s="42"/>
      <c r="AA107" s="79" t="s">
        <v>15</v>
      </c>
      <c r="AB107" s="79"/>
      <c r="AC107" s="44" t="s">
        <v>16</v>
      </c>
      <c r="AD107" s="44"/>
      <c r="AE107" s="44"/>
      <c r="AF107" s="45"/>
      <c r="AG107" s="46" t="s">
        <v>17</v>
      </c>
      <c r="AH107" s="46"/>
      <c r="AI107" s="46"/>
      <c r="AJ107" s="50"/>
      <c r="AK107" s="50"/>
      <c r="AL107" s="379"/>
      <c r="AM107" s="379"/>
      <c r="AN107" s="379"/>
      <c r="AO107" s="50"/>
      <c r="AP107" s="50"/>
      <c r="AQ107" s="50"/>
      <c r="AR107" s="50"/>
      <c r="AS107" s="50"/>
      <c r="AT107" s="50"/>
      <c r="AU107" s="50"/>
      <c r="AV107" s="49" t="s">
        <v>19</v>
      </c>
      <c r="AW107" s="49"/>
      <c r="AX107" s="49"/>
      <c r="AY107" s="49"/>
      <c r="AZ107" s="380"/>
      <c r="BA107" s="50"/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50"/>
      <c r="BP107" s="50"/>
      <c r="BQ107" s="50"/>
      <c r="BR107" s="50"/>
      <c r="BS107" s="50"/>
      <c r="BT107" s="50"/>
      <c r="BU107" s="50"/>
      <c r="BV107" s="50"/>
      <c r="BW107" s="50"/>
      <c r="BX107" s="50"/>
      <c r="BY107" s="50"/>
      <c r="BZ107" s="50"/>
      <c r="CA107" s="50"/>
      <c r="CB107" s="50"/>
      <c r="CC107" s="50"/>
      <c r="CD107" s="50"/>
      <c r="CE107" s="50"/>
      <c r="CF107" s="50"/>
      <c r="CG107" s="50"/>
      <c r="CH107" s="50"/>
      <c r="CI107" s="50"/>
      <c r="CJ107" s="50"/>
      <c r="CK107" s="50"/>
      <c r="CL107" s="50"/>
      <c r="CM107" s="50"/>
      <c r="CN107" s="50"/>
      <c r="CO107" s="50"/>
      <c r="CP107" s="50"/>
      <c r="CQ107" s="50"/>
      <c r="CR107" s="50"/>
      <c r="CS107" s="50"/>
      <c r="CT107" s="50"/>
      <c r="CU107" s="50"/>
      <c r="CV107" s="50"/>
      <c r="CW107" s="50"/>
      <c r="CX107" s="50"/>
      <c r="CY107" s="50"/>
      <c r="CZ107" s="50"/>
      <c r="DA107" s="50"/>
      <c r="DB107" s="50"/>
      <c r="DC107" s="50"/>
      <c r="DD107" s="50"/>
      <c r="DE107" s="50"/>
      <c r="DF107" s="50"/>
      <c r="DG107" s="50"/>
      <c r="DH107" s="50"/>
      <c r="DI107" s="50"/>
      <c r="DJ107" s="50"/>
      <c r="DK107" s="50"/>
      <c r="DL107" s="50"/>
      <c r="DM107" s="50"/>
      <c r="DN107" s="50"/>
      <c r="DO107" s="50"/>
      <c r="DP107" s="50"/>
      <c r="DQ107" s="50"/>
      <c r="DR107" s="50"/>
      <c r="DS107" s="50"/>
      <c r="DT107" s="50"/>
      <c r="DU107" s="50"/>
      <c r="DV107" s="50"/>
      <c r="DW107" s="50"/>
      <c r="DX107" s="50"/>
      <c r="DY107" s="50"/>
      <c r="DZ107" s="50"/>
      <c r="EA107" s="50"/>
      <c r="EB107" s="50"/>
      <c r="EC107" s="50"/>
      <c r="ED107" s="50"/>
      <c r="EE107" s="50"/>
      <c r="EF107" s="50"/>
      <c r="EG107" s="50"/>
      <c r="EH107" s="50"/>
      <c r="EI107" s="50"/>
      <c r="EJ107" s="50"/>
      <c r="EK107" s="50"/>
      <c r="EL107" s="50"/>
      <c r="EM107" s="50"/>
      <c r="EN107" s="50"/>
      <c r="EO107" s="50"/>
      <c r="EP107" s="50"/>
      <c r="EQ107" s="50"/>
      <c r="ER107" s="50"/>
      <c r="ES107" s="50"/>
      <c r="ET107" s="50"/>
      <c r="EU107" s="50"/>
      <c r="EV107" s="50"/>
      <c r="EW107" s="50"/>
      <c r="EX107" s="50"/>
      <c r="EY107" s="50"/>
      <c r="EZ107" s="50"/>
      <c r="FA107" s="50"/>
      <c r="FB107" s="50"/>
      <c r="FC107" s="50"/>
      <c r="FD107" s="50"/>
      <c r="FE107" s="50"/>
      <c r="FF107" s="50"/>
      <c r="FG107" s="50"/>
      <c r="FH107" s="50"/>
      <c r="FI107" s="50"/>
      <c r="FJ107" s="50"/>
      <c r="FK107" s="50"/>
      <c r="FL107" s="50"/>
      <c r="FM107" s="50"/>
      <c r="FN107" s="50"/>
      <c r="FO107" s="50"/>
      <c r="FP107" s="50"/>
      <c r="FQ107" s="50"/>
      <c r="FR107" s="50"/>
      <c r="FS107" s="50"/>
      <c r="FT107" s="50"/>
      <c r="FU107" s="50"/>
      <c r="FV107" s="50"/>
      <c r="FW107" s="50"/>
      <c r="FX107" s="50"/>
      <c r="FY107" s="50"/>
      <c r="FZ107" s="50"/>
      <c r="GA107" s="50"/>
      <c r="GB107" s="50"/>
      <c r="GC107" s="50"/>
      <c r="GD107" s="50"/>
      <c r="GE107" s="50"/>
      <c r="GF107" s="50"/>
      <c r="GG107" s="50"/>
      <c r="GH107" s="50"/>
      <c r="GI107" s="50"/>
      <c r="GJ107" s="50"/>
      <c r="GK107" s="50"/>
      <c r="GL107" s="50"/>
      <c r="GM107" s="50"/>
      <c r="GN107" s="50"/>
      <c r="GO107" s="50"/>
      <c r="GP107" s="50"/>
      <c r="GQ107" s="50"/>
      <c r="GR107" s="50"/>
      <c r="GS107" s="50"/>
      <c r="GT107" s="50"/>
      <c r="GU107" s="50"/>
      <c r="GV107" s="50"/>
      <c r="GW107" s="50"/>
      <c r="GX107" s="50"/>
      <c r="GY107" s="50"/>
      <c r="GZ107" s="50"/>
      <c r="HA107" s="50"/>
      <c r="HB107" s="50"/>
      <c r="HC107" s="50"/>
      <c r="HD107" s="50"/>
      <c r="HE107" s="50"/>
      <c r="HF107" s="50"/>
      <c r="HG107" s="50"/>
      <c r="HH107" s="50"/>
      <c r="HI107" s="50"/>
      <c r="HJ107" s="50"/>
      <c r="HK107" s="50"/>
      <c r="HL107" s="50"/>
      <c r="HM107" s="50"/>
      <c r="HN107" s="50"/>
      <c r="HO107" s="50"/>
      <c r="HP107" s="50"/>
      <c r="HQ107" s="50"/>
      <c r="HR107" s="50"/>
      <c r="HS107" s="50"/>
      <c r="HT107" s="50"/>
      <c r="HU107" s="50"/>
      <c r="HV107" s="50"/>
      <c r="HW107" s="50"/>
      <c r="HX107" s="50"/>
      <c r="HY107" s="50"/>
      <c r="HZ107" s="50"/>
      <c r="IA107" s="50"/>
      <c r="IB107" s="50"/>
      <c r="IC107" s="50"/>
      <c r="ID107" s="50"/>
      <c r="IE107" s="50"/>
      <c r="IF107" s="50"/>
      <c r="IG107" s="50"/>
      <c r="IH107" s="50"/>
      <c r="II107" s="50"/>
      <c r="IJ107" s="50"/>
      <c r="IK107" s="50"/>
      <c r="IL107" s="50"/>
      <c r="IM107" s="50"/>
      <c r="IN107" s="50"/>
      <c r="IO107" s="50"/>
      <c r="IP107" s="50"/>
      <c r="IQ107" s="50"/>
      <c r="IR107" s="50"/>
      <c r="IS107" s="50"/>
      <c r="IT107" s="50"/>
      <c r="IU107" s="50"/>
      <c r="IV107" s="50"/>
      <c r="IW107" s="48"/>
    </row>
    <row r="108" customFormat="false" ht="15.75" hidden="false" customHeight="true" outlineLevel="0" collapsed="false">
      <c r="A108" s="374"/>
      <c r="B108" s="374"/>
      <c r="C108" s="374"/>
      <c r="D108" s="374"/>
      <c r="E108" s="375"/>
      <c r="F108" s="375"/>
      <c r="G108" s="375"/>
      <c r="H108" s="375"/>
      <c r="I108" s="376"/>
      <c r="J108" s="376"/>
      <c r="K108" s="381" t="n">
        <v>0.045</v>
      </c>
      <c r="L108" s="381"/>
      <c r="M108" s="381"/>
      <c r="N108" s="382" t="n">
        <v>0.03545</v>
      </c>
      <c r="O108" s="382"/>
      <c r="P108" s="382"/>
      <c r="Q108" s="53" t="s">
        <v>20</v>
      </c>
      <c r="R108" s="54" t="n">
        <f aca="false">12.95%/2</f>
        <v>0.06475</v>
      </c>
      <c r="S108" s="54"/>
      <c r="T108" s="55" t="n">
        <v>0.027</v>
      </c>
      <c r="U108" s="55"/>
      <c r="V108" s="55"/>
      <c r="W108" s="53" t="s">
        <v>21</v>
      </c>
      <c r="X108" s="53"/>
      <c r="Y108" s="56" t="n">
        <v>150000</v>
      </c>
      <c r="Z108" s="56"/>
      <c r="AA108" s="57" t="n">
        <v>0.009</v>
      </c>
      <c r="AB108" s="57"/>
      <c r="AC108" s="44"/>
      <c r="AD108" s="44"/>
      <c r="AE108" s="44"/>
      <c r="AF108" s="58"/>
      <c r="AG108" s="46"/>
      <c r="AH108" s="46"/>
      <c r="AI108" s="46"/>
      <c r="AJ108" s="50"/>
      <c r="AK108" s="50"/>
      <c r="AL108" s="379"/>
      <c r="AM108" s="379"/>
      <c r="AN108" s="379"/>
      <c r="AO108" s="383"/>
      <c r="AP108" s="50"/>
      <c r="AQ108" s="50"/>
      <c r="AR108" s="50"/>
      <c r="AS108" s="50"/>
      <c r="AT108" s="50"/>
      <c r="AU108" s="50"/>
      <c r="AV108" s="59" t="s">
        <v>23</v>
      </c>
      <c r="AW108" s="59"/>
      <c r="AX108" s="59"/>
      <c r="AY108" s="59"/>
      <c r="AZ108" s="38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  <c r="BM108" s="50"/>
      <c r="BN108" s="50"/>
      <c r="BO108" s="50"/>
      <c r="BP108" s="50"/>
      <c r="BQ108" s="50"/>
      <c r="BR108" s="50"/>
      <c r="BS108" s="50"/>
      <c r="BT108" s="50"/>
      <c r="BU108" s="50"/>
      <c r="BV108" s="50"/>
      <c r="BW108" s="50"/>
      <c r="BX108" s="50"/>
      <c r="BY108" s="50"/>
      <c r="BZ108" s="50"/>
      <c r="CA108" s="50"/>
      <c r="CB108" s="50"/>
      <c r="CC108" s="50"/>
      <c r="CD108" s="50"/>
      <c r="CE108" s="50"/>
      <c r="CF108" s="50"/>
      <c r="CG108" s="50"/>
      <c r="CH108" s="50"/>
      <c r="CI108" s="50"/>
      <c r="CJ108" s="50"/>
      <c r="CK108" s="50"/>
      <c r="CL108" s="50"/>
      <c r="CM108" s="50"/>
      <c r="CN108" s="50"/>
      <c r="CO108" s="50"/>
      <c r="CP108" s="50"/>
      <c r="CQ108" s="50"/>
      <c r="CR108" s="50"/>
      <c r="CS108" s="50"/>
      <c r="CT108" s="50"/>
      <c r="CU108" s="50"/>
      <c r="CV108" s="50"/>
      <c r="CW108" s="50"/>
      <c r="CX108" s="50"/>
      <c r="CY108" s="50"/>
      <c r="CZ108" s="50"/>
      <c r="DA108" s="50"/>
      <c r="DB108" s="50"/>
      <c r="DC108" s="50"/>
      <c r="DD108" s="50"/>
      <c r="DE108" s="50"/>
      <c r="DF108" s="50"/>
      <c r="DG108" s="50"/>
      <c r="DH108" s="50"/>
      <c r="DI108" s="50"/>
      <c r="DJ108" s="50"/>
      <c r="DK108" s="50"/>
      <c r="DL108" s="50"/>
      <c r="DM108" s="50"/>
      <c r="DN108" s="50"/>
      <c r="DO108" s="50"/>
      <c r="DP108" s="50"/>
      <c r="DQ108" s="50"/>
      <c r="DR108" s="50"/>
      <c r="DS108" s="50"/>
      <c r="DT108" s="50"/>
      <c r="DU108" s="50"/>
      <c r="DV108" s="50"/>
      <c r="DW108" s="50"/>
      <c r="DX108" s="50"/>
      <c r="DY108" s="50"/>
      <c r="DZ108" s="50"/>
      <c r="EA108" s="50"/>
      <c r="EB108" s="50"/>
      <c r="EC108" s="50"/>
      <c r="ED108" s="50"/>
      <c r="EE108" s="50"/>
      <c r="EF108" s="50"/>
      <c r="EG108" s="50"/>
      <c r="EH108" s="50"/>
      <c r="EI108" s="50"/>
      <c r="EJ108" s="50"/>
      <c r="EK108" s="50"/>
      <c r="EL108" s="50"/>
      <c r="EM108" s="50"/>
      <c r="EN108" s="50"/>
      <c r="EO108" s="50"/>
      <c r="EP108" s="50"/>
      <c r="EQ108" s="50"/>
      <c r="ER108" s="50"/>
      <c r="ES108" s="50"/>
      <c r="ET108" s="50"/>
      <c r="EU108" s="50"/>
      <c r="EV108" s="50"/>
      <c r="EW108" s="50"/>
      <c r="EX108" s="50"/>
      <c r="EY108" s="50"/>
      <c r="EZ108" s="50"/>
      <c r="FA108" s="50"/>
      <c r="FB108" s="50"/>
      <c r="FC108" s="50"/>
      <c r="FD108" s="50"/>
      <c r="FE108" s="50"/>
      <c r="FF108" s="50"/>
      <c r="FG108" s="50"/>
      <c r="FH108" s="50"/>
      <c r="FI108" s="50"/>
      <c r="FJ108" s="50"/>
      <c r="FK108" s="50"/>
      <c r="FL108" s="50"/>
      <c r="FM108" s="50"/>
      <c r="FN108" s="50"/>
      <c r="FO108" s="50"/>
      <c r="FP108" s="50"/>
      <c r="FQ108" s="50"/>
      <c r="FR108" s="50"/>
      <c r="FS108" s="50"/>
      <c r="FT108" s="50"/>
      <c r="FU108" s="50"/>
      <c r="FV108" s="50"/>
      <c r="FW108" s="50"/>
      <c r="FX108" s="50"/>
      <c r="FY108" s="50"/>
      <c r="FZ108" s="50"/>
      <c r="GA108" s="50"/>
      <c r="GB108" s="50"/>
      <c r="GC108" s="50"/>
      <c r="GD108" s="50"/>
      <c r="GE108" s="50"/>
      <c r="GF108" s="50"/>
      <c r="GG108" s="50"/>
      <c r="GH108" s="50"/>
      <c r="GI108" s="50"/>
      <c r="GJ108" s="50"/>
      <c r="GK108" s="50"/>
      <c r="GL108" s="50"/>
      <c r="GM108" s="50"/>
      <c r="GN108" s="50"/>
      <c r="GO108" s="50"/>
      <c r="GP108" s="50"/>
      <c r="GQ108" s="50"/>
      <c r="GR108" s="50"/>
      <c r="GS108" s="50"/>
      <c r="GT108" s="50"/>
      <c r="GU108" s="50"/>
      <c r="GV108" s="50"/>
      <c r="GW108" s="50"/>
      <c r="GX108" s="50"/>
      <c r="GY108" s="50"/>
      <c r="GZ108" s="50"/>
      <c r="HA108" s="50"/>
      <c r="HB108" s="50"/>
      <c r="HC108" s="50"/>
      <c r="HD108" s="50"/>
      <c r="HE108" s="50"/>
      <c r="HF108" s="50"/>
      <c r="HG108" s="50"/>
      <c r="HH108" s="50"/>
      <c r="HI108" s="50"/>
      <c r="HJ108" s="50"/>
      <c r="HK108" s="50"/>
      <c r="HL108" s="50"/>
      <c r="HM108" s="50"/>
      <c r="HN108" s="50"/>
      <c r="HO108" s="50"/>
      <c r="HP108" s="50"/>
      <c r="HQ108" s="50"/>
      <c r="HR108" s="50"/>
      <c r="HS108" s="50"/>
      <c r="HT108" s="50"/>
      <c r="HU108" s="50"/>
      <c r="HV108" s="50"/>
      <c r="HW108" s="50"/>
      <c r="HX108" s="50"/>
      <c r="HY108" s="50"/>
      <c r="HZ108" s="50"/>
      <c r="IA108" s="50"/>
      <c r="IB108" s="50"/>
      <c r="IC108" s="50"/>
      <c r="ID108" s="50"/>
      <c r="IE108" s="50"/>
      <c r="IF108" s="50"/>
      <c r="IG108" s="50"/>
      <c r="IH108" s="50"/>
      <c r="II108" s="50"/>
      <c r="IJ108" s="50"/>
      <c r="IK108" s="50"/>
      <c r="IL108" s="50"/>
      <c r="IM108" s="50"/>
      <c r="IN108" s="50"/>
      <c r="IO108" s="50"/>
      <c r="IP108" s="50"/>
      <c r="IQ108" s="50"/>
      <c r="IR108" s="50"/>
      <c r="IS108" s="50"/>
      <c r="IT108" s="50"/>
      <c r="IU108" s="50"/>
      <c r="IV108" s="50"/>
      <c r="IW108" s="48"/>
    </row>
    <row r="109" customFormat="false" ht="15.75" hidden="false" customHeight="true" outlineLevel="0" collapsed="false">
      <c r="A109" s="60" t="s">
        <v>24</v>
      </c>
      <c r="B109" s="60"/>
      <c r="C109" s="60"/>
      <c r="D109" s="61" t="s">
        <v>143</v>
      </c>
      <c r="E109" s="61"/>
      <c r="F109" s="61"/>
      <c r="G109" s="62" t="s">
        <v>26</v>
      </c>
      <c r="H109" s="62"/>
      <c r="I109" s="63" t="n">
        <v>45931</v>
      </c>
      <c r="J109" s="63"/>
      <c r="K109" s="63"/>
      <c r="L109" s="63"/>
      <c r="M109" s="63"/>
      <c r="N109" s="63"/>
      <c r="O109" s="63"/>
      <c r="P109" s="64" t="n">
        <f aca="false">I110</f>
        <v>45961</v>
      </c>
      <c r="Q109" s="64"/>
      <c r="R109" s="62" t="s">
        <v>27</v>
      </c>
      <c r="S109" s="62"/>
      <c r="T109" s="65" t="s">
        <v>28</v>
      </c>
      <c r="U109" s="65"/>
      <c r="V109" s="65"/>
      <c r="W109" s="65"/>
      <c r="X109" s="66" t="s">
        <v>144</v>
      </c>
      <c r="Y109" s="66"/>
      <c r="Z109" s="66"/>
      <c r="AA109" s="66"/>
      <c r="AB109" s="66"/>
      <c r="AC109" s="66"/>
      <c r="AD109" s="66"/>
      <c r="AE109" s="66"/>
      <c r="AF109" s="67"/>
      <c r="AG109" s="46"/>
      <c r="AH109" s="46"/>
      <c r="AI109" s="46"/>
      <c r="AJ109" s="72"/>
      <c r="AK109" s="385"/>
      <c r="AL109" s="379"/>
      <c r="AM109" s="379"/>
      <c r="AN109" s="379"/>
      <c r="AO109" s="50"/>
      <c r="AP109" s="50"/>
      <c r="AQ109" s="50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  <c r="BS109" s="72"/>
      <c r="BT109" s="72"/>
      <c r="BU109" s="72"/>
      <c r="BV109" s="72"/>
      <c r="BW109" s="72"/>
      <c r="BX109" s="72"/>
      <c r="BY109" s="72"/>
      <c r="BZ109" s="72"/>
      <c r="CA109" s="72"/>
      <c r="CB109" s="72"/>
      <c r="CC109" s="72"/>
      <c r="CD109" s="72"/>
      <c r="CE109" s="72"/>
      <c r="CF109" s="72"/>
      <c r="CG109" s="72"/>
      <c r="CH109" s="72"/>
      <c r="CI109" s="72"/>
      <c r="CJ109" s="72"/>
      <c r="CK109" s="72"/>
      <c r="CL109" s="72"/>
      <c r="CM109" s="72"/>
      <c r="CN109" s="72"/>
      <c r="CO109" s="72"/>
      <c r="CP109" s="72"/>
      <c r="CQ109" s="72"/>
      <c r="CR109" s="72"/>
      <c r="CS109" s="72"/>
      <c r="CT109" s="72"/>
      <c r="CU109" s="72"/>
      <c r="CV109" s="72"/>
      <c r="CW109" s="72"/>
      <c r="CX109" s="72"/>
      <c r="CY109" s="72"/>
      <c r="CZ109" s="72"/>
      <c r="DA109" s="72"/>
      <c r="DB109" s="72"/>
      <c r="DC109" s="72"/>
      <c r="DD109" s="72"/>
      <c r="DE109" s="72"/>
      <c r="DF109" s="72"/>
      <c r="DG109" s="72"/>
      <c r="DH109" s="72"/>
      <c r="DI109" s="72"/>
      <c r="DJ109" s="72"/>
      <c r="DK109" s="72"/>
      <c r="DL109" s="72"/>
      <c r="DM109" s="72"/>
      <c r="DN109" s="72"/>
      <c r="DO109" s="72"/>
      <c r="DP109" s="72"/>
      <c r="DQ109" s="72"/>
      <c r="DR109" s="72"/>
      <c r="DS109" s="72"/>
      <c r="DT109" s="72"/>
      <c r="DU109" s="72"/>
      <c r="DV109" s="72"/>
      <c r="DW109" s="72"/>
      <c r="DX109" s="72"/>
      <c r="DY109" s="72"/>
      <c r="DZ109" s="72"/>
      <c r="EA109" s="72"/>
      <c r="EB109" s="72"/>
      <c r="EC109" s="72"/>
      <c r="ED109" s="72"/>
      <c r="EE109" s="72"/>
      <c r="EF109" s="72"/>
      <c r="EG109" s="72"/>
      <c r="EH109" s="72"/>
      <c r="EI109" s="72"/>
      <c r="EJ109" s="72"/>
      <c r="EK109" s="72"/>
      <c r="EL109" s="72"/>
      <c r="EM109" s="72"/>
      <c r="EN109" s="72"/>
      <c r="EO109" s="72"/>
      <c r="EP109" s="72"/>
      <c r="EQ109" s="72"/>
      <c r="ER109" s="72"/>
      <c r="ES109" s="72"/>
      <c r="ET109" s="72"/>
      <c r="EU109" s="72"/>
      <c r="EV109" s="72"/>
      <c r="EW109" s="72"/>
      <c r="EX109" s="72"/>
      <c r="EY109" s="72"/>
      <c r="EZ109" s="72"/>
      <c r="FA109" s="72"/>
      <c r="FB109" s="72"/>
      <c r="FC109" s="72"/>
      <c r="FD109" s="72"/>
      <c r="FE109" s="72"/>
      <c r="FF109" s="72"/>
      <c r="FG109" s="72"/>
      <c r="FH109" s="72"/>
      <c r="FI109" s="72"/>
      <c r="FJ109" s="72"/>
      <c r="FK109" s="72"/>
      <c r="FL109" s="72"/>
      <c r="FM109" s="72"/>
      <c r="FN109" s="72"/>
      <c r="FO109" s="72"/>
      <c r="FP109" s="72"/>
      <c r="FQ109" s="72"/>
      <c r="FR109" s="72"/>
      <c r="FS109" s="72"/>
      <c r="FT109" s="72"/>
      <c r="FU109" s="72"/>
      <c r="FV109" s="72"/>
      <c r="FW109" s="72"/>
      <c r="FX109" s="72"/>
      <c r="FY109" s="72"/>
      <c r="FZ109" s="72"/>
      <c r="GA109" s="72"/>
      <c r="GB109" s="72"/>
      <c r="GC109" s="72"/>
      <c r="GD109" s="72"/>
      <c r="GE109" s="72"/>
      <c r="GF109" s="72"/>
      <c r="GG109" s="72"/>
      <c r="GH109" s="72"/>
      <c r="GI109" s="72"/>
      <c r="GJ109" s="72"/>
      <c r="GK109" s="72"/>
      <c r="GL109" s="72"/>
      <c r="GM109" s="72"/>
      <c r="GN109" s="72"/>
      <c r="GO109" s="72"/>
      <c r="GP109" s="72"/>
      <c r="GQ109" s="72"/>
      <c r="GR109" s="72"/>
      <c r="GS109" s="72"/>
      <c r="GT109" s="72"/>
      <c r="GU109" s="72"/>
      <c r="GV109" s="72"/>
      <c r="GW109" s="72"/>
      <c r="GX109" s="72"/>
      <c r="GY109" s="72"/>
      <c r="GZ109" s="72"/>
      <c r="HA109" s="72"/>
      <c r="HB109" s="72"/>
      <c r="HC109" s="72"/>
      <c r="HD109" s="72"/>
      <c r="HE109" s="72"/>
      <c r="HF109" s="72"/>
      <c r="HG109" s="72"/>
      <c r="HH109" s="72"/>
      <c r="HI109" s="72"/>
      <c r="HJ109" s="72"/>
      <c r="HK109" s="72"/>
      <c r="HL109" s="72"/>
      <c r="HM109" s="72"/>
      <c r="HN109" s="72"/>
      <c r="HO109" s="72"/>
      <c r="HP109" s="72"/>
      <c r="HQ109" s="72"/>
      <c r="HR109" s="72"/>
      <c r="HS109" s="72"/>
      <c r="HT109" s="72"/>
      <c r="HU109" s="72"/>
      <c r="HV109" s="72"/>
      <c r="HW109" s="72"/>
      <c r="HX109" s="72"/>
      <c r="HY109" s="72"/>
      <c r="HZ109" s="72"/>
      <c r="IA109" s="72"/>
      <c r="IB109" s="72"/>
      <c r="IC109" s="72"/>
      <c r="ID109" s="72"/>
      <c r="IE109" s="72"/>
      <c r="IF109" s="72"/>
      <c r="IG109" s="72"/>
      <c r="IH109" s="72"/>
      <c r="II109" s="72"/>
      <c r="IJ109" s="72"/>
      <c r="IK109" s="72"/>
      <c r="IL109" s="72"/>
      <c r="IM109" s="72"/>
      <c r="IN109" s="72"/>
      <c r="IO109" s="72"/>
      <c r="IP109" s="72"/>
      <c r="IQ109" s="72"/>
      <c r="IR109" s="72"/>
      <c r="IS109" s="72"/>
      <c r="IT109" s="72"/>
      <c r="IU109" s="72"/>
      <c r="IV109" s="72"/>
      <c r="IW109" s="73"/>
    </row>
    <row r="110" customFormat="false" ht="15.75" hidden="false" customHeight="true" outlineLevel="0" collapsed="false">
      <c r="A110" s="60"/>
      <c r="B110" s="60"/>
      <c r="C110" s="60"/>
      <c r="D110" s="61"/>
      <c r="E110" s="61"/>
      <c r="F110" s="61"/>
      <c r="G110" s="62"/>
      <c r="H110" s="62"/>
      <c r="I110" s="74" t="n">
        <v>45961</v>
      </c>
      <c r="J110" s="74"/>
      <c r="K110" s="74"/>
      <c r="L110" s="74"/>
      <c r="M110" s="74"/>
      <c r="N110" s="74"/>
      <c r="O110" s="74"/>
      <c r="P110" s="64"/>
      <c r="Q110" s="64"/>
      <c r="R110" s="62"/>
      <c r="S110" s="62"/>
      <c r="T110" s="75" t="s">
        <v>29</v>
      </c>
      <c r="U110" s="75"/>
      <c r="V110" s="75"/>
      <c r="W110" s="75"/>
      <c r="X110" s="76"/>
      <c r="Y110" s="76"/>
      <c r="Z110" s="76"/>
      <c r="AA110" s="76"/>
      <c r="AB110" s="76"/>
      <c r="AC110" s="76"/>
      <c r="AD110" s="76"/>
      <c r="AE110" s="76"/>
      <c r="AF110" s="77"/>
      <c r="AG110" s="46"/>
      <c r="AH110" s="46"/>
      <c r="AI110" s="46"/>
      <c r="AJ110" s="72"/>
      <c r="AK110" s="385"/>
      <c r="AL110" s="379"/>
      <c r="AM110" s="379"/>
      <c r="AN110" s="379"/>
      <c r="AO110" s="50"/>
      <c r="AP110" s="50"/>
      <c r="AQ110" s="50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  <c r="BS110" s="72"/>
      <c r="BT110" s="72"/>
      <c r="BU110" s="72"/>
      <c r="BV110" s="72"/>
      <c r="BW110" s="72"/>
      <c r="BX110" s="72"/>
      <c r="BY110" s="72"/>
      <c r="BZ110" s="72"/>
      <c r="CA110" s="72"/>
      <c r="CB110" s="72"/>
      <c r="CC110" s="72"/>
      <c r="CD110" s="72"/>
      <c r="CE110" s="72"/>
      <c r="CF110" s="72"/>
      <c r="CG110" s="72"/>
      <c r="CH110" s="72"/>
      <c r="CI110" s="72"/>
      <c r="CJ110" s="72"/>
      <c r="CK110" s="72"/>
      <c r="CL110" s="72"/>
      <c r="CM110" s="72"/>
      <c r="CN110" s="72"/>
      <c r="CO110" s="72"/>
      <c r="CP110" s="72"/>
      <c r="CQ110" s="72"/>
      <c r="CR110" s="72"/>
      <c r="CS110" s="72"/>
      <c r="CT110" s="72"/>
      <c r="CU110" s="72"/>
      <c r="CV110" s="72"/>
      <c r="CW110" s="72"/>
      <c r="CX110" s="72"/>
      <c r="CY110" s="72"/>
      <c r="CZ110" s="72"/>
      <c r="DA110" s="72"/>
      <c r="DB110" s="72"/>
      <c r="DC110" s="72"/>
      <c r="DD110" s="72"/>
      <c r="DE110" s="72"/>
      <c r="DF110" s="72"/>
      <c r="DG110" s="72"/>
      <c r="DH110" s="72"/>
      <c r="DI110" s="72"/>
      <c r="DJ110" s="72"/>
      <c r="DK110" s="72"/>
      <c r="DL110" s="72"/>
      <c r="DM110" s="72"/>
      <c r="DN110" s="72"/>
      <c r="DO110" s="72"/>
      <c r="DP110" s="72"/>
      <c r="DQ110" s="72"/>
      <c r="DR110" s="72"/>
      <c r="DS110" s="72"/>
      <c r="DT110" s="72"/>
      <c r="DU110" s="72"/>
      <c r="DV110" s="72"/>
      <c r="DW110" s="72"/>
      <c r="DX110" s="72"/>
      <c r="DY110" s="72"/>
      <c r="DZ110" s="72"/>
      <c r="EA110" s="72"/>
      <c r="EB110" s="72"/>
      <c r="EC110" s="72"/>
      <c r="ED110" s="72"/>
      <c r="EE110" s="72"/>
      <c r="EF110" s="72"/>
      <c r="EG110" s="72"/>
      <c r="EH110" s="72"/>
      <c r="EI110" s="72"/>
      <c r="EJ110" s="72"/>
      <c r="EK110" s="72"/>
      <c r="EL110" s="72"/>
      <c r="EM110" s="72"/>
      <c r="EN110" s="72"/>
      <c r="EO110" s="72"/>
      <c r="EP110" s="72"/>
      <c r="EQ110" s="72"/>
      <c r="ER110" s="72"/>
      <c r="ES110" s="72"/>
      <c r="ET110" s="72"/>
      <c r="EU110" s="72"/>
      <c r="EV110" s="72"/>
      <c r="EW110" s="72"/>
      <c r="EX110" s="72"/>
      <c r="EY110" s="72"/>
      <c r="EZ110" s="72"/>
      <c r="FA110" s="72"/>
      <c r="FB110" s="72"/>
      <c r="FC110" s="72"/>
      <c r="FD110" s="72"/>
      <c r="FE110" s="72"/>
      <c r="FF110" s="72"/>
      <c r="FG110" s="72"/>
      <c r="FH110" s="72"/>
      <c r="FI110" s="72"/>
      <c r="FJ110" s="72"/>
      <c r="FK110" s="72"/>
      <c r="FL110" s="72"/>
      <c r="FM110" s="72"/>
      <c r="FN110" s="72"/>
      <c r="FO110" s="72"/>
      <c r="FP110" s="72"/>
      <c r="FQ110" s="72"/>
      <c r="FR110" s="72"/>
      <c r="FS110" s="72"/>
      <c r="FT110" s="72"/>
      <c r="FU110" s="72"/>
      <c r="FV110" s="72"/>
      <c r="FW110" s="72"/>
      <c r="FX110" s="72"/>
      <c r="FY110" s="72"/>
      <c r="FZ110" s="72"/>
      <c r="GA110" s="72"/>
      <c r="GB110" s="72"/>
      <c r="GC110" s="72"/>
      <c r="GD110" s="72"/>
      <c r="GE110" s="72"/>
      <c r="GF110" s="72"/>
      <c r="GG110" s="72"/>
      <c r="GH110" s="72"/>
      <c r="GI110" s="72"/>
      <c r="GJ110" s="72"/>
      <c r="GK110" s="72"/>
      <c r="GL110" s="72"/>
      <c r="GM110" s="72"/>
      <c r="GN110" s="72"/>
      <c r="GO110" s="72"/>
      <c r="GP110" s="72"/>
      <c r="GQ110" s="72"/>
      <c r="GR110" s="72"/>
      <c r="GS110" s="72"/>
      <c r="GT110" s="72"/>
      <c r="GU110" s="72"/>
      <c r="GV110" s="72"/>
      <c r="GW110" s="72"/>
      <c r="GX110" s="72"/>
      <c r="GY110" s="72"/>
      <c r="GZ110" s="72"/>
      <c r="HA110" s="72"/>
      <c r="HB110" s="72"/>
      <c r="HC110" s="72"/>
      <c r="HD110" s="72"/>
      <c r="HE110" s="72"/>
      <c r="HF110" s="72"/>
      <c r="HG110" s="72"/>
      <c r="HH110" s="72"/>
      <c r="HI110" s="72"/>
      <c r="HJ110" s="72"/>
      <c r="HK110" s="72"/>
      <c r="HL110" s="72"/>
      <c r="HM110" s="72"/>
      <c r="HN110" s="72"/>
      <c r="HO110" s="72"/>
      <c r="HP110" s="72"/>
      <c r="HQ110" s="72"/>
      <c r="HR110" s="72"/>
      <c r="HS110" s="72"/>
      <c r="HT110" s="72"/>
      <c r="HU110" s="72"/>
      <c r="HV110" s="72"/>
      <c r="HW110" s="72"/>
      <c r="HX110" s="72"/>
      <c r="HY110" s="72"/>
      <c r="HZ110" s="72"/>
      <c r="IA110" s="72"/>
      <c r="IB110" s="72"/>
      <c r="IC110" s="72"/>
      <c r="ID110" s="72"/>
      <c r="IE110" s="72"/>
      <c r="IF110" s="72"/>
      <c r="IG110" s="72"/>
      <c r="IH110" s="72"/>
      <c r="II110" s="72"/>
      <c r="IJ110" s="72"/>
      <c r="IK110" s="72"/>
      <c r="IL110" s="72"/>
      <c r="IM110" s="72"/>
      <c r="IN110" s="72"/>
      <c r="IO110" s="72"/>
      <c r="IP110" s="72"/>
      <c r="IQ110" s="72"/>
      <c r="IR110" s="72"/>
      <c r="IS110" s="72"/>
      <c r="IT110" s="72"/>
      <c r="IU110" s="72"/>
      <c r="IV110" s="72"/>
      <c r="IW110" s="73"/>
    </row>
    <row r="111" customFormat="false" ht="18" hidden="false" customHeight="true" outlineLevel="0" collapsed="false">
      <c r="A111" s="78" t="s">
        <v>30</v>
      </c>
      <c r="B111" s="80" t="s">
        <v>142</v>
      </c>
      <c r="C111" s="79" t="s">
        <v>31</v>
      </c>
      <c r="D111" s="79" t="s">
        <v>32</v>
      </c>
      <c r="E111" s="80" t="s">
        <v>33</v>
      </c>
      <c r="F111" s="79" t="s">
        <v>34</v>
      </c>
      <c r="G111" s="79" t="s">
        <v>35</v>
      </c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80" t="s">
        <v>36</v>
      </c>
      <c r="X111" s="81" t="s">
        <v>37</v>
      </c>
      <c r="Y111" s="81" t="s">
        <v>38</v>
      </c>
      <c r="Z111" s="81"/>
      <c r="AA111" s="81"/>
      <c r="AB111" s="82" t="s">
        <v>39</v>
      </c>
      <c r="AC111" s="80" t="s">
        <v>40</v>
      </c>
      <c r="AD111" s="83" t="s">
        <v>41</v>
      </c>
      <c r="AE111" s="83"/>
      <c r="AF111" s="84" t="s">
        <v>42</v>
      </c>
      <c r="AG111" s="85"/>
      <c r="AH111" s="85"/>
      <c r="AI111" s="85"/>
      <c r="AJ111" s="85"/>
      <c r="AK111" s="85"/>
      <c r="AL111" s="85"/>
      <c r="AM111" s="85"/>
      <c r="AN111" s="85"/>
      <c r="AO111" s="50"/>
      <c r="AP111" s="50"/>
      <c r="AQ111" s="50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K111" s="85"/>
      <c r="BL111" s="85"/>
      <c r="BM111" s="85"/>
      <c r="BN111" s="85"/>
      <c r="BO111" s="85"/>
      <c r="BP111" s="85"/>
      <c r="BQ111" s="85"/>
      <c r="BR111" s="85"/>
      <c r="BS111" s="85"/>
      <c r="BT111" s="85"/>
      <c r="BU111" s="85"/>
      <c r="BV111" s="85"/>
      <c r="BW111" s="85"/>
      <c r="BX111" s="85"/>
      <c r="BY111" s="85"/>
      <c r="BZ111" s="85"/>
      <c r="CA111" s="85"/>
      <c r="CB111" s="85"/>
      <c r="CC111" s="85"/>
      <c r="CD111" s="85"/>
      <c r="CE111" s="85"/>
      <c r="CF111" s="85"/>
      <c r="CG111" s="85"/>
      <c r="CH111" s="85"/>
      <c r="CI111" s="85"/>
      <c r="CJ111" s="85"/>
      <c r="CK111" s="85"/>
      <c r="CL111" s="85"/>
      <c r="CM111" s="85"/>
      <c r="CN111" s="85"/>
      <c r="CO111" s="85"/>
      <c r="CP111" s="85"/>
      <c r="CQ111" s="85"/>
      <c r="CR111" s="85"/>
      <c r="CS111" s="85"/>
      <c r="CT111" s="85"/>
      <c r="CU111" s="85"/>
      <c r="CV111" s="85"/>
      <c r="CW111" s="85"/>
      <c r="CX111" s="85"/>
      <c r="CY111" s="85"/>
      <c r="CZ111" s="85"/>
      <c r="DA111" s="85"/>
      <c r="DB111" s="85"/>
      <c r="DC111" s="85"/>
      <c r="DD111" s="85"/>
      <c r="DE111" s="85"/>
      <c r="DF111" s="85"/>
      <c r="DG111" s="85"/>
      <c r="DH111" s="85"/>
      <c r="DI111" s="85"/>
      <c r="DJ111" s="85"/>
      <c r="DK111" s="85"/>
      <c r="DL111" s="85"/>
      <c r="DM111" s="85"/>
      <c r="DN111" s="85"/>
      <c r="DO111" s="85"/>
      <c r="DP111" s="85"/>
      <c r="DQ111" s="85"/>
      <c r="DR111" s="85"/>
      <c r="DS111" s="85"/>
      <c r="DT111" s="85"/>
      <c r="DU111" s="85"/>
      <c r="DV111" s="85"/>
      <c r="DW111" s="85"/>
      <c r="DX111" s="85"/>
      <c r="DY111" s="85"/>
      <c r="DZ111" s="85"/>
      <c r="EA111" s="85"/>
      <c r="EB111" s="85"/>
      <c r="EC111" s="85"/>
      <c r="ED111" s="85"/>
      <c r="EE111" s="85"/>
      <c r="EF111" s="85"/>
      <c r="EG111" s="85"/>
      <c r="EH111" s="85"/>
      <c r="EI111" s="85"/>
      <c r="EJ111" s="85"/>
      <c r="EK111" s="85"/>
      <c r="EL111" s="85"/>
      <c r="EM111" s="85"/>
      <c r="EN111" s="85"/>
      <c r="EO111" s="85"/>
      <c r="EP111" s="85"/>
      <c r="EQ111" s="85"/>
      <c r="ER111" s="85"/>
      <c r="ES111" s="85"/>
      <c r="ET111" s="85"/>
      <c r="EU111" s="85"/>
      <c r="EV111" s="85"/>
      <c r="EW111" s="85"/>
      <c r="EX111" s="85"/>
      <c r="EY111" s="85"/>
      <c r="EZ111" s="85"/>
      <c r="FA111" s="85"/>
      <c r="FB111" s="85"/>
      <c r="FC111" s="85"/>
      <c r="FD111" s="85"/>
      <c r="FE111" s="85"/>
      <c r="FF111" s="85"/>
      <c r="FG111" s="85"/>
      <c r="FH111" s="85"/>
      <c r="FI111" s="85"/>
      <c r="FJ111" s="85"/>
      <c r="FK111" s="85"/>
      <c r="FL111" s="85"/>
      <c r="FM111" s="85"/>
      <c r="FN111" s="85"/>
      <c r="FO111" s="85"/>
      <c r="FP111" s="85"/>
      <c r="FQ111" s="85"/>
      <c r="FR111" s="85"/>
      <c r="FS111" s="85"/>
      <c r="FT111" s="85"/>
      <c r="FU111" s="85"/>
      <c r="FV111" s="85"/>
      <c r="FW111" s="85"/>
      <c r="FX111" s="85"/>
      <c r="FY111" s="85"/>
      <c r="FZ111" s="85"/>
      <c r="GA111" s="85"/>
      <c r="GB111" s="85"/>
      <c r="GC111" s="85"/>
      <c r="GD111" s="85"/>
      <c r="GE111" s="85"/>
      <c r="GF111" s="85"/>
      <c r="GG111" s="85"/>
      <c r="GH111" s="85"/>
      <c r="GI111" s="85"/>
      <c r="GJ111" s="85"/>
      <c r="GK111" s="85"/>
      <c r="GL111" s="85"/>
      <c r="GM111" s="85"/>
      <c r="GN111" s="85"/>
      <c r="GO111" s="85"/>
      <c r="GP111" s="85"/>
      <c r="GQ111" s="85"/>
      <c r="GR111" s="85"/>
      <c r="GS111" s="85"/>
      <c r="GT111" s="85"/>
      <c r="GU111" s="85"/>
      <c r="GV111" s="85"/>
      <c r="GW111" s="85"/>
      <c r="GX111" s="85"/>
      <c r="GY111" s="85"/>
      <c r="GZ111" s="85"/>
      <c r="HA111" s="85"/>
      <c r="HB111" s="85"/>
      <c r="HC111" s="85"/>
      <c r="HD111" s="85"/>
      <c r="HE111" s="85"/>
      <c r="HF111" s="85"/>
      <c r="HG111" s="85"/>
      <c r="HH111" s="85"/>
      <c r="HI111" s="85"/>
      <c r="HJ111" s="85"/>
      <c r="HK111" s="85"/>
      <c r="HL111" s="85"/>
      <c r="HM111" s="85"/>
      <c r="HN111" s="85"/>
      <c r="HO111" s="85"/>
      <c r="HP111" s="85"/>
      <c r="HQ111" s="85"/>
      <c r="HR111" s="85"/>
      <c r="HS111" s="85"/>
      <c r="HT111" s="85"/>
      <c r="HU111" s="85"/>
      <c r="HV111" s="85"/>
      <c r="HW111" s="85"/>
      <c r="HX111" s="85"/>
      <c r="HY111" s="85"/>
      <c r="HZ111" s="85"/>
      <c r="IA111" s="85"/>
      <c r="IB111" s="85"/>
      <c r="IC111" s="85"/>
      <c r="ID111" s="85"/>
      <c r="IE111" s="85"/>
      <c r="IF111" s="85"/>
      <c r="IG111" s="85"/>
      <c r="IH111" s="85"/>
      <c r="II111" s="85"/>
      <c r="IJ111" s="85"/>
      <c r="IK111" s="85"/>
      <c r="IL111" s="85"/>
      <c r="IM111" s="85"/>
      <c r="IN111" s="85"/>
      <c r="IO111" s="85"/>
      <c r="IP111" s="85"/>
      <c r="IQ111" s="85"/>
      <c r="IR111" s="85"/>
      <c r="IS111" s="85"/>
      <c r="IT111" s="85"/>
      <c r="IU111" s="85"/>
      <c r="IV111" s="85"/>
      <c r="IW111" s="86"/>
    </row>
    <row r="112" customFormat="false" ht="18" hidden="false" customHeight="true" outlineLevel="0" collapsed="false">
      <c r="A112" s="78"/>
      <c r="B112" s="80"/>
      <c r="C112" s="80"/>
      <c r="D112" s="80"/>
      <c r="E112" s="80"/>
      <c r="F112" s="80"/>
      <c r="G112" s="87" t="n">
        <v>1</v>
      </c>
      <c r="H112" s="87" t="n">
        <v>2</v>
      </c>
      <c r="I112" s="88" t="n">
        <v>3</v>
      </c>
      <c r="J112" s="89" t="n">
        <v>4</v>
      </c>
      <c r="K112" s="88" t="n">
        <v>5</v>
      </c>
      <c r="L112" s="88" t="n">
        <v>6</v>
      </c>
      <c r="M112" s="88" t="n">
        <v>7</v>
      </c>
      <c r="N112" s="88" t="n">
        <v>8</v>
      </c>
      <c r="O112" s="88" t="n">
        <v>9</v>
      </c>
      <c r="P112" s="87" t="n">
        <v>10</v>
      </c>
      <c r="Q112" s="89" t="n">
        <v>11</v>
      </c>
      <c r="R112" s="88" t="n">
        <v>12</v>
      </c>
      <c r="S112" s="87" t="n">
        <v>13</v>
      </c>
      <c r="T112" s="87" t="n">
        <v>14</v>
      </c>
      <c r="U112" s="87" t="n">
        <v>15</v>
      </c>
      <c r="V112" s="90"/>
      <c r="W112" s="80"/>
      <c r="X112" s="91" t="s">
        <v>43</v>
      </c>
      <c r="Y112" s="92" t="s">
        <v>44</v>
      </c>
      <c r="Z112" s="92" t="s">
        <v>10</v>
      </c>
      <c r="AA112" s="92" t="s">
        <v>9</v>
      </c>
      <c r="AB112" s="82"/>
      <c r="AC112" s="80"/>
      <c r="AD112" s="91" t="s">
        <v>45</v>
      </c>
      <c r="AE112" s="93" t="s">
        <v>46</v>
      </c>
      <c r="AF112" s="84"/>
      <c r="AG112" s="94"/>
      <c r="AH112" s="94"/>
      <c r="AI112" s="95"/>
      <c r="AJ112" s="96" t="n">
        <v>1</v>
      </c>
      <c r="AK112" s="97" t="n">
        <v>2</v>
      </c>
      <c r="AL112" s="97" t="n">
        <v>3</v>
      </c>
      <c r="AM112" s="97" t="n">
        <v>4</v>
      </c>
      <c r="AN112" s="97" t="n">
        <v>5</v>
      </c>
      <c r="AO112" s="97" t="n">
        <v>6</v>
      </c>
      <c r="AP112" s="97" t="n">
        <v>7</v>
      </c>
      <c r="AQ112" s="97" t="n">
        <v>8</v>
      </c>
      <c r="AR112" s="97" t="n">
        <v>9</v>
      </c>
      <c r="AS112" s="97" t="n">
        <v>10</v>
      </c>
      <c r="AT112" s="97" t="n">
        <v>11</v>
      </c>
      <c r="AU112" s="97" t="n">
        <v>12</v>
      </c>
      <c r="AV112" s="97" t="n">
        <v>13</v>
      </c>
      <c r="AW112" s="97" t="n">
        <v>14</v>
      </c>
      <c r="AX112" s="97" t="n">
        <v>15</v>
      </c>
      <c r="AY112" s="98"/>
      <c r="AZ112" s="99" t="s">
        <v>47</v>
      </c>
      <c r="BA112" s="100"/>
      <c r="BB112" s="95"/>
      <c r="BC112" s="95"/>
      <c r="BD112" s="95"/>
      <c r="BE112" s="95"/>
      <c r="BF112" s="95"/>
      <c r="BG112" s="95"/>
      <c r="BH112" s="95"/>
      <c r="BI112" s="95"/>
      <c r="BJ112" s="95"/>
      <c r="BK112" s="95"/>
      <c r="BL112" s="95"/>
      <c r="BM112" s="95"/>
      <c r="BN112" s="95"/>
      <c r="BO112" s="95"/>
      <c r="BP112" s="95"/>
      <c r="BQ112" s="95"/>
      <c r="BR112" s="95"/>
      <c r="BS112" s="95"/>
      <c r="BT112" s="95"/>
      <c r="BU112" s="95"/>
      <c r="BV112" s="95"/>
      <c r="BW112" s="95"/>
      <c r="BX112" s="95"/>
      <c r="BY112" s="95"/>
      <c r="BZ112" s="95"/>
      <c r="CA112" s="95"/>
      <c r="CB112" s="95"/>
      <c r="CC112" s="95"/>
      <c r="CD112" s="95"/>
      <c r="CE112" s="95"/>
      <c r="CF112" s="95"/>
      <c r="CG112" s="95"/>
      <c r="CH112" s="95"/>
      <c r="CI112" s="95"/>
      <c r="CJ112" s="95"/>
      <c r="CK112" s="95"/>
      <c r="CL112" s="95"/>
      <c r="CM112" s="95"/>
      <c r="CN112" s="95"/>
      <c r="CO112" s="95"/>
      <c r="CP112" s="95"/>
      <c r="CQ112" s="95"/>
      <c r="CR112" s="95"/>
      <c r="CS112" s="95"/>
      <c r="CT112" s="95"/>
      <c r="CU112" s="95"/>
      <c r="CV112" s="95"/>
      <c r="CW112" s="95"/>
      <c r="CX112" s="95"/>
      <c r="CY112" s="95"/>
      <c r="CZ112" s="95"/>
      <c r="DA112" s="95"/>
      <c r="DB112" s="95"/>
      <c r="DC112" s="95"/>
      <c r="DD112" s="95"/>
      <c r="DE112" s="95"/>
      <c r="DF112" s="95"/>
      <c r="DG112" s="95"/>
      <c r="DH112" s="95"/>
      <c r="DI112" s="95"/>
      <c r="DJ112" s="95"/>
      <c r="DK112" s="95"/>
      <c r="DL112" s="95"/>
      <c r="DM112" s="95"/>
      <c r="DN112" s="95"/>
      <c r="DO112" s="95"/>
      <c r="DP112" s="95"/>
      <c r="DQ112" s="95"/>
      <c r="DR112" s="95"/>
      <c r="DS112" s="95"/>
      <c r="DT112" s="95"/>
      <c r="DU112" s="95"/>
      <c r="DV112" s="95"/>
      <c r="DW112" s="95"/>
      <c r="DX112" s="95"/>
      <c r="DY112" s="95"/>
      <c r="DZ112" s="95"/>
      <c r="EA112" s="95"/>
      <c r="EB112" s="95"/>
      <c r="EC112" s="95"/>
      <c r="ED112" s="95"/>
      <c r="EE112" s="95"/>
      <c r="EF112" s="95"/>
      <c r="EG112" s="95"/>
      <c r="EH112" s="95"/>
      <c r="EI112" s="95"/>
      <c r="EJ112" s="95"/>
      <c r="EK112" s="95"/>
      <c r="EL112" s="95"/>
      <c r="EM112" s="95"/>
      <c r="EN112" s="95"/>
      <c r="EO112" s="95"/>
      <c r="EP112" s="95"/>
      <c r="EQ112" s="95"/>
      <c r="ER112" s="95"/>
      <c r="ES112" s="95"/>
      <c r="ET112" s="95"/>
      <c r="EU112" s="95"/>
      <c r="EV112" s="95"/>
      <c r="EW112" s="95"/>
      <c r="EX112" s="95"/>
      <c r="EY112" s="95"/>
      <c r="EZ112" s="95"/>
      <c r="FA112" s="95"/>
      <c r="FB112" s="95"/>
      <c r="FC112" s="95"/>
      <c r="FD112" s="95"/>
      <c r="FE112" s="95"/>
      <c r="FF112" s="95"/>
      <c r="FG112" s="95"/>
      <c r="FH112" s="95"/>
      <c r="FI112" s="95"/>
      <c r="FJ112" s="95"/>
      <c r="FK112" s="95"/>
      <c r="FL112" s="95"/>
      <c r="FM112" s="95"/>
      <c r="FN112" s="95"/>
      <c r="FO112" s="95"/>
      <c r="FP112" s="95"/>
      <c r="FQ112" s="95"/>
      <c r="FR112" s="95"/>
      <c r="FS112" s="95"/>
      <c r="FT112" s="95"/>
      <c r="FU112" s="95"/>
      <c r="FV112" s="95"/>
      <c r="FW112" s="95"/>
      <c r="FX112" s="95"/>
      <c r="FY112" s="95"/>
      <c r="FZ112" s="95"/>
      <c r="GA112" s="95"/>
      <c r="GB112" s="95"/>
      <c r="GC112" s="95"/>
      <c r="GD112" s="95"/>
      <c r="GE112" s="95"/>
      <c r="GF112" s="95"/>
      <c r="GG112" s="95"/>
      <c r="GH112" s="95"/>
      <c r="GI112" s="95"/>
      <c r="GJ112" s="95"/>
      <c r="GK112" s="95"/>
      <c r="GL112" s="95"/>
      <c r="GM112" s="95"/>
      <c r="GN112" s="95"/>
      <c r="GO112" s="95"/>
      <c r="GP112" s="95"/>
      <c r="GQ112" s="95"/>
      <c r="GR112" s="95"/>
      <c r="GS112" s="95"/>
      <c r="GT112" s="95"/>
      <c r="GU112" s="95"/>
      <c r="GV112" s="95"/>
      <c r="GW112" s="95"/>
      <c r="GX112" s="95"/>
      <c r="GY112" s="95"/>
      <c r="GZ112" s="95"/>
      <c r="HA112" s="95"/>
      <c r="HB112" s="95"/>
      <c r="HC112" s="95"/>
      <c r="HD112" s="95"/>
      <c r="HE112" s="95"/>
      <c r="HF112" s="95"/>
      <c r="HG112" s="95"/>
      <c r="HH112" s="95"/>
      <c r="HI112" s="95"/>
      <c r="HJ112" s="95"/>
      <c r="HK112" s="95"/>
      <c r="HL112" s="95"/>
      <c r="HM112" s="95"/>
      <c r="HN112" s="95"/>
      <c r="HO112" s="95"/>
      <c r="HP112" s="95"/>
      <c r="HQ112" s="95"/>
      <c r="HR112" s="95"/>
      <c r="HS112" s="95"/>
      <c r="HT112" s="95"/>
      <c r="HU112" s="95"/>
      <c r="HV112" s="95"/>
      <c r="HW112" s="95"/>
      <c r="HX112" s="95"/>
      <c r="HY112" s="95"/>
      <c r="HZ112" s="95"/>
      <c r="IA112" s="95"/>
      <c r="IB112" s="95"/>
      <c r="IC112" s="95"/>
      <c r="ID112" s="95"/>
      <c r="IE112" s="95"/>
      <c r="IF112" s="95"/>
      <c r="IG112" s="95"/>
      <c r="IH112" s="95"/>
      <c r="II112" s="95"/>
      <c r="IJ112" s="95"/>
      <c r="IK112" s="95"/>
      <c r="IL112" s="95"/>
      <c r="IM112" s="95"/>
      <c r="IN112" s="95"/>
      <c r="IO112" s="95"/>
      <c r="IP112" s="95"/>
      <c r="IQ112" s="95"/>
      <c r="IR112" s="101"/>
      <c r="IS112" s="101"/>
      <c r="IT112" s="101"/>
      <c r="IU112" s="101"/>
      <c r="IV112" s="101"/>
      <c r="IW112" s="101"/>
    </row>
    <row r="113" customFormat="false" ht="18" hidden="false" customHeight="true" outlineLevel="0" collapsed="false">
      <c r="A113" s="78"/>
      <c r="B113" s="80"/>
      <c r="C113" s="80"/>
      <c r="D113" s="80"/>
      <c r="E113" s="80"/>
      <c r="F113" s="102" t="s">
        <v>48</v>
      </c>
      <c r="G113" s="87" t="n">
        <v>16</v>
      </c>
      <c r="H113" s="87" t="n">
        <v>17</v>
      </c>
      <c r="I113" s="89" t="n">
        <v>18</v>
      </c>
      <c r="J113" s="88" t="n">
        <v>19</v>
      </c>
      <c r="K113" s="87" t="n">
        <v>20</v>
      </c>
      <c r="L113" s="87" t="n">
        <v>21</v>
      </c>
      <c r="M113" s="87" t="n">
        <v>22</v>
      </c>
      <c r="N113" s="87" t="n">
        <v>23</v>
      </c>
      <c r="O113" s="87" t="n">
        <v>24</v>
      </c>
      <c r="P113" s="89" t="n">
        <v>25</v>
      </c>
      <c r="Q113" s="103" t="n">
        <v>26</v>
      </c>
      <c r="R113" s="87" t="n">
        <v>27</v>
      </c>
      <c r="S113" s="87" t="n">
        <v>28</v>
      </c>
      <c r="T113" s="87" t="n">
        <v>29</v>
      </c>
      <c r="U113" s="87" t="n">
        <v>30</v>
      </c>
      <c r="V113" s="87" t="n">
        <v>31</v>
      </c>
      <c r="W113" s="80"/>
      <c r="X113" s="91" t="s">
        <v>49</v>
      </c>
      <c r="Y113" s="92" t="s">
        <v>12</v>
      </c>
      <c r="Z113" s="92" t="s">
        <v>13</v>
      </c>
      <c r="AA113" s="92" t="s">
        <v>11</v>
      </c>
      <c r="AB113" s="82"/>
      <c r="AC113" s="80"/>
      <c r="AD113" s="93" t="s">
        <v>50</v>
      </c>
      <c r="AE113" s="93"/>
      <c r="AF113" s="84"/>
      <c r="AG113" s="104" t="s">
        <v>51</v>
      </c>
      <c r="AH113" s="104" t="s">
        <v>52</v>
      </c>
      <c r="AI113" s="95"/>
      <c r="AJ113" s="105" t="n">
        <v>16</v>
      </c>
      <c r="AK113" s="106" t="n">
        <v>17</v>
      </c>
      <c r="AL113" s="106" t="n">
        <v>18</v>
      </c>
      <c r="AM113" s="106" t="n">
        <v>19</v>
      </c>
      <c r="AN113" s="106" t="n">
        <v>20</v>
      </c>
      <c r="AO113" s="106" t="n">
        <v>21</v>
      </c>
      <c r="AP113" s="106" t="n">
        <v>22</v>
      </c>
      <c r="AQ113" s="106" t="n">
        <v>23</v>
      </c>
      <c r="AR113" s="106" t="n">
        <v>24</v>
      </c>
      <c r="AS113" s="106" t="n">
        <v>25</v>
      </c>
      <c r="AT113" s="106" t="n">
        <v>26</v>
      </c>
      <c r="AU113" s="106" t="n">
        <v>27</v>
      </c>
      <c r="AV113" s="106" t="n">
        <v>28</v>
      </c>
      <c r="AW113" s="106" t="n">
        <v>29</v>
      </c>
      <c r="AX113" s="106" t="n">
        <v>30</v>
      </c>
      <c r="AY113" s="107" t="n">
        <v>31</v>
      </c>
      <c r="AZ113" s="99"/>
      <c r="BA113" s="100"/>
      <c r="BB113" s="95"/>
      <c r="BC113" s="95"/>
      <c r="BD113" s="95"/>
      <c r="BE113" s="95"/>
      <c r="BF113" s="95"/>
      <c r="BG113" s="95"/>
      <c r="BH113" s="95"/>
      <c r="BI113" s="95"/>
      <c r="BJ113" s="95"/>
      <c r="BK113" s="95"/>
      <c r="BL113" s="95"/>
      <c r="BM113" s="95"/>
      <c r="BN113" s="95"/>
      <c r="BO113" s="95"/>
      <c r="BP113" s="95"/>
      <c r="BQ113" s="95"/>
      <c r="BR113" s="95"/>
      <c r="BS113" s="95"/>
      <c r="BT113" s="95"/>
      <c r="BU113" s="95"/>
      <c r="BV113" s="95"/>
      <c r="BW113" s="95"/>
      <c r="BX113" s="95"/>
      <c r="BY113" s="95"/>
      <c r="BZ113" s="95"/>
      <c r="CA113" s="95"/>
      <c r="CB113" s="95"/>
      <c r="CC113" s="95"/>
      <c r="CD113" s="95"/>
      <c r="CE113" s="95"/>
      <c r="CF113" s="95"/>
      <c r="CG113" s="95"/>
      <c r="CH113" s="95"/>
      <c r="CI113" s="95"/>
      <c r="CJ113" s="95"/>
      <c r="CK113" s="95"/>
      <c r="CL113" s="95"/>
      <c r="CM113" s="95"/>
      <c r="CN113" s="95"/>
      <c r="CO113" s="95"/>
      <c r="CP113" s="95"/>
      <c r="CQ113" s="95"/>
      <c r="CR113" s="95"/>
      <c r="CS113" s="95"/>
      <c r="CT113" s="95"/>
      <c r="CU113" s="95"/>
      <c r="CV113" s="95"/>
      <c r="CW113" s="95"/>
      <c r="CX113" s="95"/>
      <c r="CY113" s="95"/>
      <c r="CZ113" s="95"/>
      <c r="DA113" s="95"/>
      <c r="DB113" s="95"/>
      <c r="DC113" s="95"/>
      <c r="DD113" s="95"/>
      <c r="DE113" s="95"/>
      <c r="DF113" s="95"/>
      <c r="DG113" s="95"/>
      <c r="DH113" s="95"/>
      <c r="DI113" s="95"/>
      <c r="DJ113" s="95"/>
      <c r="DK113" s="95"/>
      <c r="DL113" s="95"/>
      <c r="DM113" s="95"/>
      <c r="DN113" s="95"/>
      <c r="DO113" s="95"/>
      <c r="DP113" s="95"/>
      <c r="DQ113" s="95"/>
      <c r="DR113" s="95"/>
      <c r="DS113" s="95"/>
      <c r="DT113" s="95"/>
      <c r="DU113" s="95"/>
      <c r="DV113" s="95"/>
      <c r="DW113" s="95"/>
      <c r="DX113" s="95"/>
      <c r="DY113" s="95"/>
      <c r="DZ113" s="95"/>
      <c r="EA113" s="95"/>
      <c r="EB113" s="95"/>
      <c r="EC113" s="95"/>
      <c r="ED113" s="95"/>
      <c r="EE113" s="95"/>
      <c r="EF113" s="95"/>
      <c r="EG113" s="95"/>
      <c r="EH113" s="95"/>
      <c r="EI113" s="95"/>
      <c r="EJ113" s="95"/>
      <c r="EK113" s="95"/>
      <c r="EL113" s="95"/>
      <c r="EM113" s="95"/>
      <c r="EN113" s="95"/>
      <c r="EO113" s="95"/>
      <c r="EP113" s="95"/>
      <c r="EQ113" s="95"/>
      <c r="ER113" s="95"/>
      <c r="ES113" s="95"/>
      <c r="ET113" s="95"/>
      <c r="EU113" s="95"/>
      <c r="EV113" s="95"/>
      <c r="EW113" s="95"/>
      <c r="EX113" s="95"/>
      <c r="EY113" s="95"/>
      <c r="EZ113" s="95"/>
      <c r="FA113" s="95"/>
      <c r="FB113" s="95"/>
      <c r="FC113" s="95"/>
      <c r="FD113" s="95"/>
      <c r="FE113" s="95"/>
      <c r="FF113" s="95"/>
      <c r="FG113" s="95"/>
      <c r="FH113" s="95"/>
      <c r="FI113" s="95"/>
      <c r="FJ113" s="95"/>
      <c r="FK113" s="95"/>
      <c r="FL113" s="95"/>
      <c r="FM113" s="95"/>
      <c r="FN113" s="95"/>
      <c r="FO113" s="95"/>
      <c r="FP113" s="95"/>
      <c r="FQ113" s="95"/>
      <c r="FR113" s="95"/>
      <c r="FS113" s="95"/>
      <c r="FT113" s="95"/>
      <c r="FU113" s="95"/>
      <c r="FV113" s="95"/>
      <c r="FW113" s="95"/>
      <c r="FX113" s="95"/>
      <c r="FY113" s="95"/>
      <c r="FZ113" s="95"/>
      <c r="GA113" s="95"/>
      <c r="GB113" s="95"/>
      <c r="GC113" s="95"/>
      <c r="GD113" s="95"/>
      <c r="GE113" s="95"/>
      <c r="GF113" s="95"/>
      <c r="GG113" s="95"/>
      <c r="GH113" s="95"/>
      <c r="GI113" s="95"/>
      <c r="GJ113" s="95"/>
      <c r="GK113" s="95"/>
      <c r="GL113" s="95"/>
      <c r="GM113" s="95"/>
      <c r="GN113" s="95"/>
      <c r="GO113" s="95"/>
      <c r="GP113" s="95"/>
      <c r="GQ113" s="95"/>
      <c r="GR113" s="95"/>
      <c r="GS113" s="95"/>
      <c r="GT113" s="95"/>
      <c r="GU113" s="95"/>
      <c r="GV113" s="95"/>
      <c r="GW113" s="95"/>
      <c r="GX113" s="95"/>
      <c r="GY113" s="95"/>
      <c r="GZ113" s="95"/>
      <c r="HA113" s="95"/>
      <c r="HB113" s="95"/>
      <c r="HC113" s="95"/>
      <c r="HD113" s="95"/>
      <c r="HE113" s="95"/>
      <c r="HF113" s="95"/>
      <c r="HG113" s="95"/>
      <c r="HH113" s="95"/>
      <c r="HI113" s="95"/>
      <c r="HJ113" s="95"/>
      <c r="HK113" s="95"/>
      <c r="HL113" s="95"/>
      <c r="HM113" s="95"/>
      <c r="HN113" s="95"/>
      <c r="HO113" s="95"/>
      <c r="HP113" s="95"/>
      <c r="HQ113" s="95"/>
      <c r="HR113" s="95"/>
      <c r="HS113" s="95"/>
      <c r="HT113" s="95"/>
      <c r="HU113" s="95"/>
      <c r="HV113" s="95"/>
      <c r="HW113" s="95"/>
      <c r="HX113" s="95"/>
      <c r="HY113" s="95"/>
      <c r="HZ113" s="95"/>
      <c r="IA113" s="95"/>
      <c r="IB113" s="95"/>
      <c r="IC113" s="95"/>
      <c r="ID113" s="95"/>
      <c r="IE113" s="95"/>
      <c r="IF113" s="95"/>
      <c r="IG113" s="95"/>
      <c r="IH113" s="95"/>
      <c r="II113" s="95"/>
      <c r="IJ113" s="95"/>
      <c r="IK113" s="95"/>
      <c r="IL113" s="95"/>
      <c r="IM113" s="95"/>
      <c r="IN113" s="95"/>
      <c r="IO113" s="95"/>
      <c r="IP113" s="95"/>
      <c r="IQ113" s="95"/>
      <c r="IR113" s="101"/>
      <c r="IS113" s="101"/>
      <c r="IT113" s="101"/>
      <c r="IU113" s="101"/>
      <c r="IV113" s="101"/>
      <c r="IW113" s="101"/>
    </row>
    <row r="114" customFormat="false" ht="12.6" hidden="false" customHeight="true" outlineLevel="0" collapsed="false">
      <c r="A114" s="108" t="n">
        <v>1</v>
      </c>
      <c r="B114" s="389" t="e">
        <f aca="false">#REF!+1</f>
        <v>#REF!</v>
      </c>
      <c r="C114" s="310" t="n">
        <f aca="false">IF(ISERROR(VLOOKUP(D114,일용직명단!$A$3:$I$104,2,FALSE())),0,VLOOKUP(D114,일용직명단!$A$3:$I$104,2,FALSE()))</f>
        <v>0</v>
      </c>
      <c r="D114" s="110" t="s">
        <v>78</v>
      </c>
      <c r="E114" s="311" t="str">
        <f aca="false">IF(ISERROR(VLOOKUP(D114,일용직명단!$A$3:$K$1246,3,FALSE())),0,VLOOKUP(D114,일용직명단!$A$3:$K$1246,3,FALSE()))</f>
        <v>640430-1449018</v>
      </c>
      <c r="F114" s="112" t="str">
        <f aca="false">IF(ISERROR(VLOOKUP(D114,일용직명단!$A$3:$K$1246,4,FALSE())),0,VLOOKUP(D114,일용직명단!$A$3:$K$1246,4,FALSE()))</f>
        <v>대전광역시 중구 보문산로245번길 3-18, 1층(문화동)</v>
      </c>
      <c r="G114" s="192" t="n">
        <v>1</v>
      </c>
      <c r="H114" s="193" t="n">
        <v>1</v>
      </c>
      <c r="I114" s="191"/>
      <c r="J114" s="191" t="n">
        <v>1</v>
      </c>
      <c r="K114" s="192"/>
      <c r="L114" s="191"/>
      <c r="M114" s="192"/>
      <c r="N114" s="192"/>
      <c r="O114" s="193"/>
      <c r="P114" s="193" t="n">
        <v>1</v>
      </c>
      <c r="Q114" s="192" t="n">
        <v>1</v>
      </c>
      <c r="R114" s="193"/>
      <c r="S114" s="191" t="n">
        <v>1</v>
      </c>
      <c r="T114" s="193" t="n">
        <v>1</v>
      </c>
      <c r="U114" s="191"/>
      <c r="V114" s="194"/>
      <c r="W114" s="120" t="n">
        <f aca="false">SUM(G114:V115)</f>
        <v>7</v>
      </c>
      <c r="X114" s="121" t="n">
        <f aca="false">IF(ISERROR(VLOOKUP(D114,일용직명단!$A$3:$K$1246,8,FALSE())),0,VLOOKUP(D114,일용직명단!$A$3:$K$1246,8,FALSE()))</f>
        <v>170000</v>
      </c>
      <c r="Y114" s="122"/>
      <c r="Z114" s="122" t="n">
        <f aca="false">IF(AF114&gt;=8,ROUNDDOWN(X115*$N$4,-1),0)</f>
        <v>0</v>
      </c>
      <c r="AA114" s="123" t="n">
        <f aca="false">IFERROR(IF(AND(COUNT(G114:V115)&gt;=8,$AH114&lt;60,X115&lt;=5530000),ROUNDDOWN(ROUNDDOWN(X115,-3)*4.5%,-1),IF(AND(COUNT(G114:V115)&gt;=8,AH114&lt;60,X115&gt;5530000),248850,0)),0)</f>
        <v>0</v>
      </c>
      <c r="AB114" s="124" t="n">
        <f aca="false">+Y114+Z114+Y115+Z115+AA114+AA115</f>
        <v>0</v>
      </c>
      <c r="AC114" s="125" t="n">
        <f aca="false">X115-AB114</f>
        <v>1190000</v>
      </c>
      <c r="AD114" s="126" t="str">
        <f aca="false">IF(ISERROR(VLOOKUP(D114,일용직명단!$A$3:$I$1226,5,FALSE())),0,VLOOKUP(D114,일용직명단!$A$3:$I$1226,5,FALSE()))</f>
        <v>농협</v>
      </c>
      <c r="AE114" s="127" t="str">
        <f aca="false">IF(ISERROR(VLOOKUP(D114,일용직명단!$A$3:$I$1226,6,FALSE())),0,VLOOKUP(D114,일용직명단!$A$3:$I$1226,6,FALSE()))</f>
        <v>박원용</v>
      </c>
      <c r="AF114" s="128" t="n">
        <f aca="false">COUNT(G114:V115)</f>
        <v>7</v>
      </c>
      <c r="AG114" s="129" t="str">
        <f aca="false">IF(OR(MID(E114,8,1)="1",MID(E114,8,1)="2"),19&amp;LEFT(E114,2),20&amp;LEFT(E114,2))&amp;"-"&amp;MID(E114,3,2)&amp;"-"&amp;MID(E114,5,2)</f>
        <v>1964-04-30</v>
      </c>
      <c r="AH114" s="129" t="n">
        <f aca="true">INT((TODAY()-AG114)/365.25)</f>
        <v>61</v>
      </c>
      <c r="AI114" s="130" t="n">
        <f aca="false">ROUNDDOWN(SUM(AJ114:AY115),-1)</f>
        <v>3780</v>
      </c>
      <c r="AJ114" s="130" t="n">
        <f aca="false">IF($X114*G114&gt;150000,($X114*G114-150000)*6%*45%,0)</f>
        <v>540</v>
      </c>
      <c r="AK114" s="130" t="n">
        <f aca="false">IF($X114*H114&gt;150000,($X114*H114-150000)*6%*45%,0)</f>
        <v>540</v>
      </c>
      <c r="AL114" s="130" t="n">
        <f aca="false">IF($X114*I114&gt;150000,($X114*I114-150000)*6%*45%,0)</f>
        <v>0</v>
      </c>
      <c r="AM114" s="130" t="n">
        <f aca="false">IF($X114*J114&gt;150000,($X114*J114-150000)*6%*45%,0)</f>
        <v>540</v>
      </c>
      <c r="AN114" s="130" t="n">
        <f aca="false">IF($X114*K114&gt;150000,($X114*K114-150000)*6%*45%,0)</f>
        <v>0</v>
      </c>
      <c r="AO114" s="130" t="n">
        <f aca="false">IF($X114*L114&gt;150000,($X114*L114-150000)*6%*45%,0)</f>
        <v>0</v>
      </c>
      <c r="AP114" s="130" t="n">
        <f aca="false">IF($X114*M114&gt;150000,($X114*M114-150000)*6%*45%,0)</f>
        <v>0</v>
      </c>
      <c r="AQ114" s="130" t="n">
        <f aca="false">IF($X114*N114&gt;150000,($X114*N114-150000)*6%*45%,0)</f>
        <v>0</v>
      </c>
      <c r="AR114" s="130" t="n">
        <f aca="false">IF($X114*O114&gt;150000,($X114*O114-150000)*6%*45%,0)</f>
        <v>0</v>
      </c>
      <c r="AS114" s="130" t="n">
        <f aca="false">IF($X114*P114&gt;150000,($X114*P114-150000)*6%*45%,0)</f>
        <v>540</v>
      </c>
      <c r="AT114" s="130" t="n">
        <f aca="false">IF($X114*Q114&gt;150000,($X114*Q114-150000)*6%*45%,0)</f>
        <v>540</v>
      </c>
      <c r="AU114" s="130" t="n">
        <f aca="false">IF($X114*R114&gt;150000,($X114*R114-150000)*6%*45%,0)</f>
        <v>0</v>
      </c>
      <c r="AV114" s="130" t="n">
        <f aca="false">IF($X114*S114&gt;150000,($X114*S114-150000)*6%*45%,0)</f>
        <v>540</v>
      </c>
      <c r="AW114" s="130" t="n">
        <f aca="false">IF($X114*T114&gt;150000,($X114*T114-150000)*6%*45%,0)</f>
        <v>540</v>
      </c>
      <c r="AX114" s="130" t="n">
        <f aca="false">IF($X114*U114&gt;150000,($X114*U114-150000)*6%*45%,0)</f>
        <v>0</v>
      </c>
      <c r="AY114" s="130"/>
      <c r="AZ114" s="131" t="n">
        <f aca="false">IF(ISERROR(VLOOKUP(D114,[26]일용직명단!$A$3:$M$1151,11,FALSE())),0,VLOOKUP(D114,[26]일용직명단!$A$3:$M$1151,11,FALSE()))</f>
        <v>0</v>
      </c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/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/>
      <c r="HO114" s="11"/>
      <c r="HP114" s="11"/>
      <c r="HQ114" s="11"/>
      <c r="HR114" s="11"/>
      <c r="HS114" s="11"/>
      <c r="HT114" s="11"/>
      <c r="HU114" s="11"/>
      <c r="HV114" s="11"/>
      <c r="HW114" s="11"/>
      <c r="HX114" s="11"/>
      <c r="HY114" s="11"/>
      <c r="HZ114" s="11"/>
      <c r="IA114" s="11"/>
      <c r="IB114" s="11"/>
      <c r="IC114" s="11"/>
      <c r="ID114" s="11"/>
      <c r="IE114" s="11"/>
      <c r="IF114" s="11"/>
      <c r="IG114" s="11"/>
      <c r="IH114" s="11"/>
      <c r="II114" s="11"/>
      <c r="IJ114" s="11"/>
      <c r="IK114" s="11"/>
      <c r="IL114" s="11"/>
      <c r="IM114" s="11"/>
      <c r="IN114" s="11"/>
      <c r="IO114" s="11"/>
      <c r="IP114" s="11"/>
      <c r="IQ114" s="11"/>
      <c r="IR114" s="11"/>
      <c r="IS114" s="11"/>
      <c r="IT114" s="11"/>
      <c r="IU114" s="11"/>
      <c r="IV114" s="11"/>
      <c r="IW114" s="11"/>
    </row>
    <row r="115" customFormat="false" ht="12.6" hidden="false" customHeight="true" outlineLevel="0" collapsed="false">
      <c r="A115" s="108"/>
      <c r="B115" s="389"/>
      <c r="C115" s="310"/>
      <c r="D115" s="110"/>
      <c r="E115" s="311"/>
      <c r="F115" s="112" t="str">
        <f aca="false">IF(ISERROR(VLOOKUP(D114,일용직명단!$A$3:$K$1246,9,FALSE())),0,VLOOKUP(D114,일용직명단!$A$3:$K$1246,9,FALSE()))</f>
        <v>010-3034-8317</v>
      </c>
      <c r="G115" s="195"/>
      <c r="H115" s="196"/>
      <c r="I115" s="196"/>
      <c r="J115" s="193"/>
      <c r="K115" s="191"/>
      <c r="L115" s="193"/>
      <c r="M115" s="192"/>
      <c r="N115" s="197"/>
      <c r="O115" s="198"/>
      <c r="P115" s="199"/>
      <c r="Q115" s="198"/>
      <c r="R115" s="193"/>
      <c r="S115" s="192"/>
      <c r="T115" s="192"/>
      <c r="U115" s="192"/>
      <c r="V115" s="191"/>
      <c r="W115" s="120"/>
      <c r="X115" s="138" t="n">
        <f aca="false">X114*W114</f>
        <v>1190000</v>
      </c>
      <c r="Y115" s="122"/>
      <c r="Z115" s="122" t="n">
        <f aca="false">ROUNDDOWN(Y115*10%,-1)</f>
        <v>0</v>
      </c>
      <c r="AA115" s="123" t="n">
        <f aca="false">IF(AF114&gt;=8,ROUNDDOWN(Z114*$R$4,-1),0)</f>
        <v>0</v>
      </c>
      <c r="AB115" s="124"/>
      <c r="AC115" s="125"/>
      <c r="AD115" s="127" t="str">
        <f aca="false">IF(ISERROR(VLOOKUP(D114,일용직명단!$A$3:$I$1226,7,FALSE())),0,VLOOKUP(D114,일용직명단!$A$3:$I$1226,7,FALSE()))</f>
        <v>352-0194-1212-63</v>
      </c>
      <c r="AE115" s="127"/>
      <c r="AF115" s="128"/>
      <c r="AG115" s="129"/>
      <c r="AH115" s="129"/>
      <c r="AI115" s="130"/>
      <c r="AJ115" s="130" t="n">
        <f aca="false">IF($X114*G115&gt;150000,($X114*G115-150000)*6%*45%,0)</f>
        <v>0</v>
      </c>
      <c r="AK115" s="130" t="n">
        <f aca="false">IF($X114*H115&gt;150000,($X114*H115-150000)*6%*45%,0)</f>
        <v>0</v>
      </c>
      <c r="AL115" s="130" t="n">
        <f aca="false">IF($X114*I115&gt;150000,($X114*I115-150000)*6%*45%,0)</f>
        <v>0</v>
      </c>
      <c r="AM115" s="130" t="n">
        <f aca="false">IF($X114*J115&gt;150000,($X114*J115-150000)*6%*45%,0)</f>
        <v>0</v>
      </c>
      <c r="AN115" s="130" t="n">
        <f aca="false">IF($X114*K115&gt;150000,($X114*K115-150000)*6%*45%,0)</f>
        <v>0</v>
      </c>
      <c r="AO115" s="130" t="n">
        <f aca="false">IF($X114*L115&gt;150000,($X114*L115-150000)*6%*45%,0)</f>
        <v>0</v>
      </c>
      <c r="AP115" s="130" t="n">
        <f aca="false">IF($X114*M115&gt;150000,($X114*M115-150000)*6%*45%,0)</f>
        <v>0</v>
      </c>
      <c r="AQ115" s="130" t="n">
        <f aca="false">IF($X114*N115&gt;150000,($X114*N115-150000)*6%*45%,0)</f>
        <v>0</v>
      </c>
      <c r="AR115" s="130" t="n">
        <f aca="false">IF($X114*O115&gt;150000,($X114*O115-150000)*6%*45%,0)</f>
        <v>0</v>
      </c>
      <c r="AS115" s="130" t="n">
        <f aca="false">IF($X114*P115&gt;150000,($X114*P115-150000)*6%*45%,0)</f>
        <v>0</v>
      </c>
      <c r="AT115" s="130" t="n">
        <f aca="false">IF($X114*Q115&gt;150000,($X114*Q115-150000)*6%*45%,0)</f>
        <v>0</v>
      </c>
      <c r="AU115" s="130" t="n">
        <f aca="false">IF($X114*R115&gt;150000,($X114*R115-150000)*6%*45%,0)</f>
        <v>0</v>
      </c>
      <c r="AV115" s="130" t="n">
        <f aca="false">IF($X114*S115&gt;150000,($X114*S115-150000)*6%*45%,0)</f>
        <v>0</v>
      </c>
      <c r="AW115" s="130" t="n">
        <f aca="false">IF($X114*T115&gt;150000,($X114*T115-150000)*6%*45%,0)</f>
        <v>0</v>
      </c>
      <c r="AX115" s="130" t="n">
        <f aca="false">IF($X114*U115&gt;150000,($X114*U115-150000)*6%*45%,0)</f>
        <v>0</v>
      </c>
      <c r="AY115" s="130" t="n">
        <f aca="false">IF($X114*V115&gt;150000,($X114*V115-150000)*6%*45%,0)</f>
        <v>0</v>
      </c>
      <c r="AZ115" s="13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1"/>
      <c r="GJ115" s="11"/>
      <c r="GK115" s="11"/>
      <c r="GL115" s="11"/>
      <c r="GM115" s="11"/>
      <c r="GN115" s="11"/>
      <c r="GO115" s="11"/>
      <c r="GP115" s="11"/>
      <c r="GQ115" s="11"/>
      <c r="GR115" s="11"/>
      <c r="GS115" s="11"/>
      <c r="GT115" s="11"/>
      <c r="GU115" s="11"/>
      <c r="GV115" s="11"/>
      <c r="GW115" s="11"/>
      <c r="GX115" s="11"/>
      <c r="GY115" s="11"/>
      <c r="GZ115" s="11"/>
      <c r="HA115" s="11"/>
      <c r="HB115" s="11"/>
      <c r="HC115" s="11"/>
      <c r="HD115" s="11"/>
      <c r="HE115" s="11"/>
      <c r="HF115" s="11"/>
      <c r="HG115" s="11"/>
      <c r="HH115" s="11"/>
      <c r="HI115" s="11"/>
      <c r="HJ115" s="11"/>
      <c r="HK115" s="11"/>
      <c r="HL115" s="11"/>
      <c r="HM115" s="11"/>
      <c r="HN115" s="11"/>
      <c r="HO115" s="11"/>
      <c r="HP115" s="11"/>
      <c r="HQ115" s="11"/>
      <c r="HR115" s="11"/>
      <c r="HS115" s="11"/>
      <c r="HT115" s="11"/>
      <c r="HU115" s="11"/>
      <c r="HV115" s="11"/>
      <c r="HW115" s="11"/>
      <c r="HX115" s="11"/>
      <c r="HY115" s="11"/>
      <c r="HZ115" s="11"/>
      <c r="IA115" s="11"/>
      <c r="IB115" s="11"/>
      <c r="IC115" s="11"/>
      <c r="ID115" s="11"/>
      <c r="IE115" s="11"/>
      <c r="IF115" s="11"/>
      <c r="IG115" s="11"/>
      <c r="IH115" s="11"/>
      <c r="II115" s="11"/>
      <c r="IJ115" s="11"/>
      <c r="IK115" s="11"/>
      <c r="IL115" s="11"/>
      <c r="IM115" s="11"/>
      <c r="IN115" s="11"/>
      <c r="IO115" s="11"/>
      <c r="IP115" s="11"/>
      <c r="IQ115" s="11"/>
      <c r="IR115" s="11"/>
      <c r="IS115" s="11"/>
      <c r="IT115" s="11"/>
      <c r="IU115" s="11"/>
      <c r="IV115" s="11"/>
      <c r="IW115" s="11"/>
    </row>
    <row r="116" customFormat="false" ht="13.5" hidden="false" customHeight="true" outlineLevel="0" collapsed="false">
      <c r="A116" s="108" t="n">
        <f aca="false">A114+1</f>
        <v>2</v>
      </c>
      <c r="B116" s="393"/>
      <c r="C116" s="159" t="n">
        <f aca="false">IF(ISERROR(VLOOKUP(D116,[31]일용직명단!$A$3:$I$105,2,FALSE())),0,VLOOKUP(D116,[31]일용직명단!$A$3:$I$105,2,FALSE()))</f>
        <v>0</v>
      </c>
      <c r="D116" s="394"/>
      <c r="E116" s="311" t="n">
        <f aca="false">IF(ISERROR(VLOOKUP(D116,일용직명단!$A$3:$K$1246,3,FALSE())),0,VLOOKUP(D116,일용직명단!$A$3:$K$1246,3,FALSE()))</f>
        <v>0</v>
      </c>
      <c r="F116" s="112" t="n">
        <f aca="false">IF(ISERROR(VLOOKUP(D116,일용직명단!$A$3:$K$1246,4,FALSE())),0,VLOOKUP(D116,일용직명단!$A$3:$K$1246,4,FALSE()))</f>
        <v>0</v>
      </c>
      <c r="G116" s="395"/>
      <c r="H116" s="396"/>
      <c r="I116" s="198"/>
      <c r="J116" s="397"/>
      <c r="K116" s="395"/>
      <c r="L116" s="397"/>
      <c r="M116" s="395"/>
      <c r="N116" s="395"/>
      <c r="O116" s="193"/>
      <c r="P116" s="193"/>
      <c r="Q116" s="395"/>
      <c r="R116" s="193"/>
      <c r="S116" s="397"/>
      <c r="T116" s="193"/>
      <c r="U116" s="397"/>
      <c r="V116" s="194"/>
      <c r="W116" s="120" t="n">
        <f aca="false">SUM(G116:V117)</f>
        <v>0</v>
      </c>
      <c r="X116" s="121" t="n">
        <f aca="false">IF(ISERROR(VLOOKUP(D116,일용직명단!$A$3:$K$1246,8,FALSE())),0,VLOOKUP(D116,일용직명단!$A$3:$K$1246,8,FALSE()))</f>
        <v>0</v>
      </c>
      <c r="Y116" s="122" t="n">
        <f aca="false">IFERROR(IF(AH116&gt;=65,0,ROUNDDOWN(X117*$AA$4,-1)),0)</f>
        <v>0</v>
      </c>
      <c r="Z116" s="122" t="n">
        <f aca="false">IF(AF116&gt;=8,ROUNDDOWN(X117*$N$4,-1),0)</f>
        <v>0</v>
      </c>
      <c r="AA116" s="123" t="n">
        <f aca="false">IFERROR(IF(AND(COUNT(G116:V117)&gt;=8,$AH116&lt;60,X117&lt;=5530000),ROUNDDOWN(ROUNDDOWN(X117,-3)*4.5%,-1),IF(AND(COUNT(G116:V117)&gt;=8,AH116&lt;60,X117&gt;5530000),248850,0)),0)</f>
        <v>0</v>
      </c>
      <c r="AB116" s="124" t="n">
        <f aca="false">+Y116+Z116+Y117+Z117+AA116+AA117</f>
        <v>0</v>
      </c>
      <c r="AC116" s="125" t="n">
        <f aca="false">X117-AB116</f>
        <v>0</v>
      </c>
      <c r="AD116" s="126" t="n">
        <f aca="false">IF(ISERROR(VLOOKUP(D116,일용직명단!$A$3:$I$1226,5,FALSE())),0,VLOOKUP(D116,일용직명단!$A$3:$I$1226,5,FALSE()))</f>
        <v>0</v>
      </c>
      <c r="AE116" s="127" t="n">
        <f aca="false">IF(ISERROR(VLOOKUP(D116,일용직명단!$A$3:$I$1226,6,FALSE())),0,VLOOKUP(D116,일용직명단!$A$3:$I$1226,6,FALSE()))</f>
        <v>0</v>
      </c>
      <c r="AF116" s="141" t="n">
        <f aca="false">COUNT(G116:V117)</f>
        <v>0</v>
      </c>
      <c r="AG116" s="129" t="str">
        <f aca="false">IF(OR(MID(E116,8,1)="1",MID(E116,8,1)="2"),19&amp;LEFT(E116,2),20&amp;LEFT(E116,2))&amp;"-"&amp;MID(E116,3,2)&amp;"-"&amp;MID(E116,5,2)</f>
        <v>200--</v>
      </c>
      <c r="AH116" s="129" t="e">
        <f aca="true">INT((TODAY()-AG116)/365.25)</f>
        <v>#VALUE!</v>
      </c>
      <c r="AI116" s="130" t="n">
        <f aca="false">ROUNDDOWN(SUM(AJ116:AY117),-1)</f>
        <v>0</v>
      </c>
      <c r="AJ116" s="130" t="n">
        <f aca="false">IF($X116*G116&gt;150000,($X116*G116-150000)*6%*45%,0)</f>
        <v>0</v>
      </c>
      <c r="AK116" s="130" t="n">
        <f aca="false">IF($X116*H116&gt;150000,($X116*H116-150000)*6%*45%,0)</f>
        <v>0</v>
      </c>
      <c r="AL116" s="130" t="n">
        <f aca="false">IF($X116*I116&gt;150000,($X116*I116-150000)*6%*45%,0)</f>
        <v>0</v>
      </c>
      <c r="AM116" s="130" t="n">
        <f aca="false">IF($X116*J116&gt;150000,($X116*J116-150000)*6%*45%,0)</f>
        <v>0</v>
      </c>
      <c r="AN116" s="130" t="n">
        <f aca="false">IF($X116*K116&gt;150000,($X116*K116-150000)*6%*45%,0)</f>
        <v>0</v>
      </c>
      <c r="AO116" s="130" t="n">
        <f aca="false">IF($X116*L116&gt;150000,($X116*L116-150000)*6%*45%,0)</f>
        <v>0</v>
      </c>
      <c r="AP116" s="130" t="n">
        <f aca="false">IF($X116*M116&gt;150000,($X116*M116-150000)*6%*45%,0)</f>
        <v>0</v>
      </c>
      <c r="AQ116" s="130" t="n">
        <f aca="false">IF($X116*N116&gt;150000,($X116*N116-150000)*6%*45%,0)</f>
        <v>0</v>
      </c>
      <c r="AR116" s="130" t="n">
        <f aca="false">IF($X116*O116&gt;150000,($X116*O116-150000)*6%*45%,0)</f>
        <v>0</v>
      </c>
      <c r="AS116" s="130" t="n">
        <f aca="false">IF($X116*P116&gt;150000,($X116*P116-150000)*6%*45%,0)</f>
        <v>0</v>
      </c>
      <c r="AT116" s="130" t="n">
        <f aca="false">IF($X116*Q116&gt;150000,($X116*Q116-150000)*6%*45%,0)</f>
        <v>0</v>
      </c>
      <c r="AU116" s="130" t="n">
        <f aca="false">IF($X116*R116&gt;150000,($X116*R116-150000)*6%*45%,0)</f>
        <v>0</v>
      </c>
      <c r="AV116" s="130" t="n">
        <f aca="false">IF($X116*S116&gt;150000,($X116*S116-150000)*6%*45%,0)</f>
        <v>0</v>
      </c>
      <c r="AW116" s="130" t="n">
        <f aca="false">IF($X116*T116&gt;150000,($X116*T116-150000)*6%*45%,0)</f>
        <v>0</v>
      </c>
      <c r="AX116" s="130" t="n">
        <f aca="false">IF($X116*U116&gt;150000,($X116*U116-150000)*6%*45%,0)</f>
        <v>0</v>
      </c>
      <c r="AY116" s="130"/>
      <c r="AZ116" s="131" t="n">
        <f aca="false">IF(ISERROR(VLOOKUP(D116,[32]일용직명단!$A$3:$M$1151,11,FALSE())),0,VLOOKUP(D116,[32]일용직명단!$A$3:$M$1151,11,FALSE()))</f>
        <v>0</v>
      </c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/>
      <c r="GF116" s="11"/>
      <c r="GG116" s="11"/>
      <c r="GH116" s="11"/>
      <c r="GI116" s="11"/>
      <c r="GJ116" s="11"/>
      <c r="GK116" s="11"/>
      <c r="GL116" s="11"/>
      <c r="GM116" s="11"/>
      <c r="GN116" s="11"/>
      <c r="GO116" s="11"/>
      <c r="GP116" s="11"/>
      <c r="GQ116" s="11"/>
      <c r="GR116" s="11"/>
      <c r="GS116" s="11"/>
      <c r="GT116" s="11"/>
      <c r="GU116" s="11"/>
      <c r="GV116" s="11"/>
      <c r="GW116" s="11"/>
      <c r="GX116" s="11"/>
      <c r="GY116" s="11"/>
      <c r="GZ116" s="11"/>
      <c r="HA116" s="11"/>
      <c r="HB116" s="11"/>
      <c r="HC116" s="11"/>
      <c r="HD116" s="11"/>
      <c r="HE116" s="11"/>
      <c r="HF116" s="11"/>
      <c r="HG116" s="11"/>
      <c r="HH116" s="11"/>
      <c r="HI116" s="11"/>
      <c r="HJ116" s="11"/>
      <c r="HK116" s="11"/>
      <c r="HL116" s="11"/>
      <c r="HM116" s="11"/>
      <c r="HN116" s="11"/>
      <c r="HO116" s="11"/>
      <c r="HP116" s="11"/>
      <c r="HQ116" s="11"/>
      <c r="HR116" s="11"/>
      <c r="HS116" s="11"/>
      <c r="HT116" s="11"/>
      <c r="HU116" s="11"/>
      <c r="HV116" s="11"/>
      <c r="HW116" s="11"/>
      <c r="HX116" s="11"/>
      <c r="HY116" s="11"/>
      <c r="HZ116" s="11"/>
      <c r="IA116" s="11"/>
      <c r="IB116" s="11"/>
      <c r="IC116" s="11"/>
      <c r="ID116" s="11"/>
      <c r="IE116" s="11"/>
      <c r="IF116" s="11"/>
      <c r="IG116" s="11"/>
      <c r="IH116" s="11"/>
      <c r="II116" s="11"/>
      <c r="IJ116" s="11"/>
      <c r="IK116" s="11"/>
      <c r="IL116" s="11"/>
      <c r="IM116" s="11"/>
      <c r="IN116" s="11"/>
      <c r="IO116" s="11"/>
      <c r="IP116" s="11"/>
      <c r="IQ116" s="11"/>
      <c r="IR116" s="11"/>
      <c r="IS116" s="11"/>
      <c r="IT116" s="11"/>
      <c r="IU116" s="11"/>
      <c r="IV116" s="11"/>
      <c r="IW116" s="11"/>
    </row>
    <row r="117" customFormat="false" ht="13.5" hidden="false" customHeight="true" outlineLevel="0" collapsed="false">
      <c r="A117" s="108"/>
      <c r="B117" s="393"/>
      <c r="C117" s="159"/>
      <c r="D117" s="394"/>
      <c r="E117" s="311"/>
      <c r="F117" s="112" t="n">
        <f aca="false">IF(ISERROR(VLOOKUP(D116,일용직명단!$A$3:$K$1246,9,FALSE())),0,VLOOKUP(D116,일용직명단!$A$3:$K$1246,9,FALSE()))</f>
        <v>0</v>
      </c>
      <c r="G117" s="398"/>
      <c r="H117" s="399"/>
      <c r="I117" s="398"/>
      <c r="J117" s="198"/>
      <c r="K117" s="400"/>
      <c r="L117" s="198"/>
      <c r="M117" s="395"/>
      <c r="N117" s="395"/>
      <c r="O117" s="193"/>
      <c r="P117" s="397"/>
      <c r="Q117" s="193"/>
      <c r="R117" s="193"/>
      <c r="S117" s="395"/>
      <c r="T117" s="395"/>
      <c r="U117" s="395"/>
      <c r="V117" s="401"/>
      <c r="W117" s="120"/>
      <c r="X117" s="138" t="n">
        <f aca="false">X116*W116</f>
        <v>0</v>
      </c>
      <c r="Y117" s="122" t="n">
        <f aca="false">IF(AI116&lt;1000,0,AI116)</f>
        <v>0</v>
      </c>
      <c r="Z117" s="122" t="n">
        <f aca="false">ROUNDDOWN(Y117*10%,-1)</f>
        <v>0</v>
      </c>
      <c r="AA117" s="123" t="n">
        <f aca="false">IF(AF116&gt;=8,ROUNDDOWN(Z116*$R$4,-1),0)</f>
        <v>0</v>
      </c>
      <c r="AB117" s="124"/>
      <c r="AC117" s="125"/>
      <c r="AD117" s="127" t="n">
        <f aca="false">IF(ISERROR(VLOOKUP(D116,일용직명단!$A$3:$I$1226,7,FALSE())),0,VLOOKUP(D116,일용직명단!$A$3:$I$1226,7,FALSE()))</f>
        <v>0</v>
      </c>
      <c r="AE117" s="127"/>
      <c r="AF117" s="141"/>
      <c r="AG117" s="129"/>
      <c r="AH117" s="129"/>
      <c r="AI117" s="130"/>
      <c r="AJ117" s="130" t="n">
        <f aca="false">IF($X116*G117&gt;150000,($X116*G117-150000)*6%*45%,0)</f>
        <v>0</v>
      </c>
      <c r="AK117" s="130" t="n">
        <f aca="false">IF($X116*H117&gt;150000,($X116*H117-150000)*6%*45%,0)</f>
        <v>0</v>
      </c>
      <c r="AL117" s="130" t="n">
        <f aca="false">IF($X116*I117&gt;150000,($X116*I117-150000)*6%*45%,0)</f>
        <v>0</v>
      </c>
      <c r="AM117" s="130" t="n">
        <f aca="false">IF($X116*J117&gt;150000,($X116*J117-150000)*6%*45%,0)</f>
        <v>0</v>
      </c>
      <c r="AN117" s="130" t="n">
        <f aca="false">IF($X116*K117&gt;150000,($X116*K117-150000)*6%*45%,0)</f>
        <v>0</v>
      </c>
      <c r="AO117" s="130" t="n">
        <f aca="false">IF($X116*L117&gt;150000,($X116*L117-150000)*6%*45%,0)</f>
        <v>0</v>
      </c>
      <c r="AP117" s="130" t="n">
        <f aca="false">IF($X116*M117&gt;150000,($X116*M117-150000)*6%*45%,0)</f>
        <v>0</v>
      </c>
      <c r="AQ117" s="130" t="n">
        <f aca="false">IF($X116*N117&gt;150000,($X116*N117-150000)*6%*45%,0)</f>
        <v>0</v>
      </c>
      <c r="AR117" s="130" t="n">
        <f aca="false">IF($X116*O117&gt;150000,($X116*O117-150000)*6%*45%,0)</f>
        <v>0</v>
      </c>
      <c r="AS117" s="130" t="n">
        <f aca="false">IF($X116*P117&gt;150000,($X116*P117-150000)*6%*45%,0)</f>
        <v>0</v>
      </c>
      <c r="AT117" s="130" t="n">
        <f aca="false">IF($X116*Q117&gt;150000,($X116*Q117-150000)*6%*45%,0)</f>
        <v>0</v>
      </c>
      <c r="AU117" s="130" t="n">
        <f aca="false">IF($X116*R117&gt;150000,($X116*R117-150000)*6%*45%,0)</f>
        <v>0</v>
      </c>
      <c r="AV117" s="130" t="n">
        <f aca="false">IF($X116*S117&gt;150000,($X116*S117-150000)*6%*45%,0)</f>
        <v>0</v>
      </c>
      <c r="AW117" s="130" t="n">
        <f aca="false">IF($X116*T117&gt;150000,($X116*T117-150000)*6%*45%,0)</f>
        <v>0</v>
      </c>
      <c r="AX117" s="130" t="n">
        <f aca="false">IF($X116*U117&gt;150000,($X116*U117-150000)*6%*45%,0)</f>
        <v>0</v>
      </c>
      <c r="AY117" s="130" t="n">
        <f aca="false">IF($X116*V117&gt;150000,($X116*V117-150000)*6%*45%,0)</f>
        <v>0</v>
      </c>
      <c r="AZ117" s="13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  <c r="FX117" s="11"/>
      <c r="FY117" s="11"/>
      <c r="FZ117" s="11"/>
      <c r="GA117" s="11"/>
      <c r="GB117" s="11"/>
      <c r="GC117" s="11"/>
      <c r="GD117" s="11"/>
      <c r="GE117" s="11"/>
      <c r="GF117" s="11"/>
      <c r="GG117" s="11"/>
      <c r="GH117" s="11"/>
      <c r="GI117" s="11"/>
      <c r="GJ117" s="11"/>
      <c r="GK117" s="11"/>
      <c r="GL117" s="11"/>
      <c r="GM117" s="11"/>
      <c r="GN117" s="11"/>
      <c r="GO117" s="11"/>
      <c r="GP117" s="11"/>
      <c r="GQ117" s="11"/>
      <c r="GR117" s="11"/>
      <c r="GS117" s="11"/>
      <c r="GT117" s="11"/>
      <c r="GU117" s="11"/>
      <c r="GV117" s="11"/>
      <c r="GW117" s="11"/>
      <c r="GX117" s="11"/>
      <c r="GY117" s="11"/>
      <c r="GZ117" s="11"/>
      <c r="HA117" s="11"/>
      <c r="HB117" s="11"/>
      <c r="HC117" s="11"/>
      <c r="HD117" s="11"/>
      <c r="HE117" s="11"/>
      <c r="HF117" s="11"/>
      <c r="HG117" s="11"/>
      <c r="HH117" s="11"/>
      <c r="HI117" s="11"/>
      <c r="HJ117" s="11"/>
      <c r="HK117" s="11"/>
      <c r="HL117" s="11"/>
      <c r="HM117" s="11"/>
      <c r="HN117" s="11"/>
      <c r="HO117" s="11"/>
      <c r="HP117" s="11"/>
      <c r="HQ117" s="11"/>
      <c r="HR117" s="11"/>
      <c r="HS117" s="11"/>
      <c r="HT117" s="11"/>
      <c r="HU117" s="11"/>
      <c r="HV117" s="11"/>
      <c r="HW117" s="11"/>
      <c r="HX117" s="11"/>
      <c r="HY117" s="11"/>
      <c r="HZ117" s="11"/>
      <c r="IA117" s="11"/>
      <c r="IB117" s="11"/>
      <c r="IC117" s="11"/>
      <c r="ID117" s="11"/>
      <c r="IE117" s="11"/>
      <c r="IF117" s="11"/>
      <c r="IG117" s="11"/>
      <c r="IH117" s="11"/>
      <c r="II117" s="11"/>
      <c r="IJ117" s="11"/>
      <c r="IK117" s="11"/>
      <c r="IL117" s="11"/>
      <c r="IM117" s="11"/>
      <c r="IN117" s="11"/>
      <c r="IO117" s="11"/>
      <c r="IP117" s="11"/>
      <c r="IQ117" s="11"/>
      <c r="IR117" s="11"/>
      <c r="IS117" s="11"/>
      <c r="IT117" s="11"/>
      <c r="IU117" s="11"/>
      <c r="IV117" s="11"/>
      <c r="IW117" s="11"/>
    </row>
    <row r="118" customFormat="false" ht="13.5" hidden="false" customHeight="true" outlineLevel="0" collapsed="false">
      <c r="A118" s="108" t="n">
        <f aca="false">A116+1</f>
        <v>3</v>
      </c>
      <c r="B118" s="402"/>
      <c r="C118" s="403"/>
      <c r="D118" s="110"/>
      <c r="E118" s="311" t="n">
        <f aca="false">IF(ISERROR(VLOOKUP(D118,일용직명단!$A$3:$K$1246,3,FALSE())),0,VLOOKUP(D118,일용직명단!$A$3:$K$1246,3,FALSE()))</f>
        <v>0</v>
      </c>
      <c r="F118" s="112" t="n">
        <f aca="false">IF(ISERROR(VLOOKUP(D118,일용직명단!$A$3:$K$1246,4,FALSE())),0,VLOOKUP(D118,일용직명단!$A$3:$K$1246,4,FALSE()))</f>
        <v>0</v>
      </c>
      <c r="G118" s="395"/>
      <c r="H118" s="396"/>
      <c r="I118" s="198"/>
      <c r="J118" s="397"/>
      <c r="K118" s="395"/>
      <c r="L118" s="397"/>
      <c r="M118" s="395"/>
      <c r="N118" s="395"/>
      <c r="O118" s="193"/>
      <c r="P118" s="193"/>
      <c r="Q118" s="395"/>
      <c r="R118" s="193"/>
      <c r="S118" s="397"/>
      <c r="T118" s="193"/>
      <c r="U118" s="397"/>
      <c r="V118" s="194"/>
      <c r="W118" s="120" t="n">
        <f aca="false">SUM(G118:V119)</f>
        <v>0</v>
      </c>
      <c r="X118" s="121" t="n">
        <f aca="false">IF(ISERROR(VLOOKUP(D118,일용직명단!$A$3:$K$1246,8,FALSE())),0,VLOOKUP(D118,일용직명단!$A$3:$K$1246,8,FALSE()))</f>
        <v>0</v>
      </c>
      <c r="Y118" s="122" t="n">
        <f aca="false">IFERROR(IF(AH118&gt;=65,0,ROUNDDOWN(X119*$AA$4,-1)),0)</f>
        <v>0</v>
      </c>
      <c r="Z118" s="122" t="n">
        <f aca="false">IF(AF118&gt;=8,ROUNDDOWN(X119*$N$4,-1),0)</f>
        <v>0</v>
      </c>
      <c r="AA118" s="123" t="n">
        <f aca="false">IFERROR(IF(AND(COUNT(G118:V119)&gt;=8,$AH118&lt;60,X119&lt;=5530000),ROUNDDOWN(ROUNDDOWN(X119,-3)*4.5%,-1),IF(AND(COUNT(G118:V119)&gt;=8,AH118&lt;60,X119&gt;5530000),248850,0)),0)</f>
        <v>0</v>
      </c>
      <c r="AB118" s="124" t="n">
        <f aca="false">+Y118+Z118+Y119+Z119+AA118+AA119</f>
        <v>0</v>
      </c>
      <c r="AC118" s="125" t="n">
        <f aca="false">X119-AB118</f>
        <v>0</v>
      </c>
      <c r="AD118" s="126" t="n">
        <f aca="false">IF(ISERROR(VLOOKUP(D118,일용직명단!$A$3:$I$1226,5,FALSE())),0,VLOOKUP(D118,일용직명단!$A$3:$I$1226,5,FALSE()))</f>
        <v>0</v>
      </c>
      <c r="AE118" s="127" t="n">
        <f aca="false">IF(ISERROR(VLOOKUP(D118,일용직명단!$A$3:$I$1226,6,FALSE())),0,VLOOKUP(D118,일용직명단!$A$3:$I$1226,6,FALSE()))</f>
        <v>0</v>
      </c>
      <c r="AF118" s="141" t="n">
        <f aca="false">COUNT(G118:V119)</f>
        <v>0</v>
      </c>
      <c r="AG118" s="169" t="str">
        <f aca="false">IF(OR(MID(E118,8,1)="1",MID(E118,8,1)="2"),19&amp;LEFT(E118,2),20&amp;LEFT(E118,2))&amp;"-"&amp;MID(E118,3,2)&amp;"-"&amp;MID(E118,5,2)</f>
        <v>200--</v>
      </c>
      <c r="AH118" s="169" t="e">
        <f aca="true">INT((TODAY()-AG118)/365.25)</f>
        <v>#VALUE!</v>
      </c>
      <c r="AI118" s="130" t="n">
        <f aca="false">ROUNDDOWN(SUM(AJ118:AY119),-1)</f>
        <v>0</v>
      </c>
      <c r="AJ118" s="130" t="n">
        <f aca="false">IF($X118*G118&gt;150000,($X118*G118-150000)*6%*45%,0)</f>
        <v>0</v>
      </c>
      <c r="AK118" s="130" t="n">
        <f aca="false">IF($X118*H118&gt;150000,($X118*H118-150000)*6%*45%,0)</f>
        <v>0</v>
      </c>
      <c r="AL118" s="130" t="n">
        <f aca="false">IF($X118*I118&gt;150000,($X118*I118-150000)*6%*45%,0)</f>
        <v>0</v>
      </c>
      <c r="AM118" s="130" t="n">
        <f aca="false">IF($X118*J118&gt;150000,($X118*J118-150000)*6%*45%,0)</f>
        <v>0</v>
      </c>
      <c r="AN118" s="130" t="n">
        <f aca="false">IF($X118*K118&gt;150000,($X118*K118-150000)*6%*45%,0)</f>
        <v>0</v>
      </c>
      <c r="AO118" s="130" t="n">
        <f aca="false">IF($X118*L118&gt;150000,($X118*L118-150000)*6%*45%,0)</f>
        <v>0</v>
      </c>
      <c r="AP118" s="130" t="n">
        <f aca="false">IF($X118*M118&gt;150000,($X118*M118-150000)*6%*45%,0)</f>
        <v>0</v>
      </c>
      <c r="AQ118" s="130" t="n">
        <f aca="false">IF($X118*N118&gt;150000,($X118*N118-150000)*6%*45%,0)</f>
        <v>0</v>
      </c>
      <c r="AR118" s="130" t="n">
        <f aca="false">IF($X118*O118&gt;150000,($X118*O118-150000)*6%*45%,0)</f>
        <v>0</v>
      </c>
      <c r="AS118" s="130" t="n">
        <f aca="false">IF($X118*P118&gt;150000,($X118*P118-150000)*6%*45%,0)</f>
        <v>0</v>
      </c>
      <c r="AT118" s="130" t="n">
        <f aca="false">IF($X118*Q118&gt;150000,($X118*Q118-150000)*6%*45%,0)</f>
        <v>0</v>
      </c>
      <c r="AU118" s="130" t="n">
        <f aca="false">IF($X118*R118&gt;150000,($X118*R118-150000)*6%*45%,0)</f>
        <v>0</v>
      </c>
      <c r="AV118" s="130" t="n">
        <f aca="false">IF($X118*S118&gt;150000,($X118*S118-150000)*6%*45%,0)</f>
        <v>0</v>
      </c>
      <c r="AW118" s="130" t="n">
        <f aca="false">IF($X118*T118&gt;150000,($X118*T118-150000)*6%*45%,0)</f>
        <v>0</v>
      </c>
      <c r="AX118" s="130" t="n">
        <f aca="false">IF($X118*U118&gt;150000,($X118*U118-150000)*6%*45%,0)</f>
        <v>0</v>
      </c>
      <c r="AY118" s="130"/>
      <c r="AZ118" s="131" t="n">
        <f aca="false">IF(ISERROR(VLOOKUP(D118,[32]일용직명단!$A$3:$M$1151,11,FALSE())),0,VLOOKUP(D118,[32]일용직명단!$A$3:$M$1151,11,FALSE()))</f>
        <v>0</v>
      </c>
      <c r="BA118" s="11"/>
      <c r="BC118" s="358"/>
      <c r="BD118" s="358"/>
      <c r="BE118" s="358"/>
      <c r="BF118" s="358"/>
      <c r="BG118" s="358"/>
      <c r="BH118" s="358"/>
      <c r="BI118" s="358"/>
      <c r="BJ118" s="358"/>
      <c r="BK118" s="358"/>
      <c r="BL118" s="358"/>
      <c r="BM118" s="358"/>
      <c r="BN118" s="358"/>
      <c r="BO118" s="358"/>
      <c r="BP118" s="358"/>
      <c r="BQ118" s="358"/>
      <c r="BR118" s="358"/>
      <c r="BS118" s="358"/>
      <c r="BT118" s="358"/>
      <c r="BU118" s="358"/>
      <c r="BV118" s="358"/>
      <c r="BW118" s="358"/>
      <c r="BX118" s="358"/>
      <c r="BY118" s="358"/>
      <c r="BZ118" s="358"/>
      <c r="CA118" s="358"/>
      <c r="CB118" s="358"/>
      <c r="CC118" s="358"/>
      <c r="CD118" s="358"/>
      <c r="CE118" s="358"/>
      <c r="CF118" s="358"/>
      <c r="CG118" s="358"/>
      <c r="CH118" s="358"/>
      <c r="CI118" s="358"/>
      <c r="CJ118" s="358"/>
      <c r="CK118" s="358"/>
      <c r="CL118" s="358"/>
      <c r="CM118" s="358"/>
      <c r="CN118" s="358"/>
      <c r="CO118" s="358"/>
      <c r="CP118" s="358"/>
      <c r="CQ118" s="358"/>
      <c r="CR118" s="358"/>
      <c r="CS118" s="358"/>
      <c r="CT118" s="358"/>
      <c r="CU118" s="358"/>
      <c r="CV118" s="358"/>
      <c r="CW118" s="358"/>
      <c r="CX118" s="358"/>
      <c r="CY118" s="358"/>
      <c r="CZ118" s="358"/>
      <c r="DA118" s="358"/>
      <c r="DB118" s="358"/>
      <c r="DC118" s="358"/>
      <c r="DD118" s="358"/>
      <c r="DE118" s="358"/>
      <c r="DF118" s="358"/>
      <c r="DG118" s="358"/>
      <c r="DH118" s="358"/>
      <c r="DI118" s="358"/>
      <c r="DJ118" s="358"/>
      <c r="DK118" s="358"/>
      <c r="DL118" s="358"/>
      <c r="DM118" s="358"/>
      <c r="DN118" s="358"/>
      <c r="DO118" s="358"/>
      <c r="DP118" s="358"/>
      <c r="DQ118" s="358"/>
      <c r="DR118" s="358"/>
      <c r="DS118" s="358"/>
      <c r="DT118" s="358"/>
      <c r="DU118" s="358"/>
      <c r="DV118" s="358"/>
      <c r="DW118" s="358"/>
      <c r="DX118" s="358"/>
      <c r="DY118" s="358"/>
      <c r="DZ118" s="358"/>
      <c r="EA118" s="358"/>
      <c r="EB118" s="358"/>
      <c r="EC118" s="358"/>
      <c r="ED118" s="358"/>
      <c r="EE118" s="358"/>
      <c r="EF118" s="358"/>
      <c r="EG118" s="358"/>
      <c r="EH118" s="358"/>
      <c r="EI118" s="358"/>
      <c r="EJ118" s="358"/>
      <c r="EK118" s="358"/>
      <c r="EL118" s="358"/>
      <c r="EM118" s="358"/>
      <c r="EN118" s="358"/>
      <c r="EO118" s="358"/>
      <c r="EP118" s="358"/>
      <c r="EQ118" s="358"/>
      <c r="ER118" s="358"/>
      <c r="ES118" s="358"/>
      <c r="ET118" s="358"/>
      <c r="EU118" s="358"/>
      <c r="EV118" s="358"/>
      <c r="EW118" s="358"/>
      <c r="EX118" s="358"/>
      <c r="EY118" s="358"/>
      <c r="EZ118" s="358"/>
      <c r="FA118" s="358"/>
      <c r="FB118" s="358"/>
      <c r="FC118" s="358"/>
      <c r="FD118" s="358"/>
      <c r="FE118" s="358"/>
      <c r="FF118" s="358"/>
      <c r="FG118" s="358"/>
      <c r="FH118" s="358"/>
      <c r="FI118" s="358"/>
      <c r="FJ118" s="358"/>
      <c r="FK118" s="358"/>
      <c r="FL118" s="358"/>
      <c r="FM118" s="358"/>
      <c r="FN118" s="358"/>
      <c r="FO118" s="358"/>
      <c r="FP118" s="358"/>
      <c r="FQ118" s="358"/>
      <c r="FR118" s="358"/>
      <c r="FS118" s="358"/>
      <c r="FT118" s="358"/>
      <c r="FU118" s="358"/>
      <c r="FV118" s="358"/>
      <c r="FW118" s="358"/>
      <c r="FX118" s="358"/>
      <c r="FY118" s="358"/>
      <c r="FZ118" s="358"/>
      <c r="GA118" s="358"/>
      <c r="GB118" s="358"/>
      <c r="GC118" s="358"/>
      <c r="GD118" s="358"/>
      <c r="GE118" s="358"/>
      <c r="GF118" s="358"/>
      <c r="GG118" s="358"/>
      <c r="GH118" s="358"/>
      <c r="GI118" s="358"/>
      <c r="GJ118" s="358"/>
      <c r="GK118" s="358"/>
      <c r="GL118" s="358"/>
      <c r="GM118" s="358"/>
      <c r="GN118" s="358"/>
      <c r="GO118" s="358"/>
      <c r="GP118" s="358"/>
      <c r="GQ118" s="358"/>
      <c r="GR118" s="358"/>
      <c r="GS118" s="358"/>
      <c r="GT118" s="358"/>
      <c r="GU118" s="358"/>
      <c r="GV118" s="358"/>
      <c r="GW118" s="358"/>
      <c r="GX118" s="358"/>
      <c r="GY118" s="358"/>
      <c r="GZ118" s="358"/>
      <c r="HA118" s="358"/>
      <c r="HB118" s="358"/>
      <c r="HC118" s="358"/>
      <c r="HD118" s="358"/>
      <c r="HE118" s="358"/>
      <c r="HF118" s="358"/>
      <c r="HG118" s="358"/>
      <c r="HH118" s="358"/>
      <c r="HI118" s="358"/>
      <c r="HJ118" s="358"/>
      <c r="HK118" s="358"/>
      <c r="HL118" s="358"/>
      <c r="HM118" s="358"/>
      <c r="HN118" s="358"/>
      <c r="HO118" s="358"/>
      <c r="HP118" s="358"/>
      <c r="HQ118" s="358"/>
      <c r="HR118" s="358"/>
      <c r="HS118" s="358"/>
      <c r="HT118" s="358"/>
      <c r="HU118" s="358"/>
      <c r="HV118" s="358"/>
      <c r="HW118" s="358"/>
      <c r="HX118" s="358"/>
      <c r="HY118" s="358"/>
      <c r="HZ118" s="358"/>
      <c r="IA118" s="358"/>
      <c r="IB118" s="358"/>
      <c r="IC118" s="358"/>
      <c r="ID118" s="358"/>
      <c r="IE118" s="358"/>
      <c r="IF118" s="358"/>
      <c r="IG118" s="358"/>
      <c r="IH118" s="358"/>
      <c r="II118" s="358"/>
      <c r="IJ118" s="358"/>
      <c r="IK118" s="358"/>
      <c r="IL118" s="358"/>
      <c r="IM118" s="358"/>
      <c r="IN118" s="358"/>
      <c r="IO118" s="358"/>
      <c r="IP118" s="358"/>
      <c r="IQ118" s="358"/>
    </row>
    <row r="119" customFormat="false" ht="13.5" hidden="false" customHeight="true" outlineLevel="0" collapsed="false">
      <c r="A119" s="108"/>
      <c r="B119" s="402"/>
      <c r="C119" s="403"/>
      <c r="D119" s="110"/>
      <c r="E119" s="311"/>
      <c r="F119" s="112" t="n">
        <f aca="false">IF(ISERROR(VLOOKUP(D118,일용직명단!$A$3:$K$1246,9,FALSE())),0,VLOOKUP(D118,일용직명단!$A$3:$K$1246,9,FALSE()))</f>
        <v>0</v>
      </c>
      <c r="G119" s="398"/>
      <c r="H119" s="399"/>
      <c r="I119" s="398"/>
      <c r="J119" s="198"/>
      <c r="K119" s="400"/>
      <c r="L119" s="198"/>
      <c r="M119" s="395"/>
      <c r="N119" s="395"/>
      <c r="O119" s="193"/>
      <c r="P119" s="397"/>
      <c r="Q119" s="193"/>
      <c r="R119" s="193"/>
      <c r="S119" s="395"/>
      <c r="T119" s="395"/>
      <c r="U119" s="395"/>
      <c r="V119" s="401"/>
      <c r="W119" s="120"/>
      <c r="X119" s="138" t="n">
        <f aca="false">X118*W118</f>
        <v>0</v>
      </c>
      <c r="Y119" s="122" t="n">
        <f aca="false">IF(AI118&lt;1000,0,AI118)</f>
        <v>0</v>
      </c>
      <c r="Z119" s="122" t="n">
        <f aca="false">ROUNDDOWN(Y119*10%,-1)</f>
        <v>0</v>
      </c>
      <c r="AA119" s="123" t="n">
        <f aca="false">IF(AF118&gt;=8,ROUNDDOWN(Z118*$R$4,-1),0)</f>
        <v>0</v>
      </c>
      <c r="AB119" s="124"/>
      <c r="AC119" s="125"/>
      <c r="AD119" s="127" t="n">
        <f aca="false">IF(ISERROR(VLOOKUP(D118,일용직명단!$A$3:$I$1226,7,FALSE())),0,VLOOKUP(D118,일용직명단!$A$3:$I$1226,7,FALSE()))</f>
        <v>0</v>
      </c>
      <c r="AE119" s="127"/>
      <c r="AF119" s="141"/>
      <c r="AG119" s="169"/>
      <c r="AH119" s="169"/>
      <c r="AI119" s="130"/>
      <c r="AJ119" s="130" t="n">
        <f aca="false">IF($X118*G119&gt;150000,($X118*G119-150000)*6%*45%,0)</f>
        <v>0</v>
      </c>
      <c r="AK119" s="130" t="n">
        <f aca="false">IF($X118*H119&gt;150000,($X118*H119-150000)*6%*45%,0)</f>
        <v>0</v>
      </c>
      <c r="AL119" s="130" t="n">
        <f aca="false">IF($X118*I119&gt;150000,($X118*I119-150000)*6%*45%,0)</f>
        <v>0</v>
      </c>
      <c r="AM119" s="130" t="n">
        <f aca="false">IF($X118*J119&gt;150000,($X118*J119-150000)*6%*45%,0)</f>
        <v>0</v>
      </c>
      <c r="AN119" s="130" t="n">
        <f aca="false">IF($X118*K119&gt;150000,($X118*K119-150000)*6%*45%,0)</f>
        <v>0</v>
      </c>
      <c r="AO119" s="130" t="n">
        <f aca="false">IF($X118*L119&gt;150000,($X118*L119-150000)*6%*45%,0)</f>
        <v>0</v>
      </c>
      <c r="AP119" s="130" t="n">
        <f aca="false">IF($X118*M119&gt;150000,($X118*M119-150000)*6%*45%,0)</f>
        <v>0</v>
      </c>
      <c r="AQ119" s="130" t="n">
        <f aca="false">IF($X118*N119&gt;150000,($X118*N119-150000)*6%*45%,0)</f>
        <v>0</v>
      </c>
      <c r="AR119" s="130" t="n">
        <f aca="false">IF($X118*O119&gt;150000,($X118*O119-150000)*6%*45%,0)</f>
        <v>0</v>
      </c>
      <c r="AS119" s="130" t="n">
        <f aca="false">IF($X118*P119&gt;150000,($X118*P119-150000)*6%*45%,0)</f>
        <v>0</v>
      </c>
      <c r="AT119" s="130" t="n">
        <f aca="false">IF($X118*Q119&gt;150000,($X118*Q119-150000)*6%*45%,0)</f>
        <v>0</v>
      </c>
      <c r="AU119" s="130" t="n">
        <f aca="false">IF($X118*R119&gt;150000,($X118*R119-150000)*6%*45%,0)</f>
        <v>0</v>
      </c>
      <c r="AV119" s="130" t="n">
        <f aca="false">IF($X118*S119&gt;150000,($X118*S119-150000)*6%*45%,0)</f>
        <v>0</v>
      </c>
      <c r="AW119" s="130" t="n">
        <f aca="false">IF($X118*T119&gt;150000,($X118*T119-150000)*6%*45%,0)</f>
        <v>0</v>
      </c>
      <c r="AX119" s="130" t="n">
        <f aca="false">IF($X118*U119&gt;150000,($X118*U119-150000)*6%*45%,0)</f>
        <v>0</v>
      </c>
      <c r="AY119" s="130" t="n">
        <f aca="false">IF($X118*V119&gt;150000,($X118*V119-150000)*6%*45%,0)</f>
        <v>0</v>
      </c>
      <c r="AZ119" s="131"/>
      <c r="BA119" s="11"/>
      <c r="BC119" s="358"/>
      <c r="BD119" s="358"/>
      <c r="BE119" s="358"/>
      <c r="BF119" s="358"/>
      <c r="BG119" s="358"/>
      <c r="BH119" s="358"/>
      <c r="BI119" s="358"/>
      <c r="BJ119" s="358"/>
      <c r="BK119" s="358"/>
      <c r="BL119" s="358"/>
      <c r="BM119" s="358"/>
      <c r="BN119" s="358"/>
      <c r="BO119" s="358"/>
      <c r="BP119" s="358"/>
      <c r="BQ119" s="358"/>
      <c r="BR119" s="358"/>
      <c r="BS119" s="358"/>
      <c r="BT119" s="358"/>
      <c r="BU119" s="358"/>
      <c r="BV119" s="358"/>
      <c r="BW119" s="358"/>
      <c r="BX119" s="358"/>
      <c r="BY119" s="358"/>
      <c r="BZ119" s="358"/>
      <c r="CA119" s="358"/>
      <c r="CB119" s="358"/>
      <c r="CC119" s="358"/>
      <c r="CD119" s="358"/>
      <c r="CE119" s="358"/>
      <c r="CF119" s="358"/>
      <c r="CG119" s="358"/>
      <c r="CH119" s="358"/>
      <c r="CI119" s="358"/>
      <c r="CJ119" s="358"/>
      <c r="CK119" s="358"/>
      <c r="CL119" s="358"/>
      <c r="CM119" s="358"/>
      <c r="CN119" s="358"/>
      <c r="CO119" s="358"/>
      <c r="CP119" s="358"/>
      <c r="CQ119" s="358"/>
      <c r="CR119" s="358"/>
      <c r="CS119" s="358"/>
      <c r="CT119" s="358"/>
      <c r="CU119" s="358"/>
      <c r="CV119" s="358"/>
      <c r="CW119" s="358"/>
      <c r="CX119" s="358"/>
      <c r="CY119" s="358"/>
      <c r="CZ119" s="358"/>
      <c r="DA119" s="358"/>
      <c r="DB119" s="358"/>
      <c r="DC119" s="358"/>
      <c r="DD119" s="358"/>
      <c r="DE119" s="358"/>
      <c r="DF119" s="358"/>
      <c r="DG119" s="358"/>
      <c r="DH119" s="358"/>
      <c r="DI119" s="358"/>
      <c r="DJ119" s="358"/>
      <c r="DK119" s="358"/>
      <c r="DL119" s="358"/>
      <c r="DM119" s="358"/>
      <c r="DN119" s="358"/>
      <c r="DO119" s="358"/>
      <c r="DP119" s="358"/>
      <c r="DQ119" s="358"/>
      <c r="DR119" s="358"/>
      <c r="DS119" s="358"/>
      <c r="DT119" s="358"/>
      <c r="DU119" s="358"/>
      <c r="DV119" s="358"/>
      <c r="DW119" s="358"/>
      <c r="DX119" s="358"/>
      <c r="DY119" s="358"/>
      <c r="DZ119" s="358"/>
      <c r="EA119" s="358"/>
      <c r="EB119" s="358"/>
      <c r="EC119" s="358"/>
      <c r="ED119" s="358"/>
      <c r="EE119" s="358"/>
      <c r="EF119" s="358"/>
      <c r="EG119" s="358"/>
      <c r="EH119" s="358"/>
      <c r="EI119" s="358"/>
      <c r="EJ119" s="358"/>
      <c r="EK119" s="358"/>
      <c r="EL119" s="358"/>
      <c r="EM119" s="358"/>
      <c r="EN119" s="358"/>
      <c r="EO119" s="358"/>
      <c r="EP119" s="358"/>
      <c r="EQ119" s="358"/>
      <c r="ER119" s="358"/>
      <c r="ES119" s="358"/>
      <c r="ET119" s="358"/>
      <c r="EU119" s="358"/>
      <c r="EV119" s="358"/>
      <c r="EW119" s="358"/>
      <c r="EX119" s="358"/>
      <c r="EY119" s="358"/>
      <c r="EZ119" s="358"/>
      <c r="FA119" s="358"/>
      <c r="FB119" s="358"/>
      <c r="FC119" s="358"/>
      <c r="FD119" s="358"/>
      <c r="FE119" s="358"/>
      <c r="FF119" s="358"/>
      <c r="FG119" s="358"/>
      <c r="FH119" s="358"/>
      <c r="FI119" s="358"/>
      <c r="FJ119" s="358"/>
      <c r="FK119" s="358"/>
      <c r="FL119" s="358"/>
      <c r="FM119" s="358"/>
      <c r="FN119" s="358"/>
      <c r="FO119" s="358"/>
      <c r="FP119" s="358"/>
      <c r="FQ119" s="358"/>
      <c r="FR119" s="358"/>
      <c r="FS119" s="358"/>
      <c r="FT119" s="358"/>
      <c r="FU119" s="358"/>
      <c r="FV119" s="358"/>
      <c r="FW119" s="358"/>
      <c r="FX119" s="358"/>
      <c r="FY119" s="358"/>
      <c r="FZ119" s="358"/>
      <c r="GA119" s="358"/>
      <c r="GB119" s="358"/>
      <c r="GC119" s="358"/>
      <c r="GD119" s="358"/>
      <c r="GE119" s="358"/>
      <c r="GF119" s="358"/>
      <c r="GG119" s="358"/>
      <c r="GH119" s="358"/>
      <c r="GI119" s="358"/>
      <c r="GJ119" s="358"/>
      <c r="GK119" s="358"/>
      <c r="GL119" s="358"/>
      <c r="GM119" s="358"/>
      <c r="GN119" s="358"/>
      <c r="GO119" s="358"/>
      <c r="GP119" s="358"/>
      <c r="GQ119" s="358"/>
      <c r="GR119" s="358"/>
      <c r="GS119" s="358"/>
      <c r="GT119" s="358"/>
      <c r="GU119" s="358"/>
      <c r="GV119" s="358"/>
      <c r="GW119" s="358"/>
      <c r="GX119" s="358"/>
      <c r="GY119" s="358"/>
      <c r="GZ119" s="358"/>
      <c r="HA119" s="358"/>
      <c r="HB119" s="358"/>
      <c r="HC119" s="358"/>
      <c r="HD119" s="358"/>
      <c r="HE119" s="358"/>
      <c r="HF119" s="358"/>
      <c r="HG119" s="358"/>
      <c r="HH119" s="358"/>
      <c r="HI119" s="358"/>
      <c r="HJ119" s="358"/>
      <c r="HK119" s="358"/>
      <c r="HL119" s="358"/>
      <c r="HM119" s="358"/>
      <c r="HN119" s="358"/>
      <c r="HO119" s="358"/>
      <c r="HP119" s="358"/>
      <c r="HQ119" s="358"/>
      <c r="HR119" s="358"/>
      <c r="HS119" s="358"/>
      <c r="HT119" s="358"/>
      <c r="HU119" s="358"/>
      <c r="HV119" s="358"/>
      <c r="HW119" s="358"/>
      <c r="HX119" s="358"/>
      <c r="HY119" s="358"/>
      <c r="HZ119" s="358"/>
      <c r="IA119" s="358"/>
      <c r="IB119" s="358"/>
      <c r="IC119" s="358"/>
      <c r="ID119" s="358"/>
      <c r="IE119" s="358"/>
      <c r="IF119" s="358"/>
      <c r="IG119" s="358"/>
      <c r="IH119" s="358"/>
      <c r="II119" s="358"/>
      <c r="IJ119" s="358"/>
      <c r="IK119" s="358"/>
      <c r="IL119" s="358"/>
      <c r="IM119" s="358"/>
      <c r="IN119" s="358"/>
      <c r="IO119" s="358"/>
      <c r="IP119" s="358"/>
      <c r="IQ119" s="358"/>
    </row>
    <row r="120" customFormat="false" ht="13.5" hidden="false" customHeight="true" outlineLevel="0" collapsed="false">
      <c r="A120" s="108" t="n">
        <f aca="false">A118+1</f>
        <v>4</v>
      </c>
      <c r="B120" s="402"/>
      <c r="C120" s="403"/>
      <c r="D120" s="110"/>
      <c r="E120" s="311" t="n">
        <f aca="false">IF(ISERROR(VLOOKUP(D120,일용직명단!$A$3:$K$1246,3,FALSE())),0,VLOOKUP(D120,일용직명단!$A$3:$K$1246,3,FALSE()))</f>
        <v>0</v>
      </c>
      <c r="F120" s="112" t="n">
        <f aca="false">IF(ISERROR(VLOOKUP(D120,일용직명단!$A$3:$K$1246,4,FALSE())),0,VLOOKUP(D120,일용직명단!$A$3:$K$1246,4,FALSE()))</f>
        <v>0</v>
      </c>
      <c r="G120" s="395"/>
      <c r="H120" s="396"/>
      <c r="I120" s="198"/>
      <c r="J120" s="397"/>
      <c r="K120" s="395"/>
      <c r="L120" s="397"/>
      <c r="M120" s="395"/>
      <c r="N120" s="395"/>
      <c r="O120" s="193"/>
      <c r="P120" s="193"/>
      <c r="Q120" s="395"/>
      <c r="R120" s="193"/>
      <c r="S120" s="397"/>
      <c r="T120" s="193"/>
      <c r="U120" s="397"/>
      <c r="V120" s="194"/>
      <c r="W120" s="120" t="n">
        <f aca="false">SUM(G120:V121)</f>
        <v>0</v>
      </c>
      <c r="X120" s="121" t="n">
        <f aca="false">IF(ISERROR(VLOOKUP(D120,일용직명단!$A$3:$K$1246,8,FALSE())),0,VLOOKUP(D120,일용직명단!$A$3:$K$1246,8,FALSE()))</f>
        <v>0</v>
      </c>
      <c r="Y120" s="122" t="n">
        <f aca="false">IFERROR(IF(AH120&gt;=65,0,ROUNDDOWN(X121*$AA$4,-1)),0)</f>
        <v>0</v>
      </c>
      <c r="Z120" s="122" t="n">
        <f aca="false">IF(AF120&gt;=8,ROUNDDOWN(X121*$N$4,-1),0)</f>
        <v>0</v>
      </c>
      <c r="AA120" s="123" t="n">
        <f aca="false">IFERROR(IF(AND(COUNT(G120:V121)&gt;=8,$AH120&lt;60,X121&lt;=5530000),ROUNDDOWN(ROUNDDOWN(X121,-3)*4.5%,-1),IF(AND(COUNT(G120:V121)&gt;=8,AH120&lt;60,X121&gt;5530000),248850,0)),0)</f>
        <v>0</v>
      </c>
      <c r="AB120" s="124" t="n">
        <f aca="false">+Y120+Z120+Y121+Z121+AA120+AA121</f>
        <v>0</v>
      </c>
      <c r="AC120" s="125" t="n">
        <f aca="false">X121-AB120</f>
        <v>0</v>
      </c>
      <c r="AD120" s="126" t="n">
        <f aca="false">IF(ISERROR(VLOOKUP(D120,일용직명단!$A$3:$I$1226,5,FALSE())),0,VLOOKUP(D120,일용직명단!$A$3:$I$1226,5,FALSE()))</f>
        <v>0</v>
      </c>
      <c r="AE120" s="127" t="n">
        <f aca="false">IF(ISERROR(VLOOKUP(D120,일용직명단!$A$3:$I$1226,6,FALSE())),0,VLOOKUP(D120,일용직명단!$A$3:$I$1226,6,FALSE()))</f>
        <v>0</v>
      </c>
      <c r="AF120" s="141" t="n">
        <f aca="false">COUNT(G120:V121)</f>
        <v>0</v>
      </c>
      <c r="AG120" s="169" t="str">
        <f aca="false">IF(OR(MID(E120,8,1)="1",MID(E120,8,1)="2"),19&amp;LEFT(E120,2),20&amp;LEFT(E120,2))&amp;"-"&amp;MID(E120,3,2)&amp;"-"&amp;MID(E120,5,2)</f>
        <v>200--</v>
      </c>
      <c r="AH120" s="169" t="e">
        <f aca="true">INT((TODAY()-AG120)/365.25)</f>
        <v>#VALUE!</v>
      </c>
      <c r="AI120" s="130" t="n">
        <f aca="false">ROUNDDOWN(SUM(AJ120:AY121),-1)</f>
        <v>0</v>
      </c>
      <c r="AJ120" s="130" t="n">
        <f aca="false">IF($X120*G120&gt;150000,($X120*G120-150000)*6%*45%,0)</f>
        <v>0</v>
      </c>
      <c r="AK120" s="130" t="n">
        <f aca="false">IF($X120*H120&gt;150000,($X120*H120-150000)*6%*45%,0)</f>
        <v>0</v>
      </c>
      <c r="AL120" s="130" t="n">
        <f aca="false">IF($X120*I120&gt;150000,($X120*I120-150000)*6%*45%,0)</f>
        <v>0</v>
      </c>
      <c r="AM120" s="130" t="n">
        <f aca="false">IF($X120*J120&gt;150000,($X120*J120-150000)*6%*45%,0)</f>
        <v>0</v>
      </c>
      <c r="AN120" s="130" t="n">
        <f aca="false">IF($X120*K120&gt;150000,($X120*K120-150000)*6%*45%,0)</f>
        <v>0</v>
      </c>
      <c r="AO120" s="130" t="n">
        <f aca="false">IF($X120*L120&gt;150000,($X120*L120-150000)*6%*45%,0)</f>
        <v>0</v>
      </c>
      <c r="AP120" s="130" t="n">
        <f aca="false">IF($X120*M120&gt;150000,($X120*M120-150000)*6%*45%,0)</f>
        <v>0</v>
      </c>
      <c r="AQ120" s="130" t="n">
        <f aca="false">IF($X120*N120&gt;150000,($X120*N120-150000)*6%*45%,0)</f>
        <v>0</v>
      </c>
      <c r="AR120" s="130" t="n">
        <f aca="false">IF($X120*O120&gt;150000,($X120*O120-150000)*6%*45%,0)</f>
        <v>0</v>
      </c>
      <c r="AS120" s="130" t="n">
        <f aca="false">IF($X120*P120&gt;150000,($X120*P120-150000)*6%*45%,0)</f>
        <v>0</v>
      </c>
      <c r="AT120" s="130" t="n">
        <f aca="false">IF($X120*Q120&gt;150000,($X120*Q120-150000)*6%*45%,0)</f>
        <v>0</v>
      </c>
      <c r="AU120" s="130" t="n">
        <f aca="false">IF($X120*R120&gt;150000,($X120*R120-150000)*6%*45%,0)</f>
        <v>0</v>
      </c>
      <c r="AV120" s="130" t="n">
        <f aca="false">IF($X120*S120&gt;150000,($X120*S120-150000)*6%*45%,0)</f>
        <v>0</v>
      </c>
      <c r="AW120" s="130" t="n">
        <f aca="false">IF($X120*T120&gt;150000,($X120*T120-150000)*6%*45%,0)</f>
        <v>0</v>
      </c>
      <c r="AX120" s="130" t="n">
        <f aca="false">IF($X120*U120&gt;150000,($X120*U120-150000)*6%*45%,0)</f>
        <v>0</v>
      </c>
      <c r="AY120" s="130"/>
      <c r="AZ120" s="131" t="n">
        <f aca="false">IF(ISERROR(VLOOKUP(D120,[32]일용직명단!$A$3:$M$1151,11,FALSE())),0,VLOOKUP(D120,[32]일용직명단!$A$3:$M$1151,11,FALSE()))</f>
        <v>0</v>
      </c>
      <c r="BA120" s="11"/>
      <c r="BC120" s="358"/>
      <c r="BD120" s="358"/>
      <c r="BE120" s="358"/>
      <c r="BF120" s="358"/>
      <c r="BG120" s="358"/>
      <c r="BH120" s="358"/>
      <c r="BI120" s="358"/>
      <c r="BJ120" s="358"/>
      <c r="BK120" s="358"/>
      <c r="BL120" s="358"/>
      <c r="BM120" s="358"/>
      <c r="BN120" s="358"/>
      <c r="BO120" s="358"/>
      <c r="BP120" s="358"/>
      <c r="BQ120" s="358"/>
      <c r="BR120" s="358"/>
      <c r="BS120" s="358"/>
      <c r="BT120" s="358"/>
      <c r="BU120" s="358"/>
      <c r="BV120" s="358"/>
      <c r="BW120" s="358"/>
      <c r="BX120" s="358"/>
      <c r="BY120" s="358"/>
      <c r="BZ120" s="358"/>
      <c r="CA120" s="358"/>
      <c r="CB120" s="358"/>
      <c r="CC120" s="358"/>
      <c r="CD120" s="358"/>
      <c r="CE120" s="358"/>
      <c r="CF120" s="358"/>
      <c r="CG120" s="358"/>
      <c r="CH120" s="358"/>
      <c r="CI120" s="358"/>
      <c r="CJ120" s="358"/>
      <c r="CK120" s="358"/>
      <c r="CL120" s="358"/>
      <c r="CM120" s="358"/>
      <c r="CN120" s="358"/>
      <c r="CO120" s="358"/>
      <c r="CP120" s="358"/>
      <c r="CQ120" s="358"/>
      <c r="CR120" s="358"/>
      <c r="CS120" s="358"/>
      <c r="CT120" s="358"/>
      <c r="CU120" s="358"/>
      <c r="CV120" s="358"/>
      <c r="CW120" s="358"/>
      <c r="CX120" s="358"/>
      <c r="CY120" s="358"/>
      <c r="CZ120" s="358"/>
      <c r="DA120" s="358"/>
      <c r="DB120" s="358"/>
      <c r="DC120" s="358"/>
      <c r="DD120" s="358"/>
      <c r="DE120" s="358"/>
      <c r="DF120" s="358"/>
      <c r="DG120" s="358"/>
      <c r="DH120" s="358"/>
      <c r="DI120" s="358"/>
      <c r="DJ120" s="358"/>
      <c r="DK120" s="358"/>
      <c r="DL120" s="358"/>
      <c r="DM120" s="358"/>
      <c r="DN120" s="358"/>
      <c r="DO120" s="358"/>
      <c r="DP120" s="358"/>
      <c r="DQ120" s="358"/>
      <c r="DR120" s="358"/>
      <c r="DS120" s="358"/>
      <c r="DT120" s="358"/>
      <c r="DU120" s="358"/>
      <c r="DV120" s="358"/>
      <c r="DW120" s="358"/>
      <c r="DX120" s="358"/>
      <c r="DY120" s="358"/>
      <c r="DZ120" s="358"/>
      <c r="EA120" s="358"/>
      <c r="EB120" s="358"/>
      <c r="EC120" s="358"/>
      <c r="ED120" s="358"/>
      <c r="EE120" s="358"/>
      <c r="EF120" s="358"/>
      <c r="EG120" s="358"/>
      <c r="EH120" s="358"/>
      <c r="EI120" s="358"/>
      <c r="EJ120" s="358"/>
      <c r="EK120" s="358"/>
      <c r="EL120" s="358"/>
      <c r="EM120" s="358"/>
      <c r="EN120" s="358"/>
      <c r="EO120" s="358"/>
      <c r="EP120" s="358"/>
      <c r="EQ120" s="358"/>
      <c r="ER120" s="358"/>
      <c r="ES120" s="358"/>
      <c r="ET120" s="358"/>
      <c r="EU120" s="358"/>
      <c r="EV120" s="358"/>
      <c r="EW120" s="358"/>
      <c r="EX120" s="358"/>
      <c r="EY120" s="358"/>
      <c r="EZ120" s="358"/>
      <c r="FA120" s="358"/>
      <c r="FB120" s="358"/>
      <c r="FC120" s="358"/>
      <c r="FD120" s="358"/>
      <c r="FE120" s="358"/>
      <c r="FF120" s="358"/>
      <c r="FG120" s="358"/>
      <c r="FH120" s="358"/>
      <c r="FI120" s="358"/>
      <c r="FJ120" s="358"/>
      <c r="FK120" s="358"/>
      <c r="FL120" s="358"/>
      <c r="FM120" s="358"/>
      <c r="FN120" s="358"/>
      <c r="FO120" s="358"/>
      <c r="FP120" s="358"/>
      <c r="FQ120" s="358"/>
      <c r="FR120" s="358"/>
      <c r="FS120" s="358"/>
      <c r="FT120" s="358"/>
      <c r="FU120" s="358"/>
      <c r="FV120" s="358"/>
      <c r="FW120" s="358"/>
      <c r="FX120" s="358"/>
      <c r="FY120" s="358"/>
      <c r="FZ120" s="358"/>
      <c r="GA120" s="358"/>
      <c r="GB120" s="358"/>
      <c r="GC120" s="358"/>
      <c r="GD120" s="358"/>
      <c r="GE120" s="358"/>
      <c r="GF120" s="358"/>
      <c r="GG120" s="358"/>
      <c r="GH120" s="358"/>
      <c r="GI120" s="358"/>
      <c r="GJ120" s="358"/>
      <c r="GK120" s="358"/>
      <c r="GL120" s="358"/>
      <c r="GM120" s="358"/>
      <c r="GN120" s="358"/>
      <c r="GO120" s="358"/>
      <c r="GP120" s="358"/>
      <c r="GQ120" s="358"/>
      <c r="GR120" s="358"/>
      <c r="GS120" s="358"/>
      <c r="GT120" s="358"/>
      <c r="GU120" s="358"/>
      <c r="GV120" s="358"/>
      <c r="GW120" s="358"/>
      <c r="GX120" s="358"/>
      <c r="GY120" s="358"/>
      <c r="GZ120" s="358"/>
      <c r="HA120" s="358"/>
      <c r="HB120" s="358"/>
      <c r="HC120" s="358"/>
      <c r="HD120" s="358"/>
      <c r="HE120" s="358"/>
      <c r="HF120" s="358"/>
      <c r="HG120" s="358"/>
      <c r="HH120" s="358"/>
      <c r="HI120" s="358"/>
      <c r="HJ120" s="358"/>
      <c r="HK120" s="358"/>
      <c r="HL120" s="358"/>
      <c r="HM120" s="358"/>
      <c r="HN120" s="358"/>
      <c r="HO120" s="358"/>
      <c r="HP120" s="358"/>
      <c r="HQ120" s="358"/>
      <c r="HR120" s="358"/>
      <c r="HS120" s="358"/>
      <c r="HT120" s="358"/>
      <c r="HU120" s="358"/>
      <c r="HV120" s="358"/>
      <c r="HW120" s="358"/>
      <c r="HX120" s="358"/>
      <c r="HY120" s="358"/>
      <c r="HZ120" s="358"/>
      <c r="IA120" s="358"/>
      <c r="IB120" s="358"/>
      <c r="IC120" s="358"/>
      <c r="ID120" s="358"/>
      <c r="IE120" s="358"/>
      <c r="IF120" s="358"/>
      <c r="IG120" s="358"/>
      <c r="IH120" s="358"/>
      <c r="II120" s="358"/>
      <c r="IJ120" s="358"/>
      <c r="IK120" s="358"/>
      <c r="IL120" s="358"/>
      <c r="IM120" s="358"/>
      <c r="IN120" s="358"/>
      <c r="IO120" s="358"/>
      <c r="IP120" s="358"/>
      <c r="IQ120" s="358"/>
    </row>
    <row r="121" customFormat="false" ht="13.5" hidden="false" customHeight="true" outlineLevel="0" collapsed="false">
      <c r="A121" s="108"/>
      <c r="B121" s="402"/>
      <c r="C121" s="403"/>
      <c r="D121" s="110"/>
      <c r="E121" s="311"/>
      <c r="F121" s="112" t="n">
        <f aca="false">IF(ISERROR(VLOOKUP(D120,일용직명단!$A$3:$K$1246,9,FALSE())),0,VLOOKUP(D120,일용직명단!$A$3:$K$1246,9,FALSE()))</f>
        <v>0</v>
      </c>
      <c r="G121" s="398"/>
      <c r="H121" s="399"/>
      <c r="I121" s="398"/>
      <c r="J121" s="198"/>
      <c r="K121" s="400"/>
      <c r="L121" s="198"/>
      <c r="M121" s="395"/>
      <c r="N121" s="395"/>
      <c r="O121" s="395"/>
      <c r="P121" s="397"/>
      <c r="Q121" s="193"/>
      <c r="R121" s="193"/>
      <c r="S121" s="395"/>
      <c r="T121" s="395"/>
      <c r="U121" s="395"/>
      <c r="V121" s="401"/>
      <c r="W121" s="120"/>
      <c r="X121" s="138" t="n">
        <f aca="false">X120*W120</f>
        <v>0</v>
      </c>
      <c r="Y121" s="122" t="n">
        <f aca="false">IF(AI120&lt;1000,0,AI120)</f>
        <v>0</v>
      </c>
      <c r="Z121" s="122" t="n">
        <f aca="false">ROUNDDOWN(Y121*10%,-1)</f>
        <v>0</v>
      </c>
      <c r="AA121" s="123" t="n">
        <f aca="false">IF(AF120&gt;=8,ROUNDDOWN(Z120*$R$4,-1),0)</f>
        <v>0</v>
      </c>
      <c r="AB121" s="124"/>
      <c r="AC121" s="125"/>
      <c r="AD121" s="127" t="n">
        <f aca="false">IF(ISERROR(VLOOKUP(D120,일용직명단!$A$3:$I$1226,7,FALSE())),0,VLOOKUP(D120,일용직명단!$A$3:$I$1226,7,FALSE()))</f>
        <v>0</v>
      </c>
      <c r="AE121" s="127"/>
      <c r="AF121" s="141"/>
      <c r="AG121" s="169"/>
      <c r="AH121" s="169"/>
      <c r="AI121" s="130"/>
      <c r="AJ121" s="130" t="n">
        <f aca="false">IF($X120*G121&gt;150000,($X120*G121-150000)*6%*45%,0)</f>
        <v>0</v>
      </c>
      <c r="AK121" s="130" t="n">
        <f aca="false">IF($X120*H121&gt;150000,($X120*H121-150000)*6%*45%,0)</f>
        <v>0</v>
      </c>
      <c r="AL121" s="130" t="n">
        <f aca="false">IF($X120*I121&gt;150000,($X120*I121-150000)*6%*45%,0)</f>
        <v>0</v>
      </c>
      <c r="AM121" s="130" t="n">
        <f aca="false">IF($X120*J121&gt;150000,($X120*J121-150000)*6%*45%,0)</f>
        <v>0</v>
      </c>
      <c r="AN121" s="130" t="n">
        <f aca="false">IF($X120*K121&gt;150000,($X120*K121-150000)*6%*45%,0)</f>
        <v>0</v>
      </c>
      <c r="AO121" s="130" t="n">
        <f aca="false">IF($X120*L121&gt;150000,($X120*L121-150000)*6%*45%,0)</f>
        <v>0</v>
      </c>
      <c r="AP121" s="130" t="n">
        <f aca="false">IF($X120*M121&gt;150000,($X120*M121-150000)*6%*45%,0)</f>
        <v>0</v>
      </c>
      <c r="AQ121" s="130" t="n">
        <f aca="false">IF($X120*N121&gt;150000,($X120*N121-150000)*6%*45%,0)</f>
        <v>0</v>
      </c>
      <c r="AR121" s="130" t="n">
        <f aca="false">IF($X120*O121&gt;150000,($X120*O121-150000)*6%*45%,0)</f>
        <v>0</v>
      </c>
      <c r="AS121" s="130" t="n">
        <f aca="false">IF($X120*P121&gt;150000,($X120*P121-150000)*6%*45%,0)</f>
        <v>0</v>
      </c>
      <c r="AT121" s="130" t="n">
        <f aca="false">IF($X120*Q121&gt;150000,($X120*Q121-150000)*6%*45%,0)</f>
        <v>0</v>
      </c>
      <c r="AU121" s="130" t="n">
        <f aca="false">IF($X120*R121&gt;150000,($X120*R121-150000)*6%*45%,0)</f>
        <v>0</v>
      </c>
      <c r="AV121" s="130" t="n">
        <f aca="false">IF($X120*S121&gt;150000,($X120*S121-150000)*6%*45%,0)</f>
        <v>0</v>
      </c>
      <c r="AW121" s="130" t="n">
        <f aca="false">IF($X120*T121&gt;150000,($X120*T121-150000)*6%*45%,0)</f>
        <v>0</v>
      </c>
      <c r="AX121" s="130" t="n">
        <f aca="false">IF($X120*U121&gt;150000,($X120*U121-150000)*6%*45%,0)</f>
        <v>0</v>
      </c>
      <c r="AY121" s="130" t="n">
        <f aca="false">IF($X120*V121&gt;150000,($X120*V121-150000)*6%*45%,0)</f>
        <v>0</v>
      </c>
      <c r="AZ121" s="131"/>
      <c r="BA121" s="11"/>
      <c r="BC121" s="358"/>
      <c r="BD121" s="358"/>
      <c r="BE121" s="358"/>
      <c r="BF121" s="358"/>
      <c r="BG121" s="358"/>
      <c r="BH121" s="358"/>
      <c r="BI121" s="358"/>
      <c r="BJ121" s="358"/>
      <c r="BK121" s="358"/>
      <c r="BL121" s="358"/>
      <c r="BM121" s="358"/>
      <c r="BN121" s="358"/>
      <c r="BO121" s="358"/>
      <c r="BP121" s="358"/>
      <c r="BQ121" s="358"/>
      <c r="BR121" s="358"/>
      <c r="BS121" s="358"/>
      <c r="BT121" s="358"/>
      <c r="BU121" s="358"/>
      <c r="BV121" s="358"/>
      <c r="BW121" s="358"/>
      <c r="BX121" s="358"/>
      <c r="BY121" s="358"/>
      <c r="BZ121" s="358"/>
      <c r="CA121" s="358"/>
      <c r="CB121" s="358"/>
      <c r="CC121" s="358"/>
      <c r="CD121" s="358"/>
      <c r="CE121" s="358"/>
      <c r="CF121" s="358"/>
      <c r="CG121" s="358"/>
      <c r="CH121" s="358"/>
      <c r="CI121" s="358"/>
      <c r="CJ121" s="358"/>
      <c r="CK121" s="358"/>
      <c r="CL121" s="358"/>
      <c r="CM121" s="358"/>
      <c r="CN121" s="358"/>
      <c r="CO121" s="358"/>
      <c r="CP121" s="358"/>
      <c r="CQ121" s="358"/>
      <c r="CR121" s="358"/>
      <c r="CS121" s="358"/>
      <c r="CT121" s="358"/>
      <c r="CU121" s="358"/>
      <c r="CV121" s="358"/>
      <c r="CW121" s="358"/>
      <c r="CX121" s="358"/>
      <c r="CY121" s="358"/>
      <c r="CZ121" s="358"/>
      <c r="DA121" s="358"/>
      <c r="DB121" s="358"/>
      <c r="DC121" s="358"/>
      <c r="DD121" s="358"/>
      <c r="DE121" s="358"/>
      <c r="DF121" s="358"/>
      <c r="DG121" s="358"/>
      <c r="DH121" s="358"/>
      <c r="DI121" s="358"/>
      <c r="DJ121" s="358"/>
      <c r="DK121" s="358"/>
      <c r="DL121" s="358"/>
      <c r="DM121" s="358"/>
      <c r="DN121" s="358"/>
      <c r="DO121" s="358"/>
      <c r="DP121" s="358"/>
      <c r="DQ121" s="358"/>
      <c r="DR121" s="358"/>
      <c r="DS121" s="358"/>
      <c r="DT121" s="358"/>
      <c r="DU121" s="358"/>
      <c r="DV121" s="358"/>
      <c r="DW121" s="358"/>
      <c r="DX121" s="358"/>
      <c r="DY121" s="358"/>
      <c r="DZ121" s="358"/>
      <c r="EA121" s="358"/>
      <c r="EB121" s="358"/>
      <c r="EC121" s="358"/>
      <c r="ED121" s="358"/>
      <c r="EE121" s="358"/>
      <c r="EF121" s="358"/>
      <c r="EG121" s="358"/>
      <c r="EH121" s="358"/>
      <c r="EI121" s="358"/>
      <c r="EJ121" s="358"/>
      <c r="EK121" s="358"/>
      <c r="EL121" s="358"/>
      <c r="EM121" s="358"/>
      <c r="EN121" s="358"/>
      <c r="EO121" s="358"/>
      <c r="EP121" s="358"/>
      <c r="EQ121" s="358"/>
      <c r="ER121" s="358"/>
      <c r="ES121" s="358"/>
      <c r="ET121" s="358"/>
      <c r="EU121" s="358"/>
      <c r="EV121" s="358"/>
      <c r="EW121" s="358"/>
      <c r="EX121" s="358"/>
      <c r="EY121" s="358"/>
      <c r="EZ121" s="358"/>
      <c r="FA121" s="358"/>
      <c r="FB121" s="358"/>
      <c r="FC121" s="358"/>
      <c r="FD121" s="358"/>
      <c r="FE121" s="358"/>
      <c r="FF121" s="358"/>
      <c r="FG121" s="358"/>
      <c r="FH121" s="358"/>
      <c r="FI121" s="358"/>
      <c r="FJ121" s="358"/>
      <c r="FK121" s="358"/>
      <c r="FL121" s="358"/>
      <c r="FM121" s="358"/>
      <c r="FN121" s="358"/>
      <c r="FO121" s="358"/>
      <c r="FP121" s="358"/>
      <c r="FQ121" s="358"/>
      <c r="FR121" s="358"/>
      <c r="FS121" s="358"/>
      <c r="FT121" s="358"/>
      <c r="FU121" s="358"/>
      <c r="FV121" s="358"/>
      <c r="FW121" s="358"/>
      <c r="FX121" s="358"/>
      <c r="FY121" s="358"/>
      <c r="FZ121" s="358"/>
      <c r="GA121" s="358"/>
      <c r="GB121" s="358"/>
      <c r="GC121" s="358"/>
      <c r="GD121" s="358"/>
      <c r="GE121" s="358"/>
      <c r="GF121" s="358"/>
      <c r="GG121" s="358"/>
      <c r="GH121" s="358"/>
      <c r="GI121" s="358"/>
      <c r="GJ121" s="358"/>
      <c r="GK121" s="358"/>
      <c r="GL121" s="358"/>
      <c r="GM121" s="358"/>
      <c r="GN121" s="358"/>
      <c r="GO121" s="358"/>
      <c r="GP121" s="358"/>
      <c r="GQ121" s="358"/>
      <c r="GR121" s="358"/>
      <c r="GS121" s="358"/>
      <c r="GT121" s="358"/>
      <c r="GU121" s="358"/>
      <c r="GV121" s="358"/>
      <c r="GW121" s="358"/>
      <c r="GX121" s="358"/>
      <c r="GY121" s="358"/>
      <c r="GZ121" s="358"/>
      <c r="HA121" s="358"/>
      <c r="HB121" s="358"/>
      <c r="HC121" s="358"/>
      <c r="HD121" s="358"/>
      <c r="HE121" s="358"/>
      <c r="HF121" s="358"/>
      <c r="HG121" s="358"/>
      <c r="HH121" s="358"/>
      <c r="HI121" s="358"/>
      <c r="HJ121" s="358"/>
      <c r="HK121" s="358"/>
      <c r="HL121" s="358"/>
      <c r="HM121" s="358"/>
      <c r="HN121" s="358"/>
      <c r="HO121" s="358"/>
      <c r="HP121" s="358"/>
      <c r="HQ121" s="358"/>
      <c r="HR121" s="358"/>
      <c r="HS121" s="358"/>
      <c r="HT121" s="358"/>
      <c r="HU121" s="358"/>
      <c r="HV121" s="358"/>
      <c r="HW121" s="358"/>
      <c r="HX121" s="358"/>
      <c r="HY121" s="358"/>
      <c r="HZ121" s="358"/>
      <c r="IA121" s="358"/>
      <c r="IB121" s="358"/>
      <c r="IC121" s="358"/>
      <c r="ID121" s="358"/>
      <c r="IE121" s="358"/>
      <c r="IF121" s="358"/>
      <c r="IG121" s="358"/>
      <c r="IH121" s="358"/>
      <c r="II121" s="358"/>
      <c r="IJ121" s="358"/>
      <c r="IK121" s="358"/>
      <c r="IL121" s="358"/>
      <c r="IM121" s="358"/>
      <c r="IN121" s="358"/>
      <c r="IO121" s="358"/>
      <c r="IP121" s="358"/>
      <c r="IQ121" s="358"/>
    </row>
    <row r="122" customFormat="false" ht="13.5" hidden="false" customHeight="true" outlineLevel="0" collapsed="false">
      <c r="A122" s="108" t="n">
        <f aca="false">A120+1</f>
        <v>5</v>
      </c>
      <c r="B122" s="402"/>
      <c r="C122" s="403"/>
      <c r="D122" s="110"/>
      <c r="E122" s="311" t="n">
        <f aca="false">IF(ISERROR(VLOOKUP(D122,일용직명단!$A$3:$K$1246,3,FALSE())),0,VLOOKUP(D122,일용직명단!$A$3:$K$1246,3,FALSE()))</f>
        <v>0</v>
      </c>
      <c r="F122" s="112" t="n">
        <f aca="false">IF(ISERROR(VLOOKUP(D122,일용직명단!$A$3:$K$1246,4,FALSE())),0,VLOOKUP(D122,일용직명단!$A$3:$K$1246,4,FALSE()))</f>
        <v>0</v>
      </c>
      <c r="G122" s="395"/>
      <c r="H122" s="396"/>
      <c r="I122" s="198"/>
      <c r="J122" s="397"/>
      <c r="K122" s="395"/>
      <c r="L122" s="397"/>
      <c r="M122" s="395"/>
      <c r="N122" s="395"/>
      <c r="O122" s="193"/>
      <c r="P122" s="193"/>
      <c r="Q122" s="395"/>
      <c r="R122" s="193"/>
      <c r="S122" s="397"/>
      <c r="T122" s="193"/>
      <c r="U122" s="397"/>
      <c r="V122" s="194"/>
      <c r="W122" s="120" t="n">
        <f aca="false">SUM(G122:V123)</f>
        <v>0</v>
      </c>
      <c r="X122" s="121" t="n">
        <f aca="false">IF(ISERROR(VLOOKUP(D122,일용직명단!$A$3:$K$1246,8,FALSE())),0,VLOOKUP(D122,일용직명단!$A$3:$K$1246,8,FALSE()))</f>
        <v>0</v>
      </c>
      <c r="Y122" s="122" t="n">
        <f aca="false">IFERROR(IF(AH122&gt;=65,0,ROUNDDOWN(X123*$AA$4,-1)),0)</f>
        <v>0</v>
      </c>
      <c r="Z122" s="122" t="n">
        <f aca="false">IF(AF122&gt;=8,ROUNDDOWN(X123*$N$4,-1),0)</f>
        <v>0</v>
      </c>
      <c r="AA122" s="123" t="n">
        <f aca="false">IFERROR(IF(AND(COUNT(G122:V123)&gt;=8,$AH122&lt;60,X123&lt;=5530000),ROUNDDOWN(ROUNDDOWN(X123,-3)*4.5%,-1),IF(AND(COUNT(G122:V123)&gt;=8,AH122&lt;60,X123&gt;5530000),248850,0)),0)</f>
        <v>0</v>
      </c>
      <c r="AB122" s="124" t="n">
        <f aca="false">+Y122+Z122+Y123+Z123+AA122+AA123</f>
        <v>0</v>
      </c>
      <c r="AC122" s="125" t="n">
        <f aca="false">X123-AB122</f>
        <v>0</v>
      </c>
      <c r="AD122" s="126" t="n">
        <f aca="false">IF(ISERROR(VLOOKUP(D122,일용직명단!$A$3:$I$1226,5,FALSE())),0,VLOOKUP(D122,일용직명단!$A$3:$I$1226,5,FALSE()))</f>
        <v>0</v>
      </c>
      <c r="AE122" s="127" t="n">
        <f aca="false">IF(ISERROR(VLOOKUP(D122,일용직명단!$A$3:$I$1226,6,FALSE())),0,VLOOKUP(D122,일용직명단!$A$3:$I$1226,6,FALSE()))</f>
        <v>0</v>
      </c>
      <c r="AF122" s="141" t="n">
        <f aca="false">COUNT(G122:V123)</f>
        <v>0</v>
      </c>
      <c r="AG122" s="169" t="str">
        <f aca="false">IF(OR(MID(E122,8,1)="1",MID(E122,8,1)="2"),19&amp;LEFT(E122,2),20&amp;LEFT(E122,2))&amp;"-"&amp;MID(E122,3,2)&amp;"-"&amp;MID(E122,5,2)</f>
        <v>200--</v>
      </c>
      <c r="AH122" s="169" t="e">
        <f aca="true">INT((TODAY()-AG122)/365.25)</f>
        <v>#VALUE!</v>
      </c>
      <c r="AI122" s="130" t="n">
        <f aca="false">ROUNDDOWN(SUM(AJ122:AY123),-1)</f>
        <v>0</v>
      </c>
      <c r="AJ122" s="130" t="n">
        <f aca="false">IF($X122*G122&gt;150000,($X122*G122-150000)*6%*45%,0)</f>
        <v>0</v>
      </c>
      <c r="AK122" s="130" t="n">
        <f aca="false">IF($X122*H122&gt;150000,($X122*H122-150000)*6%*45%,0)</f>
        <v>0</v>
      </c>
      <c r="AL122" s="130" t="n">
        <f aca="false">IF($X122*I122&gt;150000,($X122*I122-150000)*6%*45%,0)</f>
        <v>0</v>
      </c>
      <c r="AM122" s="130" t="n">
        <f aca="false">IF($X122*J122&gt;150000,($X122*J122-150000)*6%*45%,0)</f>
        <v>0</v>
      </c>
      <c r="AN122" s="130" t="n">
        <f aca="false">IF($X122*K122&gt;150000,($X122*K122-150000)*6%*45%,0)</f>
        <v>0</v>
      </c>
      <c r="AO122" s="130" t="n">
        <f aca="false">IF($X122*L122&gt;150000,($X122*L122-150000)*6%*45%,0)</f>
        <v>0</v>
      </c>
      <c r="AP122" s="130" t="n">
        <f aca="false">IF($X122*M122&gt;150000,($X122*M122-150000)*6%*45%,0)</f>
        <v>0</v>
      </c>
      <c r="AQ122" s="130" t="n">
        <f aca="false">IF($X122*N122&gt;150000,($X122*N122-150000)*6%*45%,0)</f>
        <v>0</v>
      </c>
      <c r="AR122" s="130" t="n">
        <f aca="false">IF($X122*O122&gt;150000,($X122*O122-150000)*6%*45%,0)</f>
        <v>0</v>
      </c>
      <c r="AS122" s="130" t="n">
        <f aca="false">IF($X122*P122&gt;150000,($X122*P122-150000)*6%*45%,0)</f>
        <v>0</v>
      </c>
      <c r="AT122" s="130" t="n">
        <f aca="false">IF($X122*Q122&gt;150000,($X122*Q122-150000)*6%*45%,0)</f>
        <v>0</v>
      </c>
      <c r="AU122" s="130" t="n">
        <f aca="false">IF($X122*R122&gt;150000,($X122*R122-150000)*6%*45%,0)</f>
        <v>0</v>
      </c>
      <c r="AV122" s="130" t="n">
        <f aca="false">IF($X122*S122&gt;150000,($X122*S122-150000)*6%*45%,0)</f>
        <v>0</v>
      </c>
      <c r="AW122" s="130" t="n">
        <f aca="false">IF($X122*T122&gt;150000,($X122*T122-150000)*6%*45%,0)</f>
        <v>0</v>
      </c>
      <c r="AX122" s="130" t="n">
        <f aca="false">IF($X122*U122&gt;150000,($X122*U122-150000)*6%*45%,0)</f>
        <v>0</v>
      </c>
      <c r="AY122" s="130"/>
      <c r="AZ122" s="131" t="n">
        <f aca="false">IF(ISERROR(VLOOKUP(D122,[32]일용직명단!$A$3:$M$1151,11,FALSE())),0,VLOOKUP(D122,[32]일용직명단!$A$3:$M$1151,11,FALSE()))</f>
        <v>0</v>
      </c>
      <c r="BA122" s="11"/>
      <c r="BC122" s="358"/>
      <c r="BD122" s="358"/>
      <c r="BE122" s="358"/>
      <c r="BF122" s="358"/>
      <c r="BG122" s="358"/>
      <c r="BH122" s="358"/>
      <c r="BI122" s="358"/>
      <c r="BJ122" s="358"/>
      <c r="BK122" s="358"/>
      <c r="BL122" s="358"/>
      <c r="BM122" s="358"/>
      <c r="BN122" s="358"/>
      <c r="BO122" s="358"/>
      <c r="BP122" s="358"/>
      <c r="BQ122" s="358"/>
      <c r="BR122" s="358"/>
      <c r="BS122" s="358"/>
      <c r="BT122" s="358"/>
      <c r="BU122" s="358"/>
      <c r="BV122" s="358"/>
      <c r="BW122" s="358"/>
      <c r="BX122" s="358"/>
      <c r="BY122" s="358"/>
      <c r="BZ122" s="358"/>
      <c r="CA122" s="358"/>
      <c r="CB122" s="358"/>
      <c r="CC122" s="358"/>
      <c r="CD122" s="358"/>
      <c r="CE122" s="358"/>
      <c r="CF122" s="358"/>
      <c r="CG122" s="358"/>
      <c r="CH122" s="358"/>
      <c r="CI122" s="358"/>
      <c r="CJ122" s="358"/>
      <c r="CK122" s="358"/>
      <c r="CL122" s="358"/>
      <c r="CM122" s="358"/>
      <c r="CN122" s="358"/>
      <c r="CO122" s="358"/>
      <c r="CP122" s="358"/>
      <c r="CQ122" s="358"/>
      <c r="CR122" s="358"/>
      <c r="CS122" s="358"/>
      <c r="CT122" s="358"/>
      <c r="CU122" s="358"/>
      <c r="CV122" s="358"/>
      <c r="CW122" s="358"/>
      <c r="CX122" s="358"/>
      <c r="CY122" s="358"/>
      <c r="CZ122" s="358"/>
      <c r="DA122" s="358"/>
      <c r="DB122" s="358"/>
      <c r="DC122" s="358"/>
      <c r="DD122" s="358"/>
      <c r="DE122" s="358"/>
      <c r="DF122" s="358"/>
      <c r="DG122" s="358"/>
      <c r="DH122" s="358"/>
      <c r="DI122" s="358"/>
      <c r="DJ122" s="358"/>
      <c r="DK122" s="358"/>
      <c r="DL122" s="358"/>
      <c r="DM122" s="358"/>
      <c r="DN122" s="358"/>
      <c r="DO122" s="358"/>
      <c r="DP122" s="358"/>
      <c r="DQ122" s="358"/>
      <c r="DR122" s="358"/>
      <c r="DS122" s="358"/>
      <c r="DT122" s="358"/>
      <c r="DU122" s="358"/>
      <c r="DV122" s="358"/>
      <c r="DW122" s="358"/>
      <c r="DX122" s="358"/>
      <c r="DY122" s="358"/>
      <c r="DZ122" s="358"/>
      <c r="EA122" s="358"/>
      <c r="EB122" s="358"/>
      <c r="EC122" s="358"/>
      <c r="ED122" s="358"/>
      <c r="EE122" s="358"/>
      <c r="EF122" s="358"/>
      <c r="EG122" s="358"/>
      <c r="EH122" s="358"/>
      <c r="EI122" s="358"/>
      <c r="EJ122" s="358"/>
      <c r="EK122" s="358"/>
      <c r="EL122" s="358"/>
      <c r="EM122" s="358"/>
      <c r="EN122" s="358"/>
      <c r="EO122" s="358"/>
      <c r="EP122" s="358"/>
      <c r="EQ122" s="358"/>
      <c r="ER122" s="358"/>
      <c r="ES122" s="358"/>
      <c r="ET122" s="358"/>
      <c r="EU122" s="358"/>
      <c r="EV122" s="358"/>
      <c r="EW122" s="358"/>
      <c r="EX122" s="358"/>
      <c r="EY122" s="358"/>
      <c r="EZ122" s="358"/>
      <c r="FA122" s="358"/>
      <c r="FB122" s="358"/>
      <c r="FC122" s="358"/>
      <c r="FD122" s="358"/>
      <c r="FE122" s="358"/>
      <c r="FF122" s="358"/>
      <c r="FG122" s="358"/>
      <c r="FH122" s="358"/>
      <c r="FI122" s="358"/>
      <c r="FJ122" s="358"/>
      <c r="FK122" s="358"/>
      <c r="FL122" s="358"/>
      <c r="FM122" s="358"/>
      <c r="FN122" s="358"/>
      <c r="FO122" s="358"/>
      <c r="FP122" s="358"/>
      <c r="FQ122" s="358"/>
      <c r="FR122" s="358"/>
      <c r="FS122" s="358"/>
      <c r="FT122" s="358"/>
      <c r="FU122" s="358"/>
      <c r="FV122" s="358"/>
      <c r="FW122" s="358"/>
      <c r="FX122" s="358"/>
      <c r="FY122" s="358"/>
      <c r="FZ122" s="358"/>
      <c r="GA122" s="358"/>
      <c r="GB122" s="358"/>
      <c r="GC122" s="358"/>
      <c r="GD122" s="358"/>
      <c r="GE122" s="358"/>
      <c r="GF122" s="358"/>
      <c r="GG122" s="358"/>
      <c r="GH122" s="358"/>
      <c r="GI122" s="358"/>
      <c r="GJ122" s="358"/>
      <c r="GK122" s="358"/>
      <c r="GL122" s="358"/>
      <c r="GM122" s="358"/>
      <c r="GN122" s="358"/>
      <c r="GO122" s="358"/>
      <c r="GP122" s="358"/>
      <c r="GQ122" s="358"/>
      <c r="GR122" s="358"/>
      <c r="GS122" s="358"/>
      <c r="GT122" s="358"/>
      <c r="GU122" s="358"/>
      <c r="GV122" s="358"/>
      <c r="GW122" s="358"/>
      <c r="GX122" s="358"/>
      <c r="GY122" s="358"/>
      <c r="GZ122" s="358"/>
      <c r="HA122" s="358"/>
      <c r="HB122" s="358"/>
      <c r="HC122" s="358"/>
      <c r="HD122" s="358"/>
      <c r="HE122" s="358"/>
      <c r="HF122" s="358"/>
      <c r="HG122" s="358"/>
      <c r="HH122" s="358"/>
      <c r="HI122" s="358"/>
      <c r="HJ122" s="358"/>
      <c r="HK122" s="358"/>
      <c r="HL122" s="358"/>
      <c r="HM122" s="358"/>
      <c r="HN122" s="358"/>
      <c r="HO122" s="358"/>
      <c r="HP122" s="358"/>
      <c r="HQ122" s="358"/>
      <c r="HR122" s="358"/>
      <c r="HS122" s="358"/>
      <c r="HT122" s="358"/>
      <c r="HU122" s="358"/>
      <c r="HV122" s="358"/>
      <c r="HW122" s="358"/>
      <c r="HX122" s="358"/>
      <c r="HY122" s="358"/>
      <c r="HZ122" s="358"/>
      <c r="IA122" s="358"/>
      <c r="IB122" s="358"/>
      <c r="IC122" s="358"/>
      <c r="ID122" s="358"/>
      <c r="IE122" s="358"/>
      <c r="IF122" s="358"/>
      <c r="IG122" s="358"/>
      <c r="IH122" s="358"/>
      <c r="II122" s="358"/>
      <c r="IJ122" s="358"/>
      <c r="IK122" s="358"/>
      <c r="IL122" s="358"/>
      <c r="IM122" s="358"/>
      <c r="IN122" s="358"/>
      <c r="IO122" s="358"/>
      <c r="IP122" s="358"/>
      <c r="IQ122" s="358"/>
    </row>
    <row r="123" customFormat="false" ht="13.5" hidden="false" customHeight="true" outlineLevel="0" collapsed="false">
      <c r="A123" s="108"/>
      <c r="B123" s="402"/>
      <c r="C123" s="403"/>
      <c r="D123" s="110"/>
      <c r="E123" s="311"/>
      <c r="F123" s="112" t="n">
        <f aca="false">IF(ISERROR(VLOOKUP(D122,일용직명단!$A$3:$K$1246,9,FALSE())),0,VLOOKUP(D122,일용직명단!$A$3:$K$1246,9,FALSE()))</f>
        <v>0</v>
      </c>
      <c r="G123" s="398"/>
      <c r="H123" s="399"/>
      <c r="I123" s="398"/>
      <c r="J123" s="198"/>
      <c r="K123" s="400"/>
      <c r="L123" s="198"/>
      <c r="M123" s="395"/>
      <c r="N123" s="395"/>
      <c r="O123" s="193"/>
      <c r="P123" s="397"/>
      <c r="Q123" s="193"/>
      <c r="R123" s="193"/>
      <c r="S123" s="395"/>
      <c r="T123" s="395"/>
      <c r="U123" s="395"/>
      <c r="V123" s="401"/>
      <c r="W123" s="120"/>
      <c r="X123" s="138" t="n">
        <f aca="false">X122*W122</f>
        <v>0</v>
      </c>
      <c r="Y123" s="122" t="n">
        <f aca="false">IF(AI122&lt;1000,0,AI122)</f>
        <v>0</v>
      </c>
      <c r="Z123" s="122" t="n">
        <f aca="false">ROUNDDOWN(Y123*10%,-1)</f>
        <v>0</v>
      </c>
      <c r="AA123" s="123" t="n">
        <f aca="false">IF(AF122&gt;=8,ROUNDDOWN(Z122*$R$4,-1),0)</f>
        <v>0</v>
      </c>
      <c r="AB123" s="124"/>
      <c r="AC123" s="125"/>
      <c r="AD123" s="127" t="n">
        <f aca="false">IF(ISERROR(VLOOKUP(D122,일용직명단!$A$3:$I$1226,7,FALSE())),0,VLOOKUP(D122,일용직명단!$A$3:$I$1226,7,FALSE()))</f>
        <v>0</v>
      </c>
      <c r="AE123" s="127"/>
      <c r="AF123" s="141"/>
      <c r="AG123" s="169"/>
      <c r="AH123" s="169"/>
      <c r="AI123" s="130"/>
      <c r="AJ123" s="130" t="n">
        <f aca="false">IF($X122*G123&gt;150000,($X122*G123-150000)*6%*45%,0)</f>
        <v>0</v>
      </c>
      <c r="AK123" s="130" t="n">
        <f aca="false">IF($X122*H123&gt;150000,($X122*H123-150000)*6%*45%,0)</f>
        <v>0</v>
      </c>
      <c r="AL123" s="130" t="n">
        <f aca="false">IF($X122*I123&gt;150000,($X122*I123-150000)*6%*45%,0)</f>
        <v>0</v>
      </c>
      <c r="AM123" s="130" t="n">
        <f aca="false">IF($X122*J123&gt;150000,($X122*J123-150000)*6%*45%,0)</f>
        <v>0</v>
      </c>
      <c r="AN123" s="130" t="n">
        <f aca="false">IF($X122*K123&gt;150000,($X122*K123-150000)*6%*45%,0)</f>
        <v>0</v>
      </c>
      <c r="AO123" s="130" t="n">
        <f aca="false">IF($X122*L123&gt;150000,($X122*L123-150000)*6%*45%,0)</f>
        <v>0</v>
      </c>
      <c r="AP123" s="130" t="n">
        <f aca="false">IF($X122*M123&gt;150000,($X122*M123-150000)*6%*45%,0)</f>
        <v>0</v>
      </c>
      <c r="AQ123" s="130" t="n">
        <f aca="false">IF($X122*N123&gt;150000,($X122*N123-150000)*6%*45%,0)</f>
        <v>0</v>
      </c>
      <c r="AR123" s="130" t="n">
        <f aca="false">IF($X122*O123&gt;150000,($X122*O123-150000)*6%*45%,0)</f>
        <v>0</v>
      </c>
      <c r="AS123" s="130" t="n">
        <f aca="false">IF($X122*P123&gt;150000,($X122*P123-150000)*6%*45%,0)</f>
        <v>0</v>
      </c>
      <c r="AT123" s="130" t="n">
        <f aca="false">IF($X122*Q123&gt;150000,($X122*Q123-150000)*6%*45%,0)</f>
        <v>0</v>
      </c>
      <c r="AU123" s="130" t="n">
        <f aca="false">IF($X122*R123&gt;150000,($X122*R123-150000)*6%*45%,0)</f>
        <v>0</v>
      </c>
      <c r="AV123" s="130" t="n">
        <f aca="false">IF($X122*S123&gt;150000,($X122*S123-150000)*6%*45%,0)</f>
        <v>0</v>
      </c>
      <c r="AW123" s="130" t="n">
        <f aca="false">IF($X122*T123&gt;150000,($X122*T123-150000)*6%*45%,0)</f>
        <v>0</v>
      </c>
      <c r="AX123" s="130" t="n">
        <f aca="false">IF($X122*U123&gt;150000,($X122*U123-150000)*6%*45%,0)</f>
        <v>0</v>
      </c>
      <c r="AY123" s="130" t="n">
        <f aca="false">IF($X122*V123&gt;150000,($X122*V123-150000)*6%*45%,0)</f>
        <v>0</v>
      </c>
      <c r="AZ123" s="131"/>
      <c r="BA123" s="11"/>
      <c r="BC123" s="358"/>
      <c r="BD123" s="358"/>
      <c r="BE123" s="358"/>
      <c r="BF123" s="358"/>
      <c r="BG123" s="358"/>
      <c r="BH123" s="358"/>
      <c r="BI123" s="358"/>
      <c r="BJ123" s="358"/>
      <c r="BK123" s="358"/>
      <c r="BL123" s="358"/>
      <c r="BM123" s="358"/>
      <c r="BN123" s="358"/>
      <c r="BO123" s="358"/>
      <c r="BP123" s="358"/>
      <c r="BQ123" s="358"/>
      <c r="BR123" s="358"/>
      <c r="BS123" s="358"/>
      <c r="BT123" s="358"/>
      <c r="BU123" s="358"/>
      <c r="BV123" s="358"/>
      <c r="BW123" s="358"/>
      <c r="BX123" s="358"/>
      <c r="BY123" s="358"/>
      <c r="BZ123" s="358"/>
      <c r="CA123" s="358"/>
      <c r="CB123" s="358"/>
      <c r="CC123" s="358"/>
      <c r="CD123" s="358"/>
      <c r="CE123" s="358"/>
      <c r="CF123" s="358"/>
      <c r="CG123" s="358"/>
      <c r="CH123" s="358"/>
      <c r="CI123" s="358"/>
      <c r="CJ123" s="358"/>
      <c r="CK123" s="358"/>
      <c r="CL123" s="358"/>
      <c r="CM123" s="358"/>
      <c r="CN123" s="358"/>
      <c r="CO123" s="358"/>
      <c r="CP123" s="358"/>
      <c r="CQ123" s="358"/>
      <c r="CR123" s="358"/>
      <c r="CS123" s="358"/>
      <c r="CT123" s="358"/>
      <c r="CU123" s="358"/>
      <c r="CV123" s="358"/>
      <c r="CW123" s="358"/>
      <c r="CX123" s="358"/>
      <c r="CY123" s="358"/>
      <c r="CZ123" s="358"/>
      <c r="DA123" s="358"/>
      <c r="DB123" s="358"/>
      <c r="DC123" s="358"/>
      <c r="DD123" s="358"/>
      <c r="DE123" s="358"/>
      <c r="DF123" s="358"/>
      <c r="DG123" s="358"/>
      <c r="DH123" s="358"/>
      <c r="DI123" s="358"/>
      <c r="DJ123" s="358"/>
      <c r="DK123" s="358"/>
      <c r="DL123" s="358"/>
      <c r="DM123" s="358"/>
      <c r="DN123" s="358"/>
      <c r="DO123" s="358"/>
      <c r="DP123" s="358"/>
      <c r="DQ123" s="358"/>
      <c r="DR123" s="358"/>
      <c r="DS123" s="358"/>
      <c r="DT123" s="358"/>
      <c r="DU123" s="358"/>
      <c r="DV123" s="358"/>
      <c r="DW123" s="358"/>
      <c r="DX123" s="358"/>
      <c r="DY123" s="358"/>
      <c r="DZ123" s="358"/>
      <c r="EA123" s="358"/>
      <c r="EB123" s="358"/>
      <c r="EC123" s="358"/>
      <c r="ED123" s="358"/>
      <c r="EE123" s="358"/>
      <c r="EF123" s="358"/>
      <c r="EG123" s="358"/>
      <c r="EH123" s="358"/>
      <c r="EI123" s="358"/>
      <c r="EJ123" s="358"/>
      <c r="EK123" s="358"/>
      <c r="EL123" s="358"/>
      <c r="EM123" s="358"/>
      <c r="EN123" s="358"/>
      <c r="EO123" s="358"/>
      <c r="EP123" s="358"/>
      <c r="EQ123" s="358"/>
      <c r="ER123" s="358"/>
      <c r="ES123" s="358"/>
      <c r="ET123" s="358"/>
      <c r="EU123" s="358"/>
      <c r="EV123" s="358"/>
      <c r="EW123" s="358"/>
      <c r="EX123" s="358"/>
      <c r="EY123" s="358"/>
      <c r="EZ123" s="358"/>
      <c r="FA123" s="358"/>
      <c r="FB123" s="358"/>
      <c r="FC123" s="358"/>
      <c r="FD123" s="358"/>
      <c r="FE123" s="358"/>
      <c r="FF123" s="358"/>
      <c r="FG123" s="358"/>
      <c r="FH123" s="358"/>
      <c r="FI123" s="358"/>
      <c r="FJ123" s="358"/>
      <c r="FK123" s="358"/>
      <c r="FL123" s="358"/>
      <c r="FM123" s="358"/>
      <c r="FN123" s="358"/>
      <c r="FO123" s="358"/>
      <c r="FP123" s="358"/>
      <c r="FQ123" s="358"/>
      <c r="FR123" s="358"/>
      <c r="FS123" s="358"/>
      <c r="FT123" s="358"/>
      <c r="FU123" s="358"/>
      <c r="FV123" s="358"/>
      <c r="FW123" s="358"/>
      <c r="FX123" s="358"/>
      <c r="FY123" s="358"/>
      <c r="FZ123" s="358"/>
      <c r="GA123" s="358"/>
      <c r="GB123" s="358"/>
      <c r="GC123" s="358"/>
      <c r="GD123" s="358"/>
      <c r="GE123" s="358"/>
      <c r="GF123" s="358"/>
      <c r="GG123" s="358"/>
      <c r="GH123" s="358"/>
      <c r="GI123" s="358"/>
      <c r="GJ123" s="358"/>
      <c r="GK123" s="358"/>
      <c r="GL123" s="358"/>
      <c r="GM123" s="358"/>
      <c r="GN123" s="358"/>
      <c r="GO123" s="358"/>
      <c r="GP123" s="358"/>
      <c r="GQ123" s="358"/>
      <c r="GR123" s="358"/>
      <c r="GS123" s="358"/>
      <c r="GT123" s="358"/>
      <c r="GU123" s="358"/>
      <c r="GV123" s="358"/>
      <c r="GW123" s="358"/>
      <c r="GX123" s="358"/>
      <c r="GY123" s="358"/>
      <c r="GZ123" s="358"/>
      <c r="HA123" s="358"/>
      <c r="HB123" s="358"/>
      <c r="HC123" s="358"/>
      <c r="HD123" s="358"/>
      <c r="HE123" s="358"/>
      <c r="HF123" s="358"/>
      <c r="HG123" s="358"/>
      <c r="HH123" s="358"/>
      <c r="HI123" s="358"/>
      <c r="HJ123" s="358"/>
      <c r="HK123" s="358"/>
      <c r="HL123" s="358"/>
      <c r="HM123" s="358"/>
      <c r="HN123" s="358"/>
      <c r="HO123" s="358"/>
      <c r="HP123" s="358"/>
      <c r="HQ123" s="358"/>
      <c r="HR123" s="358"/>
      <c r="HS123" s="358"/>
      <c r="HT123" s="358"/>
      <c r="HU123" s="358"/>
      <c r="HV123" s="358"/>
      <c r="HW123" s="358"/>
      <c r="HX123" s="358"/>
      <c r="HY123" s="358"/>
      <c r="HZ123" s="358"/>
      <c r="IA123" s="358"/>
      <c r="IB123" s="358"/>
      <c r="IC123" s="358"/>
      <c r="ID123" s="358"/>
      <c r="IE123" s="358"/>
      <c r="IF123" s="358"/>
      <c r="IG123" s="358"/>
      <c r="IH123" s="358"/>
      <c r="II123" s="358"/>
      <c r="IJ123" s="358"/>
      <c r="IK123" s="358"/>
      <c r="IL123" s="358"/>
      <c r="IM123" s="358"/>
      <c r="IN123" s="358"/>
      <c r="IO123" s="358"/>
      <c r="IP123" s="358"/>
      <c r="IQ123" s="358"/>
    </row>
    <row r="124" customFormat="false" ht="13.5" hidden="false" customHeight="true" outlineLevel="0" collapsed="false">
      <c r="A124" s="108" t="n">
        <f aca="false">A122+1</f>
        <v>6</v>
      </c>
      <c r="B124" s="404"/>
      <c r="C124" s="159" t="n">
        <f aca="false">IF(ISERROR(VLOOKUP(D124,[31]일용직명단!$A$3:$I$105,2,FALSE())),0,VLOOKUP(D124,[31]일용직명단!$A$3:$I$105,2,FALSE()))</f>
        <v>0</v>
      </c>
      <c r="D124" s="110"/>
      <c r="E124" s="311" t="n">
        <f aca="false">IF(ISERROR(VLOOKUP(D124,일용직명단!$A$3:$K$1246,3,FALSE())),0,VLOOKUP(D124,일용직명단!$A$3:$K$1246,3,FALSE()))</f>
        <v>0</v>
      </c>
      <c r="F124" s="112" t="n">
        <f aca="false">IF(ISERROR(VLOOKUP(D124,일용직명단!$A$3:$K$1246,4,FALSE())),0,VLOOKUP(D124,일용직명단!$A$3:$K$1246,4,FALSE()))</f>
        <v>0</v>
      </c>
      <c r="G124" s="395"/>
      <c r="H124" s="193"/>
      <c r="I124" s="397"/>
      <c r="J124" s="397"/>
      <c r="K124" s="395"/>
      <c r="L124" s="397"/>
      <c r="M124" s="395"/>
      <c r="N124" s="395"/>
      <c r="O124" s="193"/>
      <c r="P124" s="193"/>
      <c r="Q124" s="395"/>
      <c r="R124" s="193"/>
      <c r="S124" s="397"/>
      <c r="T124" s="193"/>
      <c r="U124" s="397"/>
      <c r="V124" s="194"/>
      <c r="W124" s="120" t="n">
        <f aca="false">SUM(G124:V125)</f>
        <v>0</v>
      </c>
      <c r="X124" s="121" t="n">
        <f aca="false">IF(ISERROR(VLOOKUP(D124,일용직명단!$A$3:$K$1246,8,FALSE())),0,VLOOKUP(D124,일용직명단!$A$3:$K$1246,8,FALSE()))</f>
        <v>0</v>
      </c>
      <c r="Y124" s="122" t="n">
        <f aca="false">IFERROR(IF(AH124&gt;=65,0,ROUNDDOWN(X125*$AA$4,-1)),0)</f>
        <v>0</v>
      </c>
      <c r="Z124" s="122" t="n">
        <f aca="false">IF(AF124&gt;=8,ROUNDDOWN(X125*$N$4,-1),0)</f>
        <v>0</v>
      </c>
      <c r="AA124" s="123" t="n">
        <f aca="false">IFERROR(IF(AND(COUNT(G124:V125)&gt;=8,$AH124&lt;60,X125&lt;=5530000),ROUNDDOWN(ROUNDDOWN(X125,-3)*4.5%,-1),IF(AND(COUNT(G124:V125)&gt;=8,AH124&lt;60,X125&gt;5530000),248850,0)),0)</f>
        <v>0</v>
      </c>
      <c r="AB124" s="124" t="n">
        <f aca="false">+Y124+Z124+Y125+Z125+AA124+AA125</f>
        <v>0</v>
      </c>
      <c r="AC124" s="125" t="n">
        <f aca="false">X125-AB124</f>
        <v>0</v>
      </c>
      <c r="AD124" s="126" t="n">
        <f aca="false">IF(ISERROR(VLOOKUP(D124,일용직명단!$A$3:$I$1226,5,FALSE())),0,VLOOKUP(D124,일용직명단!$A$3:$I$1226,5,FALSE()))</f>
        <v>0</v>
      </c>
      <c r="AE124" s="127" t="n">
        <f aca="false">IF(ISERROR(VLOOKUP(D124,일용직명단!$A$3:$I$1226,6,FALSE())),0,VLOOKUP(D124,일용직명단!$A$3:$I$1226,6,FALSE()))</f>
        <v>0</v>
      </c>
      <c r="AF124" s="141" t="n">
        <f aca="false">COUNT(G124:V125)</f>
        <v>0</v>
      </c>
      <c r="AG124" s="129" t="str">
        <f aca="false">IF(OR(MID(E124,8,1)="1",MID(E124,8,1)="2"),19&amp;LEFT(E124,2),20&amp;LEFT(E124,2))&amp;"-"&amp;MID(E124,3,2)&amp;"-"&amp;MID(E124,5,2)</f>
        <v>200--</v>
      </c>
      <c r="AH124" s="129" t="e">
        <f aca="true">INT((TODAY()-AG124)/365.25)</f>
        <v>#VALUE!</v>
      </c>
      <c r="AI124" s="130" t="n">
        <f aca="false">ROUNDDOWN(SUM(AJ124:AY125),-1)</f>
        <v>0</v>
      </c>
      <c r="AJ124" s="130" t="n">
        <f aca="false">IF($X124*G124&gt;150000,($X124*G124-150000)*6%*45%,0)</f>
        <v>0</v>
      </c>
      <c r="AK124" s="130" t="n">
        <f aca="false">IF($X124*H124&gt;150000,($X124*H124-150000)*6%*45%,0)</f>
        <v>0</v>
      </c>
      <c r="AL124" s="130" t="n">
        <f aca="false">IF($X124*I124&gt;150000,($X124*I124-150000)*6%*45%,0)</f>
        <v>0</v>
      </c>
      <c r="AM124" s="130" t="n">
        <f aca="false">IF($X124*J124&gt;150000,($X124*J124-150000)*6%*45%,0)</f>
        <v>0</v>
      </c>
      <c r="AN124" s="130" t="n">
        <f aca="false">IF($X124*K124&gt;150000,($X124*K124-150000)*6%*45%,0)</f>
        <v>0</v>
      </c>
      <c r="AO124" s="130" t="n">
        <f aca="false">IF($X124*L124&gt;150000,($X124*L124-150000)*6%*45%,0)</f>
        <v>0</v>
      </c>
      <c r="AP124" s="130" t="n">
        <f aca="false">IF($X124*M124&gt;150000,($X124*M124-150000)*6%*45%,0)</f>
        <v>0</v>
      </c>
      <c r="AQ124" s="130" t="n">
        <f aca="false">IF($X124*N124&gt;150000,($X124*N124-150000)*6%*45%,0)</f>
        <v>0</v>
      </c>
      <c r="AR124" s="130" t="n">
        <f aca="false">IF($X124*O124&gt;150000,($X124*O124-150000)*6%*45%,0)</f>
        <v>0</v>
      </c>
      <c r="AS124" s="130" t="n">
        <f aca="false">IF($X124*P124&gt;150000,($X124*P124-150000)*6%*45%,0)</f>
        <v>0</v>
      </c>
      <c r="AT124" s="130" t="n">
        <f aca="false">IF($X124*Q124&gt;150000,($X124*Q124-150000)*6%*45%,0)</f>
        <v>0</v>
      </c>
      <c r="AU124" s="130" t="n">
        <f aca="false">IF($X124*R124&gt;150000,($X124*R124-150000)*6%*45%,0)</f>
        <v>0</v>
      </c>
      <c r="AV124" s="130" t="n">
        <f aca="false">IF($X124*S124&gt;150000,($X124*S124-150000)*6%*45%,0)</f>
        <v>0</v>
      </c>
      <c r="AW124" s="130" t="n">
        <f aca="false">IF($X124*T124&gt;150000,($X124*T124-150000)*6%*45%,0)</f>
        <v>0</v>
      </c>
      <c r="AX124" s="130" t="n">
        <f aca="false">IF($X124*U124&gt;150000,($X124*U124-150000)*6%*45%,0)</f>
        <v>0</v>
      </c>
      <c r="AY124" s="130"/>
      <c r="AZ124" s="131" t="n">
        <f aca="false">IF(ISERROR(VLOOKUP(D124,[32]일용직명단!$A$3:$M$1151,11,FALSE())),0,VLOOKUP(D124,[32]일용직명단!$A$3:$M$1151,11,FALSE()))</f>
        <v>0</v>
      </c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  <c r="FX124" s="11"/>
      <c r="FY124" s="11"/>
      <c r="FZ124" s="11"/>
      <c r="GA124" s="11"/>
      <c r="GB124" s="11"/>
      <c r="GC124" s="11"/>
      <c r="GD124" s="11"/>
      <c r="GE124" s="11"/>
      <c r="GF124" s="11"/>
      <c r="GG124" s="11"/>
      <c r="GH124" s="11"/>
      <c r="GI124" s="11"/>
      <c r="GJ124" s="11"/>
      <c r="GK124" s="11"/>
      <c r="GL124" s="11"/>
      <c r="GM124" s="11"/>
      <c r="GN124" s="11"/>
      <c r="GO124" s="11"/>
      <c r="GP124" s="11"/>
      <c r="GQ124" s="11"/>
      <c r="GR124" s="11"/>
      <c r="GS124" s="11"/>
      <c r="GT124" s="11"/>
      <c r="GU124" s="11"/>
      <c r="GV124" s="11"/>
      <c r="GW124" s="11"/>
      <c r="GX124" s="11"/>
      <c r="GY124" s="11"/>
      <c r="GZ124" s="11"/>
      <c r="HA124" s="11"/>
      <c r="HB124" s="11"/>
      <c r="HC124" s="11"/>
      <c r="HD124" s="11"/>
      <c r="HE124" s="11"/>
      <c r="HF124" s="11"/>
      <c r="HG124" s="11"/>
      <c r="HH124" s="11"/>
      <c r="HI124" s="11"/>
      <c r="HJ124" s="11"/>
      <c r="HK124" s="11"/>
      <c r="HL124" s="11"/>
      <c r="HM124" s="11"/>
      <c r="HN124" s="11"/>
      <c r="HO124" s="11"/>
      <c r="HP124" s="11"/>
      <c r="HQ124" s="11"/>
      <c r="HR124" s="11"/>
      <c r="HS124" s="11"/>
      <c r="HT124" s="11"/>
      <c r="HU124" s="11"/>
      <c r="HV124" s="11"/>
      <c r="HW124" s="11"/>
      <c r="HX124" s="11"/>
      <c r="HY124" s="11"/>
      <c r="HZ124" s="11"/>
      <c r="IA124" s="11"/>
      <c r="IB124" s="11"/>
      <c r="IC124" s="11"/>
      <c r="ID124" s="11"/>
      <c r="IE124" s="11"/>
      <c r="IF124" s="11"/>
      <c r="IG124" s="11"/>
      <c r="IH124" s="11"/>
      <c r="II124" s="11"/>
      <c r="IJ124" s="11"/>
      <c r="IK124" s="11"/>
      <c r="IL124" s="11"/>
      <c r="IM124" s="11"/>
      <c r="IN124" s="11"/>
      <c r="IO124" s="11"/>
      <c r="IP124" s="11"/>
      <c r="IQ124" s="11"/>
      <c r="IR124" s="11"/>
      <c r="IS124" s="11"/>
      <c r="IT124" s="11"/>
      <c r="IU124" s="11"/>
      <c r="IV124" s="11"/>
      <c r="IW124" s="11"/>
    </row>
    <row r="125" customFormat="false" ht="13.5" hidden="false" customHeight="true" outlineLevel="0" collapsed="false">
      <c r="A125" s="108"/>
      <c r="B125" s="404"/>
      <c r="C125" s="159"/>
      <c r="D125" s="110"/>
      <c r="E125" s="311"/>
      <c r="F125" s="112" t="n">
        <f aca="false">IF(ISERROR(VLOOKUP(D124,일용직명단!$A$3:$K$1246,9,FALSE())),0,VLOOKUP(D124,일용직명단!$A$3:$K$1246,9,FALSE()))</f>
        <v>0</v>
      </c>
      <c r="G125" s="398"/>
      <c r="H125" s="399"/>
      <c r="I125" s="398"/>
      <c r="J125" s="198"/>
      <c r="K125" s="400"/>
      <c r="L125" s="198"/>
      <c r="M125" s="395"/>
      <c r="N125" s="395"/>
      <c r="O125" s="193"/>
      <c r="P125" s="397"/>
      <c r="Q125" s="193"/>
      <c r="R125" s="193"/>
      <c r="S125" s="395"/>
      <c r="T125" s="395"/>
      <c r="U125" s="395"/>
      <c r="V125" s="401"/>
      <c r="W125" s="120"/>
      <c r="X125" s="138" t="n">
        <f aca="false">X124*W124</f>
        <v>0</v>
      </c>
      <c r="Y125" s="122" t="n">
        <f aca="false">IF(AI124&lt;1000,0,AI124)</f>
        <v>0</v>
      </c>
      <c r="Z125" s="122" t="n">
        <f aca="false">ROUNDDOWN(Y125*10%,-1)</f>
        <v>0</v>
      </c>
      <c r="AA125" s="123" t="n">
        <f aca="false">IF(AF124&gt;=8,ROUNDDOWN(Z124*$R$4,-1),0)</f>
        <v>0</v>
      </c>
      <c r="AB125" s="124"/>
      <c r="AC125" s="125"/>
      <c r="AD125" s="127" t="n">
        <f aca="false">IF(ISERROR(VLOOKUP(D124,일용직명단!$A$3:$I$1226,7,FALSE())),0,VLOOKUP(D124,일용직명단!$A$3:$I$1226,7,FALSE()))</f>
        <v>0</v>
      </c>
      <c r="AE125" s="127"/>
      <c r="AF125" s="141"/>
      <c r="AG125" s="129"/>
      <c r="AH125" s="129"/>
      <c r="AI125" s="130"/>
      <c r="AJ125" s="130" t="n">
        <f aca="false">IF($X124*G125&gt;150000,($X124*G125-150000)*6%*45%,0)</f>
        <v>0</v>
      </c>
      <c r="AK125" s="130" t="n">
        <f aca="false">IF($X124*H125&gt;150000,($X124*H125-150000)*6%*45%,0)</f>
        <v>0</v>
      </c>
      <c r="AL125" s="130" t="n">
        <f aca="false">IF($X124*I125&gt;150000,($X124*I125-150000)*6%*45%,0)</f>
        <v>0</v>
      </c>
      <c r="AM125" s="130" t="n">
        <f aca="false">IF($X124*J125&gt;150000,($X124*J125-150000)*6%*45%,0)</f>
        <v>0</v>
      </c>
      <c r="AN125" s="130" t="n">
        <f aca="false">IF($X124*K125&gt;150000,($X124*K125-150000)*6%*45%,0)</f>
        <v>0</v>
      </c>
      <c r="AO125" s="130" t="n">
        <f aca="false">IF($X124*L125&gt;150000,($X124*L125-150000)*6%*45%,0)</f>
        <v>0</v>
      </c>
      <c r="AP125" s="130" t="n">
        <f aca="false">IF($X124*M125&gt;150000,($X124*M125-150000)*6%*45%,0)</f>
        <v>0</v>
      </c>
      <c r="AQ125" s="130" t="n">
        <f aca="false">IF($X124*N125&gt;150000,($X124*N125-150000)*6%*45%,0)</f>
        <v>0</v>
      </c>
      <c r="AR125" s="130" t="n">
        <f aca="false">IF($X124*O125&gt;150000,($X124*O125-150000)*6%*45%,0)</f>
        <v>0</v>
      </c>
      <c r="AS125" s="130" t="n">
        <f aca="false">IF($X124*P125&gt;150000,($X124*P125-150000)*6%*45%,0)</f>
        <v>0</v>
      </c>
      <c r="AT125" s="130" t="n">
        <f aca="false">IF($X124*Q125&gt;150000,($X124*Q125-150000)*6%*45%,0)</f>
        <v>0</v>
      </c>
      <c r="AU125" s="130" t="n">
        <f aca="false">IF($X124*R125&gt;150000,($X124*R125-150000)*6%*45%,0)</f>
        <v>0</v>
      </c>
      <c r="AV125" s="130" t="n">
        <f aca="false">IF($X124*S125&gt;150000,($X124*S125-150000)*6%*45%,0)</f>
        <v>0</v>
      </c>
      <c r="AW125" s="130" t="n">
        <f aca="false">IF($X124*T125&gt;150000,($X124*T125-150000)*6%*45%,0)</f>
        <v>0</v>
      </c>
      <c r="AX125" s="130" t="n">
        <f aca="false">IF($X124*U125&gt;150000,($X124*U125-150000)*6%*45%,0)</f>
        <v>0</v>
      </c>
      <c r="AY125" s="130" t="n">
        <f aca="false">IF($X124*V125&gt;150000,($X124*V125-150000)*6%*45%,0)</f>
        <v>0</v>
      </c>
      <c r="AZ125" s="13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/>
      <c r="GA125" s="11"/>
      <c r="GB125" s="11"/>
      <c r="GC125" s="11"/>
      <c r="GD125" s="11"/>
      <c r="GE125" s="11"/>
      <c r="GF125" s="11"/>
      <c r="GG125" s="11"/>
      <c r="GH125" s="11"/>
      <c r="GI125" s="11"/>
      <c r="GJ125" s="11"/>
      <c r="GK125" s="11"/>
      <c r="GL125" s="11"/>
      <c r="GM125" s="11"/>
      <c r="GN125" s="11"/>
      <c r="GO125" s="11"/>
      <c r="GP125" s="11"/>
      <c r="GQ125" s="11"/>
      <c r="GR125" s="11"/>
      <c r="GS125" s="11"/>
      <c r="GT125" s="11"/>
      <c r="GU125" s="11"/>
      <c r="GV125" s="11"/>
      <c r="GW125" s="11"/>
      <c r="GX125" s="11"/>
      <c r="GY125" s="11"/>
      <c r="GZ125" s="11"/>
      <c r="HA125" s="11"/>
      <c r="HB125" s="11"/>
      <c r="HC125" s="11"/>
      <c r="HD125" s="11"/>
      <c r="HE125" s="11"/>
      <c r="HF125" s="11"/>
      <c r="HG125" s="11"/>
      <c r="HH125" s="11"/>
      <c r="HI125" s="11"/>
      <c r="HJ125" s="11"/>
      <c r="HK125" s="11"/>
      <c r="HL125" s="11"/>
      <c r="HM125" s="11"/>
      <c r="HN125" s="11"/>
      <c r="HO125" s="11"/>
      <c r="HP125" s="11"/>
      <c r="HQ125" s="11"/>
      <c r="HR125" s="11"/>
      <c r="HS125" s="11"/>
      <c r="HT125" s="11"/>
      <c r="HU125" s="11"/>
      <c r="HV125" s="11"/>
      <c r="HW125" s="11"/>
      <c r="HX125" s="11"/>
      <c r="HY125" s="11"/>
      <c r="HZ125" s="11"/>
      <c r="IA125" s="11"/>
      <c r="IB125" s="11"/>
      <c r="IC125" s="11"/>
      <c r="ID125" s="11"/>
      <c r="IE125" s="11"/>
      <c r="IF125" s="11"/>
      <c r="IG125" s="11"/>
      <c r="IH125" s="11"/>
      <c r="II125" s="11"/>
      <c r="IJ125" s="11"/>
      <c r="IK125" s="11"/>
      <c r="IL125" s="11"/>
      <c r="IM125" s="11"/>
      <c r="IN125" s="11"/>
      <c r="IO125" s="11"/>
      <c r="IP125" s="11"/>
      <c r="IQ125" s="11"/>
      <c r="IR125" s="11"/>
      <c r="IS125" s="11"/>
      <c r="IT125" s="11"/>
      <c r="IU125" s="11"/>
      <c r="IV125" s="11"/>
      <c r="IW125" s="11"/>
    </row>
    <row r="126" customFormat="false" ht="13.5" hidden="false" customHeight="true" outlineLevel="0" collapsed="false">
      <c r="A126" s="108" t="n">
        <f aca="false">A124+1</f>
        <v>7</v>
      </c>
      <c r="B126" s="404"/>
      <c r="C126" s="159" t="n">
        <f aca="false">IF(ISERROR(VLOOKUP(D126,[31]일용직명단!$A$3:$I$105,2,FALSE())),0,VLOOKUP(D126,[31]일용직명단!$A$3:$I$105,2,FALSE()))</f>
        <v>0</v>
      </c>
      <c r="D126" s="110"/>
      <c r="E126" s="311" t="n">
        <f aca="false">IF(ISERROR(VLOOKUP(D126,일용직명단!$A$3:$K$1246,3,FALSE())),0,VLOOKUP(D126,일용직명단!$A$3:$K$1246,3,FALSE()))</f>
        <v>0</v>
      </c>
      <c r="F126" s="112" t="n">
        <f aca="false">IF(ISERROR(VLOOKUP(D126,일용직명단!$A$3:$K$1246,4,FALSE())),0,VLOOKUP(D126,일용직명단!$A$3:$K$1246,4,FALSE()))</f>
        <v>0</v>
      </c>
      <c r="G126" s="395"/>
      <c r="H126" s="193"/>
      <c r="I126" s="397"/>
      <c r="J126" s="397"/>
      <c r="K126" s="395"/>
      <c r="L126" s="397"/>
      <c r="M126" s="395"/>
      <c r="N126" s="395"/>
      <c r="O126" s="193"/>
      <c r="P126" s="193"/>
      <c r="Q126" s="395"/>
      <c r="R126" s="193"/>
      <c r="S126" s="397"/>
      <c r="T126" s="193"/>
      <c r="U126" s="397"/>
      <c r="V126" s="194"/>
      <c r="W126" s="120" t="n">
        <f aca="false">SUM(G126:V127)</f>
        <v>0</v>
      </c>
      <c r="X126" s="121" t="n">
        <f aca="false">IF(ISERROR(VLOOKUP(D126,일용직명단!$A$3:$K$1246,8,FALSE())),0,VLOOKUP(D126,일용직명단!$A$3:$K$1246,8,FALSE()))</f>
        <v>0</v>
      </c>
      <c r="Y126" s="122" t="n">
        <f aca="false">IFERROR(IF(AH126&gt;=65,0,ROUNDDOWN(X127*$AA$4,-1)),0)</f>
        <v>0</v>
      </c>
      <c r="Z126" s="122" t="n">
        <f aca="false">IF(AF126&gt;=8,ROUNDDOWN(X127*$N$4,-1),0)</f>
        <v>0</v>
      </c>
      <c r="AA126" s="123" t="n">
        <f aca="false">IFERROR(IF(AND(COUNT(G126:V127)&gt;=8,$AH126&lt;60,X127&lt;=5530000),ROUNDDOWN(ROUNDDOWN(X127,-3)*4.5%,-1),IF(AND(COUNT(G126:V127)&gt;=8,AH126&lt;60,X127&gt;5530000),248850,0)),0)</f>
        <v>0</v>
      </c>
      <c r="AB126" s="124" t="n">
        <f aca="false">+Y126+Z126+Y127+Z127+AA126+AA127</f>
        <v>0</v>
      </c>
      <c r="AC126" s="125" t="n">
        <f aca="false">X127-AB126</f>
        <v>0</v>
      </c>
      <c r="AD126" s="126" t="n">
        <f aca="false">IF(ISERROR(VLOOKUP(D126,일용직명단!$A$3:$I$1226,5,FALSE())),0,VLOOKUP(D126,일용직명단!$A$3:$I$1226,5,FALSE()))</f>
        <v>0</v>
      </c>
      <c r="AE126" s="127" t="n">
        <f aca="false">IF(ISERROR(VLOOKUP(D126,일용직명단!$A$3:$I$1226,6,FALSE())),0,VLOOKUP(D126,일용직명단!$A$3:$I$1226,6,FALSE()))</f>
        <v>0</v>
      </c>
      <c r="AF126" s="141" t="n">
        <f aca="false">COUNT(G126:V127)</f>
        <v>0</v>
      </c>
      <c r="AG126" s="129" t="str">
        <f aca="false">IF(OR(MID(E126,8,1)="1",MID(E126,8,1)="2"),19&amp;LEFT(E126,2),20&amp;LEFT(E126,2))&amp;"-"&amp;MID(E126,3,2)&amp;"-"&amp;MID(E126,5,2)</f>
        <v>200--</v>
      </c>
      <c r="AH126" s="129" t="e">
        <f aca="true">INT((TODAY()-AG126)/365.25)</f>
        <v>#VALUE!</v>
      </c>
      <c r="AI126" s="130" t="n">
        <f aca="false">ROUNDDOWN(SUM(AJ126:AY127),-1)</f>
        <v>0</v>
      </c>
      <c r="AJ126" s="130" t="n">
        <f aca="false">IF($X126*G126&gt;150000,($X126*G126-150000)*6%*45%,0)</f>
        <v>0</v>
      </c>
      <c r="AK126" s="130" t="n">
        <f aca="false">IF($X126*H126&gt;150000,($X126*H126-150000)*6%*45%,0)</f>
        <v>0</v>
      </c>
      <c r="AL126" s="130" t="n">
        <f aca="false">IF($X126*I126&gt;150000,($X126*I126-150000)*6%*45%,0)</f>
        <v>0</v>
      </c>
      <c r="AM126" s="130" t="n">
        <f aca="false">IF($X126*J126&gt;150000,($X126*J126-150000)*6%*45%,0)</f>
        <v>0</v>
      </c>
      <c r="AN126" s="130" t="n">
        <f aca="false">IF($X126*K126&gt;150000,($X126*K126-150000)*6%*45%,0)</f>
        <v>0</v>
      </c>
      <c r="AO126" s="130" t="n">
        <f aca="false">IF($X126*L126&gt;150000,($X126*L126-150000)*6%*45%,0)</f>
        <v>0</v>
      </c>
      <c r="AP126" s="130" t="n">
        <f aca="false">IF($X126*M126&gt;150000,($X126*M126-150000)*6%*45%,0)</f>
        <v>0</v>
      </c>
      <c r="AQ126" s="130" t="n">
        <f aca="false">IF($X126*N126&gt;150000,($X126*N126-150000)*6%*45%,0)</f>
        <v>0</v>
      </c>
      <c r="AR126" s="130" t="n">
        <f aca="false">IF($X126*O126&gt;150000,($X126*O126-150000)*6%*45%,0)</f>
        <v>0</v>
      </c>
      <c r="AS126" s="130" t="n">
        <f aca="false">IF($X126*P126&gt;150000,($X126*P126-150000)*6%*45%,0)</f>
        <v>0</v>
      </c>
      <c r="AT126" s="130" t="n">
        <f aca="false">IF($X126*Q126&gt;150000,($X126*Q126-150000)*6%*45%,0)</f>
        <v>0</v>
      </c>
      <c r="AU126" s="130" t="n">
        <f aca="false">IF($X126*R126&gt;150000,($X126*R126-150000)*6%*45%,0)</f>
        <v>0</v>
      </c>
      <c r="AV126" s="130" t="n">
        <f aca="false">IF($X126*S126&gt;150000,($X126*S126-150000)*6%*45%,0)</f>
        <v>0</v>
      </c>
      <c r="AW126" s="130" t="n">
        <f aca="false">IF($X126*T126&gt;150000,($X126*T126-150000)*6%*45%,0)</f>
        <v>0</v>
      </c>
      <c r="AX126" s="130" t="n">
        <f aca="false">IF($X126*U126&gt;150000,($X126*U126-150000)*6%*45%,0)</f>
        <v>0</v>
      </c>
      <c r="AY126" s="130"/>
      <c r="AZ126" s="131" t="n">
        <f aca="false">IF(ISERROR(VLOOKUP(D126,[32]일용직명단!$A$3:$M$1151,11,FALSE())),0,VLOOKUP(D126,[32]일용직명단!$A$3:$M$1151,11,FALSE()))</f>
        <v>0</v>
      </c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  <c r="GD126" s="11"/>
      <c r="GE126" s="11"/>
      <c r="GF126" s="11"/>
      <c r="GG126" s="11"/>
      <c r="GH126" s="11"/>
      <c r="GI126" s="11"/>
      <c r="GJ126" s="11"/>
      <c r="GK126" s="11"/>
      <c r="GL126" s="11"/>
      <c r="GM126" s="11"/>
      <c r="GN126" s="11"/>
      <c r="GO126" s="11"/>
      <c r="GP126" s="11"/>
      <c r="GQ126" s="11"/>
      <c r="GR126" s="11"/>
      <c r="GS126" s="11"/>
      <c r="GT126" s="11"/>
      <c r="GU126" s="11"/>
      <c r="GV126" s="11"/>
      <c r="GW126" s="11"/>
      <c r="GX126" s="11"/>
      <c r="GY126" s="11"/>
      <c r="GZ126" s="11"/>
      <c r="HA126" s="11"/>
      <c r="HB126" s="11"/>
      <c r="HC126" s="11"/>
      <c r="HD126" s="11"/>
      <c r="HE126" s="11"/>
      <c r="HF126" s="11"/>
      <c r="HG126" s="11"/>
      <c r="HH126" s="11"/>
      <c r="HI126" s="11"/>
      <c r="HJ126" s="11"/>
      <c r="HK126" s="11"/>
      <c r="HL126" s="11"/>
      <c r="HM126" s="11"/>
      <c r="HN126" s="11"/>
      <c r="HO126" s="11"/>
      <c r="HP126" s="11"/>
      <c r="HQ126" s="11"/>
      <c r="HR126" s="11"/>
      <c r="HS126" s="11"/>
      <c r="HT126" s="11"/>
      <c r="HU126" s="11"/>
      <c r="HV126" s="11"/>
      <c r="HW126" s="11"/>
      <c r="HX126" s="11"/>
      <c r="HY126" s="11"/>
      <c r="HZ126" s="11"/>
      <c r="IA126" s="11"/>
      <c r="IB126" s="11"/>
      <c r="IC126" s="11"/>
      <c r="ID126" s="11"/>
      <c r="IE126" s="11"/>
      <c r="IF126" s="11"/>
      <c r="IG126" s="11"/>
      <c r="IH126" s="11"/>
      <c r="II126" s="11"/>
      <c r="IJ126" s="11"/>
      <c r="IK126" s="11"/>
      <c r="IL126" s="11"/>
      <c r="IM126" s="11"/>
      <c r="IN126" s="11"/>
      <c r="IO126" s="11"/>
      <c r="IP126" s="11"/>
      <c r="IQ126" s="11"/>
      <c r="IR126" s="11"/>
      <c r="IS126" s="11"/>
      <c r="IT126" s="11"/>
      <c r="IU126" s="11"/>
      <c r="IV126" s="11"/>
      <c r="IW126" s="11"/>
    </row>
    <row r="127" customFormat="false" ht="13.5" hidden="false" customHeight="true" outlineLevel="0" collapsed="false">
      <c r="A127" s="108"/>
      <c r="B127" s="404"/>
      <c r="C127" s="159"/>
      <c r="D127" s="110"/>
      <c r="E127" s="311"/>
      <c r="F127" s="112" t="n">
        <f aca="false">IF(ISERROR(VLOOKUP(D126,일용직명단!$A$3:$K$1246,9,FALSE())),0,VLOOKUP(D126,일용직명단!$A$3:$K$1246,9,FALSE()))</f>
        <v>0</v>
      </c>
      <c r="G127" s="398"/>
      <c r="H127" s="399"/>
      <c r="I127" s="398"/>
      <c r="J127" s="198"/>
      <c r="K127" s="400"/>
      <c r="L127" s="198"/>
      <c r="M127" s="395"/>
      <c r="N127" s="395"/>
      <c r="O127" s="193"/>
      <c r="P127" s="397"/>
      <c r="Q127" s="193"/>
      <c r="R127" s="193"/>
      <c r="S127" s="395"/>
      <c r="T127" s="395"/>
      <c r="U127" s="395"/>
      <c r="V127" s="401"/>
      <c r="W127" s="120"/>
      <c r="X127" s="138" t="n">
        <f aca="false">X126*W126</f>
        <v>0</v>
      </c>
      <c r="Y127" s="122" t="n">
        <f aca="false">IF(AI126&lt;1000,0,AI126)</f>
        <v>0</v>
      </c>
      <c r="Z127" s="122" t="n">
        <f aca="false">ROUNDDOWN(Y127*10%,-1)</f>
        <v>0</v>
      </c>
      <c r="AA127" s="123" t="n">
        <f aca="false">IF(AF126&gt;=8,ROUNDDOWN(Z126*$R$4,-1),0)</f>
        <v>0</v>
      </c>
      <c r="AB127" s="124"/>
      <c r="AC127" s="125"/>
      <c r="AD127" s="127" t="n">
        <f aca="false">IF(ISERROR(VLOOKUP(D126,일용직명단!$A$3:$I$1226,7,FALSE())),0,VLOOKUP(D126,일용직명단!$A$3:$I$1226,7,FALSE()))</f>
        <v>0</v>
      </c>
      <c r="AE127" s="127"/>
      <c r="AF127" s="141"/>
      <c r="AG127" s="129"/>
      <c r="AH127" s="129"/>
      <c r="AI127" s="130"/>
      <c r="AJ127" s="130" t="n">
        <f aca="false">IF($X126*G127&gt;150000,($X126*G127-150000)*6%*45%,0)</f>
        <v>0</v>
      </c>
      <c r="AK127" s="130" t="n">
        <f aca="false">IF($X126*H127&gt;150000,($X126*H127-150000)*6%*45%,0)</f>
        <v>0</v>
      </c>
      <c r="AL127" s="130" t="n">
        <f aca="false">IF($X126*I127&gt;150000,($X126*I127-150000)*6%*45%,0)</f>
        <v>0</v>
      </c>
      <c r="AM127" s="130" t="n">
        <f aca="false">IF($X126*J127&gt;150000,($X126*J127-150000)*6%*45%,0)</f>
        <v>0</v>
      </c>
      <c r="AN127" s="130" t="n">
        <f aca="false">IF($X126*K127&gt;150000,($X126*K127-150000)*6%*45%,0)</f>
        <v>0</v>
      </c>
      <c r="AO127" s="130" t="n">
        <f aca="false">IF($X126*L127&gt;150000,($X126*L127-150000)*6%*45%,0)</f>
        <v>0</v>
      </c>
      <c r="AP127" s="130" t="n">
        <f aca="false">IF($X126*M127&gt;150000,($X126*M127-150000)*6%*45%,0)</f>
        <v>0</v>
      </c>
      <c r="AQ127" s="130" t="n">
        <f aca="false">IF($X126*N127&gt;150000,($X126*N127-150000)*6%*45%,0)</f>
        <v>0</v>
      </c>
      <c r="AR127" s="130" t="n">
        <f aca="false">IF($X126*O127&gt;150000,($X126*O127-150000)*6%*45%,0)</f>
        <v>0</v>
      </c>
      <c r="AS127" s="130" t="n">
        <f aca="false">IF($X126*P127&gt;150000,($X126*P127-150000)*6%*45%,0)</f>
        <v>0</v>
      </c>
      <c r="AT127" s="130" t="n">
        <f aca="false">IF($X126*Q127&gt;150000,($X126*Q127-150000)*6%*45%,0)</f>
        <v>0</v>
      </c>
      <c r="AU127" s="130" t="n">
        <f aca="false">IF($X126*R127&gt;150000,($X126*R127-150000)*6%*45%,0)</f>
        <v>0</v>
      </c>
      <c r="AV127" s="130" t="n">
        <f aca="false">IF($X126*S127&gt;150000,($X126*S127-150000)*6%*45%,0)</f>
        <v>0</v>
      </c>
      <c r="AW127" s="130" t="n">
        <f aca="false">IF($X126*T127&gt;150000,($X126*T127-150000)*6%*45%,0)</f>
        <v>0</v>
      </c>
      <c r="AX127" s="130" t="n">
        <f aca="false">IF($X126*U127&gt;150000,($X126*U127-150000)*6%*45%,0)</f>
        <v>0</v>
      </c>
      <c r="AY127" s="130" t="n">
        <f aca="false">IF($X126*V127&gt;150000,($X126*V127-150000)*6%*45%,0)</f>
        <v>0</v>
      </c>
      <c r="AZ127" s="13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1"/>
      <c r="FW127" s="11"/>
      <c r="FX127" s="11"/>
      <c r="FY127" s="11"/>
      <c r="FZ127" s="11"/>
      <c r="GA127" s="11"/>
      <c r="GB127" s="11"/>
      <c r="GC127" s="11"/>
      <c r="GD127" s="11"/>
      <c r="GE127" s="11"/>
      <c r="GF127" s="11"/>
      <c r="GG127" s="11"/>
      <c r="GH127" s="11"/>
      <c r="GI127" s="11"/>
      <c r="GJ127" s="11"/>
      <c r="GK127" s="11"/>
      <c r="GL127" s="11"/>
      <c r="GM127" s="11"/>
      <c r="GN127" s="11"/>
      <c r="GO127" s="11"/>
      <c r="GP127" s="11"/>
      <c r="GQ127" s="11"/>
      <c r="GR127" s="11"/>
      <c r="GS127" s="11"/>
      <c r="GT127" s="11"/>
      <c r="GU127" s="11"/>
      <c r="GV127" s="11"/>
      <c r="GW127" s="11"/>
      <c r="GX127" s="11"/>
      <c r="GY127" s="11"/>
      <c r="GZ127" s="11"/>
      <c r="HA127" s="11"/>
      <c r="HB127" s="11"/>
      <c r="HC127" s="11"/>
      <c r="HD127" s="11"/>
      <c r="HE127" s="11"/>
      <c r="HF127" s="11"/>
      <c r="HG127" s="11"/>
      <c r="HH127" s="11"/>
      <c r="HI127" s="11"/>
      <c r="HJ127" s="11"/>
      <c r="HK127" s="11"/>
      <c r="HL127" s="11"/>
      <c r="HM127" s="11"/>
      <c r="HN127" s="11"/>
      <c r="HO127" s="11"/>
      <c r="HP127" s="11"/>
      <c r="HQ127" s="11"/>
      <c r="HR127" s="11"/>
      <c r="HS127" s="11"/>
      <c r="HT127" s="11"/>
      <c r="HU127" s="11"/>
      <c r="HV127" s="11"/>
      <c r="HW127" s="11"/>
      <c r="HX127" s="11"/>
      <c r="HY127" s="11"/>
      <c r="HZ127" s="11"/>
      <c r="IA127" s="11"/>
      <c r="IB127" s="11"/>
      <c r="IC127" s="11"/>
      <c r="ID127" s="11"/>
      <c r="IE127" s="11"/>
      <c r="IF127" s="11"/>
      <c r="IG127" s="11"/>
      <c r="IH127" s="11"/>
      <c r="II127" s="11"/>
      <c r="IJ127" s="11"/>
      <c r="IK127" s="11"/>
      <c r="IL127" s="11"/>
      <c r="IM127" s="11"/>
      <c r="IN127" s="11"/>
      <c r="IO127" s="11"/>
      <c r="IP127" s="11"/>
      <c r="IQ127" s="11"/>
      <c r="IR127" s="11"/>
      <c r="IS127" s="11"/>
      <c r="IT127" s="11"/>
      <c r="IU127" s="11"/>
      <c r="IV127" s="11"/>
      <c r="IW127" s="11"/>
    </row>
    <row r="128" customFormat="false" ht="13.5" hidden="true" customHeight="true" outlineLevel="0" collapsed="false">
      <c r="A128" s="108" t="n">
        <f aca="false">A126+1</f>
        <v>8</v>
      </c>
      <c r="B128" s="404"/>
      <c r="C128" s="403" t="n">
        <f aca="false">IF(ISERROR(VLOOKUP(D128,[31]일용직명단!$A$3:$I$105,2,FALSE())),0,VLOOKUP(D128,[31]일용직명단!$A$3:$I$105,2,FALSE()))</f>
        <v>0</v>
      </c>
      <c r="D128" s="110"/>
      <c r="E128" s="311" t="n">
        <f aca="false">IF(ISERROR(VLOOKUP(D128,[31]일용직명단!$A$3:$K$1220,3,FALSE())),0,VLOOKUP(D128,[31]일용직명단!$A$3:$K$1220,3,FALSE()))</f>
        <v>0</v>
      </c>
      <c r="F128" s="140" t="n">
        <f aca="false">IF(ISERROR(VLOOKUP(D128,[31]일용직명단!$A$3:$K$1220,4,FALSE())),0,VLOOKUP(D128,[31]일용직명단!$A$3:$K$1220,4,FALSE()))</f>
        <v>0</v>
      </c>
      <c r="G128" s="408"/>
      <c r="H128" s="114"/>
      <c r="I128" s="409"/>
      <c r="J128" s="409"/>
      <c r="K128" s="408"/>
      <c r="L128" s="409"/>
      <c r="M128" s="408"/>
      <c r="N128" s="408"/>
      <c r="O128" s="114"/>
      <c r="P128" s="114"/>
      <c r="Q128" s="408"/>
      <c r="R128" s="114"/>
      <c r="S128" s="409"/>
      <c r="T128" s="114"/>
      <c r="U128" s="409"/>
      <c r="V128" s="119"/>
      <c r="W128" s="144" t="n">
        <f aca="false">SUM(G128:V129)</f>
        <v>0</v>
      </c>
      <c r="X128" s="121" t="n">
        <f aca="false">IF(ISERROR(VLOOKUP(D128,[31]일용직명단!$A$3:$K$1220,8,FALSE())),0,VLOOKUP(D128,[31]일용직명단!$A$3:$K$1220,8,FALSE()))</f>
        <v>0</v>
      </c>
      <c r="Y128" s="123" t="n">
        <f aca="false">IFERROR(IF(AH128&gt;=65,0,ROUNDDOWN(X129*$AA$4,-1)),0)</f>
        <v>0</v>
      </c>
      <c r="Z128" s="123" t="n">
        <f aca="false">IF(AF128&gt;=8,ROUNDDOWN(X129*$N$4,-1),0)</f>
        <v>0</v>
      </c>
      <c r="AA128" s="123" t="n">
        <f aca="false">IFERROR(IF(AND(COUNT(G128:V129)&gt;=8,$AH128&lt;60,X129&lt;=5530000),ROUNDDOWN(ROUNDDOWN(X129,-3)*4.5%,-1),IF(AND(COUNT(G128:V129)&gt;=8,AH128&lt;60,X129&gt;5530000),248850,0)),0)</f>
        <v>0</v>
      </c>
      <c r="AB128" s="145" t="n">
        <f aca="false">+Y128+Z128+Y129+Z129+AA128+AA129</f>
        <v>0</v>
      </c>
      <c r="AC128" s="146" t="n">
        <f aca="false">X129-AB128</f>
        <v>0</v>
      </c>
      <c r="AD128" s="411" t="n">
        <f aca="false">IF(ISERROR(VLOOKUP(D128,[31]일용직명단!$A$3:$I$1200,5,FALSE())),0,VLOOKUP(D128,[31]일용직명단!$A$3:$I$1200,5,FALSE()))</f>
        <v>0</v>
      </c>
      <c r="AE128" s="412" t="n">
        <f aca="false">IF(ISERROR(VLOOKUP(D128,[31]일용직명단!$A$3:$I$1200,6,FALSE())),0,VLOOKUP(D128,[31]일용직명단!$A$3:$I$1200,6,FALSE()))</f>
        <v>0</v>
      </c>
      <c r="AF128" s="141" t="n">
        <f aca="false">COUNT(G128:V129)</f>
        <v>0</v>
      </c>
      <c r="AG128" s="169" t="str">
        <f aca="false">IF(OR(MID(E128,8,1)="1",MID(E128,8,1)="2"),19&amp;LEFT(E128,2),20&amp;LEFT(E128,2))&amp;"-"&amp;MID(E128,3,2)&amp;"-"&amp;MID(E128,5,2)</f>
        <v>200--</v>
      </c>
      <c r="AH128" s="169" t="e">
        <f aca="true">INT((TODAY()-AG128)/365.25)</f>
        <v>#VALUE!</v>
      </c>
      <c r="AI128" s="130" t="n">
        <f aca="false">ROUNDDOWN(SUM(AJ128:AY129),-1)</f>
        <v>0</v>
      </c>
      <c r="AJ128" s="130" t="n">
        <f aca="false">IF($X128*G128&gt;150000,($X128*G128-150000)*6%*45%,0)</f>
        <v>0</v>
      </c>
      <c r="AK128" s="130" t="n">
        <f aca="false">IF($X128*H128&gt;150000,($X128*H128-150000)*6%*45%,0)</f>
        <v>0</v>
      </c>
      <c r="AL128" s="130" t="n">
        <f aca="false">IF($X128*I128&gt;150000,($X128*I128-150000)*6%*45%,0)</f>
        <v>0</v>
      </c>
      <c r="AM128" s="130" t="n">
        <f aca="false">IF($X128*J128&gt;150000,($X128*J128-150000)*6%*45%,0)</f>
        <v>0</v>
      </c>
      <c r="AN128" s="130" t="n">
        <f aca="false">IF($X128*K128&gt;150000,($X128*K128-150000)*6%*45%,0)</f>
        <v>0</v>
      </c>
      <c r="AO128" s="130" t="n">
        <f aca="false">IF($X128*L128&gt;150000,($X128*L128-150000)*6%*45%,0)</f>
        <v>0</v>
      </c>
      <c r="AP128" s="130" t="n">
        <f aca="false">IF($X128*M128&gt;150000,($X128*M128-150000)*6%*45%,0)</f>
        <v>0</v>
      </c>
      <c r="AQ128" s="130" t="n">
        <f aca="false">IF($X128*N128&gt;150000,($X128*N128-150000)*6%*45%,0)</f>
        <v>0</v>
      </c>
      <c r="AR128" s="130" t="n">
        <f aca="false">IF($X128*O128&gt;150000,($X128*O128-150000)*6%*45%,0)</f>
        <v>0</v>
      </c>
      <c r="AS128" s="130" t="n">
        <f aca="false">IF($X128*P128&gt;150000,($X128*P128-150000)*6%*45%,0)</f>
        <v>0</v>
      </c>
      <c r="AT128" s="130" t="n">
        <f aca="false">IF($X128*Q128&gt;150000,($X128*Q128-150000)*6%*45%,0)</f>
        <v>0</v>
      </c>
      <c r="AU128" s="130" t="n">
        <f aca="false">IF($X128*R128&gt;150000,($X128*R128-150000)*6%*45%,0)</f>
        <v>0</v>
      </c>
      <c r="AV128" s="130" t="n">
        <f aca="false">IF($X128*S128&gt;150000,($X128*S128-150000)*6%*45%,0)</f>
        <v>0</v>
      </c>
      <c r="AW128" s="130" t="n">
        <f aca="false">IF($X128*T128&gt;150000,($X128*T128-150000)*6%*45%,0)</f>
        <v>0</v>
      </c>
      <c r="AX128" s="130" t="n">
        <f aca="false">IF($X128*U128&gt;150000,($X128*U128-150000)*6%*45%,0)</f>
        <v>0</v>
      </c>
      <c r="AY128" s="130"/>
      <c r="AZ128" s="131" t="n">
        <f aca="false">IF(ISERROR(VLOOKUP(D128,[32]일용직명단!$A$3:$M$1151,11,FALSE())),0,VLOOKUP(D128,[32]일용직명단!$A$3:$M$1151,11,FALSE()))</f>
        <v>0</v>
      </c>
      <c r="BA128" s="11"/>
      <c r="BC128" s="358"/>
      <c r="BD128" s="358"/>
      <c r="BE128" s="358"/>
      <c r="BF128" s="358"/>
      <c r="BG128" s="358"/>
      <c r="BH128" s="358"/>
      <c r="BI128" s="358"/>
      <c r="BJ128" s="358"/>
      <c r="BK128" s="358"/>
      <c r="BL128" s="358"/>
      <c r="BM128" s="358"/>
      <c r="BN128" s="358"/>
      <c r="BO128" s="358"/>
      <c r="BP128" s="358"/>
      <c r="BQ128" s="358"/>
      <c r="BR128" s="358"/>
      <c r="BS128" s="358"/>
      <c r="BT128" s="358"/>
      <c r="BU128" s="358"/>
      <c r="BV128" s="358"/>
      <c r="BW128" s="358"/>
      <c r="BX128" s="358"/>
      <c r="BY128" s="358"/>
      <c r="BZ128" s="358"/>
      <c r="CA128" s="358"/>
      <c r="CB128" s="358"/>
      <c r="CC128" s="358"/>
      <c r="CD128" s="358"/>
      <c r="CE128" s="358"/>
      <c r="CF128" s="358"/>
      <c r="CG128" s="358"/>
      <c r="CH128" s="358"/>
      <c r="CI128" s="358"/>
      <c r="CJ128" s="358"/>
      <c r="CK128" s="358"/>
      <c r="CL128" s="358"/>
      <c r="CM128" s="358"/>
      <c r="CN128" s="358"/>
      <c r="CO128" s="358"/>
      <c r="CP128" s="358"/>
      <c r="CQ128" s="358"/>
      <c r="CR128" s="358"/>
      <c r="CS128" s="358"/>
      <c r="CT128" s="358"/>
      <c r="CU128" s="358"/>
      <c r="CV128" s="358"/>
      <c r="CW128" s="358"/>
      <c r="CX128" s="358"/>
      <c r="CY128" s="358"/>
      <c r="CZ128" s="358"/>
      <c r="DA128" s="358"/>
      <c r="DB128" s="358"/>
      <c r="DC128" s="358"/>
      <c r="DD128" s="358"/>
      <c r="DE128" s="358"/>
      <c r="DF128" s="358"/>
      <c r="DG128" s="358"/>
      <c r="DH128" s="358"/>
      <c r="DI128" s="358"/>
      <c r="DJ128" s="358"/>
      <c r="DK128" s="358"/>
      <c r="DL128" s="358"/>
      <c r="DM128" s="358"/>
      <c r="DN128" s="358"/>
      <c r="DO128" s="358"/>
      <c r="DP128" s="358"/>
      <c r="DQ128" s="358"/>
      <c r="DR128" s="358"/>
      <c r="DS128" s="358"/>
      <c r="DT128" s="358"/>
      <c r="DU128" s="358"/>
      <c r="DV128" s="358"/>
      <c r="DW128" s="358"/>
      <c r="DX128" s="358"/>
      <c r="DY128" s="358"/>
      <c r="DZ128" s="358"/>
      <c r="EA128" s="358"/>
      <c r="EB128" s="358"/>
      <c r="EC128" s="358"/>
      <c r="ED128" s="358"/>
      <c r="EE128" s="358"/>
      <c r="EF128" s="358"/>
      <c r="EG128" s="358"/>
      <c r="EH128" s="358"/>
      <c r="EI128" s="358"/>
      <c r="EJ128" s="358"/>
      <c r="EK128" s="358"/>
      <c r="EL128" s="358"/>
      <c r="EM128" s="358"/>
      <c r="EN128" s="358"/>
      <c r="EO128" s="358"/>
      <c r="EP128" s="358"/>
      <c r="EQ128" s="358"/>
      <c r="ER128" s="358"/>
      <c r="ES128" s="358"/>
      <c r="ET128" s="358"/>
      <c r="EU128" s="358"/>
      <c r="EV128" s="358"/>
      <c r="EW128" s="358"/>
      <c r="EX128" s="358"/>
      <c r="EY128" s="358"/>
      <c r="EZ128" s="358"/>
      <c r="FA128" s="358"/>
      <c r="FB128" s="358"/>
      <c r="FC128" s="358"/>
      <c r="FD128" s="358"/>
      <c r="FE128" s="358"/>
      <c r="FF128" s="358"/>
      <c r="FG128" s="358"/>
      <c r="FH128" s="358"/>
      <c r="FI128" s="358"/>
      <c r="FJ128" s="358"/>
      <c r="FK128" s="358"/>
      <c r="FL128" s="358"/>
      <c r="FM128" s="358"/>
      <c r="FN128" s="358"/>
      <c r="FO128" s="358"/>
      <c r="FP128" s="358"/>
      <c r="FQ128" s="358"/>
      <c r="FR128" s="358"/>
      <c r="FS128" s="358"/>
      <c r="FT128" s="358"/>
      <c r="FU128" s="358"/>
      <c r="FV128" s="358"/>
      <c r="FW128" s="358"/>
      <c r="FX128" s="358"/>
      <c r="FY128" s="358"/>
      <c r="FZ128" s="358"/>
      <c r="GA128" s="358"/>
      <c r="GB128" s="358"/>
      <c r="GC128" s="358"/>
      <c r="GD128" s="358"/>
      <c r="GE128" s="358"/>
      <c r="GF128" s="358"/>
      <c r="GG128" s="358"/>
      <c r="GH128" s="358"/>
      <c r="GI128" s="358"/>
      <c r="GJ128" s="358"/>
      <c r="GK128" s="358"/>
      <c r="GL128" s="358"/>
      <c r="GM128" s="358"/>
      <c r="GN128" s="358"/>
      <c r="GO128" s="358"/>
      <c r="GP128" s="358"/>
      <c r="GQ128" s="358"/>
      <c r="GR128" s="358"/>
      <c r="GS128" s="358"/>
      <c r="GT128" s="358"/>
      <c r="GU128" s="358"/>
      <c r="GV128" s="358"/>
      <c r="GW128" s="358"/>
      <c r="GX128" s="358"/>
      <c r="GY128" s="358"/>
      <c r="GZ128" s="358"/>
      <c r="HA128" s="358"/>
      <c r="HB128" s="358"/>
      <c r="HC128" s="358"/>
      <c r="HD128" s="358"/>
      <c r="HE128" s="358"/>
      <c r="HF128" s="358"/>
      <c r="HG128" s="358"/>
      <c r="HH128" s="358"/>
      <c r="HI128" s="358"/>
      <c r="HJ128" s="358"/>
      <c r="HK128" s="358"/>
      <c r="HL128" s="358"/>
      <c r="HM128" s="358"/>
      <c r="HN128" s="358"/>
      <c r="HO128" s="358"/>
      <c r="HP128" s="358"/>
      <c r="HQ128" s="358"/>
      <c r="HR128" s="358"/>
      <c r="HS128" s="358"/>
      <c r="HT128" s="358"/>
      <c r="HU128" s="358"/>
      <c r="HV128" s="358"/>
      <c r="HW128" s="358"/>
      <c r="HX128" s="358"/>
      <c r="HY128" s="358"/>
      <c r="HZ128" s="358"/>
      <c r="IA128" s="358"/>
      <c r="IB128" s="358"/>
      <c r="IC128" s="358"/>
      <c r="ID128" s="358"/>
      <c r="IE128" s="358"/>
      <c r="IF128" s="358"/>
      <c r="IG128" s="358"/>
      <c r="IH128" s="358"/>
      <c r="II128" s="358"/>
      <c r="IJ128" s="358"/>
      <c r="IK128" s="358"/>
      <c r="IL128" s="358"/>
      <c r="IM128" s="358"/>
      <c r="IN128" s="358"/>
      <c r="IO128" s="358"/>
      <c r="IP128" s="358"/>
      <c r="IQ128" s="358"/>
    </row>
    <row r="129" customFormat="false" ht="13.5" hidden="true" customHeight="true" outlineLevel="0" collapsed="false">
      <c r="A129" s="108"/>
      <c r="B129" s="404"/>
      <c r="C129" s="403"/>
      <c r="D129" s="110"/>
      <c r="E129" s="311"/>
      <c r="F129" s="140" t="n">
        <f aca="false">IF(ISERROR(VLOOKUP(D128,[31]일용직명단!$A$3:$K$1220,9,FALSE())),0,VLOOKUP(D128,[31]일용직명단!$A$3:$K$1220,9,FALSE()))</f>
        <v>0</v>
      </c>
      <c r="G129" s="405"/>
      <c r="H129" s="406"/>
      <c r="I129" s="405"/>
      <c r="J129" s="136"/>
      <c r="K129" s="407"/>
      <c r="L129" s="136"/>
      <c r="M129" s="408"/>
      <c r="N129" s="408"/>
      <c r="O129" s="114"/>
      <c r="P129" s="409"/>
      <c r="Q129" s="114"/>
      <c r="R129" s="114"/>
      <c r="S129" s="408"/>
      <c r="T129" s="408"/>
      <c r="U129" s="408"/>
      <c r="V129" s="410"/>
      <c r="W129" s="144"/>
      <c r="X129" s="138" t="n">
        <f aca="false">X128*W128</f>
        <v>0</v>
      </c>
      <c r="Y129" s="123" t="n">
        <f aca="false">IF(AI128&lt;1000,0,AI128)</f>
        <v>0</v>
      </c>
      <c r="Z129" s="123" t="n">
        <f aca="false">ROUNDDOWN(Y129*10%,-1)</f>
        <v>0</v>
      </c>
      <c r="AA129" s="123" t="n">
        <f aca="false">IF(AF128&gt;=8,ROUNDDOWN(Z128*$R$4,-1),0)</f>
        <v>0</v>
      </c>
      <c r="AB129" s="145"/>
      <c r="AC129" s="146"/>
      <c r="AD129" s="412" t="n">
        <f aca="false">IF(ISERROR(VLOOKUP(D128,[31]일용직명단!$A$3:$I$1200,7,FALSE())),0,VLOOKUP(D128,[31]일용직명단!$A$3:$I$1200,7,FALSE()))</f>
        <v>0</v>
      </c>
      <c r="AE129" s="412"/>
      <c r="AF129" s="141"/>
      <c r="AG129" s="169"/>
      <c r="AH129" s="169"/>
      <c r="AI129" s="130"/>
      <c r="AJ129" s="130" t="n">
        <f aca="false">IF($X128*G129&gt;150000,($X128*G129-150000)*6%*45%,0)</f>
        <v>0</v>
      </c>
      <c r="AK129" s="130" t="n">
        <f aca="false">IF($X128*H129&gt;150000,($X128*H129-150000)*6%*45%,0)</f>
        <v>0</v>
      </c>
      <c r="AL129" s="130" t="n">
        <f aca="false">IF($X128*I129&gt;150000,($X128*I129-150000)*6%*45%,0)</f>
        <v>0</v>
      </c>
      <c r="AM129" s="130" t="n">
        <f aca="false">IF($X128*J129&gt;150000,($X128*J129-150000)*6%*45%,0)</f>
        <v>0</v>
      </c>
      <c r="AN129" s="130" t="n">
        <f aca="false">IF($X128*K129&gt;150000,($X128*K129-150000)*6%*45%,0)</f>
        <v>0</v>
      </c>
      <c r="AO129" s="130" t="n">
        <f aca="false">IF($X128*L129&gt;150000,($X128*L129-150000)*6%*45%,0)</f>
        <v>0</v>
      </c>
      <c r="AP129" s="130" t="n">
        <f aca="false">IF($X128*M129&gt;150000,($X128*M129-150000)*6%*45%,0)</f>
        <v>0</v>
      </c>
      <c r="AQ129" s="130" t="n">
        <f aca="false">IF($X128*N129&gt;150000,($X128*N129-150000)*6%*45%,0)</f>
        <v>0</v>
      </c>
      <c r="AR129" s="130" t="n">
        <f aca="false">IF($X128*O129&gt;150000,($X128*O129-150000)*6%*45%,0)</f>
        <v>0</v>
      </c>
      <c r="AS129" s="130" t="n">
        <f aca="false">IF($X128*P129&gt;150000,($X128*P129-150000)*6%*45%,0)</f>
        <v>0</v>
      </c>
      <c r="AT129" s="130" t="n">
        <f aca="false">IF($X128*Q129&gt;150000,($X128*Q129-150000)*6%*45%,0)</f>
        <v>0</v>
      </c>
      <c r="AU129" s="130" t="n">
        <f aca="false">IF($X128*R129&gt;150000,($X128*R129-150000)*6%*45%,0)</f>
        <v>0</v>
      </c>
      <c r="AV129" s="130" t="n">
        <f aca="false">IF($X128*S129&gt;150000,($X128*S129-150000)*6%*45%,0)</f>
        <v>0</v>
      </c>
      <c r="AW129" s="130" t="n">
        <f aca="false">IF($X128*T129&gt;150000,($X128*T129-150000)*6%*45%,0)</f>
        <v>0</v>
      </c>
      <c r="AX129" s="130" t="n">
        <f aca="false">IF($X128*U129&gt;150000,($X128*U129-150000)*6%*45%,0)</f>
        <v>0</v>
      </c>
      <c r="AY129" s="130" t="n">
        <f aca="false">IF($X128*V129&gt;150000,($X128*V129-150000)*6%*45%,0)</f>
        <v>0</v>
      </c>
      <c r="AZ129" s="131"/>
      <c r="BA129" s="11"/>
      <c r="BC129" s="358"/>
      <c r="BD129" s="358"/>
      <c r="BE129" s="358"/>
      <c r="BF129" s="358"/>
      <c r="BG129" s="358"/>
      <c r="BH129" s="358"/>
      <c r="BI129" s="358"/>
      <c r="BJ129" s="358"/>
      <c r="BK129" s="358"/>
      <c r="BL129" s="358"/>
      <c r="BM129" s="358"/>
      <c r="BN129" s="358"/>
      <c r="BO129" s="358"/>
      <c r="BP129" s="358"/>
      <c r="BQ129" s="358"/>
      <c r="BR129" s="358"/>
      <c r="BS129" s="358"/>
      <c r="BT129" s="358"/>
      <c r="BU129" s="358"/>
      <c r="BV129" s="358"/>
      <c r="BW129" s="358"/>
      <c r="BX129" s="358"/>
      <c r="BY129" s="358"/>
      <c r="BZ129" s="358"/>
      <c r="CA129" s="358"/>
      <c r="CB129" s="358"/>
      <c r="CC129" s="358"/>
      <c r="CD129" s="358"/>
      <c r="CE129" s="358"/>
      <c r="CF129" s="358"/>
      <c r="CG129" s="358"/>
      <c r="CH129" s="358"/>
      <c r="CI129" s="358"/>
      <c r="CJ129" s="358"/>
      <c r="CK129" s="358"/>
      <c r="CL129" s="358"/>
      <c r="CM129" s="358"/>
      <c r="CN129" s="358"/>
      <c r="CO129" s="358"/>
      <c r="CP129" s="358"/>
      <c r="CQ129" s="358"/>
      <c r="CR129" s="358"/>
      <c r="CS129" s="358"/>
      <c r="CT129" s="358"/>
      <c r="CU129" s="358"/>
      <c r="CV129" s="358"/>
      <c r="CW129" s="358"/>
      <c r="CX129" s="358"/>
      <c r="CY129" s="358"/>
      <c r="CZ129" s="358"/>
      <c r="DA129" s="358"/>
      <c r="DB129" s="358"/>
      <c r="DC129" s="358"/>
      <c r="DD129" s="358"/>
      <c r="DE129" s="358"/>
      <c r="DF129" s="358"/>
      <c r="DG129" s="358"/>
      <c r="DH129" s="358"/>
      <c r="DI129" s="358"/>
      <c r="DJ129" s="358"/>
      <c r="DK129" s="358"/>
      <c r="DL129" s="358"/>
      <c r="DM129" s="358"/>
      <c r="DN129" s="358"/>
      <c r="DO129" s="358"/>
      <c r="DP129" s="358"/>
      <c r="DQ129" s="358"/>
      <c r="DR129" s="358"/>
      <c r="DS129" s="358"/>
      <c r="DT129" s="358"/>
      <c r="DU129" s="358"/>
      <c r="DV129" s="358"/>
      <c r="DW129" s="358"/>
      <c r="DX129" s="358"/>
      <c r="DY129" s="358"/>
      <c r="DZ129" s="358"/>
      <c r="EA129" s="358"/>
      <c r="EB129" s="358"/>
      <c r="EC129" s="358"/>
      <c r="ED129" s="358"/>
      <c r="EE129" s="358"/>
      <c r="EF129" s="358"/>
      <c r="EG129" s="358"/>
      <c r="EH129" s="358"/>
      <c r="EI129" s="358"/>
      <c r="EJ129" s="358"/>
      <c r="EK129" s="358"/>
      <c r="EL129" s="358"/>
      <c r="EM129" s="358"/>
      <c r="EN129" s="358"/>
      <c r="EO129" s="358"/>
      <c r="EP129" s="358"/>
      <c r="EQ129" s="358"/>
      <c r="ER129" s="358"/>
      <c r="ES129" s="358"/>
      <c r="ET129" s="358"/>
      <c r="EU129" s="358"/>
      <c r="EV129" s="358"/>
      <c r="EW129" s="358"/>
      <c r="EX129" s="358"/>
      <c r="EY129" s="358"/>
      <c r="EZ129" s="358"/>
      <c r="FA129" s="358"/>
      <c r="FB129" s="358"/>
      <c r="FC129" s="358"/>
      <c r="FD129" s="358"/>
      <c r="FE129" s="358"/>
      <c r="FF129" s="358"/>
      <c r="FG129" s="358"/>
      <c r="FH129" s="358"/>
      <c r="FI129" s="358"/>
      <c r="FJ129" s="358"/>
      <c r="FK129" s="358"/>
      <c r="FL129" s="358"/>
      <c r="FM129" s="358"/>
      <c r="FN129" s="358"/>
      <c r="FO129" s="358"/>
      <c r="FP129" s="358"/>
      <c r="FQ129" s="358"/>
      <c r="FR129" s="358"/>
      <c r="FS129" s="358"/>
      <c r="FT129" s="358"/>
      <c r="FU129" s="358"/>
      <c r="FV129" s="358"/>
      <c r="FW129" s="358"/>
      <c r="FX129" s="358"/>
      <c r="FY129" s="358"/>
      <c r="FZ129" s="358"/>
      <c r="GA129" s="358"/>
      <c r="GB129" s="358"/>
      <c r="GC129" s="358"/>
      <c r="GD129" s="358"/>
      <c r="GE129" s="358"/>
      <c r="GF129" s="358"/>
      <c r="GG129" s="358"/>
      <c r="GH129" s="358"/>
      <c r="GI129" s="358"/>
      <c r="GJ129" s="358"/>
      <c r="GK129" s="358"/>
      <c r="GL129" s="358"/>
      <c r="GM129" s="358"/>
      <c r="GN129" s="358"/>
      <c r="GO129" s="358"/>
      <c r="GP129" s="358"/>
      <c r="GQ129" s="358"/>
      <c r="GR129" s="358"/>
      <c r="GS129" s="358"/>
      <c r="GT129" s="358"/>
      <c r="GU129" s="358"/>
      <c r="GV129" s="358"/>
      <c r="GW129" s="358"/>
      <c r="GX129" s="358"/>
      <c r="GY129" s="358"/>
      <c r="GZ129" s="358"/>
      <c r="HA129" s="358"/>
      <c r="HB129" s="358"/>
      <c r="HC129" s="358"/>
      <c r="HD129" s="358"/>
      <c r="HE129" s="358"/>
      <c r="HF129" s="358"/>
      <c r="HG129" s="358"/>
      <c r="HH129" s="358"/>
      <c r="HI129" s="358"/>
      <c r="HJ129" s="358"/>
      <c r="HK129" s="358"/>
      <c r="HL129" s="358"/>
      <c r="HM129" s="358"/>
      <c r="HN129" s="358"/>
      <c r="HO129" s="358"/>
      <c r="HP129" s="358"/>
      <c r="HQ129" s="358"/>
      <c r="HR129" s="358"/>
      <c r="HS129" s="358"/>
      <c r="HT129" s="358"/>
      <c r="HU129" s="358"/>
      <c r="HV129" s="358"/>
      <c r="HW129" s="358"/>
      <c r="HX129" s="358"/>
      <c r="HY129" s="358"/>
      <c r="HZ129" s="358"/>
      <c r="IA129" s="358"/>
      <c r="IB129" s="358"/>
      <c r="IC129" s="358"/>
      <c r="ID129" s="358"/>
      <c r="IE129" s="358"/>
      <c r="IF129" s="358"/>
      <c r="IG129" s="358"/>
      <c r="IH129" s="358"/>
      <c r="II129" s="358"/>
      <c r="IJ129" s="358"/>
      <c r="IK129" s="358"/>
      <c r="IL129" s="358"/>
      <c r="IM129" s="358"/>
      <c r="IN129" s="358"/>
      <c r="IO129" s="358"/>
      <c r="IP129" s="358"/>
      <c r="IQ129" s="358"/>
    </row>
    <row r="130" customFormat="false" ht="13.5" hidden="true" customHeight="true" outlineLevel="0" collapsed="false">
      <c r="A130" s="108" t="n">
        <f aca="false">A128+1</f>
        <v>9</v>
      </c>
      <c r="B130" s="404"/>
      <c r="C130" s="403" t="n">
        <f aca="false">IF(ISERROR(VLOOKUP(D130,[31]일용직명단!$A$3:$I$105,2,FALSE())),0,VLOOKUP(D130,[31]일용직명단!$A$3:$I$105,2,FALSE()))</f>
        <v>0</v>
      </c>
      <c r="D130" s="110"/>
      <c r="E130" s="311" t="n">
        <f aca="false">IF(ISERROR(VLOOKUP(D130,[31]일용직명단!$A$3:$K$1220,3,FALSE())),0,VLOOKUP(D130,[31]일용직명단!$A$3:$K$1220,3,FALSE()))</f>
        <v>0</v>
      </c>
      <c r="F130" s="140" t="n">
        <f aca="false">IF(ISERROR(VLOOKUP(D130,[31]일용직명단!$A$3:$K$1220,4,FALSE())),0,VLOOKUP(D130,[31]일용직명단!$A$3:$K$1220,4,FALSE()))</f>
        <v>0</v>
      </c>
      <c r="G130" s="408"/>
      <c r="H130" s="114"/>
      <c r="I130" s="409"/>
      <c r="J130" s="409"/>
      <c r="K130" s="408"/>
      <c r="L130" s="409"/>
      <c r="M130" s="408"/>
      <c r="N130" s="408"/>
      <c r="O130" s="114"/>
      <c r="P130" s="114"/>
      <c r="Q130" s="408"/>
      <c r="R130" s="114"/>
      <c r="S130" s="409"/>
      <c r="T130" s="114"/>
      <c r="U130" s="409"/>
      <c r="V130" s="119"/>
      <c r="W130" s="144" t="n">
        <f aca="false">SUM(G130:V131)</f>
        <v>0</v>
      </c>
      <c r="X130" s="121" t="n">
        <f aca="false">IF(ISERROR(VLOOKUP(D130,[31]일용직명단!$A$3:$K$1220,8,FALSE())),0,VLOOKUP(D130,[31]일용직명단!$A$3:$K$1220,8,FALSE()))</f>
        <v>0</v>
      </c>
      <c r="Y130" s="123" t="n">
        <f aca="false">IFERROR(IF(AH130&gt;=65,0,ROUNDDOWN(X131*$AA$4,-1)),0)</f>
        <v>0</v>
      </c>
      <c r="Z130" s="123" t="n">
        <f aca="false">IF(AF130&gt;=8,ROUNDDOWN(X131*$N$4,-1),0)</f>
        <v>0</v>
      </c>
      <c r="AA130" s="123" t="n">
        <f aca="false">IFERROR(IF(AND(COUNT(G130:V131)&gt;=8,$AH130&lt;60,X131&lt;=5530000),ROUNDDOWN(ROUNDDOWN(X131,-3)*4.5%,-1),IF(AND(COUNT(G130:V131)&gt;=8,AH130&lt;60,X131&gt;5530000),248850,0)),0)</f>
        <v>0</v>
      </c>
      <c r="AB130" s="145" t="n">
        <f aca="false">+Y130+Z130+Y131+Z131+AA130+AA131</f>
        <v>0</v>
      </c>
      <c r="AC130" s="146" t="n">
        <f aca="false">X131-AB130</f>
        <v>0</v>
      </c>
      <c r="AD130" s="411" t="n">
        <f aca="false">IF(ISERROR(VLOOKUP(D130,[31]일용직명단!$A$3:$I$1200,5,FALSE())),0,VLOOKUP(D130,[31]일용직명단!$A$3:$I$1200,5,FALSE()))</f>
        <v>0</v>
      </c>
      <c r="AE130" s="412" t="n">
        <f aca="false">IF(ISERROR(VLOOKUP(D130,[31]일용직명단!$A$3:$I$1200,6,FALSE())),0,VLOOKUP(D130,[31]일용직명단!$A$3:$I$1200,6,FALSE()))</f>
        <v>0</v>
      </c>
      <c r="AF130" s="149" t="n">
        <f aca="false">COUNT(G130:V131)</f>
        <v>0</v>
      </c>
      <c r="AG130" s="129" t="str">
        <f aca="false">IF(OR(MID(E130,8,1)="1",MID(E130,8,1)="2"),19&amp;LEFT(E130,2),20&amp;LEFT(E130,2))&amp;"-"&amp;MID(E130,3,2)&amp;"-"&amp;MID(E130,5,2)</f>
        <v>200--</v>
      </c>
      <c r="AH130" s="129" t="e">
        <f aca="true">INT((TODAY()-AG130)/365.25)</f>
        <v>#VALUE!</v>
      </c>
      <c r="AI130" s="130" t="n">
        <f aca="false">ROUNDDOWN(SUM(AJ130:AY131),-1)</f>
        <v>0</v>
      </c>
      <c r="AJ130" s="130" t="n">
        <f aca="false">IF($X130*G130&gt;150000,($X130*G130-150000)*6%*45%,0)</f>
        <v>0</v>
      </c>
      <c r="AK130" s="130" t="n">
        <f aca="false">IF($X130*H130&gt;150000,($X130*H130-150000)*6%*45%,0)</f>
        <v>0</v>
      </c>
      <c r="AL130" s="130" t="n">
        <f aca="false">IF($X130*I130&gt;150000,($X130*I130-150000)*6%*45%,0)</f>
        <v>0</v>
      </c>
      <c r="AM130" s="130" t="n">
        <f aca="false">IF($X130*J130&gt;150000,($X130*J130-150000)*6%*45%,0)</f>
        <v>0</v>
      </c>
      <c r="AN130" s="130" t="n">
        <f aca="false">IF($X130*K130&gt;150000,($X130*K130-150000)*6%*45%,0)</f>
        <v>0</v>
      </c>
      <c r="AO130" s="130" t="n">
        <f aca="false">IF($X130*L130&gt;150000,($X130*L130-150000)*6%*45%,0)</f>
        <v>0</v>
      </c>
      <c r="AP130" s="130" t="n">
        <f aca="false">IF($X130*M130&gt;150000,($X130*M130-150000)*6%*45%,0)</f>
        <v>0</v>
      </c>
      <c r="AQ130" s="130" t="n">
        <f aca="false">IF($X130*N130&gt;150000,($X130*N130-150000)*6%*45%,0)</f>
        <v>0</v>
      </c>
      <c r="AR130" s="130" t="n">
        <f aca="false">IF($X130*O130&gt;150000,($X130*O130-150000)*6%*45%,0)</f>
        <v>0</v>
      </c>
      <c r="AS130" s="130" t="n">
        <f aca="false">IF($X130*P130&gt;150000,($X130*P130-150000)*6%*45%,0)</f>
        <v>0</v>
      </c>
      <c r="AT130" s="130" t="n">
        <f aca="false">IF($X130*Q130&gt;150000,($X130*Q130-150000)*6%*45%,0)</f>
        <v>0</v>
      </c>
      <c r="AU130" s="130" t="n">
        <f aca="false">IF($X130*R130&gt;150000,($X130*R130-150000)*6%*45%,0)</f>
        <v>0</v>
      </c>
      <c r="AV130" s="130" t="n">
        <f aca="false">IF($X130*S130&gt;150000,($X130*S130-150000)*6%*45%,0)</f>
        <v>0</v>
      </c>
      <c r="AW130" s="130" t="n">
        <f aca="false">IF($X130*T130&gt;150000,($X130*T130-150000)*6%*45%,0)</f>
        <v>0</v>
      </c>
      <c r="AX130" s="130" t="n">
        <f aca="false">IF($X130*U130&gt;150000,($X130*U130-150000)*6%*45%,0)</f>
        <v>0</v>
      </c>
      <c r="AY130" s="130"/>
      <c r="AZ130" s="131" t="n">
        <f aca="false">IF(ISERROR(VLOOKUP(D130,[32]일용직명단!$A$3:$M$1151,11,FALSE())),0,VLOOKUP(D130,[32]일용직명단!$A$3:$M$1151,11,FALSE()))</f>
        <v>0</v>
      </c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/>
      <c r="GF130" s="11"/>
      <c r="GG130" s="11"/>
      <c r="GH130" s="11"/>
      <c r="GI130" s="11"/>
      <c r="GJ130" s="11"/>
      <c r="GK130" s="11"/>
      <c r="GL130" s="11"/>
      <c r="GM130" s="11"/>
      <c r="GN130" s="11"/>
      <c r="GO130" s="11"/>
      <c r="GP130" s="11"/>
      <c r="GQ130" s="11"/>
      <c r="GR130" s="11"/>
      <c r="GS130" s="11"/>
      <c r="GT130" s="11"/>
      <c r="GU130" s="11"/>
      <c r="GV130" s="11"/>
      <c r="GW130" s="11"/>
      <c r="GX130" s="11"/>
      <c r="GY130" s="11"/>
      <c r="GZ130" s="11"/>
      <c r="HA130" s="11"/>
      <c r="HB130" s="11"/>
      <c r="HC130" s="11"/>
      <c r="HD130" s="11"/>
      <c r="HE130" s="11"/>
      <c r="HF130" s="11"/>
      <c r="HG130" s="11"/>
      <c r="HH130" s="11"/>
      <c r="HI130" s="11"/>
      <c r="HJ130" s="11"/>
      <c r="HK130" s="11"/>
      <c r="HL130" s="11"/>
      <c r="HM130" s="11"/>
      <c r="HN130" s="11"/>
      <c r="HO130" s="11"/>
      <c r="HP130" s="11"/>
      <c r="HQ130" s="11"/>
      <c r="HR130" s="11"/>
      <c r="HS130" s="11"/>
      <c r="HT130" s="11"/>
      <c r="HU130" s="11"/>
      <c r="HV130" s="11"/>
      <c r="HW130" s="11"/>
      <c r="HX130" s="11"/>
      <c r="HY130" s="11"/>
      <c r="HZ130" s="11"/>
      <c r="IA130" s="11"/>
      <c r="IB130" s="11"/>
      <c r="IC130" s="11"/>
      <c r="ID130" s="11"/>
      <c r="IE130" s="11"/>
      <c r="IF130" s="11"/>
      <c r="IG130" s="11"/>
      <c r="IH130" s="11"/>
      <c r="II130" s="11"/>
      <c r="IJ130" s="11"/>
      <c r="IK130" s="11"/>
      <c r="IL130" s="11"/>
      <c r="IM130" s="11"/>
      <c r="IN130" s="11"/>
      <c r="IO130" s="11"/>
      <c r="IP130" s="11"/>
      <c r="IQ130" s="11"/>
      <c r="IR130" s="11"/>
      <c r="IS130" s="11"/>
      <c r="IT130" s="11"/>
      <c r="IU130" s="11"/>
      <c r="IV130" s="11"/>
      <c r="IW130" s="11"/>
    </row>
    <row r="131" customFormat="false" ht="13.5" hidden="true" customHeight="true" outlineLevel="0" collapsed="false">
      <c r="A131" s="108"/>
      <c r="B131" s="404"/>
      <c r="C131" s="403"/>
      <c r="D131" s="110"/>
      <c r="E131" s="311"/>
      <c r="F131" s="140" t="n">
        <f aca="false">IF(ISERROR(VLOOKUP(D130,[31]일용직명단!$A$3:$K$1220,9,FALSE())),0,VLOOKUP(D130,[31]일용직명단!$A$3:$K$1220,9,FALSE()))</f>
        <v>0</v>
      </c>
      <c r="G131" s="405"/>
      <c r="H131" s="406"/>
      <c r="I131" s="405"/>
      <c r="J131" s="136"/>
      <c r="K131" s="407"/>
      <c r="L131" s="136"/>
      <c r="M131" s="408"/>
      <c r="N131" s="408"/>
      <c r="O131" s="114"/>
      <c r="P131" s="409"/>
      <c r="Q131" s="114"/>
      <c r="R131" s="114"/>
      <c r="S131" s="408"/>
      <c r="T131" s="408"/>
      <c r="U131" s="408"/>
      <c r="V131" s="410"/>
      <c r="W131" s="144"/>
      <c r="X131" s="138" t="n">
        <f aca="false">X130*W130</f>
        <v>0</v>
      </c>
      <c r="Y131" s="123" t="n">
        <f aca="false">IF(AI130&lt;1000,0,AI130)</f>
        <v>0</v>
      </c>
      <c r="Z131" s="123" t="n">
        <f aca="false">ROUNDDOWN(Y131*10%,-1)</f>
        <v>0</v>
      </c>
      <c r="AA131" s="123" t="n">
        <f aca="false">IF(AF130&gt;=8,ROUNDDOWN(Z130*$R$4,-1),0)</f>
        <v>0</v>
      </c>
      <c r="AB131" s="145"/>
      <c r="AC131" s="146"/>
      <c r="AD131" s="412" t="n">
        <f aca="false">IF(ISERROR(VLOOKUP(D130,[31]일용직명단!$A$3:$I$1200,7,FALSE())),0,VLOOKUP(D130,[31]일용직명단!$A$3:$I$1200,7,FALSE()))</f>
        <v>0</v>
      </c>
      <c r="AE131" s="412"/>
      <c r="AF131" s="149"/>
      <c r="AG131" s="129"/>
      <c r="AH131" s="129"/>
      <c r="AI131" s="130"/>
      <c r="AJ131" s="130" t="n">
        <f aca="false">IF($X130*G131&gt;150000,($X130*G131-150000)*6%*45%,0)</f>
        <v>0</v>
      </c>
      <c r="AK131" s="130" t="n">
        <f aca="false">IF($X130*H131&gt;150000,($X130*H131-150000)*6%*45%,0)</f>
        <v>0</v>
      </c>
      <c r="AL131" s="130" t="n">
        <f aca="false">IF($X130*I131&gt;150000,($X130*I131-150000)*6%*45%,0)</f>
        <v>0</v>
      </c>
      <c r="AM131" s="130" t="n">
        <f aca="false">IF($X130*J131&gt;150000,($X130*J131-150000)*6%*45%,0)</f>
        <v>0</v>
      </c>
      <c r="AN131" s="130" t="n">
        <f aca="false">IF($X130*K131&gt;150000,($X130*K131-150000)*6%*45%,0)</f>
        <v>0</v>
      </c>
      <c r="AO131" s="130" t="n">
        <f aca="false">IF($X130*L131&gt;150000,($X130*L131-150000)*6%*45%,0)</f>
        <v>0</v>
      </c>
      <c r="AP131" s="130" t="n">
        <f aca="false">IF($X130*M131&gt;150000,($X130*M131-150000)*6%*45%,0)</f>
        <v>0</v>
      </c>
      <c r="AQ131" s="130" t="n">
        <f aca="false">IF($X130*N131&gt;150000,($X130*N131-150000)*6%*45%,0)</f>
        <v>0</v>
      </c>
      <c r="AR131" s="130" t="n">
        <f aca="false">IF($X130*O131&gt;150000,($X130*O131-150000)*6%*45%,0)</f>
        <v>0</v>
      </c>
      <c r="AS131" s="130" t="n">
        <f aca="false">IF($X130*P131&gt;150000,($X130*P131-150000)*6%*45%,0)</f>
        <v>0</v>
      </c>
      <c r="AT131" s="130" t="n">
        <f aca="false">IF($X130*Q131&gt;150000,($X130*Q131-150000)*6%*45%,0)</f>
        <v>0</v>
      </c>
      <c r="AU131" s="130" t="n">
        <f aca="false">IF($X130*R131&gt;150000,($X130*R131-150000)*6%*45%,0)</f>
        <v>0</v>
      </c>
      <c r="AV131" s="130" t="n">
        <f aca="false">IF($X130*S131&gt;150000,($X130*S131-150000)*6%*45%,0)</f>
        <v>0</v>
      </c>
      <c r="AW131" s="130" t="n">
        <f aca="false">IF($X130*T131&gt;150000,($X130*T131-150000)*6%*45%,0)</f>
        <v>0</v>
      </c>
      <c r="AX131" s="130" t="n">
        <f aca="false">IF($X130*U131&gt;150000,($X130*U131-150000)*6%*45%,0)</f>
        <v>0</v>
      </c>
      <c r="AY131" s="130" t="n">
        <f aca="false">IF($X130*V131&gt;150000,($X130*V131-150000)*6%*45%,0)</f>
        <v>0</v>
      </c>
      <c r="AZ131" s="13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11"/>
      <c r="GG131" s="11"/>
      <c r="GH131" s="11"/>
      <c r="GI131" s="11"/>
      <c r="GJ131" s="11"/>
      <c r="GK131" s="11"/>
      <c r="GL131" s="11"/>
      <c r="GM131" s="11"/>
      <c r="GN131" s="11"/>
      <c r="GO131" s="11"/>
      <c r="GP131" s="11"/>
      <c r="GQ131" s="11"/>
      <c r="GR131" s="11"/>
      <c r="GS131" s="11"/>
      <c r="GT131" s="11"/>
      <c r="GU131" s="11"/>
      <c r="GV131" s="11"/>
      <c r="GW131" s="11"/>
      <c r="GX131" s="11"/>
      <c r="GY131" s="11"/>
      <c r="GZ131" s="11"/>
      <c r="HA131" s="11"/>
      <c r="HB131" s="11"/>
      <c r="HC131" s="11"/>
      <c r="HD131" s="11"/>
      <c r="HE131" s="11"/>
      <c r="HF131" s="11"/>
      <c r="HG131" s="11"/>
      <c r="HH131" s="11"/>
      <c r="HI131" s="11"/>
      <c r="HJ131" s="11"/>
      <c r="HK131" s="11"/>
      <c r="HL131" s="11"/>
      <c r="HM131" s="11"/>
      <c r="HN131" s="11"/>
      <c r="HO131" s="11"/>
      <c r="HP131" s="11"/>
      <c r="HQ131" s="11"/>
      <c r="HR131" s="11"/>
      <c r="HS131" s="11"/>
      <c r="HT131" s="11"/>
      <c r="HU131" s="11"/>
      <c r="HV131" s="11"/>
      <c r="HW131" s="11"/>
      <c r="HX131" s="11"/>
      <c r="HY131" s="11"/>
      <c r="HZ131" s="11"/>
      <c r="IA131" s="11"/>
      <c r="IB131" s="11"/>
      <c r="IC131" s="11"/>
      <c r="ID131" s="11"/>
      <c r="IE131" s="11"/>
      <c r="IF131" s="11"/>
      <c r="IG131" s="11"/>
      <c r="IH131" s="11"/>
      <c r="II131" s="11"/>
      <c r="IJ131" s="11"/>
      <c r="IK131" s="11"/>
      <c r="IL131" s="11"/>
      <c r="IM131" s="11"/>
      <c r="IN131" s="11"/>
      <c r="IO131" s="11"/>
      <c r="IP131" s="11"/>
      <c r="IQ131" s="11"/>
      <c r="IR131" s="11"/>
      <c r="IS131" s="11"/>
      <c r="IT131" s="11"/>
      <c r="IU131" s="11"/>
      <c r="IV131" s="11"/>
      <c r="IW131" s="11"/>
    </row>
    <row r="132" customFormat="false" ht="13.5" hidden="true" customHeight="true" outlineLevel="0" collapsed="false">
      <c r="A132" s="108" t="n">
        <f aca="false">A130+1</f>
        <v>10</v>
      </c>
      <c r="B132" s="404"/>
      <c r="C132" s="403" t="n">
        <f aca="false">IF(ISERROR(VLOOKUP(D132,[31]일용직명단!$A$3:$I$105,2,FALSE())),0,VLOOKUP(D132,[31]일용직명단!$A$3:$I$105,2,FALSE()))</f>
        <v>0</v>
      </c>
      <c r="D132" s="110"/>
      <c r="E132" s="311" t="n">
        <f aca="false">IF(ISERROR(VLOOKUP(D132,[31]일용직명단!$A$3:$K$1220,3,FALSE())),0,VLOOKUP(D132,[31]일용직명단!$A$3:$K$1220,3,FALSE()))</f>
        <v>0</v>
      </c>
      <c r="F132" s="164" t="n">
        <f aca="false">IF(ISERROR(VLOOKUP(D132,[31]일용직명단!$A$3:$K$1220,4,FALSE())),0,VLOOKUP(D132,[31]일용직명단!$A$3:$K$1220,4,FALSE()))</f>
        <v>0</v>
      </c>
      <c r="G132" s="408"/>
      <c r="H132" s="114"/>
      <c r="I132" s="409"/>
      <c r="J132" s="409"/>
      <c r="K132" s="408"/>
      <c r="L132" s="409"/>
      <c r="M132" s="408"/>
      <c r="N132" s="408"/>
      <c r="O132" s="114"/>
      <c r="P132" s="114"/>
      <c r="Q132" s="408"/>
      <c r="R132" s="114"/>
      <c r="S132" s="409"/>
      <c r="T132" s="114"/>
      <c r="U132" s="409"/>
      <c r="V132" s="119"/>
      <c r="W132" s="144" t="n">
        <f aca="false">SUM(G132:V133)</f>
        <v>0</v>
      </c>
      <c r="X132" s="121" t="n">
        <f aca="false">IF(ISERROR(VLOOKUP(D132,[31]일용직명단!$A$3:$K$1220,8,FALSE())),0,VLOOKUP(D132,[31]일용직명단!$A$3:$K$1220,8,FALSE()))</f>
        <v>0</v>
      </c>
      <c r="Y132" s="123" t="n">
        <f aca="false">IFERROR(IF(AH132&gt;=65,0,ROUNDDOWN(X133*$AA$4,-1)),0)</f>
        <v>0</v>
      </c>
      <c r="Z132" s="123" t="n">
        <f aca="false">IF(AF132&gt;=8,ROUNDDOWN(X133*$N$4,-1),0)</f>
        <v>0</v>
      </c>
      <c r="AA132" s="123" t="n">
        <f aca="false">IFERROR(IF(AND(COUNT(G132:V133)&gt;=8,$AH132&lt;60,X133&lt;=5530000),ROUNDDOWN(ROUNDDOWN(X133,-3)*4.5%,-1),IF(AND(COUNT(G132:V133)&gt;=8,AH132&lt;60,X133&gt;5530000),248850,0)),0)</f>
        <v>0</v>
      </c>
      <c r="AB132" s="145" t="n">
        <f aca="false">+Y132+Z132+Y133+Z133+AA132+AA133</f>
        <v>0</v>
      </c>
      <c r="AC132" s="146" t="n">
        <f aca="false">X133-AB132</f>
        <v>0</v>
      </c>
      <c r="AD132" s="413" t="n">
        <f aca="false">IF(ISERROR(VLOOKUP(D132,[31]일용직명단!$A$3:$I$1200,5,FALSE())),0,VLOOKUP(D132,[31]일용직명단!$A$3:$I$1200,5,FALSE()))</f>
        <v>0</v>
      </c>
      <c r="AE132" s="414" t="n">
        <f aca="false">IF(ISERROR(VLOOKUP(D132,[31]일용직명단!$A$3:$I$1200,6,FALSE())),0,VLOOKUP(D132,[31]일용직명단!$A$3:$I$1200,6,FALSE()))</f>
        <v>0</v>
      </c>
      <c r="AF132" s="128" t="n">
        <f aca="false">COUNT(G132:V133)</f>
        <v>0</v>
      </c>
      <c r="AG132" s="129" t="str">
        <f aca="false">IF(OR(MID(E132,8,1)="1",MID(E132,8,1)="2"),19&amp;LEFT(E132,2),20&amp;LEFT(E132,2))&amp;"-"&amp;MID(E132,3,2)&amp;"-"&amp;MID(E132,5,2)</f>
        <v>200--</v>
      </c>
      <c r="AH132" s="129" t="e">
        <f aca="true">INT((TODAY()-AG132)/365.25)</f>
        <v>#VALUE!</v>
      </c>
      <c r="AI132" s="130" t="n">
        <f aca="false">ROUNDDOWN(SUM(AJ132:AY133),-1)</f>
        <v>0</v>
      </c>
      <c r="AJ132" s="130" t="n">
        <f aca="false">IF($X132*G132&gt;150000,($X132*G132-150000)*6%*45%,0)</f>
        <v>0</v>
      </c>
      <c r="AK132" s="130" t="n">
        <f aca="false">IF($X132*H132&gt;150000,($X132*H132-150000)*6%*45%,0)</f>
        <v>0</v>
      </c>
      <c r="AL132" s="130" t="n">
        <f aca="false">IF($X132*I132&gt;150000,($X132*I132-150000)*6%*45%,0)</f>
        <v>0</v>
      </c>
      <c r="AM132" s="130" t="n">
        <f aca="false">IF($X132*J132&gt;150000,($X132*J132-150000)*6%*45%,0)</f>
        <v>0</v>
      </c>
      <c r="AN132" s="130" t="n">
        <f aca="false">IF($X132*K132&gt;150000,($X132*K132-150000)*6%*45%,0)</f>
        <v>0</v>
      </c>
      <c r="AO132" s="130" t="n">
        <f aca="false">IF($X132*L132&gt;150000,($X132*L132-150000)*6%*45%,0)</f>
        <v>0</v>
      </c>
      <c r="AP132" s="130" t="n">
        <f aca="false">IF($X132*M132&gt;150000,($X132*M132-150000)*6%*45%,0)</f>
        <v>0</v>
      </c>
      <c r="AQ132" s="130" t="n">
        <f aca="false">IF($X132*N132&gt;150000,($X132*N132-150000)*6%*45%,0)</f>
        <v>0</v>
      </c>
      <c r="AR132" s="130" t="n">
        <f aca="false">IF($X132*O132&gt;150000,($X132*O132-150000)*6%*45%,0)</f>
        <v>0</v>
      </c>
      <c r="AS132" s="130" t="n">
        <f aca="false">IF($X132*P132&gt;150000,($X132*P132-150000)*6%*45%,0)</f>
        <v>0</v>
      </c>
      <c r="AT132" s="130" t="n">
        <f aca="false">IF($X132*Q132&gt;150000,($X132*Q132-150000)*6%*45%,0)</f>
        <v>0</v>
      </c>
      <c r="AU132" s="130" t="n">
        <f aca="false">IF($X132*R132&gt;150000,($X132*R132-150000)*6%*45%,0)</f>
        <v>0</v>
      </c>
      <c r="AV132" s="130" t="n">
        <f aca="false">IF($X132*S132&gt;150000,($X132*S132-150000)*6%*45%,0)</f>
        <v>0</v>
      </c>
      <c r="AW132" s="130" t="n">
        <f aca="false">IF($X132*T132&gt;150000,($X132*T132-150000)*6%*45%,0)</f>
        <v>0</v>
      </c>
      <c r="AX132" s="130" t="n">
        <f aca="false">IF($X132*U132&gt;150000,($X132*U132-150000)*6%*45%,0)</f>
        <v>0</v>
      </c>
      <c r="AY132" s="130"/>
      <c r="AZ132" s="131" t="n">
        <f aca="false">IF(ISERROR(VLOOKUP(D132,[32]일용직명단!$A$3:$M$1151,11,FALSE())),0,VLOOKUP(D132,[32]일용직명단!$A$3:$M$1151,11,FALSE()))</f>
        <v>0</v>
      </c>
      <c r="BA132" s="11"/>
      <c r="BB132" s="167"/>
      <c r="BC132" s="167"/>
      <c r="BD132" s="167"/>
      <c r="BE132" s="167"/>
      <c r="BF132" s="167"/>
      <c r="BG132" s="167"/>
      <c r="BH132" s="167"/>
      <c r="BI132" s="167"/>
      <c r="BJ132" s="167"/>
      <c r="BK132" s="167"/>
      <c r="BL132" s="167"/>
      <c r="BM132" s="167"/>
      <c r="BN132" s="167"/>
      <c r="BO132" s="167"/>
      <c r="BP132" s="167"/>
      <c r="BQ132" s="167"/>
      <c r="BR132" s="167"/>
      <c r="BS132" s="167"/>
      <c r="BT132" s="167"/>
      <c r="BU132" s="167"/>
      <c r="BV132" s="167"/>
      <c r="BW132" s="167"/>
      <c r="BX132" s="167"/>
      <c r="BY132" s="167"/>
      <c r="BZ132" s="167"/>
      <c r="CA132" s="167"/>
      <c r="CB132" s="167"/>
      <c r="CC132" s="167"/>
      <c r="CD132" s="167"/>
      <c r="CE132" s="167"/>
      <c r="CF132" s="167"/>
      <c r="CG132" s="167"/>
      <c r="CH132" s="167"/>
      <c r="CI132" s="167"/>
      <c r="CJ132" s="167"/>
      <c r="CK132" s="167"/>
      <c r="CL132" s="167"/>
      <c r="CM132" s="167"/>
      <c r="CN132" s="167"/>
      <c r="CO132" s="167"/>
      <c r="CP132" s="167"/>
      <c r="CQ132" s="167"/>
      <c r="CR132" s="167"/>
      <c r="CS132" s="167"/>
      <c r="CT132" s="167"/>
      <c r="CU132" s="167"/>
      <c r="CV132" s="167"/>
      <c r="CW132" s="167"/>
      <c r="CX132" s="167"/>
      <c r="CY132" s="167"/>
      <c r="CZ132" s="167"/>
      <c r="DA132" s="167"/>
      <c r="DB132" s="167"/>
      <c r="DC132" s="167"/>
      <c r="DD132" s="167"/>
      <c r="DE132" s="167"/>
      <c r="DF132" s="167"/>
      <c r="DG132" s="167"/>
      <c r="DH132" s="167"/>
      <c r="DI132" s="167"/>
      <c r="DJ132" s="167"/>
      <c r="DK132" s="167"/>
      <c r="DL132" s="167"/>
      <c r="DM132" s="167"/>
      <c r="DN132" s="167"/>
      <c r="DO132" s="167"/>
      <c r="DP132" s="167"/>
      <c r="DQ132" s="167"/>
      <c r="DR132" s="167"/>
      <c r="DS132" s="167"/>
      <c r="DT132" s="167"/>
      <c r="DU132" s="167"/>
      <c r="DV132" s="167"/>
      <c r="DW132" s="167"/>
      <c r="DX132" s="167"/>
      <c r="DY132" s="167"/>
      <c r="DZ132" s="167"/>
      <c r="EA132" s="167"/>
      <c r="EB132" s="167"/>
      <c r="EC132" s="167"/>
      <c r="ED132" s="167"/>
      <c r="EE132" s="167"/>
      <c r="EF132" s="167"/>
      <c r="EG132" s="167"/>
      <c r="EH132" s="167"/>
      <c r="EI132" s="167"/>
      <c r="EJ132" s="167"/>
      <c r="EK132" s="167"/>
      <c r="EL132" s="167"/>
      <c r="EM132" s="167"/>
      <c r="EN132" s="167"/>
      <c r="EO132" s="167"/>
      <c r="EP132" s="167"/>
      <c r="EQ132" s="167"/>
      <c r="ER132" s="167"/>
      <c r="ES132" s="167"/>
      <c r="ET132" s="167"/>
      <c r="EU132" s="167"/>
      <c r="EV132" s="167"/>
      <c r="EW132" s="167"/>
      <c r="EX132" s="167"/>
      <c r="EY132" s="167"/>
      <c r="EZ132" s="167"/>
      <c r="FA132" s="167"/>
      <c r="FB132" s="167"/>
      <c r="FC132" s="167"/>
      <c r="FD132" s="167"/>
      <c r="FE132" s="167"/>
      <c r="FF132" s="167"/>
      <c r="FG132" s="167"/>
      <c r="FH132" s="167"/>
      <c r="FI132" s="167"/>
      <c r="FJ132" s="167"/>
      <c r="FK132" s="167"/>
      <c r="FL132" s="167"/>
      <c r="FM132" s="167"/>
      <c r="FN132" s="167"/>
      <c r="FO132" s="167"/>
      <c r="FP132" s="167"/>
      <c r="FQ132" s="167"/>
      <c r="FR132" s="167"/>
      <c r="FS132" s="167"/>
      <c r="FT132" s="167"/>
      <c r="FU132" s="167"/>
      <c r="FV132" s="167"/>
      <c r="FW132" s="167"/>
      <c r="FX132" s="167"/>
      <c r="FY132" s="167"/>
      <c r="FZ132" s="167"/>
      <c r="GA132" s="167"/>
      <c r="GB132" s="167"/>
      <c r="GC132" s="167"/>
      <c r="GD132" s="167"/>
      <c r="GE132" s="167"/>
      <c r="GF132" s="167"/>
      <c r="GG132" s="167"/>
      <c r="GH132" s="167"/>
      <c r="GI132" s="167"/>
      <c r="GJ132" s="167"/>
      <c r="GK132" s="167"/>
      <c r="GL132" s="167"/>
      <c r="GM132" s="167"/>
      <c r="GN132" s="167"/>
      <c r="GO132" s="167"/>
      <c r="GP132" s="167"/>
      <c r="GQ132" s="167"/>
      <c r="GR132" s="167"/>
      <c r="GS132" s="167"/>
      <c r="GT132" s="167"/>
      <c r="GU132" s="167"/>
      <c r="GV132" s="167"/>
      <c r="GW132" s="167"/>
      <c r="GX132" s="167"/>
      <c r="GY132" s="167"/>
      <c r="GZ132" s="167"/>
      <c r="HA132" s="167"/>
      <c r="HB132" s="167"/>
      <c r="HC132" s="167"/>
      <c r="HD132" s="167"/>
      <c r="HE132" s="167"/>
      <c r="HF132" s="167"/>
      <c r="HG132" s="167"/>
      <c r="HH132" s="167"/>
      <c r="HI132" s="167"/>
      <c r="HJ132" s="167"/>
      <c r="HK132" s="167"/>
      <c r="HL132" s="167"/>
      <c r="HM132" s="167"/>
      <c r="HN132" s="167"/>
      <c r="HO132" s="167"/>
      <c r="HP132" s="167"/>
      <c r="HQ132" s="167"/>
      <c r="HR132" s="167"/>
      <c r="HS132" s="167"/>
      <c r="HT132" s="167"/>
      <c r="HU132" s="167"/>
      <c r="HV132" s="167"/>
      <c r="HW132" s="167"/>
      <c r="HX132" s="167"/>
      <c r="HY132" s="167"/>
      <c r="HZ132" s="167"/>
      <c r="IA132" s="167"/>
      <c r="IB132" s="167"/>
      <c r="IC132" s="167"/>
      <c r="ID132" s="167"/>
      <c r="IE132" s="167"/>
      <c r="IF132" s="167"/>
      <c r="IG132" s="167"/>
      <c r="IH132" s="167"/>
      <c r="II132" s="167"/>
      <c r="IJ132" s="167"/>
      <c r="IK132" s="167"/>
      <c r="IL132" s="167"/>
      <c r="IM132" s="167"/>
      <c r="IN132" s="167"/>
      <c r="IO132" s="167"/>
      <c r="IP132" s="167"/>
      <c r="IQ132" s="167"/>
      <c r="IR132" s="167"/>
      <c r="IS132" s="167"/>
      <c r="IT132" s="167"/>
      <c r="IU132" s="167"/>
      <c r="IV132" s="167"/>
      <c r="IW132" s="167"/>
    </row>
    <row r="133" customFormat="false" ht="13.5" hidden="true" customHeight="true" outlineLevel="0" collapsed="false">
      <c r="A133" s="108"/>
      <c r="B133" s="404"/>
      <c r="C133" s="403"/>
      <c r="D133" s="110"/>
      <c r="E133" s="311"/>
      <c r="F133" s="164" t="n">
        <f aca="false">IF(ISERROR(VLOOKUP(D132,[31]일용직명단!$A$3:$K$1220,9,FALSE())),0,VLOOKUP(D132,[31]일용직명단!$A$3:$K$1220,9,FALSE()))</f>
        <v>0</v>
      </c>
      <c r="G133" s="405"/>
      <c r="H133" s="406"/>
      <c r="I133" s="405"/>
      <c r="J133" s="136"/>
      <c r="K133" s="407"/>
      <c r="L133" s="136"/>
      <c r="M133" s="408"/>
      <c r="N133" s="408"/>
      <c r="O133" s="114"/>
      <c r="P133" s="409"/>
      <c r="Q133" s="114"/>
      <c r="R133" s="114"/>
      <c r="S133" s="408"/>
      <c r="T133" s="408"/>
      <c r="U133" s="408"/>
      <c r="V133" s="119"/>
      <c r="W133" s="144"/>
      <c r="X133" s="138" t="n">
        <f aca="false">X132*W132</f>
        <v>0</v>
      </c>
      <c r="Y133" s="123" t="n">
        <f aca="false">IF(AI132&lt;1000,0,AI132)</f>
        <v>0</v>
      </c>
      <c r="Z133" s="123" t="n">
        <f aca="false">ROUNDDOWN(Y133*10%,-1)</f>
        <v>0</v>
      </c>
      <c r="AA133" s="123" t="n">
        <f aca="false">IF(AF132&gt;=8,ROUNDDOWN(Z132*$R$4,-1),0)</f>
        <v>0</v>
      </c>
      <c r="AB133" s="145"/>
      <c r="AC133" s="146"/>
      <c r="AD133" s="414" t="n">
        <f aca="false">IF(ISERROR(VLOOKUP(D132,[31]일용직명단!$A$3:$I$1200,7,FALSE())),0,VLOOKUP(D132,[31]일용직명단!$A$3:$I$1200,7,FALSE()))</f>
        <v>0</v>
      </c>
      <c r="AE133" s="414"/>
      <c r="AF133" s="128"/>
      <c r="AG133" s="129"/>
      <c r="AH133" s="129"/>
      <c r="AI133" s="130"/>
      <c r="AJ133" s="130" t="n">
        <f aca="false">IF($X132*G133&gt;150000,($X132*G133-150000)*6%*45%,0)</f>
        <v>0</v>
      </c>
      <c r="AK133" s="130" t="n">
        <f aca="false">IF($X132*H133&gt;150000,($X132*H133-150000)*6%*45%,0)</f>
        <v>0</v>
      </c>
      <c r="AL133" s="130" t="n">
        <f aca="false">IF($X132*I133&gt;150000,($X132*I133-150000)*6%*45%,0)</f>
        <v>0</v>
      </c>
      <c r="AM133" s="130" t="n">
        <f aca="false">IF($X132*J133&gt;150000,($X132*J133-150000)*6%*45%,0)</f>
        <v>0</v>
      </c>
      <c r="AN133" s="130" t="n">
        <f aca="false">IF($X132*K133&gt;150000,($X132*K133-150000)*6%*45%,0)</f>
        <v>0</v>
      </c>
      <c r="AO133" s="130" t="n">
        <f aca="false">IF($X132*L133&gt;150000,($X132*L133-150000)*6%*45%,0)</f>
        <v>0</v>
      </c>
      <c r="AP133" s="130" t="n">
        <f aca="false">IF($X132*M133&gt;150000,($X132*M133-150000)*6%*45%,0)</f>
        <v>0</v>
      </c>
      <c r="AQ133" s="130" t="n">
        <f aca="false">IF($X132*N133&gt;150000,($X132*N133-150000)*6%*45%,0)</f>
        <v>0</v>
      </c>
      <c r="AR133" s="130" t="n">
        <f aca="false">IF($X132*O133&gt;150000,($X132*O133-150000)*6%*45%,0)</f>
        <v>0</v>
      </c>
      <c r="AS133" s="130" t="n">
        <f aca="false">IF($X132*P133&gt;150000,($X132*P133-150000)*6%*45%,0)</f>
        <v>0</v>
      </c>
      <c r="AT133" s="130" t="n">
        <f aca="false">IF($X132*Q133&gt;150000,($X132*Q133-150000)*6%*45%,0)</f>
        <v>0</v>
      </c>
      <c r="AU133" s="130" t="n">
        <f aca="false">IF($X132*R133&gt;150000,($X132*R133-150000)*6%*45%,0)</f>
        <v>0</v>
      </c>
      <c r="AV133" s="130" t="n">
        <f aca="false">IF($X132*S133&gt;150000,($X132*S133-150000)*6%*45%,0)</f>
        <v>0</v>
      </c>
      <c r="AW133" s="130" t="n">
        <f aca="false">IF($X132*T133&gt;150000,($X132*T133-150000)*6%*45%,0)</f>
        <v>0</v>
      </c>
      <c r="AX133" s="130" t="n">
        <f aca="false">IF($X132*U133&gt;150000,($X132*U133-150000)*6%*45%,0)</f>
        <v>0</v>
      </c>
      <c r="AY133" s="130" t="n">
        <f aca="false">IF($X132*V133&gt;150000,($X132*V133-150000)*6%*45%,0)</f>
        <v>0</v>
      </c>
      <c r="AZ133" s="131"/>
      <c r="BA133" s="11"/>
      <c r="BB133" s="167"/>
      <c r="BC133" s="167"/>
      <c r="BD133" s="167"/>
      <c r="BE133" s="167"/>
      <c r="BF133" s="167"/>
      <c r="BG133" s="167"/>
      <c r="BH133" s="167"/>
      <c r="BI133" s="167"/>
      <c r="BJ133" s="167"/>
      <c r="BK133" s="167"/>
      <c r="BL133" s="167"/>
      <c r="BM133" s="167"/>
      <c r="BN133" s="167"/>
      <c r="BO133" s="167"/>
      <c r="BP133" s="167"/>
      <c r="BQ133" s="167"/>
      <c r="BR133" s="167"/>
      <c r="BS133" s="167"/>
      <c r="BT133" s="167"/>
      <c r="BU133" s="167"/>
      <c r="BV133" s="167"/>
      <c r="BW133" s="167"/>
      <c r="BX133" s="167"/>
      <c r="BY133" s="167"/>
      <c r="BZ133" s="167"/>
      <c r="CA133" s="167"/>
      <c r="CB133" s="167"/>
      <c r="CC133" s="167"/>
      <c r="CD133" s="167"/>
      <c r="CE133" s="167"/>
      <c r="CF133" s="167"/>
      <c r="CG133" s="167"/>
      <c r="CH133" s="167"/>
      <c r="CI133" s="167"/>
      <c r="CJ133" s="167"/>
      <c r="CK133" s="167"/>
      <c r="CL133" s="167"/>
      <c r="CM133" s="167"/>
      <c r="CN133" s="167"/>
      <c r="CO133" s="167"/>
      <c r="CP133" s="167"/>
      <c r="CQ133" s="167"/>
      <c r="CR133" s="167"/>
      <c r="CS133" s="167"/>
      <c r="CT133" s="167"/>
      <c r="CU133" s="167"/>
      <c r="CV133" s="167"/>
      <c r="CW133" s="167"/>
      <c r="CX133" s="167"/>
      <c r="CY133" s="167"/>
      <c r="CZ133" s="167"/>
      <c r="DA133" s="167"/>
      <c r="DB133" s="167"/>
      <c r="DC133" s="167"/>
      <c r="DD133" s="167"/>
      <c r="DE133" s="167"/>
      <c r="DF133" s="167"/>
      <c r="DG133" s="167"/>
      <c r="DH133" s="167"/>
      <c r="DI133" s="167"/>
      <c r="DJ133" s="167"/>
      <c r="DK133" s="167"/>
      <c r="DL133" s="167"/>
      <c r="DM133" s="167"/>
      <c r="DN133" s="167"/>
      <c r="DO133" s="167"/>
      <c r="DP133" s="167"/>
      <c r="DQ133" s="167"/>
      <c r="DR133" s="167"/>
      <c r="DS133" s="167"/>
      <c r="DT133" s="167"/>
      <c r="DU133" s="167"/>
      <c r="DV133" s="167"/>
      <c r="DW133" s="167"/>
      <c r="DX133" s="167"/>
      <c r="DY133" s="167"/>
      <c r="DZ133" s="167"/>
      <c r="EA133" s="167"/>
      <c r="EB133" s="167"/>
      <c r="EC133" s="167"/>
      <c r="ED133" s="167"/>
      <c r="EE133" s="167"/>
      <c r="EF133" s="167"/>
      <c r="EG133" s="167"/>
      <c r="EH133" s="167"/>
      <c r="EI133" s="167"/>
      <c r="EJ133" s="167"/>
      <c r="EK133" s="167"/>
      <c r="EL133" s="167"/>
      <c r="EM133" s="167"/>
      <c r="EN133" s="167"/>
      <c r="EO133" s="167"/>
      <c r="EP133" s="167"/>
      <c r="EQ133" s="167"/>
      <c r="ER133" s="167"/>
      <c r="ES133" s="167"/>
      <c r="ET133" s="167"/>
      <c r="EU133" s="167"/>
      <c r="EV133" s="167"/>
      <c r="EW133" s="167"/>
      <c r="EX133" s="167"/>
      <c r="EY133" s="167"/>
      <c r="EZ133" s="167"/>
      <c r="FA133" s="167"/>
      <c r="FB133" s="167"/>
      <c r="FC133" s="167"/>
      <c r="FD133" s="167"/>
      <c r="FE133" s="167"/>
      <c r="FF133" s="167"/>
      <c r="FG133" s="167"/>
      <c r="FH133" s="167"/>
      <c r="FI133" s="167"/>
      <c r="FJ133" s="167"/>
      <c r="FK133" s="167"/>
      <c r="FL133" s="167"/>
      <c r="FM133" s="167"/>
      <c r="FN133" s="167"/>
      <c r="FO133" s="167"/>
      <c r="FP133" s="167"/>
      <c r="FQ133" s="167"/>
      <c r="FR133" s="167"/>
      <c r="FS133" s="167"/>
      <c r="FT133" s="167"/>
      <c r="FU133" s="167"/>
      <c r="FV133" s="167"/>
      <c r="FW133" s="167"/>
      <c r="FX133" s="167"/>
      <c r="FY133" s="167"/>
      <c r="FZ133" s="167"/>
      <c r="GA133" s="167"/>
      <c r="GB133" s="167"/>
      <c r="GC133" s="167"/>
      <c r="GD133" s="167"/>
      <c r="GE133" s="167"/>
      <c r="GF133" s="167"/>
      <c r="GG133" s="167"/>
      <c r="GH133" s="167"/>
      <c r="GI133" s="167"/>
      <c r="GJ133" s="167"/>
      <c r="GK133" s="167"/>
      <c r="GL133" s="167"/>
      <c r="GM133" s="167"/>
      <c r="GN133" s="167"/>
      <c r="GO133" s="167"/>
      <c r="GP133" s="167"/>
      <c r="GQ133" s="167"/>
      <c r="GR133" s="167"/>
      <c r="GS133" s="167"/>
      <c r="GT133" s="167"/>
      <c r="GU133" s="167"/>
      <c r="GV133" s="167"/>
      <c r="GW133" s="167"/>
      <c r="GX133" s="167"/>
      <c r="GY133" s="167"/>
      <c r="GZ133" s="167"/>
      <c r="HA133" s="167"/>
      <c r="HB133" s="167"/>
      <c r="HC133" s="167"/>
      <c r="HD133" s="167"/>
      <c r="HE133" s="167"/>
      <c r="HF133" s="167"/>
      <c r="HG133" s="167"/>
      <c r="HH133" s="167"/>
      <c r="HI133" s="167"/>
      <c r="HJ133" s="167"/>
      <c r="HK133" s="167"/>
      <c r="HL133" s="167"/>
      <c r="HM133" s="167"/>
      <c r="HN133" s="167"/>
      <c r="HO133" s="167"/>
      <c r="HP133" s="167"/>
      <c r="HQ133" s="167"/>
      <c r="HR133" s="167"/>
      <c r="HS133" s="167"/>
      <c r="HT133" s="167"/>
      <c r="HU133" s="167"/>
      <c r="HV133" s="167"/>
      <c r="HW133" s="167"/>
      <c r="HX133" s="167"/>
      <c r="HY133" s="167"/>
      <c r="HZ133" s="167"/>
      <c r="IA133" s="167"/>
      <c r="IB133" s="167"/>
      <c r="IC133" s="167"/>
      <c r="ID133" s="167"/>
      <c r="IE133" s="167"/>
      <c r="IF133" s="167"/>
      <c r="IG133" s="167"/>
      <c r="IH133" s="167"/>
      <c r="II133" s="167"/>
      <c r="IJ133" s="167"/>
      <c r="IK133" s="167"/>
      <c r="IL133" s="167"/>
      <c r="IM133" s="167"/>
      <c r="IN133" s="167"/>
      <c r="IO133" s="167"/>
      <c r="IP133" s="167"/>
      <c r="IQ133" s="167"/>
      <c r="IR133" s="167"/>
      <c r="IS133" s="167"/>
      <c r="IT133" s="167"/>
      <c r="IU133" s="167"/>
      <c r="IV133" s="167"/>
      <c r="IW133" s="167"/>
    </row>
    <row r="134" customFormat="false" ht="13.5" hidden="true" customHeight="true" outlineLevel="0" collapsed="false">
      <c r="A134" s="108" t="n">
        <f aca="false">A132+1</f>
        <v>11</v>
      </c>
      <c r="B134" s="404"/>
      <c r="C134" s="159" t="n">
        <f aca="false">IF(ISERROR(VLOOKUP(D134,[31]일용직명단!$A$3:$I$105,2,FALSE())),0,VLOOKUP(D134,[31]일용직명단!$A$3:$I$105,2,FALSE()))</f>
        <v>0</v>
      </c>
      <c r="D134" s="110"/>
      <c r="E134" s="311" t="n">
        <f aca="false">IF(ISERROR(VLOOKUP(D134,[31]일용직명단!$A$3:$K$1220,3,FALSE())),0,VLOOKUP(D134,[31]일용직명단!$A$3:$K$1220,3,FALSE()))</f>
        <v>0</v>
      </c>
      <c r="F134" s="164" t="n">
        <f aca="false">IF(ISERROR(VLOOKUP(D134,[31]일용직명단!$A$3:$K$1220,4,FALSE())),0,VLOOKUP(D134,[31]일용직명단!$A$3:$K$1220,4,FALSE()))</f>
        <v>0</v>
      </c>
      <c r="G134" s="408"/>
      <c r="H134" s="114"/>
      <c r="I134" s="409"/>
      <c r="J134" s="409"/>
      <c r="K134" s="408"/>
      <c r="L134" s="409"/>
      <c r="M134" s="408"/>
      <c r="N134" s="408"/>
      <c r="O134" s="114"/>
      <c r="P134" s="114"/>
      <c r="Q134" s="408"/>
      <c r="R134" s="114"/>
      <c r="S134" s="409"/>
      <c r="T134" s="114"/>
      <c r="U134" s="409"/>
      <c r="V134" s="119"/>
      <c r="W134" s="144" t="n">
        <f aca="false">SUM(G134:V135)</f>
        <v>0</v>
      </c>
      <c r="X134" s="121" t="n">
        <f aca="false">IF(ISERROR(VLOOKUP(D134,[31]일용직명단!$A$3:$K$1220,8,FALSE())),0,VLOOKUP(D134,[31]일용직명단!$A$3:$K$1220,8,FALSE()))</f>
        <v>0</v>
      </c>
      <c r="Y134" s="123" t="n">
        <f aca="false">IFERROR(IF(AH134&gt;=65,0,ROUNDDOWN(X135*$AA$4,-1)),0)</f>
        <v>0</v>
      </c>
      <c r="Z134" s="123" t="n">
        <f aca="false">IF(AF134&gt;=8,ROUNDDOWN(X135*$N$4,-1),0)</f>
        <v>0</v>
      </c>
      <c r="AA134" s="123" t="n">
        <f aca="false">IFERROR(IF(AND(COUNT(G134:V135)&gt;=8,$AH134&lt;60,X135&lt;=5530000),ROUNDDOWN(ROUNDDOWN(X135,-3)*4.5%,-1),IF(AND(COUNT(G134:V135)&gt;=8,AH134&lt;60,X135&gt;5530000),248850,0)),0)</f>
        <v>0</v>
      </c>
      <c r="AB134" s="145" t="n">
        <f aca="false">+Y134+Z134+Y135+Z135+AA134+AA135</f>
        <v>0</v>
      </c>
      <c r="AC134" s="146" t="n">
        <f aca="false">X135-AB134</f>
        <v>0</v>
      </c>
      <c r="AD134" s="411" t="n">
        <f aca="false">IF(ISERROR(VLOOKUP(D134,[31]일용직명단!$A$3:$I$1200,5,FALSE())),0,VLOOKUP(D134,[31]일용직명단!$A$3:$I$1200,5,FALSE()))</f>
        <v>0</v>
      </c>
      <c r="AE134" s="412" t="n">
        <f aca="false">IF(ISERROR(VLOOKUP(D134,[31]일용직명단!$A$3:$I$1200,6,FALSE())),0,VLOOKUP(D134,[31]일용직명단!$A$3:$I$1200,6,FALSE()))</f>
        <v>0</v>
      </c>
      <c r="AF134" s="150" t="n">
        <f aca="false">COUNT(G134:V135)</f>
        <v>0</v>
      </c>
      <c r="AG134" s="129" t="str">
        <f aca="false">IF(OR(MID(E134,8,1)="1",MID(E134,8,1)="2"),19&amp;LEFT(E134,2),20&amp;LEFT(E134,2))&amp;"-"&amp;MID(E134,3,2)&amp;"-"&amp;MID(E134,5,2)</f>
        <v>200--</v>
      </c>
      <c r="AH134" s="129" t="e">
        <f aca="true">INT((TODAY()-AG134)/365.25)</f>
        <v>#VALUE!</v>
      </c>
      <c r="AI134" s="130" t="n">
        <f aca="false">ROUNDDOWN(SUM(AJ134:AY135),-1)</f>
        <v>0</v>
      </c>
      <c r="AJ134" s="130" t="n">
        <f aca="false">IF($X134*G134&gt;150000,($X134*G134-150000)*6%*45%,0)</f>
        <v>0</v>
      </c>
      <c r="AK134" s="130" t="n">
        <f aca="false">IF($X134*H134&gt;150000,($X134*H134-150000)*6%*45%,0)</f>
        <v>0</v>
      </c>
      <c r="AL134" s="130" t="n">
        <f aca="false">IF($X134*I134&gt;150000,($X134*I134-150000)*6%*45%,0)</f>
        <v>0</v>
      </c>
      <c r="AM134" s="130" t="n">
        <f aca="false">IF($X134*J134&gt;150000,($X134*J134-150000)*6%*45%,0)</f>
        <v>0</v>
      </c>
      <c r="AN134" s="130" t="n">
        <f aca="false">IF($X134*K134&gt;150000,($X134*K134-150000)*6%*45%,0)</f>
        <v>0</v>
      </c>
      <c r="AO134" s="130" t="n">
        <f aca="false">IF($X134*L134&gt;150000,($X134*L134-150000)*6%*45%,0)</f>
        <v>0</v>
      </c>
      <c r="AP134" s="130" t="n">
        <f aca="false">IF($X134*M134&gt;150000,($X134*M134-150000)*6%*45%,0)</f>
        <v>0</v>
      </c>
      <c r="AQ134" s="130" t="n">
        <f aca="false">IF($X134*N134&gt;150000,($X134*N134-150000)*6%*45%,0)</f>
        <v>0</v>
      </c>
      <c r="AR134" s="130" t="n">
        <f aca="false">IF($X134*O134&gt;150000,($X134*O134-150000)*6%*45%,0)</f>
        <v>0</v>
      </c>
      <c r="AS134" s="130" t="n">
        <f aca="false">IF($X134*P134&gt;150000,($X134*P134-150000)*6%*45%,0)</f>
        <v>0</v>
      </c>
      <c r="AT134" s="130" t="n">
        <f aca="false">IF($X134*Q134&gt;150000,($X134*Q134-150000)*6%*45%,0)</f>
        <v>0</v>
      </c>
      <c r="AU134" s="130" t="n">
        <f aca="false">IF($X134*R134&gt;150000,($X134*R134-150000)*6%*45%,0)</f>
        <v>0</v>
      </c>
      <c r="AV134" s="130" t="n">
        <f aca="false">IF($X134*S134&gt;150000,($X134*S134-150000)*6%*45%,0)</f>
        <v>0</v>
      </c>
      <c r="AW134" s="130" t="n">
        <f aca="false">IF($X134*T134&gt;150000,($X134*T134-150000)*6%*45%,0)</f>
        <v>0</v>
      </c>
      <c r="AX134" s="130" t="n">
        <f aca="false">IF($X134*U134&gt;150000,($X134*U134-150000)*6%*45%,0)</f>
        <v>0</v>
      </c>
      <c r="AY134" s="130"/>
      <c r="AZ134" s="151" t="n">
        <f aca="false">IF(ISERROR(VLOOKUP(D134,[32]일용직명단!$A$3:$M$1151,11,FALSE())),0,VLOOKUP(D134,[32]일용직명단!$A$3:$M$1151,11,FALSE()))</f>
        <v>0</v>
      </c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  <c r="GM134" s="11"/>
      <c r="GN134" s="11"/>
      <c r="GO134" s="11"/>
      <c r="GP134" s="11"/>
      <c r="GQ134" s="11"/>
      <c r="GR134" s="11"/>
      <c r="GS134" s="11"/>
      <c r="GT134" s="11"/>
      <c r="GU134" s="11"/>
      <c r="GV134" s="11"/>
      <c r="GW134" s="11"/>
      <c r="GX134" s="11"/>
      <c r="GY134" s="11"/>
      <c r="GZ134" s="11"/>
      <c r="HA134" s="11"/>
      <c r="HB134" s="11"/>
      <c r="HC134" s="11"/>
      <c r="HD134" s="11"/>
      <c r="HE134" s="11"/>
      <c r="HF134" s="11"/>
      <c r="HG134" s="11"/>
      <c r="HH134" s="11"/>
      <c r="HI134" s="11"/>
      <c r="HJ134" s="11"/>
      <c r="HK134" s="11"/>
      <c r="HL134" s="11"/>
      <c r="HM134" s="11"/>
      <c r="HN134" s="11"/>
      <c r="HO134" s="11"/>
      <c r="HP134" s="11"/>
      <c r="HQ134" s="11"/>
      <c r="HR134" s="11"/>
      <c r="HS134" s="11"/>
      <c r="HT134" s="11"/>
      <c r="HU134" s="11"/>
      <c r="HV134" s="11"/>
      <c r="HW134" s="11"/>
      <c r="HX134" s="11"/>
      <c r="HY134" s="11"/>
      <c r="HZ134" s="11"/>
      <c r="IA134" s="11"/>
      <c r="IB134" s="11"/>
      <c r="IC134" s="11"/>
      <c r="ID134" s="11"/>
      <c r="IE134" s="11"/>
      <c r="IF134" s="11"/>
      <c r="IG134" s="11"/>
      <c r="IH134" s="11"/>
      <c r="II134" s="11"/>
      <c r="IJ134" s="11"/>
      <c r="IK134" s="11"/>
      <c r="IL134" s="11"/>
      <c r="IM134" s="11"/>
      <c r="IN134" s="11"/>
      <c r="IO134" s="11"/>
      <c r="IP134" s="11"/>
      <c r="IQ134" s="11"/>
      <c r="IR134" s="11"/>
      <c r="IS134" s="11"/>
      <c r="IT134" s="11"/>
      <c r="IU134" s="11"/>
      <c r="IV134" s="11"/>
      <c r="IW134" s="11"/>
    </row>
    <row r="135" customFormat="false" ht="12.75" hidden="true" customHeight="true" outlineLevel="0" collapsed="false">
      <c r="A135" s="108"/>
      <c r="B135" s="404"/>
      <c r="C135" s="159"/>
      <c r="D135" s="110"/>
      <c r="E135" s="311"/>
      <c r="F135" s="164" t="n">
        <f aca="false">IF(ISERROR(VLOOKUP(D134,[31]일용직명단!$A$3:$K$1220,9,FALSE())),0,VLOOKUP(D134,[31]일용직명단!$A$3:$K$1220,9,FALSE()))</f>
        <v>0</v>
      </c>
      <c r="G135" s="405"/>
      <c r="H135" s="406"/>
      <c r="I135" s="405"/>
      <c r="J135" s="136"/>
      <c r="K135" s="407"/>
      <c r="L135" s="136"/>
      <c r="M135" s="408"/>
      <c r="N135" s="408"/>
      <c r="O135" s="114"/>
      <c r="P135" s="409"/>
      <c r="Q135" s="114"/>
      <c r="R135" s="114"/>
      <c r="S135" s="408"/>
      <c r="T135" s="408"/>
      <c r="U135" s="408"/>
      <c r="V135" s="119"/>
      <c r="W135" s="144"/>
      <c r="X135" s="138" t="n">
        <f aca="false">X134*W134</f>
        <v>0</v>
      </c>
      <c r="Y135" s="123" t="n">
        <f aca="false">IF(AI134&lt;1000,0,AI134)</f>
        <v>0</v>
      </c>
      <c r="Z135" s="123" t="n">
        <f aca="false">ROUNDDOWN(Y135*10%,-1)</f>
        <v>0</v>
      </c>
      <c r="AA135" s="123" t="n">
        <f aca="false">IF(AF134&gt;=8,ROUNDDOWN(Z134*$R$4,-1),0)</f>
        <v>0</v>
      </c>
      <c r="AB135" s="145"/>
      <c r="AC135" s="146"/>
      <c r="AD135" s="412" t="n">
        <f aca="false">IF(ISERROR(VLOOKUP(D134,[31]일용직명단!$A$3:$I$1200,7,FALSE())),0,VLOOKUP(D134,[31]일용직명단!$A$3:$I$1200,7,FALSE()))</f>
        <v>0</v>
      </c>
      <c r="AE135" s="412"/>
      <c r="AF135" s="155"/>
      <c r="AG135" s="129"/>
      <c r="AH135" s="129"/>
      <c r="AI135" s="130"/>
      <c r="AJ135" s="130" t="n">
        <f aca="false">IF($X134*G135&gt;150000,($X134*G135-150000)*6%*45%,0)</f>
        <v>0</v>
      </c>
      <c r="AK135" s="130" t="n">
        <f aca="false">IF($X134*H135&gt;150000,($X134*H135-150000)*6%*45%,0)</f>
        <v>0</v>
      </c>
      <c r="AL135" s="130" t="n">
        <f aca="false">IF($X134*I135&gt;150000,($X134*I135-150000)*6%*45%,0)</f>
        <v>0</v>
      </c>
      <c r="AM135" s="130" t="n">
        <f aca="false">IF($X134*J135&gt;150000,($X134*J135-150000)*6%*45%,0)</f>
        <v>0</v>
      </c>
      <c r="AN135" s="130" t="n">
        <f aca="false">IF($X134*K135&gt;150000,($X134*K135-150000)*6%*45%,0)</f>
        <v>0</v>
      </c>
      <c r="AO135" s="130" t="n">
        <f aca="false">IF($X134*L135&gt;150000,($X134*L135-150000)*6%*45%,0)</f>
        <v>0</v>
      </c>
      <c r="AP135" s="130" t="n">
        <f aca="false">IF($X134*M135&gt;150000,($X134*M135-150000)*6%*45%,0)</f>
        <v>0</v>
      </c>
      <c r="AQ135" s="130" t="n">
        <f aca="false">IF($X134*N135&gt;150000,($X134*N135-150000)*6%*45%,0)</f>
        <v>0</v>
      </c>
      <c r="AR135" s="130" t="n">
        <f aca="false">IF($X134*O135&gt;150000,($X134*O135-150000)*6%*45%,0)</f>
        <v>0</v>
      </c>
      <c r="AS135" s="130" t="n">
        <f aca="false">IF($X134*P135&gt;150000,($X134*P135-150000)*6%*45%,0)</f>
        <v>0</v>
      </c>
      <c r="AT135" s="130" t="n">
        <f aca="false">IF($X134*Q135&gt;150000,($X134*Q135-150000)*6%*45%,0)</f>
        <v>0</v>
      </c>
      <c r="AU135" s="130" t="n">
        <f aca="false">IF($X134*R135&gt;150000,($X134*R135-150000)*6%*45%,0)</f>
        <v>0</v>
      </c>
      <c r="AV135" s="130" t="n">
        <f aca="false">IF($X134*S135&gt;150000,($X134*S135-150000)*6%*45%,0)</f>
        <v>0</v>
      </c>
      <c r="AW135" s="130" t="n">
        <f aca="false">IF($X134*T135&gt;150000,($X134*T135-150000)*6%*45%,0)</f>
        <v>0</v>
      </c>
      <c r="AX135" s="130" t="n">
        <f aca="false">IF($X134*U135&gt;150000,($X134*U135-150000)*6%*45%,0)</f>
        <v>0</v>
      </c>
      <c r="AY135" s="130" t="n">
        <f aca="false">IF($X134*V135&gt;150000,($X134*V135-150000)*6%*45%,0)</f>
        <v>0</v>
      </c>
      <c r="AZ135" s="15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1"/>
      <c r="FW135" s="11"/>
      <c r="FX135" s="11"/>
      <c r="FY135" s="11"/>
      <c r="FZ135" s="11"/>
      <c r="GA135" s="11"/>
      <c r="GB135" s="11"/>
      <c r="GC135" s="11"/>
      <c r="GD135" s="11"/>
      <c r="GE135" s="11"/>
      <c r="GF135" s="11"/>
      <c r="GG135" s="11"/>
      <c r="GH135" s="11"/>
      <c r="GI135" s="11"/>
      <c r="GJ135" s="11"/>
      <c r="GK135" s="11"/>
      <c r="GL135" s="11"/>
      <c r="GM135" s="11"/>
      <c r="GN135" s="11"/>
      <c r="GO135" s="11"/>
      <c r="GP135" s="11"/>
      <c r="GQ135" s="11"/>
      <c r="GR135" s="11"/>
      <c r="GS135" s="11"/>
      <c r="GT135" s="11"/>
      <c r="GU135" s="11"/>
      <c r="GV135" s="11"/>
      <c r="GW135" s="11"/>
      <c r="GX135" s="11"/>
      <c r="GY135" s="11"/>
      <c r="GZ135" s="11"/>
      <c r="HA135" s="11"/>
      <c r="HB135" s="11"/>
      <c r="HC135" s="11"/>
      <c r="HD135" s="11"/>
      <c r="HE135" s="11"/>
      <c r="HF135" s="11"/>
      <c r="HG135" s="11"/>
      <c r="HH135" s="11"/>
      <c r="HI135" s="11"/>
      <c r="HJ135" s="11"/>
      <c r="HK135" s="11"/>
      <c r="HL135" s="11"/>
      <c r="HM135" s="11"/>
      <c r="HN135" s="11"/>
      <c r="HO135" s="11"/>
      <c r="HP135" s="11"/>
      <c r="HQ135" s="11"/>
      <c r="HR135" s="11"/>
      <c r="HS135" s="11"/>
      <c r="HT135" s="11"/>
      <c r="HU135" s="11"/>
      <c r="HV135" s="11"/>
      <c r="HW135" s="11"/>
      <c r="HX135" s="11"/>
      <c r="HY135" s="11"/>
      <c r="HZ135" s="11"/>
      <c r="IA135" s="11"/>
      <c r="IB135" s="11"/>
      <c r="IC135" s="11"/>
      <c r="ID135" s="11"/>
      <c r="IE135" s="11"/>
      <c r="IF135" s="11"/>
      <c r="IG135" s="11"/>
      <c r="IH135" s="11"/>
      <c r="II135" s="11"/>
      <c r="IJ135" s="11"/>
      <c r="IK135" s="11"/>
      <c r="IL135" s="11"/>
      <c r="IM135" s="11"/>
      <c r="IN135" s="11"/>
      <c r="IO135" s="11"/>
      <c r="IP135" s="11"/>
      <c r="IQ135" s="11"/>
      <c r="IR135" s="11"/>
      <c r="IS135" s="11"/>
      <c r="IT135" s="11"/>
      <c r="IU135" s="11"/>
      <c r="IV135" s="11"/>
      <c r="IW135" s="11"/>
    </row>
    <row r="136" customFormat="false" ht="13.5" hidden="true" customHeight="true" outlineLevel="0" collapsed="false">
      <c r="A136" s="108" t="n">
        <f aca="false">A134+1</f>
        <v>12</v>
      </c>
      <c r="B136" s="404"/>
      <c r="C136" s="159"/>
      <c r="D136" s="394"/>
      <c r="E136" s="311" t="n">
        <f aca="false">IF(ISERROR(VLOOKUP(D136,[31]일용직명단!$A$3:$K$1220,3,FALSE())),0,VLOOKUP(D136,[31]일용직명단!$A$3:$K$1220,3,FALSE()))</f>
        <v>0</v>
      </c>
      <c r="F136" s="140" t="n">
        <f aca="false">IF(ISERROR(VLOOKUP(D136,[31]일용직명단!$A$3:$K$1220,4,FALSE())),0,VLOOKUP(D136,[31]일용직명단!$A$3:$K$1220,4,FALSE()))</f>
        <v>0</v>
      </c>
      <c r="G136" s="408"/>
      <c r="H136" s="114"/>
      <c r="I136" s="409"/>
      <c r="J136" s="409"/>
      <c r="K136" s="408"/>
      <c r="L136" s="409"/>
      <c r="M136" s="408"/>
      <c r="N136" s="408"/>
      <c r="O136" s="114"/>
      <c r="P136" s="114"/>
      <c r="Q136" s="408"/>
      <c r="R136" s="114"/>
      <c r="S136" s="409"/>
      <c r="T136" s="114"/>
      <c r="U136" s="409"/>
      <c r="V136" s="119"/>
      <c r="W136" s="144" t="n">
        <f aca="false">SUM(G136:V137)</f>
        <v>0</v>
      </c>
      <c r="X136" s="121" t="n">
        <f aca="false">IF(ISERROR(VLOOKUP(D136,[31]일용직명단!$A$3:$K$1220,8,FALSE())),0,VLOOKUP(D136,[31]일용직명단!$A$3:$K$1220,8,FALSE()))</f>
        <v>0</v>
      </c>
      <c r="Y136" s="156" t="n">
        <f aca="false">IFERROR(IF(AH136&gt;=65,0,ROUNDDOWN(X137*$AA$4,-1)),0)</f>
        <v>0</v>
      </c>
      <c r="Z136" s="156" t="n">
        <f aca="false">IF(AF136&gt;=8,ROUNDDOWN(X137*$N$4,-1),0)</f>
        <v>0</v>
      </c>
      <c r="AA136" s="156" t="n">
        <f aca="false">IFERROR(IF(AND(COUNT(G136:V137)&gt;=8,$AH136&lt;60,X137&lt;=5530000),ROUNDDOWN(ROUNDDOWN(X137,-3)*4.5%,-1),IF(AND(COUNT(G136:V137)&gt;=8,AH136&lt;60,X137&gt;5530000),248850,0)),0)</f>
        <v>0</v>
      </c>
      <c r="AB136" s="145" t="n">
        <f aca="false">+Y136+Z136+Y137+Z137+AA136+AA137</f>
        <v>0</v>
      </c>
      <c r="AC136" s="146" t="n">
        <f aca="false">X137-AB136</f>
        <v>0</v>
      </c>
      <c r="AD136" s="157" t="n">
        <f aca="false">IF(ISERROR(VLOOKUP(D136,[31]일용직명단!$A$3:$I$1200,5,FALSE())),0,VLOOKUP(D136,[31]일용직명단!$A$3:$I$1200,5,FALSE()))</f>
        <v>0</v>
      </c>
      <c r="AE136" s="158" t="n">
        <f aca="false">IF(ISERROR(VLOOKUP(D136,[31]일용직명단!$A$3:$I$1200,6,FALSE())),0,VLOOKUP(D136,[31]일용직명단!$A$3:$I$1200,6,FALSE()))</f>
        <v>0</v>
      </c>
      <c r="AF136" s="149" t="n">
        <f aca="false">COUNT(G136:V137)</f>
        <v>0</v>
      </c>
      <c r="AG136" s="129" t="str">
        <f aca="false">IF(OR(MID(E136,8,1)="1",MID(E136,8,1)="2"),19&amp;LEFT(E136,2),20&amp;LEFT(E136,2))&amp;"-"&amp;MID(E136,3,2)&amp;"-"&amp;MID(E136,5,2)</f>
        <v>200--</v>
      </c>
      <c r="AH136" s="129" t="e">
        <f aca="true">INT((TODAY()-AG136)/365.25)</f>
        <v>#VALUE!</v>
      </c>
      <c r="AI136" s="130" t="n">
        <f aca="false">ROUNDDOWN(SUM(AJ136:AY137),-1)</f>
        <v>0</v>
      </c>
      <c r="AJ136" s="130" t="n">
        <f aca="false">IF($X136*G136&gt;150000,($X136*G136-150000)*6%*45%,0)</f>
        <v>0</v>
      </c>
      <c r="AK136" s="130" t="n">
        <f aca="false">IF($X136*H136&gt;150000,($X136*H136-150000)*6%*45%,0)</f>
        <v>0</v>
      </c>
      <c r="AL136" s="130" t="n">
        <f aca="false">IF($X136*I136&gt;150000,($X136*I136-150000)*6%*45%,0)</f>
        <v>0</v>
      </c>
      <c r="AM136" s="130" t="n">
        <f aca="false">IF($X136*J136&gt;150000,($X136*J136-150000)*6%*45%,0)</f>
        <v>0</v>
      </c>
      <c r="AN136" s="130" t="n">
        <f aca="false">IF($X136*K136&gt;150000,($X136*K136-150000)*6%*45%,0)</f>
        <v>0</v>
      </c>
      <c r="AO136" s="130" t="n">
        <f aca="false">IF($X136*L136&gt;150000,($X136*L136-150000)*6%*45%,0)</f>
        <v>0</v>
      </c>
      <c r="AP136" s="130" t="n">
        <f aca="false">IF($X136*M136&gt;150000,($X136*M136-150000)*6%*45%,0)</f>
        <v>0</v>
      </c>
      <c r="AQ136" s="130" t="n">
        <f aca="false">IF($X136*N136&gt;150000,($X136*N136-150000)*6%*45%,0)</f>
        <v>0</v>
      </c>
      <c r="AR136" s="130" t="n">
        <f aca="false">IF($X136*O136&gt;150000,($X136*O136-150000)*6%*45%,0)</f>
        <v>0</v>
      </c>
      <c r="AS136" s="130" t="n">
        <f aca="false">IF($X136*P136&gt;150000,($X136*P136-150000)*6%*45%,0)</f>
        <v>0</v>
      </c>
      <c r="AT136" s="130" t="n">
        <f aca="false">IF($X136*Q136&gt;150000,($X136*Q136-150000)*6%*45%,0)</f>
        <v>0</v>
      </c>
      <c r="AU136" s="130" t="n">
        <f aca="false">IF($X136*R136&gt;150000,($X136*R136-150000)*6%*45%,0)</f>
        <v>0</v>
      </c>
      <c r="AV136" s="130" t="n">
        <f aca="false">IF($X136*S136&gt;150000,($X136*S136-150000)*6%*45%,0)</f>
        <v>0</v>
      </c>
      <c r="AW136" s="130" t="n">
        <f aca="false">IF($X136*T136&gt;150000,($X136*T136-150000)*6%*45%,0)</f>
        <v>0</v>
      </c>
      <c r="AX136" s="130" t="n">
        <f aca="false">IF($X136*U136&gt;150000,($X136*U136-150000)*6%*45%,0)</f>
        <v>0</v>
      </c>
      <c r="AY136" s="130"/>
      <c r="AZ136" s="131" t="n">
        <f aca="false">IF(ISERROR(VLOOKUP(D136,[32]일용직명단!$A$3:$M$1151,11,FALSE())),0,VLOOKUP(D136,[32]일용직명단!$A$3:$M$1151,11,FALSE()))</f>
        <v>0</v>
      </c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/>
      <c r="GF136" s="11"/>
      <c r="GG136" s="11"/>
      <c r="GH136" s="11"/>
      <c r="GI136" s="11"/>
      <c r="GJ136" s="11"/>
      <c r="GK136" s="11"/>
      <c r="GL136" s="11"/>
      <c r="GM136" s="11"/>
      <c r="GN136" s="11"/>
      <c r="GO136" s="11"/>
      <c r="GP136" s="11"/>
      <c r="GQ136" s="11"/>
      <c r="GR136" s="11"/>
      <c r="GS136" s="11"/>
      <c r="GT136" s="11"/>
      <c r="GU136" s="11"/>
      <c r="GV136" s="11"/>
      <c r="GW136" s="11"/>
      <c r="GX136" s="11"/>
      <c r="GY136" s="11"/>
      <c r="GZ136" s="11"/>
      <c r="HA136" s="11"/>
      <c r="HB136" s="11"/>
      <c r="HC136" s="11"/>
      <c r="HD136" s="11"/>
      <c r="HE136" s="11"/>
      <c r="HF136" s="11"/>
      <c r="HG136" s="11"/>
      <c r="HH136" s="11"/>
      <c r="HI136" s="11"/>
      <c r="HJ136" s="11"/>
      <c r="HK136" s="11"/>
      <c r="HL136" s="11"/>
      <c r="HM136" s="11"/>
      <c r="HN136" s="11"/>
      <c r="HO136" s="11"/>
      <c r="HP136" s="11"/>
      <c r="HQ136" s="11"/>
      <c r="HR136" s="11"/>
      <c r="HS136" s="11"/>
      <c r="HT136" s="11"/>
      <c r="HU136" s="11"/>
      <c r="HV136" s="11"/>
      <c r="HW136" s="11"/>
      <c r="HX136" s="11"/>
      <c r="HY136" s="11"/>
      <c r="HZ136" s="11"/>
      <c r="IA136" s="11"/>
      <c r="IB136" s="11"/>
      <c r="IC136" s="11"/>
      <c r="ID136" s="11"/>
      <c r="IE136" s="11"/>
      <c r="IF136" s="11"/>
      <c r="IG136" s="11"/>
      <c r="IH136" s="11"/>
      <c r="II136" s="11"/>
      <c r="IJ136" s="11"/>
      <c r="IK136" s="11"/>
      <c r="IL136" s="11"/>
      <c r="IM136" s="11"/>
      <c r="IN136" s="11"/>
      <c r="IO136" s="11"/>
      <c r="IP136" s="11"/>
      <c r="IQ136" s="11"/>
      <c r="IR136" s="11"/>
      <c r="IS136" s="11"/>
      <c r="IT136" s="11"/>
      <c r="IU136" s="11"/>
      <c r="IV136" s="11"/>
      <c r="IW136" s="11"/>
    </row>
    <row r="137" customFormat="false" ht="13.5" hidden="true" customHeight="true" outlineLevel="0" collapsed="false">
      <c r="A137" s="108"/>
      <c r="B137" s="404"/>
      <c r="C137" s="159"/>
      <c r="D137" s="394"/>
      <c r="E137" s="311"/>
      <c r="F137" s="140" t="n">
        <f aca="false">IF(ISERROR(VLOOKUP(D136,[31]일용직명단!$A$3:$K$1220,9,FALSE())),0,VLOOKUP(D136,[31]일용직명단!$A$3:$K$1220,9,FALSE()))</f>
        <v>0</v>
      </c>
      <c r="G137" s="405"/>
      <c r="H137" s="406"/>
      <c r="I137" s="405"/>
      <c r="J137" s="136"/>
      <c r="K137" s="407"/>
      <c r="L137" s="136"/>
      <c r="M137" s="408"/>
      <c r="N137" s="408"/>
      <c r="O137" s="114"/>
      <c r="P137" s="409"/>
      <c r="Q137" s="114"/>
      <c r="R137" s="114"/>
      <c r="S137" s="408"/>
      <c r="T137" s="408"/>
      <c r="U137" s="408"/>
      <c r="V137" s="119"/>
      <c r="W137" s="144"/>
      <c r="X137" s="138" t="n">
        <f aca="false">X136*W136</f>
        <v>0</v>
      </c>
      <c r="Y137" s="156" t="n">
        <f aca="false">IF(AI136&lt;1000,0,AI136)</f>
        <v>0</v>
      </c>
      <c r="Z137" s="156" t="n">
        <f aca="false">ROUNDDOWN(Y137*10%,-1)</f>
        <v>0</v>
      </c>
      <c r="AA137" s="156" t="n">
        <f aca="false">IF(AF136&gt;=8,ROUNDDOWN(Z136*$R$4,-1),0)</f>
        <v>0</v>
      </c>
      <c r="AB137" s="145"/>
      <c r="AC137" s="146"/>
      <c r="AD137" s="158" t="n">
        <f aca="false">IF(ISERROR(VLOOKUP(D136,[31]일용직명단!$A$3:$I$1200,7,FALSE())),0,VLOOKUP(D136,[31]일용직명단!$A$3:$I$1200,7,FALSE()))</f>
        <v>0</v>
      </c>
      <c r="AE137" s="158"/>
      <c r="AF137" s="149"/>
      <c r="AG137" s="129"/>
      <c r="AH137" s="129"/>
      <c r="AI137" s="130"/>
      <c r="AJ137" s="130" t="n">
        <f aca="false">IF($X136*G137&gt;150000,($X136*G137-150000)*6%*45%,0)</f>
        <v>0</v>
      </c>
      <c r="AK137" s="130" t="n">
        <f aca="false">IF($X136*H137&gt;150000,($X136*H137-150000)*6%*45%,0)</f>
        <v>0</v>
      </c>
      <c r="AL137" s="130" t="n">
        <f aca="false">IF($X136*I137&gt;150000,($X136*I137-150000)*6%*45%,0)</f>
        <v>0</v>
      </c>
      <c r="AM137" s="130" t="n">
        <f aca="false">IF($X136*J137&gt;150000,($X136*J137-150000)*6%*45%,0)</f>
        <v>0</v>
      </c>
      <c r="AN137" s="130" t="n">
        <f aca="false">IF($X136*K137&gt;150000,($X136*K137-150000)*6%*45%,0)</f>
        <v>0</v>
      </c>
      <c r="AO137" s="130" t="n">
        <f aca="false">IF($X136*L137&gt;150000,($X136*L137-150000)*6%*45%,0)</f>
        <v>0</v>
      </c>
      <c r="AP137" s="130" t="n">
        <f aca="false">IF($X136*M137&gt;150000,($X136*M137-150000)*6%*45%,0)</f>
        <v>0</v>
      </c>
      <c r="AQ137" s="130" t="n">
        <f aca="false">IF($X136*N137&gt;150000,($X136*N137-150000)*6%*45%,0)</f>
        <v>0</v>
      </c>
      <c r="AR137" s="130" t="n">
        <f aca="false">IF($X136*O137&gt;150000,($X136*O137-150000)*6%*45%,0)</f>
        <v>0</v>
      </c>
      <c r="AS137" s="130" t="n">
        <f aca="false">IF($X136*P137&gt;150000,($X136*P137-150000)*6%*45%,0)</f>
        <v>0</v>
      </c>
      <c r="AT137" s="130" t="n">
        <f aca="false">IF($X136*Q137&gt;150000,($X136*Q137-150000)*6%*45%,0)</f>
        <v>0</v>
      </c>
      <c r="AU137" s="130" t="n">
        <f aca="false">IF($X136*R137&gt;150000,($X136*R137-150000)*6%*45%,0)</f>
        <v>0</v>
      </c>
      <c r="AV137" s="130" t="n">
        <f aca="false">IF($X136*S137&gt;150000,($X136*S137-150000)*6%*45%,0)</f>
        <v>0</v>
      </c>
      <c r="AW137" s="130" t="n">
        <f aca="false">IF($X136*T137&gt;150000,($X136*T137-150000)*6%*45%,0)</f>
        <v>0</v>
      </c>
      <c r="AX137" s="130" t="n">
        <f aca="false">IF($X136*U137&gt;150000,($X136*U137-150000)*6%*45%,0)</f>
        <v>0</v>
      </c>
      <c r="AY137" s="130" t="n">
        <f aca="false">IF($X136*V137&gt;150000,($X136*V137-150000)*6%*45%,0)</f>
        <v>0</v>
      </c>
      <c r="AZ137" s="13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1"/>
      <c r="FW137" s="11"/>
      <c r="FX137" s="11"/>
      <c r="FY137" s="11"/>
      <c r="FZ137" s="11"/>
      <c r="GA137" s="11"/>
      <c r="GB137" s="11"/>
      <c r="GC137" s="11"/>
      <c r="GD137" s="11"/>
      <c r="GE137" s="11"/>
      <c r="GF137" s="11"/>
      <c r="GG137" s="11"/>
      <c r="GH137" s="11"/>
      <c r="GI137" s="11"/>
      <c r="GJ137" s="11"/>
      <c r="GK137" s="11"/>
      <c r="GL137" s="11"/>
      <c r="GM137" s="11"/>
      <c r="GN137" s="11"/>
      <c r="GO137" s="11"/>
      <c r="GP137" s="11"/>
      <c r="GQ137" s="11"/>
      <c r="GR137" s="11"/>
      <c r="GS137" s="11"/>
      <c r="GT137" s="11"/>
      <c r="GU137" s="11"/>
      <c r="GV137" s="11"/>
      <c r="GW137" s="11"/>
      <c r="GX137" s="11"/>
      <c r="GY137" s="11"/>
      <c r="GZ137" s="11"/>
      <c r="HA137" s="11"/>
      <c r="HB137" s="11"/>
      <c r="HC137" s="11"/>
      <c r="HD137" s="11"/>
      <c r="HE137" s="11"/>
      <c r="HF137" s="11"/>
      <c r="HG137" s="11"/>
      <c r="HH137" s="11"/>
      <c r="HI137" s="11"/>
      <c r="HJ137" s="11"/>
      <c r="HK137" s="11"/>
      <c r="HL137" s="11"/>
      <c r="HM137" s="11"/>
      <c r="HN137" s="11"/>
      <c r="HO137" s="11"/>
      <c r="HP137" s="11"/>
      <c r="HQ137" s="11"/>
      <c r="HR137" s="11"/>
      <c r="HS137" s="11"/>
      <c r="HT137" s="11"/>
      <c r="HU137" s="11"/>
      <c r="HV137" s="11"/>
      <c r="HW137" s="11"/>
      <c r="HX137" s="11"/>
      <c r="HY137" s="11"/>
      <c r="HZ137" s="11"/>
      <c r="IA137" s="11"/>
      <c r="IB137" s="11"/>
      <c r="IC137" s="11"/>
      <c r="ID137" s="11"/>
      <c r="IE137" s="11"/>
      <c r="IF137" s="11"/>
      <c r="IG137" s="11"/>
      <c r="IH137" s="11"/>
      <c r="II137" s="11"/>
      <c r="IJ137" s="11"/>
      <c r="IK137" s="11"/>
      <c r="IL137" s="11"/>
      <c r="IM137" s="11"/>
      <c r="IN137" s="11"/>
      <c r="IO137" s="11"/>
      <c r="IP137" s="11"/>
      <c r="IQ137" s="11"/>
      <c r="IR137" s="11"/>
      <c r="IS137" s="11"/>
      <c r="IT137" s="11"/>
      <c r="IU137" s="11"/>
      <c r="IV137" s="11"/>
      <c r="IW137" s="11"/>
    </row>
    <row r="138" customFormat="false" ht="13.5" hidden="true" customHeight="true" outlineLevel="0" collapsed="false">
      <c r="A138" s="108" t="n">
        <f aca="false">A136+1</f>
        <v>13</v>
      </c>
      <c r="B138" s="404"/>
      <c r="C138" s="159" t="n">
        <f aca="false">IF(ISERROR(VLOOKUP(D138,[31]일용직명단!$A$3:$I$105,2,FALSE())),0,VLOOKUP(D138,[31]일용직명단!$A$3:$I$105,2,FALSE()))</f>
        <v>0</v>
      </c>
      <c r="D138" s="394"/>
      <c r="E138" s="311" t="n">
        <f aca="false">IF(ISERROR(VLOOKUP(D138,[31]일용직명단!$A$3:$K$1220,3,FALSE())),0,VLOOKUP(D138,[31]일용직명단!$A$3:$K$1220,3,FALSE()))</f>
        <v>0</v>
      </c>
      <c r="F138" s="140" t="n">
        <f aca="false">IF(ISERROR(VLOOKUP(D138,[31]일용직명단!$A$3:$K$1220,4,FALSE())),0,VLOOKUP(D138,[31]일용직명단!$A$3:$K$1220,4,FALSE()))</f>
        <v>0</v>
      </c>
      <c r="G138" s="408"/>
      <c r="H138" s="114"/>
      <c r="I138" s="409"/>
      <c r="J138" s="409"/>
      <c r="K138" s="408"/>
      <c r="L138" s="409"/>
      <c r="M138" s="408"/>
      <c r="N138" s="408"/>
      <c r="O138" s="114"/>
      <c r="P138" s="114"/>
      <c r="Q138" s="408"/>
      <c r="R138" s="114"/>
      <c r="S138" s="409"/>
      <c r="T138" s="114"/>
      <c r="U138" s="409"/>
      <c r="V138" s="119"/>
      <c r="W138" s="144" t="n">
        <f aca="false">SUM(G138:V139)</f>
        <v>0</v>
      </c>
      <c r="X138" s="121" t="n">
        <f aca="false">IF(ISERROR(VLOOKUP(D138,[31]일용직명단!$A$3:$K$1220,8,FALSE())),0,VLOOKUP(D138,[31]일용직명단!$A$3:$K$1220,8,FALSE()))</f>
        <v>0</v>
      </c>
      <c r="Y138" s="156" t="n">
        <f aca="false">IFERROR(IF(AH138&gt;=65,0,ROUNDDOWN(X139*$AA$4,-1)),0)</f>
        <v>0</v>
      </c>
      <c r="Z138" s="156" t="n">
        <f aca="false">IF(AF138&gt;=8,ROUNDDOWN(X139*$N$4,-1),0)</f>
        <v>0</v>
      </c>
      <c r="AA138" s="156" t="n">
        <f aca="false">IFERROR(IF(AND(COUNT(G138:V139)&gt;=8,$AH138&lt;60,X139&lt;=5530000),ROUNDDOWN(ROUNDDOWN(X139,-3)*4.5%,-1),IF(AND(COUNT(G138:V139)&gt;=8,AH138&lt;60,X139&gt;5530000),248850,0)),0)</f>
        <v>0</v>
      </c>
      <c r="AB138" s="145" t="n">
        <f aca="false">+Y138+Z138+Y139+Z139+AA138+AA139</f>
        <v>0</v>
      </c>
      <c r="AC138" s="146" t="n">
        <f aca="false">X139-AB138</f>
        <v>0</v>
      </c>
      <c r="AD138" s="157" t="n">
        <f aca="false">IF(ISERROR(VLOOKUP(D138,[31]일용직명단!$A$3:$I$1200,5,FALSE())),0,VLOOKUP(D138,[31]일용직명단!$A$3:$I$1200,5,FALSE()))</f>
        <v>0</v>
      </c>
      <c r="AE138" s="158" t="n">
        <f aca="false">IF(ISERROR(VLOOKUP(D138,[31]일용직명단!$A$3:$I$1200,6,FALSE())),0,VLOOKUP(D138,[31]일용직명단!$A$3:$I$1200,6,FALSE()))</f>
        <v>0</v>
      </c>
      <c r="AF138" s="149" t="n">
        <f aca="false">COUNT(G138:V139)</f>
        <v>0</v>
      </c>
      <c r="AG138" s="129" t="str">
        <f aca="false">IF(OR(MID(E138,8,1)="1",MID(E138,8,1)="2"),19&amp;LEFT(E138,2),20&amp;LEFT(E138,2))&amp;"-"&amp;MID(E138,3,2)&amp;"-"&amp;MID(E138,5,2)</f>
        <v>200--</v>
      </c>
      <c r="AH138" s="129" t="e">
        <f aca="true">INT((TODAY()-AG138)/365.25)</f>
        <v>#VALUE!</v>
      </c>
      <c r="AI138" s="130" t="n">
        <f aca="false">ROUNDDOWN(SUM(AJ138:AY139),-1)</f>
        <v>0</v>
      </c>
      <c r="AJ138" s="130" t="n">
        <f aca="false">IF($X138*G138&gt;150000,($X138*G138-150000)*6%*45%,0)</f>
        <v>0</v>
      </c>
      <c r="AK138" s="130" t="n">
        <f aca="false">IF($X138*H138&gt;150000,($X138*H138-150000)*6%*45%,0)</f>
        <v>0</v>
      </c>
      <c r="AL138" s="130" t="n">
        <f aca="false">IF($X138*I138&gt;150000,($X138*I138-150000)*6%*45%,0)</f>
        <v>0</v>
      </c>
      <c r="AM138" s="130" t="n">
        <f aca="false">IF($X138*J138&gt;150000,($X138*J138-150000)*6%*45%,0)</f>
        <v>0</v>
      </c>
      <c r="AN138" s="130" t="n">
        <f aca="false">IF($X138*K138&gt;150000,($X138*K138-150000)*6%*45%,0)</f>
        <v>0</v>
      </c>
      <c r="AO138" s="130" t="n">
        <f aca="false">IF($X138*L138&gt;150000,($X138*L138-150000)*6%*45%,0)</f>
        <v>0</v>
      </c>
      <c r="AP138" s="130" t="n">
        <f aca="false">IF($X138*M138&gt;150000,($X138*M138-150000)*6%*45%,0)</f>
        <v>0</v>
      </c>
      <c r="AQ138" s="130" t="n">
        <f aca="false">IF($X138*N138&gt;150000,($X138*N138-150000)*6%*45%,0)</f>
        <v>0</v>
      </c>
      <c r="AR138" s="130" t="n">
        <f aca="false">IF($X138*O138&gt;150000,($X138*O138-150000)*6%*45%,0)</f>
        <v>0</v>
      </c>
      <c r="AS138" s="130" t="n">
        <f aca="false">IF($X138*P138&gt;150000,($X138*P138-150000)*6%*45%,0)</f>
        <v>0</v>
      </c>
      <c r="AT138" s="130" t="n">
        <f aca="false">IF($X138*Q138&gt;150000,($X138*Q138-150000)*6%*45%,0)</f>
        <v>0</v>
      </c>
      <c r="AU138" s="130" t="n">
        <f aca="false">IF($X138*R138&gt;150000,($X138*R138-150000)*6%*45%,0)</f>
        <v>0</v>
      </c>
      <c r="AV138" s="130" t="n">
        <f aca="false">IF($X138*S138&gt;150000,($X138*S138-150000)*6%*45%,0)</f>
        <v>0</v>
      </c>
      <c r="AW138" s="130" t="n">
        <f aca="false">IF($X138*T138&gt;150000,($X138*T138-150000)*6%*45%,0)</f>
        <v>0</v>
      </c>
      <c r="AX138" s="130" t="n">
        <f aca="false">IF($X138*U138&gt;150000,($X138*U138-150000)*6%*45%,0)</f>
        <v>0</v>
      </c>
      <c r="AY138" s="130"/>
      <c r="AZ138" s="131" t="n">
        <f aca="false">IF(ISERROR(VLOOKUP(D138,[32]일용직명단!$A$3:$M$1151,11,FALSE())),0,VLOOKUP(D138,[32]일용직명단!$A$3:$M$1151,11,FALSE()))</f>
        <v>0</v>
      </c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11"/>
      <c r="FR138" s="11"/>
      <c r="FS138" s="11"/>
      <c r="FT138" s="11"/>
      <c r="FU138" s="11"/>
      <c r="FV138" s="11"/>
      <c r="FW138" s="11"/>
      <c r="FX138" s="11"/>
      <c r="FY138" s="11"/>
      <c r="FZ138" s="11"/>
      <c r="GA138" s="11"/>
      <c r="GB138" s="11"/>
      <c r="GC138" s="11"/>
      <c r="GD138" s="11"/>
      <c r="GE138" s="11"/>
      <c r="GF138" s="11"/>
      <c r="GG138" s="11"/>
      <c r="GH138" s="11"/>
      <c r="GI138" s="11"/>
      <c r="GJ138" s="11"/>
      <c r="GK138" s="11"/>
      <c r="GL138" s="11"/>
      <c r="GM138" s="11"/>
      <c r="GN138" s="11"/>
      <c r="GO138" s="11"/>
      <c r="GP138" s="11"/>
      <c r="GQ138" s="11"/>
      <c r="GR138" s="11"/>
      <c r="GS138" s="11"/>
      <c r="GT138" s="11"/>
      <c r="GU138" s="11"/>
      <c r="GV138" s="11"/>
      <c r="GW138" s="11"/>
      <c r="GX138" s="11"/>
      <c r="GY138" s="11"/>
      <c r="GZ138" s="11"/>
      <c r="HA138" s="11"/>
      <c r="HB138" s="11"/>
      <c r="HC138" s="11"/>
      <c r="HD138" s="11"/>
      <c r="HE138" s="11"/>
      <c r="HF138" s="11"/>
      <c r="HG138" s="11"/>
      <c r="HH138" s="11"/>
      <c r="HI138" s="11"/>
      <c r="HJ138" s="11"/>
      <c r="HK138" s="11"/>
      <c r="HL138" s="11"/>
      <c r="HM138" s="11"/>
      <c r="HN138" s="11"/>
      <c r="HO138" s="11"/>
      <c r="HP138" s="11"/>
      <c r="HQ138" s="11"/>
      <c r="HR138" s="11"/>
      <c r="HS138" s="11"/>
      <c r="HT138" s="11"/>
      <c r="HU138" s="11"/>
      <c r="HV138" s="11"/>
      <c r="HW138" s="11"/>
      <c r="HX138" s="11"/>
      <c r="HY138" s="11"/>
      <c r="HZ138" s="11"/>
      <c r="IA138" s="11"/>
      <c r="IB138" s="11"/>
      <c r="IC138" s="11"/>
      <c r="ID138" s="11"/>
      <c r="IE138" s="11"/>
      <c r="IF138" s="11"/>
      <c r="IG138" s="11"/>
      <c r="IH138" s="11"/>
      <c r="II138" s="11"/>
      <c r="IJ138" s="11"/>
      <c r="IK138" s="11"/>
      <c r="IL138" s="11"/>
      <c r="IM138" s="11"/>
      <c r="IN138" s="11"/>
      <c r="IO138" s="11"/>
      <c r="IP138" s="11"/>
      <c r="IQ138" s="11"/>
      <c r="IR138" s="11"/>
      <c r="IS138" s="11"/>
      <c r="IT138" s="11"/>
      <c r="IU138" s="11"/>
      <c r="IV138" s="11"/>
      <c r="IW138" s="11"/>
    </row>
    <row r="139" customFormat="false" ht="13.5" hidden="true" customHeight="true" outlineLevel="0" collapsed="false">
      <c r="A139" s="108"/>
      <c r="B139" s="404"/>
      <c r="C139" s="159"/>
      <c r="D139" s="394"/>
      <c r="E139" s="311"/>
      <c r="F139" s="140" t="n">
        <f aca="false">IF(ISERROR(VLOOKUP(D138,[31]일용직명단!$A$3:$K$1220,9,FALSE())),0,VLOOKUP(D138,[31]일용직명단!$A$3:$K$1220,9,FALSE()))</f>
        <v>0</v>
      </c>
      <c r="G139" s="405"/>
      <c r="H139" s="406"/>
      <c r="I139" s="405"/>
      <c r="J139" s="136"/>
      <c r="K139" s="407"/>
      <c r="L139" s="136"/>
      <c r="M139" s="408"/>
      <c r="N139" s="408"/>
      <c r="O139" s="114"/>
      <c r="P139" s="409"/>
      <c r="Q139" s="114"/>
      <c r="R139" s="114"/>
      <c r="S139" s="408"/>
      <c r="T139" s="408"/>
      <c r="U139" s="408"/>
      <c r="V139" s="119"/>
      <c r="W139" s="144"/>
      <c r="X139" s="138" t="n">
        <f aca="false">X138*W138</f>
        <v>0</v>
      </c>
      <c r="Y139" s="156" t="n">
        <f aca="false">IF(AI138&lt;1000,0,AI138)</f>
        <v>0</v>
      </c>
      <c r="Z139" s="156" t="n">
        <f aca="false">ROUNDDOWN(Y139*10%,-1)</f>
        <v>0</v>
      </c>
      <c r="AA139" s="156" t="n">
        <f aca="false">IF(AF138&gt;=8,ROUNDDOWN(Z138*$R$4,-1),0)</f>
        <v>0</v>
      </c>
      <c r="AB139" s="145"/>
      <c r="AC139" s="146"/>
      <c r="AD139" s="158" t="n">
        <f aca="false">IF(ISERROR(VLOOKUP(D138,[31]일용직명단!$A$3:$I$1200,7,FALSE())),0,VLOOKUP(D138,[31]일용직명단!$A$3:$I$1200,7,FALSE()))</f>
        <v>0</v>
      </c>
      <c r="AE139" s="158"/>
      <c r="AF139" s="149"/>
      <c r="AG139" s="129"/>
      <c r="AH139" s="129"/>
      <c r="AI139" s="130"/>
      <c r="AJ139" s="130" t="n">
        <f aca="false">IF($X138*G139&gt;150000,($X138*G139-150000)*6%*45%,0)</f>
        <v>0</v>
      </c>
      <c r="AK139" s="130" t="n">
        <f aca="false">IF($X138*H139&gt;150000,($X138*H139-150000)*6%*45%,0)</f>
        <v>0</v>
      </c>
      <c r="AL139" s="130" t="n">
        <f aca="false">IF($X138*I139&gt;150000,($X138*I139-150000)*6%*45%,0)</f>
        <v>0</v>
      </c>
      <c r="AM139" s="130" t="n">
        <f aca="false">IF($X138*J139&gt;150000,($X138*J139-150000)*6%*45%,0)</f>
        <v>0</v>
      </c>
      <c r="AN139" s="130" t="n">
        <f aca="false">IF($X138*K139&gt;150000,($X138*K139-150000)*6%*45%,0)</f>
        <v>0</v>
      </c>
      <c r="AO139" s="130" t="n">
        <f aca="false">IF($X138*L139&gt;150000,($X138*L139-150000)*6%*45%,0)</f>
        <v>0</v>
      </c>
      <c r="AP139" s="130" t="n">
        <f aca="false">IF($X138*M139&gt;150000,($X138*M139-150000)*6%*45%,0)</f>
        <v>0</v>
      </c>
      <c r="AQ139" s="130" t="n">
        <f aca="false">IF($X138*N139&gt;150000,($X138*N139-150000)*6%*45%,0)</f>
        <v>0</v>
      </c>
      <c r="AR139" s="130" t="n">
        <f aca="false">IF($X138*O139&gt;150000,($X138*O139-150000)*6%*45%,0)</f>
        <v>0</v>
      </c>
      <c r="AS139" s="130" t="n">
        <f aca="false">IF($X138*P139&gt;150000,($X138*P139-150000)*6%*45%,0)</f>
        <v>0</v>
      </c>
      <c r="AT139" s="130" t="n">
        <f aca="false">IF($X138*Q139&gt;150000,($X138*Q139-150000)*6%*45%,0)</f>
        <v>0</v>
      </c>
      <c r="AU139" s="130" t="n">
        <f aca="false">IF($X138*R139&gt;150000,($X138*R139-150000)*6%*45%,0)</f>
        <v>0</v>
      </c>
      <c r="AV139" s="130" t="n">
        <f aca="false">IF($X138*S139&gt;150000,($X138*S139-150000)*6%*45%,0)</f>
        <v>0</v>
      </c>
      <c r="AW139" s="130" t="n">
        <f aca="false">IF($X138*T139&gt;150000,($X138*T139-150000)*6%*45%,0)</f>
        <v>0</v>
      </c>
      <c r="AX139" s="130" t="n">
        <f aca="false">IF($X138*U139&gt;150000,($X138*U139-150000)*6%*45%,0)</f>
        <v>0</v>
      </c>
      <c r="AY139" s="130" t="n">
        <f aca="false">IF($X138*V139&gt;150000,($X138*V139-150000)*6%*45%,0)</f>
        <v>0</v>
      </c>
      <c r="AZ139" s="13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1"/>
      <c r="FW139" s="11"/>
      <c r="FX139" s="11"/>
      <c r="FY139" s="11"/>
      <c r="FZ139" s="11"/>
      <c r="GA139" s="11"/>
      <c r="GB139" s="11"/>
      <c r="GC139" s="11"/>
      <c r="GD139" s="11"/>
      <c r="GE139" s="11"/>
      <c r="GF139" s="11"/>
      <c r="GG139" s="11"/>
      <c r="GH139" s="11"/>
      <c r="GI139" s="11"/>
      <c r="GJ139" s="11"/>
      <c r="GK139" s="11"/>
      <c r="GL139" s="11"/>
      <c r="GM139" s="11"/>
      <c r="GN139" s="11"/>
      <c r="GO139" s="11"/>
      <c r="GP139" s="11"/>
      <c r="GQ139" s="11"/>
      <c r="GR139" s="11"/>
      <c r="GS139" s="11"/>
      <c r="GT139" s="11"/>
      <c r="GU139" s="11"/>
      <c r="GV139" s="11"/>
      <c r="GW139" s="11"/>
      <c r="GX139" s="11"/>
      <c r="GY139" s="11"/>
      <c r="GZ139" s="11"/>
      <c r="HA139" s="11"/>
      <c r="HB139" s="11"/>
      <c r="HC139" s="11"/>
      <c r="HD139" s="11"/>
      <c r="HE139" s="11"/>
      <c r="HF139" s="11"/>
      <c r="HG139" s="11"/>
      <c r="HH139" s="11"/>
      <c r="HI139" s="11"/>
      <c r="HJ139" s="11"/>
      <c r="HK139" s="11"/>
      <c r="HL139" s="11"/>
      <c r="HM139" s="11"/>
      <c r="HN139" s="11"/>
      <c r="HO139" s="11"/>
      <c r="HP139" s="11"/>
      <c r="HQ139" s="11"/>
      <c r="HR139" s="11"/>
      <c r="HS139" s="11"/>
      <c r="HT139" s="11"/>
      <c r="HU139" s="11"/>
      <c r="HV139" s="11"/>
      <c r="HW139" s="11"/>
      <c r="HX139" s="11"/>
      <c r="HY139" s="11"/>
      <c r="HZ139" s="11"/>
      <c r="IA139" s="11"/>
      <c r="IB139" s="11"/>
      <c r="IC139" s="11"/>
      <c r="ID139" s="11"/>
      <c r="IE139" s="11"/>
      <c r="IF139" s="11"/>
      <c r="IG139" s="11"/>
      <c r="IH139" s="11"/>
      <c r="II139" s="11"/>
      <c r="IJ139" s="11"/>
      <c r="IK139" s="11"/>
      <c r="IL139" s="11"/>
      <c r="IM139" s="11"/>
      <c r="IN139" s="11"/>
      <c r="IO139" s="11"/>
      <c r="IP139" s="11"/>
      <c r="IQ139" s="11"/>
      <c r="IR139" s="11"/>
      <c r="IS139" s="11"/>
      <c r="IT139" s="11"/>
      <c r="IU139" s="11"/>
      <c r="IV139" s="11"/>
      <c r="IW139" s="11"/>
    </row>
    <row r="140" customFormat="false" ht="13.5" hidden="true" customHeight="true" outlineLevel="0" collapsed="false">
      <c r="A140" s="108" t="n">
        <f aca="false">A138+1</f>
        <v>14</v>
      </c>
      <c r="B140" s="402"/>
      <c r="C140" s="159"/>
      <c r="D140" s="203"/>
      <c r="E140" s="311" t="n">
        <f aca="false">IF(ISERROR(VLOOKUP(D140,[33]일용직명단!$A$3:$K$1183,3,FALSE())),0,VLOOKUP(D140,[33]일용직명단!$A$3:$K$1183,3,FALSE()))</f>
        <v>0</v>
      </c>
      <c r="F140" s="160" t="n">
        <f aca="false">IF(ISERROR(VLOOKUP(D140,[31]일용직명단!$A$3:$K$1220,4,FALSE())),0,VLOOKUP(D140,[31]일용직명단!$A$3:$K$1220,4,FALSE()))</f>
        <v>0</v>
      </c>
      <c r="G140" s="408"/>
      <c r="H140" s="114"/>
      <c r="I140" s="409"/>
      <c r="J140" s="409"/>
      <c r="K140" s="408"/>
      <c r="L140" s="409"/>
      <c r="M140" s="408"/>
      <c r="N140" s="408"/>
      <c r="O140" s="114"/>
      <c r="P140" s="114"/>
      <c r="Q140" s="408"/>
      <c r="R140" s="114"/>
      <c r="S140" s="409"/>
      <c r="T140" s="114"/>
      <c r="U140" s="409"/>
      <c r="V140" s="119"/>
      <c r="W140" s="144" t="n">
        <f aca="false">SUM(G140:V141)</f>
        <v>0</v>
      </c>
      <c r="X140" s="121" t="n">
        <f aca="false">IF(ISERROR(VLOOKUP(D140,[31]일용직명단!$A$3:$K$1220,8,FALSE())),0,VLOOKUP(D140,[31]일용직명단!$A$3:$K$1220,8,FALSE()))</f>
        <v>0</v>
      </c>
      <c r="Y140" s="156" t="n">
        <f aca="false">IFERROR(IF(AH140&gt;=65,0,ROUNDDOWN(X141*$AA$4,-1)),0)</f>
        <v>0</v>
      </c>
      <c r="Z140" s="156" t="n">
        <f aca="false">IF(AF140&gt;=8,ROUNDDOWN(X141*$N$4,-1),0)</f>
        <v>0</v>
      </c>
      <c r="AA140" s="156" t="n">
        <f aca="false">IFERROR(IF(AND(COUNT(G140:V141)&gt;=8,$AH140&lt;60,X141&lt;=5530000),ROUNDDOWN(ROUNDDOWN(X141,-3)*4.5%,-1),IF(AND(COUNT(G140:V141)&gt;=8,AH140&lt;60,X141&gt;5530000),248850,0)),0)</f>
        <v>0</v>
      </c>
      <c r="AB140" s="145" t="n">
        <f aca="false">+Y140+Z140+Y141+Z141+AA140+AA141</f>
        <v>0</v>
      </c>
      <c r="AC140" s="146" t="n">
        <f aca="false">X141-AB140</f>
        <v>0</v>
      </c>
      <c r="AD140" s="157" t="n">
        <f aca="false">IF(ISERROR(VLOOKUP(D140,[31]일용직명단!$A$3:$I$1200,5,FALSE())),0,VLOOKUP(D140,[31]일용직명단!$A$3:$I$1200,5,FALSE()))</f>
        <v>0</v>
      </c>
      <c r="AE140" s="158" t="n">
        <f aca="false">IF(ISERROR(VLOOKUP(D140,[31]일용직명단!$A$3:$I$1200,6,FALSE())),0,VLOOKUP(D140,[31]일용직명단!$A$3:$I$1200,6,FALSE()))</f>
        <v>0</v>
      </c>
      <c r="AF140" s="141" t="n">
        <f aca="false">COUNT(G140:V141)</f>
        <v>0</v>
      </c>
      <c r="AG140" s="129" t="str">
        <f aca="false">IF(OR(MID(E140,8,1)="1",MID(E140,8,1)="2"),19&amp;LEFT(E140,2),20&amp;LEFT(E140,2))&amp;"-"&amp;MID(E140,3,2)&amp;"-"&amp;MID(E140,5,2)</f>
        <v>200--</v>
      </c>
      <c r="AH140" s="129" t="e">
        <f aca="true">INT((TODAY()-AG140)/365.25)</f>
        <v>#VALUE!</v>
      </c>
      <c r="AI140" s="161" t="n">
        <f aca="false">ROUNDDOWN(SUM(AJ140:AY141),-1)</f>
        <v>0</v>
      </c>
      <c r="AJ140" s="130" t="n">
        <f aca="false">IF($X140*G140&gt;150000,($X140*G140-150000)*6%*45%,0)</f>
        <v>0</v>
      </c>
      <c r="AK140" s="130" t="n">
        <f aca="false">IF($X140*H140&gt;150000,($X140*H140-150000)*6%*45%,0)</f>
        <v>0</v>
      </c>
      <c r="AL140" s="130" t="n">
        <f aca="false">IF($X140*I140&gt;150000,($X140*I140-150000)*6%*45%,0)</f>
        <v>0</v>
      </c>
      <c r="AM140" s="130" t="n">
        <f aca="false">IF($X140*J140&gt;150000,($X140*J140-150000)*6%*45%,0)</f>
        <v>0</v>
      </c>
      <c r="AN140" s="130" t="n">
        <f aca="false">IF($X140*K140&gt;150000,($X140*K140-150000)*6%*45%,0)</f>
        <v>0</v>
      </c>
      <c r="AO140" s="130" t="n">
        <f aca="false">IF($X140*L140&gt;150000,($X140*L140-150000)*6%*45%,0)</f>
        <v>0</v>
      </c>
      <c r="AP140" s="130" t="n">
        <f aca="false">IF($X140*M140&gt;150000,($X140*M140-150000)*6%*45%,0)</f>
        <v>0</v>
      </c>
      <c r="AQ140" s="130" t="n">
        <f aca="false">IF($X140*N140&gt;150000,($X140*N140-150000)*6%*45%,0)</f>
        <v>0</v>
      </c>
      <c r="AR140" s="130" t="n">
        <f aca="false">IF($X140*O140&gt;150000,($X140*O140-150000)*6%*45%,0)</f>
        <v>0</v>
      </c>
      <c r="AS140" s="130" t="n">
        <f aca="false">IF($X140*P140&gt;150000,($X140*P140-150000)*6%*45%,0)</f>
        <v>0</v>
      </c>
      <c r="AT140" s="130" t="n">
        <f aca="false">IF($X140*Q140&gt;150000,($X140*Q140-150000)*6%*45%,0)</f>
        <v>0</v>
      </c>
      <c r="AU140" s="130" t="n">
        <f aca="false">IF($X140*R140&gt;150000,($X140*R140-150000)*6%*45%,0)</f>
        <v>0</v>
      </c>
      <c r="AV140" s="130" t="n">
        <f aca="false">IF($X140*S140&gt;150000,($X140*S140-150000)*6%*45%,0)</f>
        <v>0</v>
      </c>
      <c r="AW140" s="130" t="n">
        <f aca="false">IF($X140*T140&gt;150000,($X140*T140-150000)*6%*45%,0)</f>
        <v>0</v>
      </c>
      <c r="AX140" s="130" t="n">
        <f aca="false">IF($X140*U140&gt;150000,($X140*U140-150000)*6%*45%,0)</f>
        <v>0</v>
      </c>
      <c r="AY140" s="130"/>
      <c r="AZ140" s="162" t="n">
        <f aca="false">IF(ISERROR(VLOOKUP(D140,[27]일용직명단!$A$3:$M$1151,11,FALSE())),0,VLOOKUP(D140,[27]일용직명단!$A$3:$M$1151,11,FALSE()))</f>
        <v>0</v>
      </c>
      <c r="BA140" s="163"/>
      <c r="BB140" s="163"/>
      <c r="BC140" s="358"/>
      <c r="BD140" s="358"/>
      <c r="BE140" s="358"/>
      <c r="BF140" s="358"/>
      <c r="BG140" s="358"/>
      <c r="BH140" s="358"/>
      <c r="BI140" s="358"/>
      <c r="BJ140" s="358"/>
      <c r="BK140" s="358"/>
      <c r="BL140" s="358"/>
      <c r="BM140" s="358"/>
      <c r="BN140" s="358"/>
      <c r="BO140" s="358"/>
      <c r="BP140" s="358"/>
      <c r="BQ140" s="358"/>
      <c r="BR140" s="358"/>
      <c r="BS140" s="358"/>
      <c r="BT140" s="358"/>
      <c r="BU140" s="358"/>
      <c r="BV140" s="358"/>
      <c r="BW140" s="358"/>
      <c r="BX140" s="358"/>
      <c r="BY140" s="358"/>
      <c r="BZ140" s="358"/>
      <c r="CA140" s="358"/>
      <c r="CB140" s="358"/>
      <c r="CC140" s="358"/>
      <c r="CD140" s="358"/>
      <c r="CE140" s="358"/>
      <c r="CF140" s="358"/>
      <c r="CG140" s="358"/>
      <c r="CH140" s="358"/>
      <c r="CI140" s="358"/>
      <c r="CJ140" s="358"/>
      <c r="CK140" s="358"/>
      <c r="CL140" s="358"/>
      <c r="CM140" s="358"/>
      <c r="CN140" s="358"/>
      <c r="CO140" s="358"/>
      <c r="CP140" s="358"/>
      <c r="CQ140" s="358"/>
      <c r="CR140" s="358"/>
      <c r="CS140" s="358"/>
      <c r="CT140" s="358"/>
      <c r="CU140" s="358"/>
      <c r="CV140" s="358"/>
      <c r="CW140" s="358"/>
      <c r="CX140" s="358"/>
      <c r="CY140" s="358"/>
      <c r="CZ140" s="358"/>
      <c r="DA140" s="358"/>
      <c r="DB140" s="358"/>
      <c r="DC140" s="358"/>
      <c r="DD140" s="358"/>
      <c r="DE140" s="358"/>
      <c r="DF140" s="358"/>
      <c r="DG140" s="358"/>
      <c r="DH140" s="358"/>
      <c r="DI140" s="358"/>
      <c r="DJ140" s="358"/>
      <c r="DK140" s="358"/>
      <c r="DL140" s="358"/>
      <c r="DM140" s="358"/>
      <c r="DN140" s="358"/>
      <c r="DO140" s="358"/>
      <c r="DP140" s="358"/>
      <c r="DQ140" s="358"/>
      <c r="DR140" s="358"/>
      <c r="DS140" s="358"/>
      <c r="DT140" s="358"/>
      <c r="DU140" s="358"/>
      <c r="DV140" s="358"/>
      <c r="DW140" s="358"/>
      <c r="DX140" s="358"/>
      <c r="DY140" s="358"/>
      <c r="DZ140" s="358"/>
      <c r="EA140" s="358"/>
      <c r="EB140" s="358"/>
      <c r="EC140" s="358"/>
      <c r="ED140" s="358"/>
      <c r="EE140" s="358"/>
      <c r="EF140" s="358"/>
      <c r="EG140" s="358"/>
      <c r="EH140" s="358"/>
      <c r="EI140" s="358"/>
      <c r="EJ140" s="358"/>
      <c r="EK140" s="358"/>
      <c r="EL140" s="358"/>
      <c r="EM140" s="358"/>
      <c r="EN140" s="358"/>
      <c r="EO140" s="358"/>
      <c r="EP140" s="358"/>
      <c r="EQ140" s="358"/>
      <c r="ER140" s="358"/>
      <c r="ES140" s="358"/>
      <c r="ET140" s="358"/>
      <c r="EU140" s="358"/>
      <c r="EV140" s="358"/>
      <c r="EW140" s="358"/>
      <c r="EX140" s="358"/>
      <c r="EY140" s="358"/>
      <c r="EZ140" s="358"/>
      <c r="FA140" s="358"/>
      <c r="FB140" s="358"/>
      <c r="FC140" s="358"/>
      <c r="FD140" s="358"/>
      <c r="FE140" s="358"/>
      <c r="FF140" s="358"/>
      <c r="FG140" s="358"/>
      <c r="FH140" s="358"/>
      <c r="FI140" s="358"/>
      <c r="FJ140" s="358"/>
      <c r="FK140" s="358"/>
      <c r="FL140" s="358"/>
      <c r="FM140" s="358"/>
      <c r="FN140" s="358"/>
      <c r="FO140" s="358"/>
      <c r="FP140" s="358"/>
      <c r="FQ140" s="358"/>
      <c r="FR140" s="358"/>
      <c r="FS140" s="358"/>
      <c r="FT140" s="358"/>
      <c r="FU140" s="358"/>
      <c r="FV140" s="358"/>
      <c r="FW140" s="358"/>
      <c r="FX140" s="358"/>
      <c r="FY140" s="358"/>
      <c r="FZ140" s="358"/>
      <c r="GA140" s="358"/>
      <c r="GB140" s="358"/>
      <c r="GC140" s="358"/>
      <c r="GD140" s="358"/>
      <c r="GE140" s="358"/>
      <c r="GF140" s="358"/>
      <c r="GG140" s="358"/>
      <c r="GH140" s="358"/>
      <c r="GI140" s="358"/>
      <c r="GJ140" s="358"/>
      <c r="GK140" s="358"/>
      <c r="GL140" s="358"/>
      <c r="GM140" s="358"/>
      <c r="GN140" s="358"/>
      <c r="GO140" s="358"/>
      <c r="GP140" s="358"/>
      <c r="GQ140" s="358"/>
      <c r="GR140" s="358"/>
      <c r="GS140" s="358"/>
      <c r="GT140" s="358"/>
      <c r="GU140" s="358"/>
      <c r="GV140" s="358"/>
      <c r="GW140" s="358"/>
      <c r="GX140" s="358"/>
      <c r="GY140" s="358"/>
      <c r="GZ140" s="358"/>
      <c r="HA140" s="358"/>
      <c r="HB140" s="358"/>
      <c r="HC140" s="358"/>
      <c r="HD140" s="358"/>
      <c r="HE140" s="358"/>
      <c r="HF140" s="358"/>
      <c r="HG140" s="358"/>
      <c r="HH140" s="358"/>
      <c r="HI140" s="358"/>
      <c r="HJ140" s="358"/>
      <c r="HK140" s="358"/>
      <c r="HL140" s="358"/>
      <c r="HM140" s="358"/>
      <c r="HN140" s="358"/>
      <c r="HO140" s="358"/>
      <c r="HP140" s="358"/>
      <c r="HQ140" s="358"/>
      <c r="HR140" s="358"/>
      <c r="HS140" s="358"/>
      <c r="HT140" s="358"/>
      <c r="HU140" s="358"/>
      <c r="HV140" s="358"/>
      <c r="HW140" s="358"/>
      <c r="HX140" s="358"/>
      <c r="HY140" s="358"/>
      <c r="HZ140" s="358"/>
      <c r="IA140" s="358"/>
      <c r="IB140" s="358"/>
      <c r="IC140" s="358"/>
      <c r="ID140" s="358"/>
      <c r="IE140" s="358"/>
      <c r="IF140" s="358"/>
      <c r="IG140" s="358"/>
      <c r="IH140" s="358"/>
      <c r="II140" s="358"/>
      <c r="IJ140" s="358"/>
      <c r="IK140" s="358"/>
      <c r="IL140" s="358"/>
      <c r="IM140" s="358"/>
      <c r="IN140" s="358"/>
      <c r="IO140" s="358"/>
      <c r="IP140" s="358"/>
      <c r="IQ140" s="358"/>
    </row>
    <row r="141" customFormat="false" ht="13.5" hidden="true" customHeight="true" outlineLevel="0" collapsed="false">
      <c r="A141" s="108"/>
      <c r="B141" s="402"/>
      <c r="C141" s="159"/>
      <c r="D141" s="203"/>
      <c r="E141" s="311"/>
      <c r="F141" s="160" t="n">
        <f aca="false">IF(ISERROR(VLOOKUP(D140,[31]일용직명단!$A$3:$K$1220,9,FALSE())),0,VLOOKUP(D140,[31]일용직명단!$A$3:$K$1220,9,FALSE()))</f>
        <v>0</v>
      </c>
      <c r="G141" s="405"/>
      <c r="H141" s="406"/>
      <c r="I141" s="405"/>
      <c r="J141" s="136"/>
      <c r="K141" s="407"/>
      <c r="L141" s="136"/>
      <c r="M141" s="408"/>
      <c r="N141" s="408"/>
      <c r="O141" s="114"/>
      <c r="P141" s="409"/>
      <c r="Q141" s="114"/>
      <c r="R141" s="114"/>
      <c r="S141" s="408"/>
      <c r="T141" s="408"/>
      <c r="U141" s="408"/>
      <c r="V141" s="119"/>
      <c r="W141" s="144"/>
      <c r="X141" s="138" t="n">
        <f aca="false">X140*W140</f>
        <v>0</v>
      </c>
      <c r="Y141" s="156" t="n">
        <f aca="false">IF(AI140&lt;1000,0,AI140)</f>
        <v>0</v>
      </c>
      <c r="Z141" s="156" t="n">
        <f aca="false">ROUNDDOWN(Y141*10%,-1)</f>
        <v>0</v>
      </c>
      <c r="AA141" s="156" t="n">
        <f aca="false">IF(AF140&gt;=8,ROUNDDOWN(Z140*$R$4,-1),0)</f>
        <v>0</v>
      </c>
      <c r="AB141" s="145"/>
      <c r="AC141" s="146"/>
      <c r="AD141" s="158" t="n">
        <f aca="false">IF(ISERROR(VLOOKUP(D140,[31]일용직명단!$A$3:$I$1200,7,FALSE())),0,VLOOKUP(D140,[31]일용직명단!$A$3:$I$1200,7,FALSE()))</f>
        <v>0</v>
      </c>
      <c r="AE141" s="158"/>
      <c r="AF141" s="141"/>
      <c r="AG141" s="129"/>
      <c r="AH141" s="129"/>
      <c r="AI141" s="161"/>
      <c r="AJ141" s="130" t="n">
        <f aca="false">IF($X140*G141&gt;150000,($X140*G141-150000)*6%*45%,0)</f>
        <v>0</v>
      </c>
      <c r="AK141" s="130" t="n">
        <f aca="false">IF($X140*H141&gt;150000,($X140*H141-150000)*6%*45%,0)</f>
        <v>0</v>
      </c>
      <c r="AL141" s="130" t="n">
        <f aca="false">IF($X140*I141&gt;150000,($X140*I141-150000)*6%*45%,0)</f>
        <v>0</v>
      </c>
      <c r="AM141" s="130" t="n">
        <f aca="false">IF($X140*J141&gt;150000,($X140*J141-150000)*6%*45%,0)</f>
        <v>0</v>
      </c>
      <c r="AN141" s="130" t="n">
        <f aca="false">IF($X140*K141&gt;150000,($X140*K141-150000)*6%*45%,0)</f>
        <v>0</v>
      </c>
      <c r="AO141" s="130" t="n">
        <f aca="false">IF($X140*L141&gt;150000,($X140*L141-150000)*6%*45%,0)</f>
        <v>0</v>
      </c>
      <c r="AP141" s="130" t="n">
        <f aca="false">IF($X140*M141&gt;150000,($X140*M141-150000)*6%*45%,0)</f>
        <v>0</v>
      </c>
      <c r="AQ141" s="130" t="n">
        <f aca="false">IF($X140*N141&gt;150000,($X140*N141-150000)*6%*45%,0)</f>
        <v>0</v>
      </c>
      <c r="AR141" s="130" t="n">
        <f aca="false">IF($X140*O141&gt;150000,($X140*O141-150000)*6%*45%,0)</f>
        <v>0</v>
      </c>
      <c r="AS141" s="130" t="n">
        <f aca="false">IF($X140*P141&gt;150000,($X140*P141-150000)*6%*45%,0)</f>
        <v>0</v>
      </c>
      <c r="AT141" s="130" t="n">
        <f aca="false">IF($X140*Q141&gt;150000,($X140*Q141-150000)*6%*45%,0)</f>
        <v>0</v>
      </c>
      <c r="AU141" s="130" t="n">
        <f aca="false">IF($X140*R141&gt;150000,($X140*R141-150000)*6%*45%,0)</f>
        <v>0</v>
      </c>
      <c r="AV141" s="130" t="n">
        <f aca="false">IF($X140*S141&gt;150000,($X140*S141-150000)*6%*45%,0)</f>
        <v>0</v>
      </c>
      <c r="AW141" s="130" t="n">
        <f aca="false">IF($X140*T141&gt;150000,($X140*T141-150000)*6%*45%,0)</f>
        <v>0</v>
      </c>
      <c r="AX141" s="130" t="n">
        <f aca="false">IF($X140*U141&gt;150000,($X140*U141-150000)*6%*45%,0)</f>
        <v>0</v>
      </c>
      <c r="AY141" s="130" t="n">
        <f aca="false">IF($X140*V141&gt;150000,($X140*V141-150000)*6%*45%,0)</f>
        <v>0</v>
      </c>
      <c r="AZ141" s="162"/>
      <c r="BA141" s="163"/>
      <c r="BB141" s="163"/>
      <c r="BC141" s="358"/>
      <c r="BD141" s="358"/>
      <c r="BE141" s="358"/>
      <c r="BF141" s="358"/>
      <c r="BG141" s="358"/>
      <c r="BH141" s="358"/>
      <c r="BI141" s="358"/>
      <c r="BJ141" s="358"/>
      <c r="BK141" s="358"/>
      <c r="BL141" s="358"/>
      <c r="BM141" s="358"/>
      <c r="BN141" s="358"/>
      <c r="BO141" s="358"/>
      <c r="BP141" s="358"/>
      <c r="BQ141" s="358"/>
      <c r="BR141" s="358"/>
      <c r="BS141" s="358"/>
      <c r="BT141" s="358"/>
      <c r="BU141" s="358"/>
      <c r="BV141" s="358"/>
      <c r="BW141" s="358"/>
      <c r="BX141" s="358"/>
      <c r="BY141" s="358"/>
      <c r="BZ141" s="358"/>
      <c r="CA141" s="358"/>
      <c r="CB141" s="358"/>
      <c r="CC141" s="358"/>
      <c r="CD141" s="358"/>
      <c r="CE141" s="358"/>
      <c r="CF141" s="358"/>
      <c r="CG141" s="358"/>
      <c r="CH141" s="358"/>
      <c r="CI141" s="358"/>
      <c r="CJ141" s="358"/>
      <c r="CK141" s="358"/>
      <c r="CL141" s="358"/>
      <c r="CM141" s="358"/>
      <c r="CN141" s="358"/>
      <c r="CO141" s="358"/>
      <c r="CP141" s="358"/>
      <c r="CQ141" s="358"/>
      <c r="CR141" s="358"/>
      <c r="CS141" s="358"/>
      <c r="CT141" s="358"/>
      <c r="CU141" s="358"/>
      <c r="CV141" s="358"/>
      <c r="CW141" s="358"/>
      <c r="CX141" s="358"/>
      <c r="CY141" s="358"/>
      <c r="CZ141" s="358"/>
      <c r="DA141" s="358"/>
      <c r="DB141" s="358"/>
      <c r="DC141" s="358"/>
      <c r="DD141" s="358"/>
      <c r="DE141" s="358"/>
      <c r="DF141" s="358"/>
      <c r="DG141" s="358"/>
      <c r="DH141" s="358"/>
      <c r="DI141" s="358"/>
      <c r="DJ141" s="358"/>
      <c r="DK141" s="358"/>
      <c r="DL141" s="358"/>
      <c r="DM141" s="358"/>
      <c r="DN141" s="358"/>
      <c r="DO141" s="358"/>
      <c r="DP141" s="358"/>
      <c r="DQ141" s="358"/>
      <c r="DR141" s="358"/>
      <c r="DS141" s="358"/>
      <c r="DT141" s="358"/>
      <c r="DU141" s="358"/>
      <c r="DV141" s="358"/>
      <c r="DW141" s="358"/>
      <c r="DX141" s="358"/>
      <c r="DY141" s="358"/>
      <c r="DZ141" s="358"/>
      <c r="EA141" s="358"/>
      <c r="EB141" s="358"/>
      <c r="EC141" s="358"/>
      <c r="ED141" s="358"/>
      <c r="EE141" s="358"/>
      <c r="EF141" s="358"/>
      <c r="EG141" s="358"/>
      <c r="EH141" s="358"/>
      <c r="EI141" s="358"/>
      <c r="EJ141" s="358"/>
      <c r="EK141" s="358"/>
      <c r="EL141" s="358"/>
      <c r="EM141" s="358"/>
      <c r="EN141" s="358"/>
      <c r="EO141" s="358"/>
      <c r="EP141" s="358"/>
      <c r="EQ141" s="358"/>
      <c r="ER141" s="358"/>
      <c r="ES141" s="358"/>
      <c r="ET141" s="358"/>
      <c r="EU141" s="358"/>
      <c r="EV141" s="358"/>
      <c r="EW141" s="358"/>
      <c r="EX141" s="358"/>
      <c r="EY141" s="358"/>
      <c r="EZ141" s="358"/>
      <c r="FA141" s="358"/>
      <c r="FB141" s="358"/>
      <c r="FC141" s="358"/>
      <c r="FD141" s="358"/>
      <c r="FE141" s="358"/>
      <c r="FF141" s="358"/>
      <c r="FG141" s="358"/>
      <c r="FH141" s="358"/>
      <c r="FI141" s="358"/>
      <c r="FJ141" s="358"/>
      <c r="FK141" s="358"/>
      <c r="FL141" s="358"/>
      <c r="FM141" s="358"/>
      <c r="FN141" s="358"/>
      <c r="FO141" s="358"/>
      <c r="FP141" s="358"/>
      <c r="FQ141" s="358"/>
      <c r="FR141" s="358"/>
      <c r="FS141" s="358"/>
      <c r="FT141" s="358"/>
      <c r="FU141" s="358"/>
      <c r="FV141" s="358"/>
      <c r="FW141" s="358"/>
      <c r="FX141" s="358"/>
      <c r="FY141" s="358"/>
      <c r="FZ141" s="358"/>
      <c r="GA141" s="358"/>
      <c r="GB141" s="358"/>
      <c r="GC141" s="358"/>
      <c r="GD141" s="358"/>
      <c r="GE141" s="358"/>
      <c r="GF141" s="358"/>
      <c r="GG141" s="358"/>
      <c r="GH141" s="358"/>
      <c r="GI141" s="358"/>
      <c r="GJ141" s="358"/>
      <c r="GK141" s="358"/>
      <c r="GL141" s="358"/>
      <c r="GM141" s="358"/>
      <c r="GN141" s="358"/>
      <c r="GO141" s="358"/>
      <c r="GP141" s="358"/>
      <c r="GQ141" s="358"/>
      <c r="GR141" s="358"/>
      <c r="GS141" s="358"/>
      <c r="GT141" s="358"/>
      <c r="GU141" s="358"/>
      <c r="GV141" s="358"/>
      <c r="GW141" s="358"/>
      <c r="GX141" s="358"/>
      <c r="GY141" s="358"/>
      <c r="GZ141" s="358"/>
      <c r="HA141" s="358"/>
      <c r="HB141" s="358"/>
      <c r="HC141" s="358"/>
      <c r="HD141" s="358"/>
      <c r="HE141" s="358"/>
      <c r="HF141" s="358"/>
      <c r="HG141" s="358"/>
      <c r="HH141" s="358"/>
      <c r="HI141" s="358"/>
      <c r="HJ141" s="358"/>
      <c r="HK141" s="358"/>
      <c r="HL141" s="358"/>
      <c r="HM141" s="358"/>
      <c r="HN141" s="358"/>
      <c r="HO141" s="358"/>
      <c r="HP141" s="358"/>
      <c r="HQ141" s="358"/>
      <c r="HR141" s="358"/>
      <c r="HS141" s="358"/>
      <c r="HT141" s="358"/>
      <c r="HU141" s="358"/>
      <c r="HV141" s="358"/>
      <c r="HW141" s="358"/>
      <c r="HX141" s="358"/>
      <c r="HY141" s="358"/>
      <c r="HZ141" s="358"/>
      <c r="IA141" s="358"/>
      <c r="IB141" s="358"/>
      <c r="IC141" s="358"/>
      <c r="ID141" s="358"/>
      <c r="IE141" s="358"/>
      <c r="IF141" s="358"/>
      <c r="IG141" s="358"/>
      <c r="IH141" s="358"/>
      <c r="II141" s="358"/>
      <c r="IJ141" s="358"/>
      <c r="IK141" s="358"/>
      <c r="IL141" s="358"/>
      <c r="IM141" s="358"/>
      <c r="IN141" s="358"/>
      <c r="IO141" s="358"/>
      <c r="IP141" s="358"/>
      <c r="IQ141" s="358"/>
    </row>
    <row r="142" customFormat="false" ht="13.5" hidden="true" customHeight="true" outlineLevel="0" collapsed="false">
      <c r="A142" s="108" t="n">
        <f aca="false">A140+1</f>
        <v>15</v>
      </c>
      <c r="B142" s="404"/>
      <c r="C142" s="403" t="n">
        <f aca="false">IF(ISERROR(VLOOKUP(D142,[31]일용직명단!$A$3:$I$105,2,FALSE())),0,VLOOKUP(D142,[31]일용직명단!$A$3:$I$105,2,FALSE()))</f>
        <v>0</v>
      </c>
      <c r="D142" s="110"/>
      <c r="E142" s="311" t="n">
        <f aca="false">IF(ISERROR(VLOOKUP(D142,[31]일용직명단!$A$3:$K$1220,3,FALSE())),0,VLOOKUP(D142,[31]일용직명단!$A$3:$K$1220,3,FALSE()))</f>
        <v>0</v>
      </c>
      <c r="F142" s="140" t="n">
        <f aca="false">IF(ISERROR(VLOOKUP(D142,[31]일용직명단!$A$3:$K$1220,4,FALSE())),0,VLOOKUP(D142,[31]일용직명단!$A$3:$K$1220,4,FALSE()))</f>
        <v>0</v>
      </c>
      <c r="G142" s="408"/>
      <c r="H142" s="114"/>
      <c r="I142" s="409"/>
      <c r="J142" s="409"/>
      <c r="K142" s="408"/>
      <c r="L142" s="409"/>
      <c r="M142" s="408"/>
      <c r="N142" s="408"/>
      <c r="O142" s="114"/>
      <c r="P142" s="114"/>
      <c r="Q142" s="408"/>
      <c r="R142" s="114"/>
      <c r="S142" s="409"/>
      <c r="T142" s="114"/>
      <c r="U142" s="409"/>
      <c r="V142" s="119"/>
      <c r="W142" s="144" t="n">
        <f aca="false">SUM(G142:V143)</f>
        <v>0</v>
      </c>
      <c r="X142" s="121" t="n">
        <f aca="false">IF(ISERROR(VLOOKUP(D142,[31]일용직명단!$A$3:$K$1220,8,FALSE())),0,VLOOKUP(D142,[31]일용직명단!$A$3:$K$1220,8,FALSE()))</f>
        <v>0</v>
      </c>
      <c r="Y142" s="123" t="n">
        <f aca="false">IFERROR(IF(AH142&gt;=65,0,ROUNDDOWN(X143*$AA$4,-1)),0)</f>
        <v>0</v>
      </c>
      <c r="Z142" s="123" t="n">
        <f aca="false">IF(AF142&gt;=8,ROUNDDOWN(X143*$N$4,-1),0)</f>
        <v>0</v>
      </c>
      <c r="AA142" s="123" t="n">
        <f aca="false">IFERROR(IF(AND(COUNT(G142:V143)&gt;=8,$AH142&lt;60,X143&lt;=5530000),ROUNDDOWN(ROUNDDOWN(X143,-3)*4.5%,-1),IF(AND(COUNT(G142:V143)&gt;=8,AH142&lt;60,X143&gt;5530000),248850,0)),0)</f>
        <v>0</v>
      </c>
      <c r="AB142" s="145" t="n">
        <f aca="false">+Y142+Z142+Y143+Z143+AA142+AA143</f>
        <v>0</v>
      </c>
      <c r="AC142" s="146" t="n">
        <f aca="false">X143-AB142</f>
        <v>0</v>
      </c>
      <c r="AD142" s="411" t="n">
        <f aca="false">IF(ISERROR(VLOOKUP(D142,[31]일용직명단!$A$3:$I$1200,5,FALSE())),0,VLOOKUP(D142,[31]일용직명단!$A$3:$I$1200,5,FALSE()))</f>
        <v>0</v>
      </c>
      <c r="AE142" s="412" t="n">
        <f aca="false">IF(ISERROR(VLOOKUP(D142,[31]일용직명단!$A$3:$I$1200,6,FALSE())),0,VLOOKUP(D142,[31]일용직명단!$A$3:$I$1200,6,FALSE()))</f>
        <v>0</v>
      </c>
      <c r="AF142" s="149" t="n">
        <f aca="false">COUNT(G142:V143)</f>
        <v>0</v>
      </c>
      <c r="AG142" s="129" t="str">
        <f aca="false">IF(OR(MID(E142,8,1)="1",MID(E142,8,1)="2"),19&amp;LEFT(E142,2),20&amp;LEFT(E142,2))&amp;"-"&amp;MID(E142,3,2)&amp;"-"&amp;MID(E142,5,2)</f>
        <v>200--</v>
      </c>
      <c r="AH142" s="129" t="e">
        <f aca="true">INT((TODAY()-AG142)/365.25)</f>
        <v>#VALUE!</v>
      </c>
      <c r="AI142" s="130" t="n">
        <f aca="false">ROUNDDOWN(SUM(AJ142:AY143),-1)</f>
        <v>0</v>
      </c>
      <c r="AJ142" s="130" t="n">
        <f aca="false">IF($X142*G142&gt;150000,($X142*G142-150000)*6%*45%,0)</f>
        <v>0</v>
      </c>
      <c r="AK142" s="130" t="n">
        <f aca="false">IF($X142*H142&gt;150000,($X142*H142-150000)*6%*45%,0)</f>
        <v>0</v>
      </c>
      <c r="AL142" s="130" t="n">
        <f aca="false">IF($X142*I142&gt;150000,($X142*I142-150000)*6%*45%,0)</f>
        <v>0</v>
      </c>
      <c r="AM142" s="130" t="n">
        <f aca="false">IF($X142*J142&gt;150000,($X142*J142-150000)*6%*45%,0)</f>
        <v>0</v>
      </c>
      <c r="AN142" s="130" t="n">
        <f aca="false">IF($X142*K142&gt;150000,($X142*K142-150000)*6%*45%,0)</f>
        <v>0</v>
      </c>
      <c r="AO142" s="130" t="n">
        <f aca="false">IF($X142*L142&gt;150000,($X142*L142-150000)*6%*45%,0)</f>
        <v>0</v>
      </c>
      <c r="AP142" s="130" t="n">
        <f aca="false">IF($X142*M142&gt;150000,($X142*M142-150000)*6%*45%,0)</f>
        <v>0</v>
      </c>
      <c r="AQ142" s="130" t="n">
        <f aca="false">IF($X142*N142&gt;150000,($X142*N142-150000)*6%*45%,0)</f>
        <v>0</v>
      </c>
      <c r="AR142" s="130" t="n">
        <f aca="false">IF($X142*O142&gt;150000,($X142*O142-150000)*6%*45%,0)</f>
        <v>0</v>
      </c>
      <c r="AS142" s="130" t="n">
        <f aca="false">IF($X142*P142&gt;150000,($X142*P142-150000)*6%*45%,0)</f>
        <v>0</v>
      </c>
      <c r="AT142" s="130" t="n">
        <f aca="false">IF($X142*Q142&gt;150000,($X142*Q142-150000)*6%*45%,0)</f>
        <v>0</v>
      </c>
      <c r="AU142" s="130" t="n">
        <f aca="false">IF($X142*R142&gt;150000,($X142*R142-150000)*6%*45%,0)</f>
        <v>0</v>
      </c>
      <c r="AV142" s="130" t="n">
        <f aca="false">IF($X142*S142&gt;150000,($X142*S142-150000)*6%*45%,0)</f>
        <v>0</v>
      </c>
      <c r="AW142" s="130" t="n">
        <f aca="false">IF($X142*T142&gt;150000,($X142*T142-150000)*6%*45%,0)</f>
        <v>0</v>
      </c>
      <c r="AX142" s="130" t="n">
        <f aca="false">IF($X142*U142&gt;150000,($X142*U142-150000)*6%*45%,0)</f>
        <v>0</v>
      </c>
      <c r="AY142" s="130"/>
      <c r="AZ142" s="131" t="n">
        <f aca="false">IF(ISERROR(VLOOKUP(D142,[32]일용직명단!$A$3:$M$1151,11,FALSE())),0,VLOOKUP(D142,[32]일용직명단!$A$3:$M$1151,11,FALSE()))</f>
        <v>0</v>
      </c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/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  <c r="FW142" s="11"/>
      <c r="FX142" s="11"/>
      <c r="FY142" s="11"/>
      <c r="FZ142" s="11"/>
      <c r="GA142" s="11"/>
      <c r="GB142" s="11"/>
      <c r="GC142" s="11"/>
      <c r="GD142" s="11"/>
      <c r="GE142" s="11"/>
      <c r="GF142" s="11"/>
      <c r="GG142" s="11"/>
      <c r="GH142" s="11"/>
      <c r="GI142" s="11"/>
      <c r="GJ142" s="11"/>
      <c r="GK142" s="11"/>
      <c r="GL142" s="11"/>
      <c r="GM142" s="11"/>
      <c r="GN142" s="11"/>
      <c r="GO142" s="11"/>
      <c r="GP142" s="11"/>
      <c r="GQ142" s="11"/>
      <c r="GR142" s="11"/>
      <c r="GS142" s="11"/>
      <c r="GT142" s="11"/>
      <c r="GU142" s="11"/>
      <c r="GV142" s="11"/>
      <c r="GW142" s="11"/>
      <c r="GX142" s="11"/>
      <c r="GY142" s="11"/>
      <c r="GZ142" s="11"/>
      <c r="HA142" s="11"/>
      <c r="HB142" s="11"/>
      <c r="HC142" s="11"/>
      <c r="HD142" s="11"/>
      <c r="HE142" s="11"/>
      <c r="HF142" s="11"/>
      <c r="HG142" s="11"/>
      <c r="HH142" s="11"/>
      <c r="HI142" s="11"/>
      <c r="HJ142" s="11"/>
      <c r="HK142" s="11"/>
      <c r="HL142" s="11"/>
      <c r="HM142" s="11"/>
      <c r="HN142" s="11"/>
      <c r="HO142" s="11"/>
      <c r="HP142" s="11"/>
      <c r="HQ142" s="11"/>
      <c r="HR142" s="11"/>
      <c r="HS142" s="11"/>
      <c r="HT142" s="11"/>
      <c r="HU142" s="11"/>
      <c r="HV142" s="11"/>
      <c r="HW142" s="11"/>
      <c r="HX142" s="11"/>
      <c r="HY142" s="11"/>
      <c r="HZ142" s="11"/>
      <c r="IA142" s="11"/>
      <c r="IB142" s="11"/>
      <c r="IC142" s="11"/>
      <c r="ID142" s="11"/>
      <c r="IE142" s="11"/>
      <c r="IF142" s="11"/>
      <c r="IG142" s="11"/>
      <c r="IH142" s="11"/>
      <c r="II142" s="11"/>
      <c r="IJ142" s="11"/>
      <c r="IK142" s="11"/>
      <c r="IL142" s="11"/>
      <c r="IM142" s="11"/>
      <c r="IN142" s="11"/>
      <c r="IO142" s="11"/>
      <c r="IP142" s="11"/>
      <c r="IQ142" s="11"/>
      <c r="IR142" s="11"/>
      <c r="IS142" s="11"/>
      <c r="IT142" s="11"/>
      <c r="IU142" s="11"/>
      <c r="IV142" s="11"/>
      <c r="IW142" s="11"/>
    </row>
    <row r="143" customFormat="false" ht="13.5" hidden="true" customHeight="true" outlineLevel="0" collapsed="false">
      <c r="A143" s="108"/>
      <c r="B143" s="404"/>
      <c r="C143" s="403"/>
      <c r="D143" s="110"/>
      <c r="E143" s="311"/>
      <c r="F143" s="140" t="n">
        <f aca="false">IF(ISERROR(VLOOKUP(D142,[31]일용직명단!$A$3:$K$1220,9,FALSE())),0,VLOOKUP(D142,[31]일용직명단!$A$3:$K$1220,9,FALSE()))</f>
        <v>0</v>
      </c>
      <c r="G143" s="405"/>
      <c r="H143" s="406"/>
      <c r="I143" s="405"/>
      <c r="J143" s="136"/>
      <c r="K143" s="407"/>
      <c r="L143" s="136"/>
      <c r="M143" s="408"/>
      <c r="N143" s="408"/>
      <c r="O143" s="114"/>
      <c r="P143" s="409"/>
      <c r="Q143" s="114"/>
      <c r="R143" s="114"/>
      <c r="S143" s="408"/>
      <c r="T143" s="408"/>
      <c r="U143" s="408"/>
      <c r="V143" s="119"/>
      <c r="W143" s="144"/>
      <c r="X143" s="138" t="n">
        <f aca="false">X142*W142</f>
        <v>0</v>
      </c>
      <c r="Y143" s="123" t="n">
        <f aca="false">IF(AI142&lt;1000,0,AI142)</f>
        <v>0</v>
      </c>
      <c r="Z143" s="123" t="n">
        <f aca="false">ROUNDDOWN(Y143*10%,-1)</f>
        <v>0</v>
      </c>
      <c r="AA143" s="123" t="n">
        <f aca="false">IF(AF142&gt;=8,ROUNDDOWN(Z142*$R$4,-1),0)</f>
        <v>0</v>
      </c>
      <c r="AB143" s="145"/>
      <c r="AC143" s="146"/>
      <c r="AD143" s="412" t="n">
        <f aca="false">IF(ISERROR(VLOOKUP(D142,[31]일용직명단!$A$3:$I$1200,7,FALSE())),0,VLOOKUP(D142,[31]일용직명단!$A$3:$I$1200,7,FALSE()))</f>
        <v>0</v>
      </c>
      <c r="AE143" s="412"/>
      <c r="AF143" s="149"/>
      <c r="AG143" s="129"/>
      <c r="AH143" s="129"/>
      <c r="AI143" s="130"/>
      <c r="AJ143" s="130" t="n">
        <f aca="false">IF($X142*G143&gt;150000,($X142*G143-150000)*6%*45%,0)</f>
        <v>0</v>
      </c>
      <c r="AK143" s="130" t="n">
        <f aca="false">IF($X142*H143&gt;150000,($X142*H143-150000)*6%*45%,0)</f>
        <v>0</v>
      </c>
      <c r="AL143" s="130" t="n">
        <f aca="false">IF($X142*I143&gt;150000,($X142*I143-150000)*6%*45%,0)</f>
        <v>0</v>
      </c>
      <c r="AM143" s="130" t="n">
        <f aca="false">IF($X142*J143&gt;150000,($X142*J143-150000)*6%*45%,0)</f>
        <v>0</v>
      </c>
      <c r="AN143" s="130" t="n">
        <f aca="false">IF($X142*K143&gt;150000,($X142*K143-150000)*6%*45%,0)</f>
        <v>0</v>
      </c>
      <c r="AO143" s="130" t="n">
        <f aca="false">IF($X142*L143&gt;150000,($X142*L143-150000)*6%*45%,0)</f>
        <v>0</v>
      </c>
      <c r="AP143" s="130" t="n">
        <f aca="false">IF($X142*M143&gt;150000,($X142*M143-150000)*6%*45%,0)</f>
        <v>0</v>
      </c>
      <c r="AQ143" s="130" t="n">
        <f aca="false">IF($X142*N143&gt;150000,($X142*N143-150000)*6%*45%,0)</f>
        <v>0</v>
      </c>
      <c r="AR143" s="130" t="n">
        <f aca="false">IF($X142*O143&gt;150000,($X142*O143-150000)*6%*45%,0)</f>
        <v>0</v>
      </c>
      <c r="AS143" s="130" t="n">
        <f aca="false">IF($X142*P143&gt;150000,($X142*P143-150000)*6%*45%,0)</f>
        <v>0</v>
      </c>
      <c r="AT143" s="130" t="n">
        <f aca="false">IF($X142*Q143&gt;150000,($X142*Q143-150000)*6%*45%,0)</f>
        <v>0</v>
      </c>
      <c r="AU143" s="130" t="n">
        <f aca="false">IF($X142*R143&gt;150000,($X142*R143-150000)*6%*45%,0)</f>
        <v>0</v>
      </c>
      <c r="AV143" s="130" t="n">
        <f aca="false">IF($X142*S143&gt;150000,($X142*S143-150000)*6%*45%,0)</f>
        <v>0</v>
      </c>
      <c r="AW143" s="130" t="n">
        <f aca="false">IF($X142*T143&gt;150000,($X142*T143-150000)*6%*45%,0)</f>
        <v>0</v>
      </c>
      <c r="AX143" s="130" t="n">
        <f aca="false">IF($X142*U143&gt;150000,($X142*U143-150000)*6%*45%,0)</f>
        <v>0</v>
      </c>
      <c r="AY143" s="130" t="n">
        <f aca="false">IF($X142*V143&gt;150000,($X142*V143-150000)*6%*45%,0)</f>
        <v>0</v>
      </c>
      <c r="AZ143" s="13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1"/>
      <c r="FW143" s="11"/>
      <c r="FX143" s="11"/>
      <c r="FY143" s="11"/>
      <c r="FZ143" s="11"/>
      <c r="GA143" s="11"/>
      <c r="GB143" s="11"/>
      <c r="GC143" s="11"/>
      <c r="GD143" s="11"/>
      <c r="GE143" s="11"/>
      <c r="GF143" s="11"/>
      <c r="GG143" s="11"/>
      <c r="GH143" s="11"/>
      <c r="GI143" s="11"/>
      <c r="GJ143" s="11"/>
      <c r="GK143" s="11"/>
      <c r="GL143" s="11"/>
      <c r="GM143" s="11"/>
      <c r="GN143" s="11"/>
      <c r="GO143" s="11"/>
      <c r="GP143" s="11"/>
      <c r="GQ143" s="11"/>
      <c r="GR143" s="11"/>
      <c r="GS143" s="11"/>
      <c r="GT143" s="11"/>
      <c r="GU143" s="11"/>
      <c r="GV143" s="11"/>
      <c r="GW143" s="11"/>
      <c r="GX143" s="11"/>
      <c r="GY143" s="11"/>
      <c r="GZ143" s="11"/>
      <c r="HA143" s="11"/>
      <c r="HB143" s="11"/>
      <c r="HC143" s="11"/>
      <c r="HD143" s="11"/>
      <c r="HE143" s="11"/>
      <c r="HF143" s="11"/>
      <c r="HG143" s="11"/>
      <c r="HH143" s="11"/>
      <c r="HI143" s="11"/>
      <c r="HJ143" s="11"/>
      <c r="HK143" s="11"/>
      <c r="HL143" s="11"/>
      <c r="HM143" s="11"/>
      <c r="HN143" s="11"/>
      <c r="HO143" s="11"/>
      <c r="HP143" s="11"/>
      <c r="HQ143" s="11"/>
      <c r="HR143" s="11"/>
      <c r="HS143" s="11"/>
      <c r="HT143" s="11"/>
      <c r="HU143" s="11"/>
      <c r="HV143" s="11"/>
      <c r="HW143" s="11"/>
      <c r="HX143" s="11"/>
      <c r="HY143" s="11"/>
      <c r="HZ143" s="11"/>
      <c r="IA143" s="11"/>
      <c r="IB143" s="11"/>
      <c r="IC143" s="11"/>
      <c r="ID143" s="11"/>
      <c r="IE143" s="11"/>
      <c r="IF143" s="11"/>
      <c r="IG143" s="11"/>
      <c r="IH143" s="11"/>
      <c r="II143" s="11"/>
      <c r="IJ143" s="11"/>
      <c r="IK143" s="11"/>
      <c r="IL143" s="11"/>
      <c r="IM143" s="11"/>
      <c r="IN143" s="11"/>
      <c r="IO143" s="11"/>
      <c r="IP143" s="11"/>
      <c r="IQ143" s="11"/>
      <c r="IR143" s="11"/>
      <c r="IS143" s="11"/>
      <c r="IT143" s="11"/>
      <c r="IU143" s="11"/>
      <c r="IV143" s="11"/>
      <c r="IW143" s="11"/>
    </row>
    <row r="144" customFormat="false" ht="13.5" hidden="true" customHeight="true" outlineLevel="0" collapsed="false">
      <c r="A144" s="108" t="n">
        <f aca="false">A142+1</f>
        <v>16</v>
      </c>
      <c r="B144" s="402"/>
      <c r="C144" s="159"/>
      <c r="D144" s="206"/>
      <c r="E144" s="311" t="n">
        <f aca="false">IF(ISERROR(VLOOKUP(D144,[31]일용직명단!$A$3:$K$1220,3,FALSE())),0,VLOOKUP(D144,[31]일용직명단!$A$3:$K$1220,3,FALSE()))</f>
        <v>0</v>
      </c>
      <c r="F144" s="164" t="n">
        <f aca="false">IF(ISERROR(VLOOKUP(D144,[31]일용직명단!$A$3:$K$1220,4,FALSE())),0,VLOOKUP(D144,[31]일용직명단!$A$3:$K$1220,4,FALSE()))</f>
        <v>0</v>
      </c>
      <c r="G144" s="408"/>
      <c r="H144" s="114"/>
      <c r="I144" s="409"/>
      <c r="J144" s="409"/>
      <c r="K144" s="408"/>
      <c r="L144" s="409"/>
      <c r="M144" s="408"/>
      <c r="N144" s="408"/>
      <c r="O144" s="114"/>
      <c r="P144" s="114"/>
      <c r="Q144" s="408"/>
      <c r="R144" s="114"/>
      <c r="S144" s="409"/>
      <c r="T144" s="114"/>
      <c r="U144" s="409"/>
      <c r="V144" s="119"/>
      <c r="W144" s="144" t="n">
        <f aca="false">SUM(G144:V145)</f>
        <v>0</v>
      </c>
      <c r="X144" s="121" t="n">
        <f aca="false">IF(ISERROR(VLOOKUP(D144,[31]일용직명단!$A$3:$K$1220,8,FALSE())),0,VLOOKUP(D144,[31]일용직명단!$A$3:$K$1220,8,FALSE()))</f>
        <v>0</v>
      </c>
      <c r="Y144" s="123" t="n">
        <f aca="false">IFERROR(IF(AH144&gt;=65,0,ROUNDDOWN(X145*$AA$4,-1)),0)</f>
        <v>0</v>
      </c>
      <c r="Z144" s="123" t="n">
        <f aca="false">IF(AF144&gt;=8,ROUNDDOWN(X145*$N$4,-1),0)</f>
        <v>0</v>
      </c>
      <c r="AA144" s="123" t="n">
        <f aca="false">IFERROR(IF(AND(COUNT(G144:V145)&gt;=8,$AH144&lt;60,X145&lt;=5530000),ROUNDDOWN(ROUNDDOWN(X145,-3)*4.5%,-1),IF(AND(COUNT(G144:V145)&gt;=8,AH144&lt;60,X145&gt;5530000),248850,0)),0)</f>
        <v>0</v>
      </c>
      <c r="AB144" s="145" t="n">
        <f aca="false">+Y144+Z144+Y145+Z145+AA144+AA145</f>
        <v>0</v>
      </c>
      <c r="AC144" s="146" t="n">
        <f aca="false">X145-AB144</f>
        <v>0</v>
      </c>
      <c r="AD144" s="411" t="n">
        <f aca="false">IF(ISERROR(VLOOKUP(D144,[31]일용직명단!$A$3:$I$1200,5,FALSE())),0,VLOOKUP(D144,[31]일용직명단!$A$3:$I$1200,5,FALSE()))</f>
        <v>0</v>
      </c>
      <c r="AE144" s="412" t="n">
        <f aca="false">IF(ISERROR(VLOOKUP(D144,[31]일용직명단!$A$3:$I$1200,6,FALSE())),0,VLOOKUP(D144,[31]일용직명단!$A$3:$I$1200,6,FALSE()))</f>
        <v>0</v>
      </c>
      <c r="AF144" s="128" t="n">
        <f aca="false">COUNT(G144:V145)</f>
        <v>0</v>
      </c>
      <c r="AG144" s="129" t="str">
        <f aca="false">IF(OR(MID(E144,8,1)="1",MID(E144,8,1)="2"),19&amp;LEFT(E144,2),20&amp;LEFT(E144,2))&amp;"-"&amp;MID(E144,3,2)&amp;"-"&amp;MID(E144,5,2)</f>
        <v>200--</v>
      </c>
      <c r="AH144" s="129" t="e">
        <f aca="true">INT((TODAY()-AG144)/365.25)</f>
        <v>#VALUE!</v>
      </c>
      <c r="AI144" s="130" t="n">
        <f aca="false">ROUNDDOWN(SUM(AJ144:AY145),-1)</f>
        <v>0</v>
      </c>
      <c r="AJ144" s="130" t="n">
        <f aca="false">IF($X144*G144&gt;150000,($X144*G144-150000)*6%*45%,0)</f>
        <v>0</v>
      </c>
      <c r="AK144" s="130" t="n">
        <f aca="false">IF($X144*H144&gt;150000,($X144*H144-150000)*6%*45%,0)</f>
        <v>0</v>
      </c>
      <c r="AL144" s="130" t="n">
        <f aca="false">IF($X144*I144&gt;150000,($X144*I144-150000)*6%*45%,0)</f>
        <v>0</v>
      </c>
      <c r="AM144" s="130" t="n">
        <f aca="false">IF($X144*J144&gt;150000,($X144*J144-150000)*6%*45%,0)</f>
        <v>0</v>
      </c>
      <c r="AN144" s="130" t="n">
        <f aca="false">IF($X144*K144&gt;150000,($X144*K144-150000)*6%*45%,0)</f>
        <v>0</v>
      </c>
      <c r="AO144" s="130" t="n">
        <f aca="false">IF($X144*L144&gt;150000,($X144*L144-150000)*6%*45%,0)</f>
        <v>0</v>
      </c>
      <c r="AP144" s="130" t="n">
        <f aca="false">IF($X144*M144&gt;150000,($X144*M144-150000)*6%*45%,0)</f>
        <v>0</v>
      </c>
      <c r="AQ144" s="130" t="n">
        <f aca="false">IF($X144*N144&gt;150000,($X144*N144-150000)*6%*45%,0)</f>
        <v>0</v>
      </c>
      <c r="AR144" s="130" t="n">
        <f aca="false">IF($X144*O144&gt;150000,($X144*O144-150000)*6%*45%,0)</f>
        <v>0</v>
      </c>
      <c r="AS144" s="130" t="n">
        <f aca="false">IF($X144*P144&gt;150000,($X144*P144-150000)*6%*45%,0)</f>
        <v>0</v>
      </c>
      <c r="AT144" s="130" t="n">
        <f aca="false">IF($X144*Q144&gt;150000,($X144*Q144-150000)*6%*45%,0)</f>
        <v>0</v>
      </c>
      <c r="AU144" s="130" t="n">
        <f aca="false">IF($X144*R144&gt;150000,($X144*R144-150000)*6%*45%,0)</f>
        <v>0</v>
      </c>
      <c r="AV144" s="130" t="n">
        <f aca="false">IF($X144*S144&gt;150000,($X144*S144-150000)*6%*45%,0)</f>
        <v>0</v>
      </c>
      <c r="AW144" s="130" t="n">
        <f aca="false">IF($X144*T144&gt;150000,($X144*T144-150000)*6%*45%,0)</f>
        <v>0</v>
      </c>
      <c r="AX144" s="130" t="n">
        <f aca="false">IF($X144*U144&gt;150000,($X144*U144-150000)*6%*45%,0)</f>
        <v>0</v>
      </c>
      <c r="AY144" s="130"/>
      <c r="AZ144" s="131" t="n">
        <f aca="false">IF(ISERROR(VLOOKUP(#REF!,[32]일용직명단!$A$3:$M$1151,11,FALSE())),0,VLOOKUP(#REF!,[32]일용직명단!$A$3:$M$1151,11,FALSE()))</f>
        <v>0</v>
      </c>
      <c r="BA144" s="11"/>
      <c r="BB144" s="11"/>
      <c r="BC144" s="358"/>
      <c r="BD144" s="358"/>
      <c r="BE144" s="358"/>
      <c r="BF144" s="358"/>
      <c r="BG144" s="358"/>
      <c r="BH144" s="358"/>
      <c r="BI144" s="358"/>
      <c r="BJ144" s="358"/>
      <c r="BK144" s="358"/>
      <c r="BL144" s="358"/>
      <c r="BM144" s="358"/>
      <c r="BN144" s="358"/>
      <c r="BO144" s="358"/>
      <c r="BP144" s="358"/>
      <c r="BQ144" s="358"/>
      <c r="BR144" s="358"/>
      <c r="BS144" s="358"/>
      <c r="BT144" s="358"/>
      <c r="BU144" s="358"/>
      <c r="BV144" s="358"/>
      <c r="BW144" s="358"/>
      <c r="BX144" s="358"/>
      <c r="BY144" s="358"/>
      <c r="BZ144" s="358"/>
      <c r="CA144" s="358"/>
      <c r="CB144" s="358"/>
      <c r="CC144" s="358"/>
      <c r="CD144" s="358"/>
      <c r="CE144" s="358"/>
      <c r="CF144" s="358"/>
      <c r="CG144" s="358"/>
      <c r="CH144" s="358"/>
      <c r="CI144" s="358"/>
      <c r="CJ144" s="358"/>
      <c r="CK144" s="358"/>
      <c r="CL144" s="358"/>
      <c r="CM144" s="358"/>
      <c r="CN144" s="358"/>
      <c r="CO144" s="358"/>
      <c r="CP144" s="358"/>
      <c r="CQ144" s="358"/>
      <c r="CR144" s="358"/>
      <c r="CS144" s="358"/>
      <c r="CT144" s="358"/>
      <c r="CU144" s="358"/>
      <c r="CV144" s="358"/>
      <c r="CW144" s="358"/>
      <c r="CX144" s="358"/>
      <c r="CY144" s="358"/>
      <c r="CZ144" s="358"/>
      <c r="DA144" s="358"/>
      <c r="DB144" s="358"/>
      <c r="DC144" s="358"/>
      <c r="DD144" s="358"/>
      <c r="DE144" s="358"/>
      <c r="DF144" s="358"/>
      <c r="DG144" s="358"/>
      <c r="DH144" s="358"/>
      <c r="DI144" s="358"/>
      <c r="DJ144" s="358"/>
      <c r="DK144" s="358"/>
      <c r="DL144" s="358"/>
      <c r="DM144" s="358"/>
      <c r="DN144" s="358"/>
      <c r="DO144" s="358"/>
      <c r="DP144" s="358"/>
      <c r="DQ144" s="358"/>
      <c r="DR144" s="358"/>
      <c r="DS144" s="358"/>
      <c r="DT144" s="358"/>
      <c r="DU144" s="358"/>
      <c r="DV144" s="358"/>
      <c r="DW144" s="358"/>
      <c r="DX144" s="358"/>
      <c r="DY144" s="358"/>
      <c r="DZ144" s="358"/>
      <c r="EA144" s="358"/>
      <c r="EB144" s="358"/>
      <c r="EC144" s="358"/>
      <c r="ED144" s="358"/>
      <c r="EE144" s="358"/>
      <c r="EF144" s="358"/>
      <c r="EG144" s="358"/>
      <c r="EH144" s="358"/>
      <c r="EI144" s="358"/>
      <c r="EJ144" s="358"/>
      <c r="EK144" s="358"/>
      <c r="EL144" s="358"/>
      <c r="EM144" s="358"/>
      <c r="EN144" s="358"/>
      <c r="EO144" s="358"/>
      <c r="EP144" s="358"/>
      <c r="EQ144" s="358"/>
      <c r="ER144" s="358"/>
      <c r="ES144" s="358"/>
      <c r="ET144" s="358"/>
      <c r="EU144" s="358"/>
      <c r="EV144" s="358"/>
      <c r="EW144" s="358"/>
      <c r="EX144" s="358"/>
      <c r="EY144" s="358"/>
      <c r="EZ144" s="358"/>
      <c r="FA144" s="358"/>
      <c r="FB144" s="358"/>
      <c r="FC144" s="358"/>
      <c r="FD144" s="358"/>
      <c r="FE144" s="358"/>
      <c r="FF144" s="358"/>
      <c r="FG144" s="358"/>
      <c r="FH144" s="358"/>
      <c r="FI144" s="358"/>
      <c r="FJ144" s="358"/>
      <c r="FK144" s="358"/>
      <c r="FL144" s="358"/>
      <c r="FM144" s="358"/>
      <c r="FN144" s="358"/>
      <c r="FO144" s="358"/>
      <c r="FP144" s="358"/>
      <c r="FQ144" s="358"/>
      <c r="FR144" s="358"/>
      <c r="FS144" s="358"/>
      <c r="FT144" s="358"/>
      <c r="FU144" s="358"/>
      <c r="FV144" s="358"/>
      <c r="FW144" s="358"/>
      <c r="FX144" s="358"/>
      <c r="FY144" s="358"/>
      <c r="FZ144" s="358"/>
      <c r="GA144" s="358"/>
      <c r="GB144" s="358"/>
      <c r="GC144" s="358"/>
      <c r="GD144" s="358"/>
      <c r="GE144" s="358"/>
      <c r="GF144" s="358"/>
      <c r="GG144" s="358"/>
      <c r="GH144" s="358"/>
      <c r="GI144" s="358"/>
      <c r="GJ144" s="358"/>
      <c r="GK144" s="358"/>
      <c r="GL144" s="358"/>
      <c r="GM144" s="358"/>
      <c r="GN144" s="358"/>
      <c r="GO144" s="358"/>
      <c r="GP144" s="358"/>
      <c r="GQ144" s="358"/>
      <c r="GR144" s="358"/>
      <c r="GS144" s="358"/>
      <c r="GT144" s="358"/>
      <c r="GU144" s="358"/>
      <c r="GV144" s="358"/>
      <c r="GW144" s="358"/>
      <c r="GX144" s="358"/>
      <c r="GY144" s="358"/>
      <c r="GZ144" s="358"/>
      <c r="HA144" s="358"/>
      <c r="HB144" s="358"/>
      <c r="HC144" s="358"/>
      <c r="HD144" s="358"/>
      <c r="HE144" s="358"/>
      <c r="HF144" s="358"/>
      <c r="HG144" s="358"/>
      <c r="HH144" s="358"/>
      <c r="HI144" s="358"/>
      <c r="HJ144" s="358"/>
      <c r="HK144" s="358"/>
      <c r="HL144" s="358"/>
      <c r="HM144" s="358"/>
      <c r="HN144" s="358"/>
      <c r="HO144" s="358"/>
      <c r="HP144" s="358"/>
      <c r="HQ144" s="358"/>
      <c r="HR144" s="358"/>
      <c r="HS144" s="358"/>
      <c r="HT144" s="358"/>
      <c r="HU144" s="358"/>
      <c r="HV144" s="358"/>
      <c r="HW144" s="358"/>
      <c r="HX144" s="358"/>
      <c r="HY144" s="358"/>
      <c r="HZ144" s="358"/>
      <c r="IA144" s="358"/>
      <c r="IB144" s="358"/>
      <c r="IC144" s="358"/>
      <c r="ID144" s="358"/>
      <c r="IE144" s="358"/>
      <c r="IF144" s="358"/>
      <c r="IG144" s="358"/>
      <c r="IH144" s="358"/>
      <c r="II144" s="358"/>
      <c r="IJ144" s="358"/>
      <c r="IK144" s="358"/>
      <c r="IL144" s="358"/>
      <c r="IM144" s="358"/>
      <c r="IN144" s="358"/>
      <c r="IO144" s="358"/>
      <c r="IP144" s="358"/>
      <c r="IQ144" s="358"/>
    </row>
    <row r="145" customFormat="false" ht="13.5" hidden="true" customHeight="true" outlineLevel="0" collapsed="false">
      <c r="A145" s="108"/>
      <c r="B145" s="402"/>
      <c r="C145" s="159"/>
      <c r="D145" s="206"/>
      <c r="E145" s="311"/>
      <c r="F145" s="164" t="n">
        <f aca="false">IF(ISERROR(VLOOKUP(D144,[31]일용직명단!$A$3:$K$1220,9,FALSE())),0,VLOOKUP(D144,[31]일용직명단!$A$3:$K$1220,9,FALSE()))</f>
        <v>0</v>
      </c>
      <c r="G145" s="405"/>
      <c r="H145" s="406"/>
      <c r="I145" s="405"/>
      <c r="J145" s="136"/>
      <c r="K145" s="407"/>
      <c r="L145" s="136"/>
      <c r="M145" s="408"/>
      <c r="N145" s="408"/>
      <c r="O145" s="114"/>
      <c r="P145" s="409"/>
      <c r="Q145" s="114"/>
      <c r="R145" s="114"/>
      <c r="S145" s="408"/>
      <c r="T145" s="408"/>
      <c r="U145" s="408"/>
      <c r="V145" s="119"/>
      <c r="W145" s="144"/>
      <c r="X145" s="138" t="n">
        <f aca="false">X144*W144</f>
        <v>0</v>
      </c>
      <c r="Y145" s="123" t="n">
        <f aca="false">IF(AI144&lt;1000,0,AI144)</f>
        <v>0</v>
      </c>
      <c r="Z145" s="123" t="n">
        <f aca="false">ROUNDDOWN(Y145*10%,-1)</f>
        <v>0</v>
      </c>
      <c r="AA145" s="123" t="n">
        <f aca="false">IF(AF144&gt;=8,ROUNDDOWN(Z144*$R$4,-1),0)</f>
        <v>0</v>
      </c>
      <c r="AB145" s="145"/>
      <c r="AC145" s="146"/>
      <c r="AD145" s="412" t="n">
        <f aca="false">IF(ISERROR(VLOOKUP(D144,[31]일용직명단!$A$3:$I$1200,7,FALSE())),0,VLOOKUP(D144,[31]일용직명단!$A$3:$I$1200,7,FALSE()))</f>
        <v>0</v>
      </c>
      <c r="AE145" s="412"/>
      <c r="AF145" s="128"/>
      <c r="AG145" s="129"/>
      <c r="AH145" s="129"/>
      <c r="AI145" s="130"/>
      <c r="AJ145" s="130" t="n">
        <f aca="false">IF($X144*G145&gt;150000,($X144*G145-150000)*6%*45%,0)</f>
        <v>0</v>
      </c>
      <c r="AK145" s="130" t="n">
        <f aca="false">IF($X144*H145&gt;150000,($X144*H145-150000)*6%*45%,0)</f>
        <v>0</v>
      </c>
      <c r="AL145" s="130" t="n">
        <f aca="false">IF($X144*I145&gt;150000,($X144*I145-150000)*6%*45%,0)</f>
        <v>0</v>
      </c>
      <c r="AM145" s="130" t="n">
        <f aca="false">IF($X144*J145&gt;150000,($X144*J145-150000)*6%*45%,0)</f>
        <v>0</v>
      </c>
      <c r="AN145" s="130" t="n">
        <f aca="false">IF($X144*K145&gt;150000,($X144*K145-150000)*6%*45%,0)</f>
        <v>0</v>
      </c>
      <c r="AO145" s="130" t="n">
        <f aca="false">IF($X144*L145&gt;150000,($X144*L145-150000)*6%*45%,0)</f>
        <v>0</v>
      </c>
      <c r="AP145" s="130" t="n">
        <f aca="false">IF($X144*M145&gt;150000,($X144*M145-150000)*6%*45%,0)</f>
        <v>0</v>
      </c>
      <c r="AQ145" s="130" t="n">
        <f aca="false">IF($X144*N145&gt;150000,($X144*N145-150000)*6%*45%,0)</f>
        <v>0</v>
      </c>
      <c r="AR145" s="130" t="n">
        <f aca="false">IF($X144*O145&gt;150000,($X144*O145-150000)*6%*45%,0)</f>
        <v>0</v>
      </c>
      <c r="AS145" s="130" t="n">
        <f aca="false">IF($X144*P145&gt;150000,($X144*P145-150000)*6%*45%,0)</f>
        <v>0</v>
      </c>
      <c r="AT145" s="130" t="n">
        <f aca="false">IF($X144*Q145&gt;150000,($X144*Q145-150000)*6%*45%,0)</f>
        <v>0</v>
      </c>
      <c r="AU145" s="130" t="n">
        <f aca="false">IF($X144*R145&gt;150000,($X144*R145-150000)*6%*45%,0)</f>
        <v>0</v>
      </c>
      <c r="AV145" s="130" t="n">
        <f aca="false">IF($X144*S145&gt;150000,($X144*S145-150000)*6%*45%,0)</f>
        <v>0</v>
      </c>
      <c r="AW145" s="130" t="n">
        <f aca="false">IF($X144*T145&gt;150000,($X144*T145-150000)*6%*45%,0)</f>
        <v>0</v>
      </c>
      <c r="AX145" s="130" t="n">
        <f aca="false">IF($X144*U145&gt;150000,($X144*U145-150000)*6%*45%,0)</f>
        <v>0</v>
      </c>
      <c r="AY145" s="130" t="n">
        <f aca="false">IF($X144*V145&gt;150000,($X144*V145-150000)*6%*45%,0)</f>
        <v>0</v>
      </c>
      <c r="AZ145" s="131"/>
      <c r="BA145" s="11"/>
      <c r="BB145" s="11"/>
      <c r="BC145" s="358"/>
      <c r="BD145" s="358"/>
      <c r="BE145" s="358"/>
      <c r="BF145" s="358"/>
      <c r="BG145" s="358"/>
      <c r="BH145" s="358"/>
      <c r="BI145" s="358"/>
      <c r="BJ145" s="358"/>
      <c r="BK145" s="358"/>
      <c r="BL145" s="358"/>
      <c r="BM145" s="358"/>
      <c r="BN145" s="358"/>
      <c r="BO145" s="358"/>
      <c r="BP145" s="358"/>
      <c r="BQ145" s="358"/>
      <c r="BR145" s="358"/>
      <c r="BS145" s="358"/>
      <c r="BT145" s="358"/>
      <c r="BU145" s="358"/>
      <c r="BV145" s="358"/>
      <c r="BW145" s="358"/>
      <c r="BX145" s="358"/>
      <c r="BY145" s="358"/>
      <c r="BZ145" s="358"/>
      <c r="CA145" s="358"/>
      <c r="CB145" s="358"/>
      <c r="CC145" s="358"/>
      <c r="CD145" s="358"/>
      <c r="CE145" s="358"/>
      <c r="CF145" s="358"/>
      <c r="CG145" s="358"/>
      <c r="CH145" s="358"/>
      <c r="CI145" s="358"/>
      <c r="CJ145" s="358"/>
      <c r="CK145" s="358"/>
      <c r="CL145" s="358"/>
      <c r="CM145" s="358"/>
      <c r="CN145" s="358"/>
      <c r="CO145" s="358"/>
      <c r="CP145" s="358"/>
      <c r="CQ145" s="358"/>
      <c r="CR145" s="358"/>
      <c r="CS145" s="358"/>
      <c r="CT145" s="358"/>
      <c r="CU145" s="358"/>
      <c r="CV145" s="358"/>
      <c r="CW145" s="358"/>
      <c r="CX145" s="358"/>
      <c r="CY145" s="358"/>
      <c r="CZ145" s="358"/>
      <c r="DA145" s="358"/>
      <c r="DB145" s="358"/>
      <c r="DC145" s="358"/>
      <c r="DD145" s="358"/>
      <c r="DE145" s="358"/>
      <c r="DF145" s="358"/>
      <c r="DG145" s="358"/>
      <c r="DH145" s="358"/>
      <c r="DI145" s="358"/>
      <c r="DJ145" s="358"/>
      <c r="DK145" s="358"/>
      <c r="DL145" s="358"/>
      <c r="DM145" s="358"/>
      <c r="DN145" s="358"/>
      <c r="DO145" s="358"/>
      <c r="DP145" s="358"/>
      <c r="DQ145" s="358"/>
      <c r="DR145" s="358"/>
      <c r="DS145" s="358"/>
      <c r="DT145" s="358"/>
      <c r="DU145" s="358"/>
      <c r="DV145" s="358"/>
      <c r="DW145" s="358"/>
      <c r="DX145" s="358"/>
      <c r="DY145" s="358"/>
      <c r="DZ145" s="358"/>
      <c r="EA145" s="358"/>
      <c r="EB145" s="358"/>
      <c r="EC145" s="358"/>
      <c r="ED145" s="358"/>
      <c r="EE145" s="358"/>
      <c r="EF145" s="358"/>
      <c r="EG145" s="358"/>
      <c r="EH145" s="358"/>
      <c r="EI145" s="358"/>
      <c r="EJ145" s="358"/>
      <c r="EK145" s="358"/>
      <c r="EL145" s="358"/>
      <c r="EM145" s="358"/>
      <c r="EN145" s="358"/>
      <c r="EO145" s="358"/>
      <c r="EP145" s="358"/>
      <c r="EQ145" s="358"/>
      <c r="ER145" s="358"/>
      <c r="ES145" s="358"/>
      <c r="ET145" s="358"/>
      <c r="EU145" s="358"/>
      <c r="EV145" s="358"/>
      <c r="EW145" s="358"/>
      <c r="EX145" s="358"/>
      <c r="EY145" s="358"/>
      <c r="EZ145" s="358"/>
      <c r="FA145" s="358"/>
      <c r="FB145" s="358"/>
      <c r="FC145" s="358"/>
      <c r="FD145" s="358"/>
      <c r="FE145" s="358"/>
      <c r="FF145" s="358"/>
      <c r="FG145" s="358"/>
      <c r="FH145" s="358"/>
      <c r="FI145" s="358"/>
      <c r="FJ145" s="358"/>
      <c r="FK145" s="358"/>
      <c r="FL145" s="358"/>
      <c r="FM145" s="358"/>
      <c r="FN145" s="358"/>
      <c r="FO145" s="358"/>
      <c r="FP145" s="358"/>
      <c r="FQ145" s="358"/>
      <c r="FR145" s="358"/>
      <c r="FS145" s="358"/>
      <c r="FT145" s="358"/>
      <c r="FU145" s="358"/>
      <c r="FV145" s="358"/>
      <c r="FW145" s="358"/>
      <c r="FX145" s="358"/>
      <c r="FY145" s="358"/>
      <c r="FZ145" s="358"/>
      <c r="GA145" s="358"/>
      <c r="GB145" s="358"/>
      <c r="GC145" s="358"/>
      <c r="GD145" s="358"/>
      <c r="GE145" s="358"/>
      <c r="GF145" s="358"/>
      <c r="GG145" s="358"/>
      <c r="GH145" s="358"/>
      <c r="GI145" s="358"/>
      <c r="GJ145" s="358"/>
      <c r="GK145" s="358"/>
      <c r="GL145" s="358"/>
      <c r="GM145" s="358"/>
      <c r="GN145" s="358"/>
      <c r="GO145" s="358"/>
      <c r="GP145" s="358"/>
      <c r="GQ145" s="358"/>
      <c r="GR145" s="358"/>
      <c r="GS145" s="358"/>
      <c r="GT145" s="358"/>
      <c r="GU145" s="358"/>
      <c r="GV145" s="358"/>
      <c r="GW145" s="358"/>
      <c r="GX145" s="358"/>
      <c r="GY145" s="358"/>
      <c r="GZ145" s="358"/>
      <c r="HA145" s="358"/>
      <c r="HB145" s="358"/>
      <c r="HC145" s="358"/>
      <c r="HD145" s="358"/>
      <c r="HE145" s="358"/>
      <c r="HF145" s="358"/>
      <c r="HG145" s="358"/>
      <c r="HH145" s="358"/>
      <c r="HI145" s="358"/>
      <c r="HJ145" s="358"/>
      <c r="HK145" s="358"/>
      <c r="HL145" s="358"/>
      <c r="HM145" s="358"/>
      <c r="HN145" s="358"/>
      <c r="HO145" s="358"/>
      <c r="HP145" s="358"/>
      <c r="HQ145" s="358"/>
      <c r="HR145" s="358"/>
      <c r="HS145" s="358"/>
      <c r="HT145" s="358"/>
      <c r="HU145" s="358"/>
      <c r="HV145" s="358"/>
      <c r="HW145" s="358"/>
      <c r="HX145" s="358"/>
      <c r="HY145" s="358"/>
      <c r="HZ145" s="358"/>
      <c r="IA145" s="358"/>
      <c r="IB145" s="358"/>
      <c r="IC145" s="358"/>
      <c r="ID145" s="358"/>
      <c r="IE145" s="358"/>
      <c r="IF145" s="358"/>
      <c r="IG145" s="358"/>
      <c r="IH145" s="358"/>
      <c r="II145" s="358"/>
      <c r="IJ145" s="358"/>
      <c r="IK145" s="358"/>
      <c r="IL145" s="358"/>
      <c r="IM145" s="358"/>
      <c r="IN145" s="358"/>
      <c r="IO145" s="358"/>
      <c r="IP145" s="358"/>
      <c r="IQ145" s="358"/>
    </row>
    <row r="146" customFormat="false" ht="13.5" hidden="true" customHeight="true" outlineLevel="0" collapsed="false">
      <c r="A146" s="108" t="n">
        <f aca="false">A144+1</f>
        <v>17</v>
      </c>
      <c r="B146" s="389" t="e">
        <f aca="false">#REF!+1</f>
        <v>#REF!</v>
      </c>
      <c r="C146" s="159" t="n">
        <f aca="false">IF(ISERROR(VLOOKUP(D146,[31]일용직명단!$A$3:$I$105,2,FALSE())),0,VLOOKUP(D146,[31]일용직명단!$A$3:$I$105,2,FALSE()))</f>
        <v>0</v>
      </c>
      <c r="D146" s="290"/>
      <c r="E146" s="311" t="n">
        <f aca="false">IF(ISERROR(VLOOKUP(D146,[31]일용직명단!$A$3:$K$1220,3,FALSE())),0,VLOOKUP(D146,[31]일용직명단!$A$3:$K$1220,3,FALSE()))</f>
        <v>0</v>
      </c>
      <c r="F146" s="164" t="n">
        <f aca="false">IF(ISERROR(VLOOKUP(D146,[31]일용직명단!$A$3:$K$1220,4,FALSE())),0,VLOOKUP(D146,[31]일용직명단!$A$3:$K$1220,4,FALSE()))</f>
        <v>0</v>
      </c>
      <c r="G146" s="408"/>
      <c r="H146" s="114"/>
      <c r="I146" s="409"/>
      <c r="J146" s="409"/>
      <c r="K146" s="408"/>
      <c r="L146" s="409"/>
      <c r="M146" s="408"/>
      <c r="N146" s="408"/>
      <c r="O146" s="114"/>
      <c r="P146" s="114"/>
      <c r="Q146" s="408"/>
      <c r="R146" s="114"/>
      <c r="S146" s="409"/>
      <c r="T146" s="114"/>
      <c r="U146" s="409"/>
      <c r="V146" s="119"/>
      <c r="W146" s="144" t="n">
        <f aca="false">SUM(G146:V147)</f>
        <v>0</v>
      </c>
      <c r="X146" s="121" t="n">
        <f aca="false">IF(ISERROR(VLOOKUP(D146,[31]일용직명단!$A$3:$K$1220,8,FALSE())),0,VLOOKUP(D146,[31]일용직명단!$A$3:$K$1220,8,FALSE()))</f>
        <v>0</v>
      </c>
      <c r="Y146" s="123" t="n">
        <f aca="false">IFERROR(IF(AH146&gt;=65,0,ROUNDDOWN(X147*$AA$4,-1)),0)</f>
        <v>0</v>
      </c>
      <c r="Z146" s="123" t="n">
        <f aca="false">IF(AF146&gt;=8,ROUNDDOWN(X147*$N$4,-1),0)</f>
        <v>0</v>
      </c>
      <c r="AA146" s="123" t="n">
        <f aca="false">IFERROR(IF(AND(COUNT(G146:V147)&gt;=8,$AH146&lt;60,X147&lt;=5530000),ROUNDDOWN(ROUNDDOWN(X147,-3)*4.5%,-1),IF(AND(COUNT(G146:V147)&gt;=8,AH146&lt;60,X147&gt;5530000),248850,0)),0)</f>
        <v>0</v>
      </c>
      <c r="AB146" s="145" t="n">
        <f aca="false">+Y146+Z146+Y147+Z147+AA146+AA147</f>
        <v>0</v>
      </c>
      <c r="AC146" s="146" t="n">
        <f aca="false">X147-AB146</f>
        <v>0</v>
      </c>
      <c r="AD146" s="411" t="n">
        <f aca="false">IF(ISERROR(VLOOKUP(D146,[31]일용직명단!$A$3:$I$1200,5,FALSE())),0,VLOOKUP(D146,[31]일용직명단!$A$3:$I$1200,5,FALSE()))</f>
        <v>0</v>
      </c>
      <c r="AE146" s="412" t="n">
        <f aca="false">IF(ISERROR(VLOOKUP(D146,[31]일용직명단!$A$3:$I$1200,6,FALSE())),0,VLOOKUP(D146,[31]일용직명단!$A$3:$I$1200,6,FALSE()))</f>
        <v>0</v>
      </c>
      <c r="AF146" s="128" t="n">
        <f aca="false">COUNT(G146:V147)</f>
        <v>0</v>
      </c>
      <c r="AG146" s="129" t="str">
        <f aca="false">IF(OR(MID(E146,8,1)="1",MID(E146,8,1)="2"),19&amp;LEFT(E146,2),20&amp;LEFT(E146,2))&amp;"-"&amp;MID(E146,3,2)&amp;"-"&amp;MID(E146,5,2)</f>
        <v>200--</v>
      </c>
      <c r="AH146" s="129" t="e">
        <f aca="true">INT((TODAY()-AG146)/365.25)</f>
        <v>#VALUE!</v>
      </c>
      <c r="AI146" s="130" t="n">
        <f aca="false">ROUNDDOWN(SUM(AJ146:AY147),-1)</f>
        <v>0</v>
      </c>
      <c r="AJ146" s="130" t="n">
        <f aca="false">IF($X146*G146&gt;150000,($X146*G146-150000)*6%*45%,0)</f>
        <v>0</v>
      </c>
      <c r="AK146" s="130" t="n">
        <f aca="false">IF($X146*H146&gt;150000,($X146*H146-150000)*6%*45%,0)</f>
        <v>0</v>
      </c>
      <c r="AL146" s="130" t="n">
        <f aca="false">IF($X146*I146&gt;150000,($X146*I146-150000)*6%*45%,0)</f>
        <v>0</v>
      </c>
      <c r="AM146" s="130" t="n">
        <f aca="false">IF($X146*J146&gt;150000,($X146*J146-150000)*6%*45%,0)</f>
        <v>0</v>
      </c>
      <c r="AN146" s="130" t="n">
        <f aca="false">IF($X146*K146&gt;150000,($X146*K146-150000)*6%*45%,0)</f>
        <v>0</v>
      </c>
      <c r="AO146" s="130" t="n">
        <f aca="false">IF($X146*L146&gt;150000,($X146*L146-150000)*6%*45%,0)</f>
        <v>0</v>
      </c>
      <c r="AP146" s="130" t="n">
        <f aca="false">IF($X146*M146&gt;150000,($X146*M146-150000)*6%*45%,0)</f>
        <v>0</v>
      </c>
      <c r="AQ146" s="130" t="n">
        <f aca="false">IF($X146*N146&gt;150000,($X146*N146-150000)*6%*45%,0)</f>
        <v>0</v>
      </c>
      <c r="AR146" s="130" t="n">
        <f aca="false">IF($X146*O146&gt;150000,($X146*O146-150000)*6%*45%,0)</f>
        <v>0</v>
      </c>
      <c r="AS146" s="130" t="n">
        <f aca="false">IF($X146*P146&gt;150000,($X146*P146-150000)*6%*45%,0)</f>
        <v>0</v>
      </c>
      <c r="AT146" s="130" t="n">
        <f aca="false">IF($X146*Q146&gt;150000,($X146*Q146-150000)*6%*45%,0)</f>
        <v>0</v>
      </c>
      <c r="AU146" s="130" t="n">
        <f aca="false">IF($X146*R146&gt;150000,($X146*R146-150000)*6%*45%,0)</f>
        <v>0</v>
      </c>
      <c r="AV146" s="130" t="n">
        <f aca="false">IF($X146*S146&gt;150000,($X146*S146-150000)*6%*45%,0)</f>
        <v>0</v>
      </c>
      <c r="AW146" s="130" t="n">
        <f aca="false">IF($X146*T146&gt;150000,($X146*T146-150000)*6%*45%,0)</f>
        <v>0</v>
      </c>
      <c r="AX146" s="130" t="n">
        <f aca="false">IF($X146*U146&gt;150000,($X146*U146-150000)*6%*45%,0)</f>
        <v>0</v>
      </c>
      <c r="AY146" s="130"/>
      <c r="AZ146" s="131" t="n">
        <f aca="false">IF(ISERROR(VLOOKUP(D146,[32]일용직명단!$A$3:$M$1151,11,FALSE())),0,VLOOKUP(D146,[32]일용직명단!$A$3:$M$1151,11,FALSE()))</f>
        <v>0</v>
      </c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1"/>
      <c r="FC146" s="11"/>
      <c r="FD146" s="11"/>
      <c r="FE146" s="11"/>
      <c r="FF146" s="11"/>
      <c r="FG146" s="11"/>
      <c r="FH146" s="11"/>
      <c r="FI146" s="11"/>
      <c r="FJ146" s="11"/>
      <c r="FK146" s="11"/>
      <c r="FL146" s="11"/>
      <c r="FM146" s="11"/>
      <c r="FN146" s="11"/>
      <c r="FO146" s="11"/>
      <c r="FP146" s="11"/>
      <c r="FQ146" s="11"/>
      <c r="FR146" s="11"/>
      <c r="FS146" s="11"/>
      <c r="FT146" s="11"/>
      <c r="FU146" s="11"/>
      <c r="FV146" s="11"/>
      <c r="FW146" s="11"/>
      <c r="FX146" s="11"/>
      <c r="FY146" s="11"/>
      <c r="FZ146" s="11"/>
      <c r="GA146" s="11"/>
      <c r="GB146" s="11"/>
      <c r="GC146" s="11"/>
      <c r="GD146" s="11"/>
      <c r="GE146" s="11"/>
      <c r="GF146" s="11"/>
      <c r="GG146" s="11"/>
      <c r="GH146" s="11"/>
      <c r="GI146" s="11"/>
      <c r="GJ146" s="11"/>
      <c r="GK146" s="11"/>
      <c r="GL146" s="11"/>
      <c r="GM146" s="11"/>
      <c r="GN146" s="11"/>
      <c r="GO146" s="11"/>
      <c r="GP146" s="11"/>
      <c r="GQ146" s="11"/>
      <c r="GR146" s="11"/>
      <c r="GS146" s="11"/>
      <c r="GT146" s="11"/>
      <c r="GU146" s="11"/>
      <c r="GV146" s="11"/>
      <c r="GW146" s="11"/>
      <c r="GX146" s="11"/>
      <c r="GY146" s="11"/>
      <c r="GZ146" s="11"/>
      <c r="HA146" s="11"/>
      <c r="HB146" s="11"/>
      <c r="HC146" s="11"/>
      <c r="HD146" s="11"/>
      <c r="HE146" s="11"/>
      <c r="HF146" s="11"/>
      <c r="HG146" s="11"/>
      <c r="HH146" s="11"/>
      <c r="HI146" s="11"/>
      <c r="HJ146" s="11"/>
      <c r="HK146" s="11"/>
      <c r="HL146" s="11"/>
      <c r="HM146" s="11"/>
      <c r="HN146" s="11"/>
      <c r="HO146" s="11"/>
      <c r="HP146" s="11"/>
      <c r="HQ146" s="11"/>
      <c r="HR146" s="11"/>
      <c r="HS146" s="11"/>
      <c r="HT146" s="11"/>
      <c r="HU146" s="11"/>
      <c r="HV146" s="11"/>
      <c r="HW146" s="11"/>
      <c r="HX146" s="11"/>
      <c r="HY146" s="11"/>
      <c r="HZ146" s="11"/>
      <c r="IA146" s="11"/>
      <c r="IB146" s="11"/>
      <c r="IC146" s="11"/>
      <c r="ID146" s="11"/>
      <c r="IE146" s="11"/>
      <c r="IF146" s="11"/>
      <c r="IG146" s="11"/>
      <c r="IH146" s="11"/>
      <c r="II146" s="11"/>
      <c r="IJ146" s="11"/>
      <c r="IK146" s="11"/>
      <c r="IL146" s="11"/>
      <c r="IM146" s="11"/>
      <c r="IN146" s="11"/>
      <c r="IO146" s="11"/>
      <c r="IP146" s="11"/>
      <c r="IQ146" s="11"/>
      <c r="IR146" s="11"/>
      <c r="IS146" s="11"/>
      <c r="IT146" s="11"/>
      <c r="IU146" s="11"/>
      <c r="IV146" s="11"/>
      <c r="IW146" s="11"/>
    </row>
    <row r="147" customFormat="false" ht="13.5" hidden="true" customHeight="true" outlineLevel="0" collapsed="false">
      <c r="A147" s="108"/>
      <c r="B147" s="389"/>
      <c r="C147" s="159"/>
      <c r="D147" s="290"/>
      <c r="E147" s="311"/>
      <c r="F147" s="164" t="n">
        <f aca="false">IF(ISERROR(VLOOKUP(D146,[31]일용직명단!$A$3:$K$1220,9,FALSE())),0,VLOOKUP(D146,[31]일용직명단!$A$3:$K$1220,9,FALSE()))</f>
        <v>0</v>
      </c>
      <c r="G147" s="405"/>
      <c r="H147" s="406"/>
      <c r="I147" s="405"/>
      <c r="J147" s="136"/>
      <c r="K147" s="407"/>
      <c r="L147" s="136"/>
      <c r="M147" s="408"/>
      <c r="N147" s="408"/>
      <c r="O147" s="114"/>
      <c r="P147" s="409"/>
      <c r="Q147" s="114"/>
      <c r="R147" s="114"/>
      <c r="S147" s="408"/>
      <c r="T147" s="408"/>
      <c r="U147" s="408"/>
      <c r="V147" s="119"/>
      <c r="W147" s="144"/>
      <c r="X147" s="138" t="n">
        <f aca="false">X146*W146</f>
        <v>0</v>
      </c>
      <c r="Y147" s="123" t="n">
        <f aca="false">IF(AI146&lt;1000,0,AI146)</f>
        <v>0</v>
      </c>
      <c r="Z147" s="123" t="n">
        <f aca="false">ROUNDDOWN(Y147*10%,-1)</f>
        <v>0</v>
      </c>
      <c r="AA147" s="123" t="n">
        <f aca="false">IF(AF146&gt;=8,ROUNDDOWN(Z146*$R$4,-1),0)</f>
        <v>0</v>
      </c>
      <c r="AB147" s="145"/>
      <c r="AC147" s="146"/>
      <c r="AD147" s="412" t="n">
        <f aca="false">IF(ISERROR(VLOOKUP(D146,[31]일용직명단!$A$3:$I$1200,7,FALSE())),0,VLOOKUP(D146,[31]일용직명단!$A$3:$I$1200,7,FALSE()))</f>
        <v>0</v>
      </c>
      <c r="AE147" s="412"/>
      <c r="AF147" s="128"/>
      <c r="AG147" s="129"/>
      <c r="AH147" s="129"/>
      <c r="AI147" s="130"/>
      <c r="AJ147" s="130" t="n">
        <f aca="false">IF($X146*G147&gt;150000,($X146*G147-150000)*6%*45%,0)</f>
        <v>0</v>
      </c>
      <c r="AK147" s="130" t="n">
        <f aca="false">IF($X146*H147&gt;150000,($X146*H147-150000)*6%*45%,0)</f>
        <v>0</v>
      </c>
      <c r="AL147" s="130" t="n">
        <f aca="false">IF($X146*I147&gt;150000,($X146*I147-150000)*6%*45%,0)</f>
        <v>0</v>
      </c>
      <c r="AM147" s="130" t="n">
        <f aca="false">IF($X146*J147&gt;150000,($X146*J147-150000)*6%*45%,0)</f>
        <v>0</v>
      </c>
      <c r="AN147" s="130" t="n">
        <f aca="false">IF($X146*K147&gt;150000,($X146*K147-150000)*6%*45%,0)</f>
        <v>0</v>
      </c>
      <c r="AO147" s="130" t="n">
        <f aca="false">IF($X146*L147&gt;150000,($X146*L147-150000)*6%*45%,0)</f>
        <v>0</v>
      </c>
      <c r="AP147" s="130" t="n">
        <f aca="false">IF($X146*M147&gt;150000,($X146*M147-150000)*6%*45%,0)</f>
        <v>0</v>
      </c>
      <c r="AQ147" s="130" t="n">
        <f aca="false">IF($X146*N147&gt;150000,($X146*N147-150000)*6%*45%,0)</f>
        <v>0</v>
      </c>
      <c r="AR147" s="130" t="n">
        <f aca="false">IF($X146*O147&gt;150000,($X146*O147-150000)*6%*45%,0)</f>
        <v>0</v>
      </c>
      <c r="AS147" s="130" t="n">
        <f aca="false">IF($X146*P147&gt;150000,($X146*P147-150000)*6%*45%,0)</f>
        <v>0</v>
      </c>
      <c r="AT147" s="130" t="n">
        <f aca="false">IF($X146*Q147&gt;150000,($X146*Q147-150000)*6%*45%,0)</f>
        <v>0</v>
      </c>
      <c r="AU147" s="130" t="n">
        <f aca="false">IF($X146*R147&gt;150000,($X146*R147-150000)*6%*45%,0)</f>
        <v>0</v>
      </c>
      <c r="AV147" s="130" t="n">
        <f aca="false">IF($X146*S147&gt;150000,($X146*S147-150000)*6%*45%,0)</f>
        <v>0</v>
      </c>
      <c r="AW147" s="130" t="n">
        <f aca="false">IF($X146*T147&gt;150000,($X146*T147-150000)*6%*45%,0)</f>
        <v>0</v>
      </c>
      <c r="AX147" s="130" t="n">
        <f aca="false">IF($X146*U147&gt;150000,($X146*U147-150000)*6%*45%,0)</f>
        <v>0</v>
      </c>
      <c r="AY147" s="130" t="n">
        <f aca="false">IF($X146*V147&gt;150000,($X146*V147-150000)*6%*45%,0)</f>
        <v>0</v>
      </c>
      <c r="AZ147" s="13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1"/>
      <c r="FW147" s="11"/>
      <c r="FX147" s="11"/>
      <c r="FY147" s="11"/>
      <c r="FZ147" s="11"/>
      <c r="GA147" s="11"/>
      <c r="GB147" s="11"/>
      <c r="GC147" s="11"/>
      <c r="GD147" s="11"/>
      <c r="GE147" s="11"/>
      <c r="GF147" s="11"/>
      <c r="GG147" s="11"/>
      <c r="GH147" s="11"/>
      <c r="GI147" s="11"/>
      <c r="GJ147" s="11"/>
      <c r="GK147" s="11"/>
      <c r="GL147" s="11"/>
      <c r="GM147" s="11"/>
      <c r="GN147" s="11"/>
      <c r="GO147" s="11"/>
      <c r="GP147" s="11"/>
      <c r="GQ147" s="11"/>
      <c r="GR147" s="11"/>
      <c r="GS147" s="11"/>
      <c r="GT147" s="11"/>
      <c r="GU147" s="11"/>
      <c r="GV147" s="11"/>
      <c r="GW147" s="11"/>
      <c r="GX147" s="11"/>
      <c r="GY147" s="11"/>
      <c r="GZ147" s="11"/>
      <c r="HA147" s="11"/>
      <c r="HB147" s="11"/>
      <c r="HC147" s="11"/>
      <c r="HD147" s="11"/>
      <c r="HE147" s="11"/>
      <c r="HF147" s="11"/>
      <c r="HG147" s="11"/>
      <c r="HH147" s="11"/>
      <c r="HI147" s="11"/>
      <c r="HJ147" s="11"/>
      <c r="HK147" s="11"/>
      <c r="HL147" s="11"/>
      <c r="HM147" s="11"/>
      <c r="HN147" s="11"/>
      <c r="HO147" s="11"/>
      <c r="HP147" s="11"/>
      <c r="HQ147" s="11"/>
      <c r="HR147" s="11"/>
      <c r="HS147" s="11"/>
      <c r="HT147" s="11"/>
      <c r="HU147" s="11"/>
      <c r="HV147" s="11"/>
      <c r="HW147" s="11"/>
      <c r="HX147" s="11"/>
      <c r="HY147" s="11"/>
      <c r="HZ147" s="11"/>
      <c r="IA147" s="11"/>
      <c r="IB147" s="11"/>
      <c r="IC147" s="11"/>
      <c r="ID147" s="11"/>
      <c r="IE147" s="11"/>
      <c r="IF147" s="11"/>
      <c r="IG147" s="11"/>
      <c r="IH147" s="11"/>
      <c r="II147" s="11"/>
      <c r="IJ147" s="11"/>
      <c r="IK147" s="11"/>
      <c r="IL147" s="11"/>
      <c r="IM147" s="11"/>
      <c r="IN147" s="11"/>
      <c r="IO147" s="11"/>
      <c r="IP147" s="11"/>
      <c r="IQ147" s="11"/>
      <c r="IR147" s="11"/>
      <c r="IS147" s="11"/>
      <c r="IT147" s="11"/>
      <c r="IU147" s="11"/>
      <c r="IV147" s="11"/>
      <c r="IW147" s="11"/>
    </row>
    <row r="148" customFormat="false" ht="13.5" hidden="true" customHeight="true" outlineLevel="0" collapsed="false">
      <c r="A148" s="108" t="n">
        <f aca="false">A146+1</f>
        <v>18</v>
      </c>
      <c r="B148" s="404"/>
      <c r="C148" s="403" t="n">
        <f aca="false">IF(ISERROR(VLOOKUP(D148,[31]일용직명단!$A$3:$I$105,2,FALSE())),0,VLOOKUP(D148,[31]일용직명단!$A$3:$I$105,2,FALSE()))</f>
        <v>0</v>
      </c>
      <c r="D148" s="110"/>
      <c r="E148" s="311" t="n">
        <f aca="false">IF(ISERROR(VLOOKUP(D148,[31]일용직명단!$A$3:$K$1220,3,FALSE())),0,VLOOKUP(D148,[31]일용직명단!$A$3:$K$1220,3,FALSE()))</f>
        <v>0</v>
      </c>
      <c r="F148" s="164" t="n">
        <f aca="false">IF(ISERROR(VLOOKUP(D148,[31]일용직명단!$A$3:$K$1220,4,FALSE())),0,VLOOKUP(D148,[31]일용직명단!$A$3:$K$1220,4,FALSE()))</f>
        <v>0</v>
      </c>
      <c r="G148" s="408"/>
      <c r="H148" s="114"/>
      <c r="I148" s="409"/>
      <c r="J148" s="409"/>
      <c r="K148" s="408"/>
      <c r="L148" s="409"/>
      <c r="M148" s="408"/>
      <c r="N148" s="408"/>
      <c r="O148" s="114"/>
      <c r="P148" s="114"/>
      <c r="Q148" s="408"/>
      <c r="R148" s="114"/>
      <c r="S148" s="409"/>
      <c r="T148" s="114"/>
      <c r="U148" s="409"/>
      <c r="V148" s="119"/>
      <c r="W148" s="144" t="n">
        <f aca="false">SUM(G148:V149)</f>
        <v>0</v>
      </c>
      <c r="X148" s="121" t="n">
        <f aca="false">IF(ISERROR(VLOOKUP(D148,[31]일용직명단!$A$3:$K$1220,8,FALSE())),0,VLOOKUP(D148,[31]일용직명단!$A$3:$K$1220,8,FALSE()))</f>
        <v>0</v>
      </c>
      <c r="Y148" s="123" t="n">
        <f aca="false">IFERROR(IF(AH148&gt;=65,0,ROUNDDOWN(X149*$AA$4,-1)),0)</f>
        <v>0</v>
      </c>
      <c r="Z148" s="123" t="n">
        <f aca="false">IF(AF148&gt;=8,ROUNDDOWN(X149*$N$4,-1),0)</f>
        <v>0</v>
      </c>
      <c r="AA148" s="123" t="n">
        <f aca="false">IFERROR(IF(AND(COUNT(G148:V149)&gt;=8,$AH148&lt;60,X149&lt;=5530000),ROUNDDOWN(ROUNDDOWN(X149,-3)*4.5%,-1),IF(AND(COUNT(G148:V149)&gt;=8,AH148&lt;60,X149&gt;5530000),248850,0)),0)</f>
        <v>0</v>
      </c>
      <c r="AB148" s="145" t="n">
        <f aca="false">+Y148+Z148+Y149+Z149+AA148+AA149</f>
        <v>0</v>
      </c>
      <c r="AC148" s="146" t="n">
        <f aca="false">X149-AB148</f>
        <v>0</v>
      </c>
      <c r="AD148" s="411" t="n">
        <f aca="false">IF(ISERROR(VLOOKUP(D148,[31]일용직명단!$A$3:$I$1200,5,FALSE())),0,VLOOKUP(D148,[31]일용직명단!$A$3:$I$1200,5,FALSE()))</f>
        <v>0</v>
      </c>
      <c r="AE148" s="412" t="n">
        <f aca="false">IF(ISERROR(VLOOKUP(D148,[31]일용직명단!$A$3:$I$1200,6,FALSE())),0,VLOOKUP(D148,[31]일용직명단!$A$3:$I$1200,6,FALSE()))</f>
        <v>0</v>
      </c>
      <c r="AF148" s="128" t="n">
        <f aca="false">COUNT(G148:V149)</f>
        <v>0</v>
      </c>
      <c r="AG148" s="129" t="str">
        <f aca="false">IF(OR(MID(E148,8,1)="1",MID(E148,8,1)="2"),19&amp;LEFT(E148,2),20&amp;LEFT(E148,2))&amp;"-"&amp;MID(E148,3,2)&amp;"-"&amp;MID(E148,5,2)</f>
        <v>200--</v>
      </c>
      <c r="AH148" s="129" t="e">
        <f aca="true">INT((TODAY()-AG148)/365.25)</f>
        <v>#VALUE!</v>
      </c>
      <c r="AI148" s="130" t="n">
        <f aca="false">ROUNDDOWN(SUM(AJ148:AY149),-1)</f>
        <v>0</v>
      </c>
      <c r="AJ148" s="130" t="n">
        <f aca="false">IF($X148*G148&gt;150000,($X148*G148-150000)*6%*45%,0)</f>
        <v>0</v>
      </c>
      <c r="AK148" s="130" t="n">
        <f aca="false">IF($X148*H148&gt;150000,($X148*H148-150000)*6%*45%,0)</f>
        <v>0</v>
      </c>
      <c r="AL148" s="130" t="n">
        <f aca="false">IF($X148*I148&gt;150000,($X148*I148-150000)*6%*45%,0)</f>
        <v>0</v>
      </c>
      <c r="AM148" s="130" t="n">
        <f aca="false">IF($X148*J148&gt;150000,($X148*J148-150000)*6%*45%,0)</f>
        <v>0</v>
      </c>
      <c r="AN148" s="130" t="n">
        <f aca="false">IF($X148*K148&gt;150000,($X148*K148-150000)*6%*45%,0)</f>
        <v>0</v>
      </c>
      <c r="AO148" s="130" t="n">
        <f aca="false">IF($X148*L148&gt;150000,($X148*L148-150000)*6%*45%,0)</f>
        <v>0</v>
      </c>
      <c r="AP148" s="130" t="n">
        <f aca="false">IF($X148*M148&gt;150000,($X148*M148-150000)*6%*45%,0)</f>
        <v>0</v>
      </c>
      <c r="AQ148" s="130" t="n">
        <f aca="false">IF($X148*N148&gt;150000,($X148*N148-150000)*6%*45%,0)</f>
        <v>0</v>
      </c>
      <c r="AR148" s="130" t="n">
        <f aca="false">IF($X148*O148&gt;150000,($X148*O148-150000)*6%*45%,0)</f>
        <v>0</v>
      </c>
      <c r="AS148" s="130" t="n">
        <f aca="false">IF($X148*P148&gt;150000,($X148*P148-150000)*6%*45%,0)</f>
        <v>0</v>
      </c>
      <c r="AT148" s="130" t="n">
        <f aca="false">IF($X148*Q148&gt;150000,($X148*Q148-150000)*6%*45%,0)</f>
        <v>0</v>
      </c>
      <c r="AU148" s="130" t="n">
        <f aca="false">IF($X148*R148&gt;150000,($X148*R148-150000)*6%*45%,0)</f>
        <v>0</v>
      </c>
      <c r="AV148" s="130" t="n">
        <f aca="false">IF($X148*S148&gt;150000,($X148*S148-150000)*6%*45%,0)</f>
        <v>0</v>
      </c>
      <c r="AW148" s="130" t="n">
        <f aca="false">IF($X148*T148&gt;150000,($X148*T148-150000)*6%*45%,0)</f>
        <v>0</v>
      </c>
      <c r="AX148" s="130" t="n">
        <f aca="false">IF($X148*U148&gt;150000,($X148*U148-150000)*6%*45%,0)</f>
        <v>0</v>
      </c>
      <c r="AY148" s="130"/>
      <c r="AZ148" s="131" t="n">
        <f aca="false">IF(ISERROR(VLOOKUP(D148,[32]일용직명단!$A$3:$M$1151,11,FALSE())),0,VLOOKUP(D148,[32]일용직명단!$A$3:$M$1151,11,FALSE()))</f>
        <v>0</v>
      </c>
      <c r="BA148" s="11"/>
      <c r="BB148" s="167"/>
      <c r="BC148" s="167"/>
      <c r="BD148" s="167"/>
      <c r="BE148" s="167"/>
      <c r="BF148" s="167"/>
      <c r="BG148" s="167"/>
      <c r="BH148" s="167"/>
      <c r="BI148" s="167"/>
      <c r="BJ148" s="167"/>
      <c r="BK148" s="167"/>
      <c r="BL148" s="167"/>
      <c r="BM148" s="167"/>
      <c r="BN148" s="167"/>
      <c r="BO148" s="167"/>
      <c r="BP148" s="167"/>
      <c r="BQ148" s="167"/>
      <c r="BR148" s="167"/>
      <c r="BS148" s="167"/>
      <c r="BT148" s="167"/>
      <c r="BU148" s="167"/>
      <c r="BV148" s="167"/>
      <c r="BW148" s="167"/>
      <c r="BX148" s="167"/>
      <c r="BY148" s="167"/>
      <c r="BZ148" s="167"/>
      <c r="CA148" s="167"/>
      <c r="CB148" s="167"/>
      <c r="CC148" s="167"/>
      <c r="CD148" s="167"/>
      <c r="CE148" s="167"/>
      <c r="CF148" s="167"/>
      <c r="CG148" s="167"/>
      <c r="CH148" s="167"/>
      <c r="CI148" s="167"/>
      <c r="CJ148" s="167"/>
      <c r="CK148" s="167"/>
      <c r="CL148" s="167"/>
      <c r="CM148" s="167"/>
      <c r="CN148" s="167"/>
      <c r="CO148" s="167"/>
      <c r="CP148" s="167"/>
      <c r="CQ148" s="167"/>
      <c r="CR148" s="167"/>
      <c r="CS148" s="167"/>
      <c r="CT148" s="167"/>
      <c r="CU148" s="167"/>
      <c r="CV148" s="167"/>
      <c r="CW148" s="167"/>
      <c r="CX148" s="167"/>
      <c r="CY148" s="167"/>
      <c r="CZ148" s="167"/>
      <c r="DA148" s="167"/>
      <c r="DB148" s="167"/>
      <c r="DC148" s="167"/>
      <c r="DD148" s="167"/>
      <c r="DE148" s="167"/>
      <c r="DF148" s="167"/>
      <c r="DG148" s="167"/>
      <c r="DH148" s="167"/>
      <c r="DI148" s="167"/>
      <c r="DJ148" s="167"/>
      <c r="DK148" s="167"/>
      <c r="DL148" s="167"/>
      <c r="DM148" s="167"/>
      <c r="DN148" s="167"/>
      <c r="DO148" s="167"/>
      <c r="DP148" s="167"/>
      <c r="DQ148" s="167"/>
      <c r="DR148" s="167"/>
      <c r="DS148" s="167"/>
      <c r="DT148" s="167"/>
      <c r="DU148" s="167"/>
      <c r="DV148" s="167"/>
      <c r="DW148" s="167"/>
      <c r="DX148" s="167"/>
      <c r="DY148" s="167"/>
      <c r="DZ148" s="167"/>
      <c r="EA148" s="167"/>
      <c r="EB148" s="167"/>
      <c r="EC148" s="167"/>
      <c r="ED148" s="167"/>
      <c r="EE148" s="167"/>
      <c r="EF148" s="167"/>
      <c r="EG148" s="167"/>
      <c r="EH148" s="167"/>
      <c r="EI148" s="167"/>
      <c r="EJ148" s="167"/>
      <c r="EK148" s="167"/>
      <c r="EL148" s="167"/>
      <c r="EM148" s="167"/>
      <c r="EN148" s="167"/>
      <c r="EO148" s="167"/>
      <c r="EP148" s="167"/>
      <c r="EQ148" s="167"/>
      <c r="ER148" s="167"/>
      <c r="ES148" s="167"/>
      <c r="ET148" s="167"/>
      <c r="EU148" s="167"/>
      <c r="EV148" s="167"/>
      <c r="EW148" s="167"/>
      <c r="EX148" s="167"/>
      <c r="EY148" s="167"/>
      <c r="EZ148" s="167"/>
      <c r="FA148" s="167"/>
      <c r="FB148" s="167"/>
      <c r="FC148" s="167"/>
      <c r="FD148" s="167"/>
      <c r="FE148" s="167"/>
      <c r="FF148" s="167"/>
      <c r="FG148" s="167"/>
      <c r="FH148" s="167"/>
      <c r="FI148" s="167"/>
      <c r="FJ148" s="167"/>
      <c r="FK148" s="167"/>
      <c r="FL148" s="167"/>
      <c r="FM148" s="167"/>
      <c r="FN148" s="167"/>
      <c r="FO148" s="167"/>
      <c r="FP148" s="167"/>
      <c r="FQ148" s="167"/>
      <c r="FR148" s="167"/>
      <c r="FS148" s="167"/>
      <c r="FT148" s="167"/>
      <c r="FU148" s="167"/>
      <c r="FV148" s="167"/>
      <c r="FW148" s="167"/>
      <c r="FX148" s="167"/>
      <c r="FY148" s="167"/>
      <c r="FZ148" s="167"/>
      <c r="GA148" s="167"/>
      <c r="GB148" s="167"/>
      <c r="GC148" s="167"/>
      <c r="GD148" s="167"/>
      <c r="GE148" s="167"/>
      <c r="GF148" s="167"/>
      <c r="GG148" s="167"/>
      <c r="GH148" s="167"/>
      <c r="GI148" s="167"/>
      <c r="GJ148" s="167"/>
      <c r="GK148" s="167"/>
      <c r="GL148" s="167"/>
      <c r="GM148" s="167"/>
      <c r="GN148" s="167"/>
      <c r="GO148" s="167"/>
      <c r="GP148" s="167"/>
      <c r="GQ148" s="167"/>
      <c r="GR148" s="167"/>
      <c r="GS148" s="167"/>
      <c r="GT148" s="167"/>
      <c r="GU148" s="167"/>
      <c r="GV148" s="167"/>
      <c r="GW148" s="167"/>
      <c r="GX148" s="167"/>
      <c r="GY148" s="167"/>
      <c r="GZ148" s="167"/>
      <c r="HA148" s="167"/>
      <c r="HB148" s="167"/>
      <c r="HC148" s="167"/>
      <c r="HD148" s="167"/>
      <c r="HE148" s="167"/>
      <c r="HF148" s="167"/>
      <c r="HG148" s="167"/>
      <c r="HH148" s="167"/>
      <c r="HI148" s="167"/>
      <c r="HJ148" s="167"/>
      <c r="HK148" s="167"/>
      <c r="HL148" s="167"/>
      <c r="HM148" s="167"/>
      <c r="HN148" s="167"/>
      <c r="HO148" s="167"/>
      <c r="HP148" s="167"/>
      <c r="HQ148" s="167"/>
      <c r="HR148" s="167"/>
      <c r="HS148" s="167"/>
      <c r="HT148" s="167"/>
      <c r="HU148" s="167"/>
      <c r="HV148" s="167"/>
      <c r="HW148" s="167"/>
      <c r="HX148" s="167"/>
      <c r="HY148" s="167"/>
      <c r="HZ148" s="167"/>
      <c r="IA148" s="167"/>
      <c r="IB148" s="167"/>
      <c r="IC148" s="167"/>
      <c r="ID148" s="167"/>
      <c r="IE148" s="167"/>
      <c r="IF148" s="167"/>
      <c r="IG148" s="167"/>
      <c r="IH148" s="167"/>
      <c r="II148" s="167"/>
      <c r="IJ148" s="167"/>
      <c r="IK148" s="167"/>
      <c r="IL148" s="167"/>
      <c r="IM148" s="167"/>
      <c r="IN148" s="167"/>
      <c r="IO148" s="167"/>
      <c r="IP148" s="167"/>
      <c r="IQ148" s="167"/>
      <c r="IR148" s="167"/>
      <c r="IS148" s="167"/>
      <c r="IT148" s="167"/>
      <c r="IU148" s="167"/>
      <c r="IV148" s="167"/>
      <c r="IW148" s="167"/>
    </row>
    <row r="149" customFormat="false" ht="13.5" hidden="true" customHeight="true" outlineLevel="0" collapsed="false">
      <c r="A149" s="108"/>
      <c r="B149" s="404"/>
      <c r="C149" s="403"/>
      <c r="D149" s="110"/>
      <c r="E149" s="311"/>
      <c r="F149" s="164" t="n">
        <f aca="false">IF(ISERROR(VLOOKUP(D148,[31]일용직명단!$A$3:$K$1220,9,FALSE())),0,VLOOKUP(D148,[31]일용직명단!$A$3:$K$1220,9,FALSE()))</f>
        <v>0</v>
      </c>
      <c r="G149" s="405"/>
      <c r="H149" s="406"/>
      <c r="I149" s="405"/>
      <c r="J149" s="136"/>
      <c r="K149" s="407"/>
      <c r="L149" s="136"/>
      <c r="M149" s="408"/>
      <c r="N149" s="408"/>
      <c r="O149" s="114"/>
      <c r="P149" s="409"/>
      <c r="Q149" s="114"/>
      <c r="R149" s="114"/>
      <c r="S149" s="408"/>
      <c r="T149" s="408"/>
      <c r="U149" s="408"/>
      <c r="V149" s="119"/>
      <c r="W149" s="144"/>
      <c r="X149" s="138" t="n">
        <f aca="false">X148*W148</f>
        <v>0</v>
      </c>
      <c r="Y149" s="123" t="n">
        <f aca="false">IF(AI148&lt;1000,0,AI148)</f>
        <v>0</v>
      </c>
      <c r="Z149" s="123" t="n">
        <f aca="false">ROUNDDOWN(Y149*10%,-1)</f>
        <v>0</v>
      </c>
      <c r="AA149" s="123" t="n">
        <f aca="false">IF(AF148&gt;=8,ROUNDDOWN(Z148*$R$4,-1),0)</f>
        <v>0</v>
      </c>
      <c r="AB149" s="145"/>
      <c r="AC149" s="146"/>
      <c r="AD149" s="412" t="n">
        <f aca="false">IF(ISERROR(VLOOKUP(D148,[31]일용직명단!$A$3:$I$1200,7,FALSE())),0,VLOOKUP(D148,[31]일용직명단!$A$3:$I$1200,7,FALSE()))</f>
        <v>0</v>
      </c>
      <c r="AE149" s="412"/>
      <c r="AF149" s="128"/>
      <c r="AG149" s="129"/>
      <c r="AH149" s="129"/>
      <c r="AI149" s="130"/>
      <c r="AJ149" s="130" t="n">
        <f aca="false">IF($X148*G149&gt;150000,($X148*G149-150000)*6%*45%,0)</f>
        <v>0</v>
      </c>
      <c r="AK149" s="130" t="n">
        <f aca="false">IF($X148*H149&gt;150000,($X148*H149-150000)*6%*45%,0)</f>
        <v>0</v>
      </c>
      <c r="AL149" s="130" t="n">
        <f aca="false">IF($X148*I149&gt;150000,($X148*I149-150000)*6%*45%,0)</f>
        <v>0</v>
      </c>
      <c r="AM149" s="130" t="n">
        <f aca="false">IF($X148*J149&gt;150000,($X148*J149-150000)*6%*45%,0)</f>
        <v>0</v>
      </c>
      <c r="AN149" s="130" t="n">
        <f aca="false">IF($X148*K149&gt;150000,($X148*K149-150000)*6%*45%,0)</f>
        <v>0</v>
      </c>
      <c r="AO149" s="130" t="n">
        <f aca="false">IF($X148*L149&gt;150000,($X148*L149-150000)*6%*45%,0)</f>
        <v>0</v>
      </c>
      <c r="AP149" s="130" t="n">
        <f aca="false">IF($X148*M149&gt;150000,($X148*M149-150000)*6%*45%,0)</f>
        <v>0</v>
      </c>
      <c r="AQ149" s="130" t="n">
        <f aca="false">IF($X148*N149&gt;150000,($X148*N149-150000)*6%*45%,0)</f>
        <v>0</v>
      </c>
      <c r="AR149" s="130" t="n">
        <f aca="false">IF($X148*O149&gt;150000,($X148*O149-150000)*6%*45%,0)</f>
        <v>0</v>
      </c>
      <c r="AS149" s="130" t="n">
        <f aca="false">IF($X148*P149&gt;150000,($X148*P149-150000)*6%*45%,0)</f>
        <v>0</v>
      </c>
      <c r="AT149" s="130" t="n">
        <f aca="false">IF($X148*Q149&gt;150000,($X148*Q149-150000)*6%*45%,0)</f>
        <v>0</v>
      </c>
      <c r="AU149" s="130" t="n">
        <f aca="false">IF($X148*R149&gt;150000,($X148*R149-150000)*6%*45%,0)</f>
        <v>0</v>
      </c>
      <c r="AV149" s="130" t="n">
        <f aca="false">IF($X148*S149&gt;150000,($X148*S149-150000)*6%*45%,0)</f>
        <v>0</v>
      </c>
      <c r="AW149" s="130" t="n">
        <f aca="false">IF($X148*T149&gt;150000,($X148*T149-150000)*6%*45%,0)</f>
        <v>0</v>
      </c>
      <c r="AX149" s="130" t="n">
        <f aca="false">IF($X148*U149&gt;150000,($X148*U149-150000)*6%*45%,0)</f>
        <v>0</v>
      </c>
      <c r="AY149" s="130" t="n">
        <f aca="false">IF($X148*V149&gt;150000,($X148*V149-150000)*6%*45%,0)</f>
        <v>0</v>
      </c>
      <c r="AZ149" s="131"/>
      <c r="BA149" s="11"/>
      <c r="BB149" s="167"/>
      <c r="BC149" s="167"/>
      <c r="BD149" s="167"/>
      <c r="BE149" s="167"/>
      <c r="BF149" s="167"/>
      <c r="BG149" s="167"/>
      <c r="BH149" s="167"/>
      <c r="BI149" s="167"/>
      <c r="BJ149" s="167"/>
      <c r="BK149" s="167"/>
      <c r="BL149" s="167"/>
      <c r="BM149" s="167"/>
      <c r="BN149" s="167"/>
      <c r="BO149" s="167"/>
      <c r="BP149" s="167"/>
      <c r="BQ149" s="167"/>
      <c r="BR149" s="167"/>
      <c r="BS149" s="167"/>
      <c r="BT149" s="167"/>
      <c r="BU149" s="167"/>
      <c r="BV149" s="167"/>
      <c r="BW149" s="167"/>
      <c r="BX149" s="167"/>
      <c r="BY149" s="167"/>
      <c r="BZ149" s="167"/>
      <c r="CA149" s="167"/>
      <c r="CB149" s="167"/>
      <c r="CC149" s="167"/>
      <c r="CD149" s="167"/>
      <c r="CE149" s="167"/>
      <c r="CF149" s="167"/>
      <c r="CG149" s="167"/>
      <c r="CH149" s="167"/>
      <c r="CI149" s="167"/>
      <c r="CJ149" s="167"/>
      <c r="CK149" s="167"/>
      <c r="CL149" s="167"/>
      <c r="CM149" s="167"/>
      <c r="CN149" s="167"/>
      <c r="CO149" s="167"/>
      <c r="CP149" s="167"/>
      <c r="CQ149" s="167"/>
      <c r="CR149" s="167"/>
      <c r="CS149" s="167"/>
      <c r="CT149" s="167"/>
      <c r="CU149" s="167"/>
      <c r="CV149" s="167"/>
      <c r="CW149" s="167"/>
      <c r="CX149" s="167"/>
      <c r="CY149" s="167"/>
      <c r="CZ149" s="167"/>
      <c r="DA149" s="167"/>
      <c r="DB149" s="167"/>
      <c r="DC149" s="167"/>
      <c r="DD149" s="167"/>
      <c r="DE149" s="167"/>
      <c r="DF149" s="167"/>
      <c r="DG149" s="167"/>
      <c r="DH149" s="167"/>
      <c r="DI149" s="167"/>
      <c r="DJ149" s="167"/>
      <c r="DK149" s="167"/>
      <c r="DL149" s="167"/>
      <c r="DM149" s="167"/>
      <c r="DN149" s="167"/>
      <c r="DO149" s="167"/>
      <c r="DP149" s="167"/>
      <c r="DQ149" s="167"/>
      <c r="DR149" s="167"/>
      <c r="DS149" s="167"/>
      <c r="DT149" s="167"/>
      <c r="DU149" s="167"/>
      <c r="DV149" s="167"/>
      <c r="DW149" s="167"/>
      <c r="DX149" s="167"/>
      <c r="DY149" s="167"/>
      <c r="DZ149" s="167"/>
      <c r="EA149" s="167"/>
      <c r="EB149" s="167"/>
      <c r="EC149" s="167"/>
      <c r="ED149" s="167"/>
      <c r="EE149" s="167"/>
      <c r="EF149" s="167"/>
      <c r="EG149" s="167"/>
      <c r="EH149" s="167"/>
      <c r="EI149" s="167"/>
      <c r="EJ149" s="167"/>
      <c r="EK149" s="167"/>
      <c r="EL149" s="167"/>
      <c r="EM149" s="167"/>
      <c r="EN149" s="167"/>
      <c r="EO149" s="167"/>
      <c r="EP149" s="167"/>
      <c r="EQ149" s="167"/>
      <c r="ER149" s="167"/>
      <c r="ES149" s="167"/>
      <c r="ET149" s="167"/>
      <c r="EU149" s="167"/>
      <c r="EV149" s="167"/>
      <c r="EW149" s="167"/>
      <c r="EX149" s="167"/>
      <c r="EY149" s="167"/>
      <c r="EZ149" s="167"/>
      <c r="FA149" s="167"/>
      <c r="FB149" s="167"/>
      <c r="FC149" s="167"/>
      <c r="FD149" s="167"/>
      <c r="FE149" s="167"/>
      <c r="FF149" s="167"/>
      <c r="FG149" s="167"/>
      <c r="FH149" s="167"/>
      <c r="FI149" s="167"/>
      <c r="FJ149" s="167"/>
      <c r="FK149" s="167"/>
      <c r="FL149" s="167"/>
      <c r="FM149" s="167"/>
      <c r="FN149" s="167"/>
      <c r="FO149" s="167"/>
      <c r="FP149" s="167"/>
      <c r="FQ149" s="167"/>
      <c r="FR149" s="167"/>
      <c r="FS149" s="167"/>
      <c r="FT149" s="167"/>
      <c r="FU149" s="167"/>
      <c r="FV149" s="167"/>
      <c r="FW149" s="167"/>
      <c r="FX149" s="167"/>
      <c r="FY149" s="167"/>
      <c r="FZ149" s="167"/>
      <c r="GA149" s="167"/>
      <c r="GB149" s="167"/>
      <c r="GC149" s="167"/>
      <c r="GD149" s="167"/>
      <c r="GE149" s="167"/>
      <c r="GF149" s="167"/>
      <c r="GG149" s="167"/>
      <c r="GH149" s="167"/>
      <c r="GI149" s="167"/>
      <c r="GJ149" s="167"/>
      <c r="GK149" s="167"/>
      <c r="GL149" s="167"/>
      <c r="GM149" s="167"/>
      <c r="GN149" s="167"/>
      <c r="GO149" s="167"/>
      <c r="GP149" s="167"/>
      <c r="GQ149" s="167"/>
      <c r="GR149" s="167"/>
      <c r="GS149" s="167"/>
      <c r="GT149" s="167"/>
      <c r="GU149" s="167"/>
      <c r="GV149" s="167"/>
      <c r="GW149" s="167"/>
      <c r="GX149" s="167"/>
      <c r="GY149" s="167"/>
      <c r="GZ149" s="167"/>
      <c r="HA149" s="167"/>
      <c r="HB149" s="167"/>
      <c r="HC149" s="167"/>
      <c r="HD149" s="167"/>
      <c r="HE149" s="167"/>
      <c r="HF149" s="167"/>
      <c r="HG149" s="167"/>
      <c r="HH149" s="167"/>
      <c r="HI149" s="167"/>
      <c r="HJ149" s="167"/>
      <c r="HK149" s="167"/>
      <c r="HL149" s="167"/>
      <c r="HM149" s="167"/>
      <c r="HN149" s="167"/>
      <c r="HO149" s="167"/>
      <c r="HP149" s="167"/>
      <c r="HQ149" s="167"/>
      <c r="HR149" s="167"/>
      <c r="HS149" s="167"/>
      <c r="HT149" s="167"/>
      <c r="HU149" s="167"/>
      <c r="HV149" s="167"/>
      <c r="HW149" s="167"/>
      <c r="HX149" s="167"/>
      <c r="HY149" s="167"/>
      <c r="HZ149" s="167"/>
      <c r="IA149" s="167"/>
      <c r="IB149" s="167"/>
      <c r="IC149" s="167"/>
      <c r="ID149" s="167"/>
      <c r="IE149" s="167"/>
      <c r="IF149" s="167"/>
      <c r="IG149" s="167"/>
      <c r="IH149" s="167"/>
      <c r="II149" s="167"/>
      <c r="IJ149" s="167"/>
      <c r="IK149" s="167"/>
      <c r="IL149" s="167"/>
      <c r="IM149" s="167"/>
      <c r="IN149" s="167"/>
      <c r="IO149" s="167"/>
      <c r="IP149" s="167"/>
      <c r="IQ149" s="167"/>
      <c r="IR149" s="167"/>
      <c r="IS149" s="167"/>
      <c r="IT149" s="167"/>
      <c r="IU149" s="167"/>
      <c r="IV149" s="167"/>
      <c r="IW149" s="167"/>
    </row>
    <row r="150" customFormat="false" ht="13.5" hidden="true" customHeight="true" outlineLevel="0" collapsed="false">
      <c r="A150" s="108" t="n">
        <f aca="false">A148+1</f>
        <v>19</v>
      </c>
      <c r="B150" s="404"/>
      <c r="C150" s="403" t="n">
        <f aca="false">IF(ISERROR(VLOOKUP(D150,[31]일용직명단!$A$3:$I$105,2,FALSE())),0,VLOOKUP(D150,[31]일용직명단!$A$3:$I$105,2,FALSE()))</f>
        <v>0</v>
      </c>
      <c r="D150" s="110"/>
      <c r="E150" s="311" t="n">
        <f aca="false">IF(ISERROR(VLOOKUP(D150,[31]일용직명단!$A$3:$K$1220,3,FALSE())),0,VLOOKUP(D150,[31]일용직명단!$A$3:$K$1220,3,FALSE()))</f>
        <v>0</v>
      </c>
      <c r="F150" s="164" t="n">
        <f aca="false">IF(ISERROR(VLOOKUP(D150,[31]일용직명단!$A$3:$K$1220,4,FALSE())),0,VLOOKUP(D150,[31]일용직명단!$A$3:$K$1220,4,FALSE()))</f>
        <v>0</v>
      </c>
      <c r="G150" s="408"/>
      <c r="H150" s="114"/>
      <c r="I150" s="409"/>
      <c r="J150" s="409"/>
      <c r="K150" s="408"/>
      <c r="L150" s="409"/>
      <c r="M150" s="408"/>
      <c r="N150" s="408"/>
      <c r="O150" s="114"/>
      <c r="P150" s="114"/>
      <c r="Q150" s="408"/>
      <c r="R150" s="114"/>
      <c r="S150" s="409"/>
      <c r="T150" s="114"/>
      <c r="U150" s="409"/>
      <c r="V150" s="119"/>
      <c r="W150" s="144" t="n">
        <f aca="false">SUM(G150:V151)</f>
        <v>0</v>
      </c>
      <c r="X150" s="121" t="n">
        <f aca="false">IF(ISERROR(VLOOKUP(D150,[31]일용직명단!$A$3:$K$1220,8,FALSE())),0,VLOOKUP(D150,[31]일용직명단!$A$3:$K$1220,8,FALSE()))</f>
        <v>0</v>
      </c>
      <c r="Y150" s="123" t="n">
        <f aca="false">IFERROR(IF(AH150&gt;=65,0,ROUNDDOWN(X151*$AA$4,-1)),0)</f>
        <v>0</v>
      </c>
      <c r="Z150" s="123" t="n">
        <f aca="false">IF(AF150&gt;=8,ROUNDDOWN(X151*$N$4,-1),0)</f>
        <v>0</v>
      </c>
      <c r="AA150" s="123" t="n">
        <f aca="false">IFERROR(IF(AND(COUNT(G150:V151)&gt;=8,$AH150&lt;60,X151&lt;=5530000),ROUNDDOWN(ROUNDDOWN(X151,-3)*4.5%,-1),IF(AND(COUNT(G150:V151)&gt;=8,AH150&lt;60,X151&gt;5530000),248850,0)),0)</f>
        <v>0</v>
      </c>
      <c r="AB150" s="145" t="n">
        <f aca="false">+Y150+Z150+Y151+Z151+AA150+AA151</f>
        <v>0</v>
      </c>
      <c r="AC150" s="146" t="n">
        <f aca="false">X151-AB150</f>
        <v>0</v>
      </c>
      <c r="AD150" s="413" t="n">
        <f aca="false">IF(ISERROR(VLOOKUP(D150,[31]일용직명단!$A$3:$I$1200,5,FALSE())),0,VLOOKUP(D150,[31]일용직명단!$A$3:$I$1200,5,FALSE()))</f>
        <v>0</v>
      </c>
      <c r="AE150" s="414" t="n">
        <f aca="false">IF(ISERROR(VLOOKUP(D150,[31]일용직명단!$A$3:$I$1200,6,FALSE())),0,VLOOKUP(D150,[31]일용직명단!$A$3:$I$1200,6,FALSE()))</f>
        <v>0</v>
      </c>
      <c r="AF150" s="128" t="n">
        <f aca="false">COUNT(G150:V151)</f>
        <v>0</v>
      </c>
      <c r="AG150" s="129" t="str">
        <f aca="false">IF(OR(MID(E150,8,1)="1",MID(E150,8,1)="2"),19&amp;LEFT(E150,2),20&amp;LEFT(E150,2))&amp;"-"&amp;MID(E150,3,2)&amp;"-"&amp;MID(E150,5,2)</f>
        <v>200--</v>
      </c>
      <c r="AH150" s="129" t="e">
        <f aca="true">INT((TODAY()-AG150)/365.25)</f>
        <v>#VALUE!</v>
      </c>
      <c r="AI150" s="130" t="n">
        <f aca="false">ROUNDDOWN(SUM(AJ150:AY151),-1)</f>
        <v>0</v>
      </c>
      <c r="AJ150" s="130" t="n">
        <f aca="false">IF($X150*G150&gt;150000,($X150*G150-150000)*6%*45%,0)</f>
        <v>0</v>
      </c>
      <c r="AK150" s="130" t="n">
        <f aca="false">IF($X150*H150&gt;150000,($X150*H150-150000)*6%*45%,0)</f>
        <v>0</v>
      </c>
      <c r="AL150" s="130" t="n">
        <f aca="false">IF($X150*I150&gt;150000,($X150*I150-150000)*6%*45%,0)</f>
        <v>0</v>
      </c>
      <c r="AM150" s="130" t="n">
        <f aca="false">IF($X150*J150&gt;150000,($X150*J150-150000)*6%*45%,0)</f>
        <v>0</v>
      </c>
      <c r="AN150" s="130" t="n">
        <f aca="false">IF($X150*K150&gt;150000,($X150*K150-150000)*6%*45%,0)</f>
        <v>0</v>
      </c>
      <c r="AO150" s="130" t="n">
        <f aca="false">IF($X150*L150&gt;150000,($X150*L150-150000)*6%*45%,0)</f>
        <v>0</v>
      </c>
      <c r="AP150" s="130" t="n">
        <f aca="false">IF($X150*M150&gt;150000,($X150*M150-150000)*6%*45%,0)</f>
        <v>0</v>
      </c>
      <c r="AQ150" s="130" t="n">
        <f aca="false">IF($X150*N150&gt;150000,($X150*N150-150000)*6%*45%,0)</f>
        <v>0</v>
      </c>
      <c r="AR150" s="130" t="n">
        <f aca="false">IF($X150*O150&gt;150000,($X150*O150-150000)*6%*45%,0)</f>
        <v>0</v>
      </c>
      <c r="AS150" s="130" t="n">
        <f aca="false">IF($X150*P150&gt;150000,($X150*P150-150000)*6%*45%,0)</f>
        <v>0</v>
      </c>
      <c r="AT150" s="130" t="n">
        <f aca="false">IF($X150*Q150&gt;150000,($X150*Q150-150000)*6%*45%,0)</f>
        <v>0</v>
      </c>
      <c r="AU150" s="130" t="n">
        <f aca="false">IF($X150*R150&gt;150000,($X150*R150-150000)*6%*45%,0)</f>
        <v>0</v>
      </c>
      <c r="AV150" s="130" t="n">
        <f aca="false">IF($X150*S150&gt;150000,($X150*S150-150000)*6%*45%,0)</f>
        <v>0</v>
      </c>
      <c r="AW150" s="130" t="n">
        <f aca="false">IF($X150*T150&gt;150000,($X150*T150-150000)*6%*45%,0)</f>
        <v>0</v>
      </c>
      <c r="AX150" s="130" t="n">
        <f aca="false">IF($X150*U150&gt;150000,($X150*U150-150000)*6%*45%,0)</f>
        <v>0</v>
      </c>
      <c r="AY150" s="130"/>
      <c r="AZ150" s="131" t="n">
        <f aca="false">IF(ISERROR(VLOOKUP(D150,[32]일용직명단!$A$3:$M$1151,11,FALSE())),0,VLOOKUP(D150,[32]일용직명단!$A$3:$M$1151,11,FALSE()))</f>
        <v>0</v>
      </c>
      <c r="BA150" s="11"/>
      <c r="BB150" s="167"/>
      <c r="BC150" s="167"/>
      <c r="BD150" s="167"/>
      <c r="BE150" s="167"/>
      <c r="BF150" s="167"/>
      <c r="BG150" s="167"/>
      <c r="BH150" s="167"/>
      <c r="BI150" s="167"/>
      <c r="BJ150" s="167"/>
      <c r="BK150" s="167"/>
      <c r="BL150" s="167"/>
      <c r="BM150" s="167"/>
      <c r="BN150" s="167"/>
      <c r="BO150" s="167"/>
      <c r="BP150" s="167"/>
      <c r="BQ150" s="167"/>
      <c r="BR150" s="167"/>
      <c r="BS150" s="167"/>
      <c r="BT150" s="167"/>
      <c r="BU150" s="167"/>
      <c r="BV150" s="167"/>
      <c r="BW150" s="167"/>
      <c r="BX150" s="167"/>
      <c r="BY150" s="167"/>
      <c r="BZ150" s="167"/>
      <c r="CA150" s="167"/>
      <c r="CB150" s="167"/>
      <c r="CC150" s="167"/>
      <c r="CD150" s="167"/>
      <c r="CE150" s="167"/>
      <c r="CF150" s="167"/>
      <c r="CG150" s="167"/>
      <c r="CH150" s="167"/>
      <c r="CI150" s="167"/>
      <c r="CJ150" s="167"/>
      <c r="CK150" s="167"/>
      <c r="CL150" s="167"/>
      <c r="CM150" s="167"/>
      <c r="CN150" s="167"/>
      <c r="CO150" s="167"/>
      <c r="CP150" s="167"/>
      <c r="CQ150" s="167"/>
      <c r="CR150" s="167"/>
      <c r="CS150" s="167"/>
      <c r="CT150" s="167"/>
      <c r="CU150" s="167"/>
      <c r="CV150" s="167"/>
      <c r="CW150" s="167"/>
      <c r="CX150" s="167"/>
      <c r="CY150" s="167"/>
      <c r="CZ150" s="167"/>
      <c r="DA150" s="167"/>
      <c r="DB150" s="167"/>
      <c r="DC150" s="167"/>
      <c r="DD150" s="167"/>
      <c r="DE150" s="167"/>
      <c r="DF150" s="167"/>
      <c r="DG150" s="167"/>
      <c r="DH150" s="167"/>
      <c r="DI150" s="167"/>
      <c r="DJ150" s="167"/>
      <c r="DK150" s="167"/>
      <c r="DL150" s="167"/>
      <c r="DM150" s="167"/>
      <c r="DN150" s="167"/>
      <c r="DO150" s="167"/>
      <c r="DP150" s="167"/>
      <c r="DQ150" s="167"/>
      <c r="DR150" s="167"/>
      <c r="DS150" s="167"/>
      <c r="DT150" s="167"/>
      <c r="DU150" s="167"/>
      <c r="DV150" s="167"/>
      <c r="DW150" s="167"/>
      <c r="DX150" s="167"/>
      <c r="DY150" s="167"/>
      <c r="DZ150" s="167"/>
      <c r="EA150" s="167"/>
      <c r="EB150" s="167"/>
      <c r="EC150" s="167"/>
      <c r="ED150" s="167"/>
      <c r="EE150" s="167"/>
      <c r="EF150" s="167"/>
      <c r="EG150" s="167"/>
      <c r="EH150" s="167"/>
      <c r="EI150" s="167"/>
      <c r="EJ150" s="167"/>
      <c r="EK150" s="167"/>
      <c r="EL150" s="167"/>
      <c r="EM150" s="167"/>
      <c r="EN150" s="167"/>
      <c r="EO150" s="167"/>
      <c r="EP150" s="167"/>
      <c r="EQ150" s="167"/>
      <c r="ER150" s="167"/>
      <c r="ES150" s="167"/>
      <c r="ET150" s="167"/>
      <c r="EU150" s="167"/>
      <c r="EV150" s="167"/>
      <c r="EW150" s="167"/>
      <c r="EX150" s="167"/>
      <c r="EY150" s="167"/>
      <c r="EZ150" s="167"/>
      <c r="FA150" s="167"/>
      <c r="FB150" s="167"/>
      <c r="FC150" s="167"/>
      <c r="FD150" s="167"/>
      <c r="FE150" s="167"/>
      <c r="FF150" s="167"/>
      <c r="FG150" s="167"/>
      <c r="FH150" s="167"/>
      <c r="FI150" s="167"/>
      <c r="FJ150" s="167"/>
      <c r="FK150" s="167"/>
      <c r="FL150" s="167"/>
      <c r="FM150" s="167"/>
      <c r="FN150" s="167"/>
      <c r="FO150" s="167"/>
      <c r="FP150" s="167"/>
      <c r="FQ150" s="167"/>
      <c r="FR150" s="167"/>
      <c r="FS150" s="167"/>
      <c r="FT150" s="167"/>
      <c r="FU150" s="167"/>
      <c r="FV150" s="167"/>
      <c r="FW150" s="167"/>
      <c r="FX150" s="167"/>
      <c r="FY150" s="167"/>
      <c r="FZ150" s="167"/>
      <c r="GA150" s="167"/>
      <c r="GB150" s="167"/>
      <c r="GC150" s="167"/>
      <c r="GD150" s="167"/>
      <c r="GE150" s="167"/>
      <c r="GF150" s="167"/>
      <c r="GG150" s="167"/>
      <c r="GH150" s="167"/>
      <c r="GI150" s="167"/>
      <c r="GJ150" s="167"/>
      <c r="GK150" s="167"/>
      <c r="GL150" s="167"/>
      <c r="GM150" s="167"/>
      <c r="GN150" s="167"/>
      <c r="GO150" s="167"/>
      <c r="GP150" s="167"/>
      <c r="GQ150" s="167"/>
      <c r="GR150" s="167"/>
      <c r="GS150" s="167"/>
      <c r="GT150" s="167"/>
      <c r="GU150" s="167"/>
      <c r="GV150" s="167"/>
      <c r="GW150" s="167"/>
      <c r="GX150" s="167"/>
      <c r="GY150" s="167"/>
      <c r="GZ150" s="167"/>
      <c r="HA150" s="167"/>
      <c r="HB150" s="167"/>
      <c r="HC150" s="167"/>
      <c r="HD150" s="167"/>
      <c r="HE150" s="167"/>
      <c r="HF150" s="167"/>
      <c r="HG150" s="167"/>
      <c r="HH150" s="167"/>
      <c r="HI150" s="167"/>
      <c r="HJ150" s="167"/>
      <c r="HK150" s="167"/>
      <c r="HL150" s="167"/>
      <c r="HM150" s="167"/>
      <c r="HN150" s="167"/>
      <c r="HO150" s="167"/>
      <c r="HP150" s="167"/>
      <c r="HQ150" s="167"/>
      <c r="HR150" s="167"/>
      <c r="HS150" s="167"/>
      <c r="HT150" s="167"/>
      <c r="HU150" s="167"/>
      <c r="HV150" s="167"/>
      <c r="HW150" s="167"/>
      <c r="HX150" s="167"/>
      <c r="HY150" s="167"/>
      <c r="HZ150" s="167"/>
      <c r="IA150" s="167"/>
      <c r="IB150" s="167"/>
      <c r="IC150" s="167"/>
      <c r="ID150" s="167"/>
      <c r="IE150" s="167"/>
      <c r="IF150" s="167"/>
      <c r="IG150" s="167"/>
      <c r="IH150" s="167"/>
      <c r="II150" s="167"/>
      <c r="IJ150" s="167"/>
      <c r="IK150" s="167"/>
      <c r="IL150" s="167"/>
      <c r="IM150" s="167"/>
      <c r="IN150" s="167"/>
      <c r="IO150" s="167"/>
      <c r="IP150" s="167"/>
      <c r="IQ150" s="167"/>
      <c r="IR150" s="167"/>
      <c r="IS150" s="167"/>
      <c r="IT150" s="167"/>
      <c r="IU150" s="167"/>
      <c r="IV150" s="167"/>
      <c r="IW150" s="167"/>
    </row>
    <row r="151" customFormat="false" ht="13.5" hidden="true" customHeight="true" outlineLevel="0" collapsed="false">
      <c r="A151" s="108"/>
      <c r="B151" s="404"/>
      <c r="C151" s="403"/>
      <c r="D151" s="110"/>
      <c r="E151" s="311"/>
      <c r="F151" s="164" t="n">
        <f aca="false">IF(ISERROR(VLOOKUP(D150,[31]일용직명단!$A$3:$K$1220,9,FALSE())),0,VLOOKUP(D150,[31]일용직명단!$A$3:$K$1220,9,FALSE()))</f>
        <v>0</v>
      </c>
      <c r="G151" s="405"/>
      <c r="H151" s="406"/>
      <c r="I151" s="405"/>
      <c r="J151" s="136"/>
      <c r="K151" s="407"/>
      <c r="L151" s="136"/>
      <c r="M151" s="408"/>
      <c r="N151" s="408"/>
      <c r="O151" s="114"/>
      <c r="P151" s="409"/>
      <c r="Q151" s="114"/>
      <c r="R151" s="114"/>
      <c r="S151" s="408"/>
      <c r="T151" s="408"/>
      <c r="U151" s="408"/>
      <c r="V151" s="119"/>
      <c r="W151" s="144"/>
      <c r="X151" s="138" t="n">
        <f aca="false">X150*W150</f>
        <v>0</v>
      </c>
      <c r="Y151" s="123" t="n">
        <f aca="false">IF(AI150&lt;1000,0,AI150)</f>
        <v>0</v>
      </c>
      <c r="Z151" s="123" t="n">
        <f aca="false">ROUNDDOWN(Y151*10%,-1)</f>
        <v>0</v>
      </c>
      <c r="AA151" s="123" t="n">
        <f aca="false">IF(AF150&gt;=8,ROUNDDOWN(Z150*$R$4,-1),0)</f>
        <v>0</v>
      </c>
      <c r="AB151" s="145"/>
      <c r="AC151" s="146"/>
      <c r="AD151" s="414" t="n">
        <f aca="false">IF(ISERROR(VLOOKUP(D150,[31]일용직명단!$A$3:$I$1200,7,FALSE())),0,VLOOKUP(D150,[31]일용직명단!$A$3:$I$1200,7,FALSE()))</f>
        <v>0</v>
      </c>
      <c r="AE151" s="414"/>
      <c r="AF151" s="128"/>
      <c r="AG151" s="129"/>
      <c r="AH151" s="129"/>
      <c r="AI151" s="130"/>
      <c r="AJ151" s="130" t="n">
        <f aca="false">IF($X150*G151&gt;150000,($X150*G151-150000)*6%*45%,0)</f>
        <v>0</v>
      </c>
      <c r="AK151" s="130" t="n">
        <f aca="false">IF($X150*H151&gt;150000,($X150*H151-150000)*6%*45%,0)</f>
        <v>0</v>
      </c>
      <c r="AL151" s="130" t="n">
        <f aca="false">IF($X150*I151&gt;150000,($X150*I151-150000)*6%*45%,0)</f>
        <v>0</v>
      </c>
      <c r="AM151" s="130" t="n">
        <f aca="false">IF($X150*J151&gt;150000,($X150*J151-150000)*6%*45%,0)</f>
        <v>0</v>
      </c>
      <c r="AN151" s="130" t="n">
        <f aca="false">IF($X150*K151&gt;150000,($X150*K151-150000)*6%*45%,0)</f>
        <v>0</v>
      </c>
      <c r="AO151" s="130" t="n">
        <f aca="false">IF($X150*L151&gt;150000,($X150*L151-150000)*6%*45%,0)</f>
        <v>0</v>
      </c>
      <c r="AP151" s="130" t="n">
        <f aca="false">IF($X150*M151&gt;150000,($X150*M151-150000)*6%*45%,0)</f>
        <v>0</v>
      </c>
      <c r="AQ151" s="130" t="n">
        <f aca="false">IF($X150*N151&gt;150000,($X150*N151-150000)*6%*45%,0)</f>
        <v>0</v>
      </c>
      <c r="AR151" s="130" t="n">
        <f aca="false">IF($X150*O151&gt;150000,($X150*O151-150000)*6%*45%,0)</f>
        <v>0</v>
      </c>
      <c r="AS151" s="130" t="n">
        <f aca="false">IF($X150*P151&gt;150000,($X150*P151-150000)*6%*45%,0)</f>
        <v>0</v>
      </c>
      <c r="AT151" s="130" t="n">
        <f aca="false">IF($X150*Q151&gt;150000,($X150*Q151-150000)*6%*45%,0)</f>
        <v>0</v>
      </c>
      <c r="AU151" s="130" t="n">
        <f aca="false">IF($X150*R151&gt;150000,($X150*R151-150000)*6%*45%,0)</f>
        <v>0</v>
      </c>
      <c r="AV151" s="130" t="n">
        <f aca="false">IF($X150*S151&gt;150000,($X150*S151-150000)*6%*45%,0)</f>
        <v>0</v>
      </c>
      <c r="AW151" s="130" t="n">
        <f aca="false">IF($X150*T151&gt;150000,($X150*T151-150000)*6%*45%,0)</f>
        <v>0</v>
      </c>
      <c r="AX151" s="130" t="n">
        <f aca="false">IF($X150*U151&gt;150000,($X150*U151-150000)*6%*45%,0)</f>
        <v>0</v>
      </c>
      <c r="AY151" s="130" t="n">
        <f aca="false">IF($X150*V151&gt;150000,($X150*V151-150000)*6%*45%,0)</f>
        <v>0</v>
      </c>
      <c r="AZ151" s="131"/>
      <c r="BA151" s="11"/>
      <c r="BB151" s="167"/>
      <c r="BC151" s="167"/>
      <c r="BD151" s="167"/>
      <c r="BE151" s="167"/>
      <c r="BF151" s="167"/>
      <c r="BG151" s="167"/>
      <c r="BH151" s="167"/>
      <c r="BI151" s="167"/>
      <c r="BJ151" s="167"/>
      <c r="BK151" s="167"/>
      <c r="BL151" s="167"/>
      <c r="BM151" s="167"/>
      <c r="BN151" s="167"/>
      <c r="BO151" s="167"/>
      <c r="BP151" s="167"/>
      <c r="BQ151" s="167"/>
      <c r="BR151" s="167"/>
      <c r="BS151" s="167"/>
      <c r="BT151" s="167"/>
      <c r="BU151" s="167"/>
      <c r="BV151" s="167"/>
      <c r="BW151" s="167"/>
      <c r="BX151" s="167"/>
      <c r="BY151" s="167"/>
      <c r="BZ151" s="167"/>
      <c r="CA151" s="167"/>
      <c r="CB151" s="167"/>
      <c r="CC151" s="167"/>
      <c r="CD151" s="167"/>
      <c r="CE151" s="167"/>
      <c r="CF151" s="167"/>
      <c r="CG151" s="167"/>
      <c r="CH151" s="167"/>
      <c r="CI151" s="167"/>
      <c r="CJ151" s="167"/>
      <c r="CK151" s="167"/>
      <c r="CL151" s="167"/>
      <c r="CM151" s="167"/>
      <c r="CN151" s="167"/>
      <c r="CO151" s="167"/>
      <c r="CP151" s="167"/>
      <c r="CQ151" s="167"/>
      <c r="CR151" s="167"/>
      <c r="CS151" s="167"/>
      <c r="CT151" s="167"/>
      <c r="CU151" s="167"/>
      <c r="CV151" s="167"/>
      <c r="CW151" s="167"/>
      <c r="CX151" s="167"/>
      <c r="CY151" s="167"/>
      <c r="CZ151" s="167"/>
      <c r="DA151" s="167"/>
      <c r="DB151" s="167"/>
      <c r="DC151" s="167"/>
      <c r="DD151" s="167"/>
      <c r="DE151" s="167"/>
      <c r="DF151" s="167"/>
      <c r="DG151" s="167"/>
      <c r="DH151" s="167"/>
      <c r="DI151" s="167"/>
      <c r="DJ151" s="167"/>
      <c r="DK151" s="167"/>
      <c r="DL151" s="167"/>
      <c r="DM151" s="167"/>
      <c r="DN151" s="167"/>
      <c r="DO151" s="167"/>
      <c r="DP151" s="167"/>
      <c r="DQ151" s="167"/>
      <c r="DR151" s="167"/>
      <c r="DS151" s="167"/>
      <c r="DT151" s="167"/>
      <c r="DU151" s="167"/>
      <c r="DV151" s="167"/>
      <c r="DW151" s="167"/>
      <c r="DX151" s="167"/>
      <c r="DY151" s="167"/>
      <c r="DZ151" s="167"/>
      <c r="EA151" s="167"/>
      <c r="EB151" s="167"/>
      <c r="EC151" s="167"/>
      <c r="ED151" s="167"/>
      <c r="EE151" s="167"/>
      <c r="EF151" s="167"/>
      <c r="EG151" s="167"/>
      <c r="EH151" s="167"/>
      <c r="EI151" s="167"/>
      <c r="EJ151" s="167"/>
      <c r="EK151" s="167"/>
      <c r="EL151" s="167"/>
      <c r="EM151" s="167"/>
      <c r="EN151" s="167"/>
      <c r="EO151" s="167"/>
      <c r="EP151" s="167"/>
      <c r="EQ151" s="167"/>
      <c r="ER151" s="167"/>
      <c r="ES151" s="167"/>
      <c r="ET151" s="167"/>
      <c r="EU151" s="167"/>
      <c r="EV151" s="167"/>
      <c r="EW151" s="167"/>
      <c r="EX151" s="167"/>
      <c r="EY151" s="167"/>
      <c r="EZ151" s="167"/>
      <c r="FA151" s="167"/>
      <c r="FB151" s="167"/>
      <c r="FC151" s="167"/>
      <c r="FD151" s="167"/>
      <c r="FE151" s="167"/>
      <c r="FF151" s="167"/>
      <c r="FG151" s="167"/>
      <c r="FH151" s="167"/>
      <c r="FI151" s="167"/>
      <c r="FJ151" s="167"/>
      <c r="FK151" s="167"/>
      <c r="FL151" s="167"/>
      <c r="FM151" s="167"/>
      <c r="FN151" s="167"/>
      <c r="FO151" s="167"/>
      <c r="FP151" s="167"/>
      <c r="FQ151" s="167"/>
      <c r="FR151" s="167"/>
      <c r="FS151" s="167"/>
      <c r="FT151" s="167"/>
      <c r="FU151" s="167"/>
      <c r="FV151" s="167"/>
      <c r="FW151" s="167"/>
      <c r="FX151" s="167"/>
      <c r="FY151" s="167"/>
      <c r="FZ151" s="167"/>
      <c r="GA151" s="167"/>
      <c r="GB151" s="167"/>
      <c r="GC151" s="167"/>
      <c r="GD151" s="167"/>
      <c r="GE151" s="167"/>
      <c r="GF151" s="167"/>
      <c r="GG151" s="167"/>
      <c r="GH151" s="167"/>
      <c r="GI151" s="167"/>
      <c r="GJ151" s="167"/>
      <c r="GK151" s="167"/>
      <c r="GL151" s="167"/>
      <c r="GM151" s="167"/>
      <c r="GN151" s="167"/>
      <c r="GO151" s="167"/>
      <c r="GP151" s="167"/>
      <c r="GQ151" s="167"/>
      <c r="GR151" s="167"/>
      <c r="GS151" s="167"/>
      <c r="GT151" s="167"/>
      <c r="GU151" s="167"/>
      <c r="GV151" s="167"/>
      <c r="GW151" s="167"/>
      <c r="GX151" s="167"/>
      <c r="GY151" s="167"/>
      <c r="GZ151" s="167"/>
      <c r="HA151" s="167"/>
      <c r="HB151" s="167"/>
      <c r="HC151" s="167"/>
      <c r="HD151" s="167"/>
      <c r="HE151" s="167"/>
      <c r="HF151" s="167"/>
      <c r="HG151" s="167"/>
      <c r="HH151" s="167"/>
      <c r="HI151" s="167"/>
      <c r="HJ151" s="167"/>
      <c r="HK151" s="167"/>
      <c r="HL151" s="167"/>
      <c r="HM151" s="167"/>
      <c r="HN151" s="167"/>
      <c r="HO151" s="167"/>
      <c r="HP151" s="167"/>
      <c r="HQ151" s="167"/>
      <c r="HR151" s="167"/>
      <c r="HS151" s="167"/>
      <c r="HT151" s="167"/>
      <c r="HU151" s="167"/>
      <c r="HV151" s="167"/>
      <c r="HW151" s="167"/>
      <c r="HX151" s="167"/>
      <c r="HY151" s="167"/>
      <c r="HZ151" s="167"/>
      <c r="IA151" s="167"/>
      <c r="IB151" s="167"/>
      <c r="IC151" s="167"/>
      <c r="ID151" s="167"/>
      <c r="IE151" s="167"/>
      <c r="IF151" s="167"/>
      <c r="IG151" s="167"/>
      <c r="IH151" s="167"/>
      <c r="II151" s="167"/>
      <c r="IJ151" s="167"/>
      <c r="IK151" s="167"/>
      <c r="IL151" s="167"/>
      <c r="IM151" s="167"/>
      <c r="IN151" s="167"/>
      <c r="IO151" s="167"/>
      <c r="IP151" s="167"/>
      <c r="IQ151" s="167"/>
      <c r="IR151" s="167"/>
      <c r="IS151" s="167"/>
      <c r="IT151" s="167"/>
      <c r="IU151" s="167"/>
      <c r="IV151" s="167"/>
      <c r="IW151" s="167"/>
    </row>
    <row r="152" customFormat="false" ht="13.5" hidden="true" customHeight="true" outlineLevel="0" collapsed="false">
      <c r="A152" s="108" t="n">
        <f aca="false">A150+1</f>
        <v>20</v>
      </c>
      <c r="B152" s="402"/>
      <c r="C152" s="159"/>
      <c r="D152" s="203"/>
      <c r="E152" s="311" t="n">
        <f aca="false">IF(ISERROR(VLOOKUP(D152,[33]일용직명단!$A$3:$K$1183,3,FALSE())),0,VLOOKUP(D152,[33]일용직명단!$A$3:$K$1183,3,FALSE()))</f>
        <v>0</v>
      </c>
      <c r="F152" s="160" t="n">
        <f aca="false">IF(ISERROR(VLOOKUP(D152,[31]일용직명단!$A$3:$K$1220,4,FALSE())),0,VLOOKUP(D152,[31]일용직명단!$A$3:$K$1220,4,FALSE()))</f>
        <v>0</v>
      </c>
      <c r="G152" s="408"/>
      <c r="H152" s="114"/>
      <c r="I152" s="409"/>
      <c r="J152" s="409"/>
      <c r="K152" s="408"/>
      <c r="L152" s="409"/>
      <c r="M152" s="408"/>
      <c r="N152" s="408"/>
      <c r="O152" s="114"/>
      <c r="P152" s="114"/>
      <c r="Q152" s="408"/>
      <c r="R152" s="114"/>
      <c r="S152" s="409"/>
      <c r="T152" s="114"/>
      <c r="U152" s="409"/>
      <c r="V152" s="119"/>
      <c r="W152" s="144" t="n">
        <f aca="false">SUM(G152:V153)</f>
        <v>0</v>
      </c>
      <c r="X152" s="121" t="n">
        <f aca="false">IF(ISERROR(VLOOKUP(D152,[31]일용직명단!$A$3:$K$1220,8,FALSE())),0,VLOOKUP(D152,[31]일용직명단!$A$3:$K$1220,8,FALSE()))</f>
        <v>0</v>
      </c>
      <c r="Y152" s="156" t="n">
        <f aca="false">IFERROR(IF(AH152&gt;=65,0,ROUNDDOWN(X153*$AA$4,-1)),0)</f>
        <v>0</v>
      </c>
      <c r="Z152" s="156" t="n">
        <f aca="false">IF(AF152&gt;=8,ROUNDDOWN(X153*$N$4,-1),0)</f>
        <v>0</v>
      </c>
      <c r="AA152" s="156" t="n">
        <f aca="false">IFERROR(IF(AND(COUNT(G152:V153)&gt;=8,$AH152&lt;60,X153&lt;=5530000),ROUNDDOWN(ROUNDDOWN(X153,-3)*4.5%,-1),IF(AND(COUNT(G152:V153)&gt;=8,AH152&lt;60,X153&gt;5530000),248850,0)),0)</f>
        <v>0</v>
      </c>
      <c r="AB152" s="145" t="n">
        <f aca="false">+Y152+Z152+Y153+Z153+AA152+AA153</f>
        <v>0</v>
      </c>
      <c r="AC152" s="146" t="n">
        <f aca="false">X153-AB152</f>
        <v>0</v>
      </c>
      <c r="AD152" s="157" t="n">
        <f aca="false">IF(ISERROR(VLOOKUP(D152,[31]일용직명단!$A$3:$I$1200,5,FALSE())),0,VLOOKUP(D152,[31]일용직명단!$A$3:$I$1200,5,FALSE()))</f>
        <v>0</v>
      </c>
      <c r="AE152" s="158" t="n">
        <f aca="false">IF(ISERROR(VLOOKUP(D152,[31]일용직명단!$A$3:$I$1200,6,FALSE())),0,VLOOKUP(D152,[31]일용직명단!$A$3:$I$1200,6,FALSE()))</f>
        <v>0</v>
      </c>
      <c r="AF152" s="141" t="n">
        <f aca="false">COUNT(G152:V153)</f>
        <v>0</v>
      </c>
      <c r="AG152" s="129" t="str">
        <f aca="false">IF(OR(MID(E152,8,1)="1",MID(E152,8,1)="2"),19&amp;LEFT(E152,2),20&amp;LEFT(E152,2))&amp;"-"&amp;MID(E152,3,2)&amp;"-"&amp;MID(E152,5,2)</f>
        <v>200--</v>
      </c>
      <c r="AH152" s="129" t="e">
        <f aca="true">INT((TODAY()-AG152)/365.25)</f>
        <v>#VALUE!</v>
      </c>
      <c r="AI152" s="161" t="n">
        <f aca="false">ROUNDDOWN(SUM(AJ152:AY153),-1)</f>
        <v>0</v>
      </c>
      <c r="AJ152" s="130" t="n">
        <f aca="false">IF($X152*G152&gt;150000,($X152*G152-150000)*6%*45%,0)</f>
        <v>0</v>
      </c>
      <c r="AK152" s="130" t="n">
        <f aca="false">IF($X152*H152&gt;150000,($X152*H152-150000)*6%*45%,0)</f>
        <v>0</v>
      </c>
      <c r="AL152" s="130" t="n">
        <f aca="false">IF($X152*I152&gt;150000,($X152*I152-150000)*6%*45%,0)</f>
        <v>0</v>
      </c>
      <c r="AM152" s="130" t="n">
        <f aca="false">IF($X152*J152&gt;150000,($X152*J152-150000)*6%*45%,0)</f>
        <v>0</v>
      </c>
      <c r="AN152" s="130" t="n">
        <f aca="false">IF($X152*K152&gt;150000,($X152*K152-150000)*6%*45%,0)</f>
        <v>0</v>
      </c>
      <c r="AO152" s="130" t="n">
        <f aca="false">IF($X152*L152&gt;150000,($X152*L152-150000)*6%*45%,0)</f>
        <v>0</v>
      </c>
      <c r="AP152" s="130" t="n">
        <f aca="false">IF($X152*M152&gt;150000,($X152*M152-150000)*6%*45%,0)</f>
        <v>0</v>
      </c>
      <c r="AQ152" s="130" t="n">
        <f aca="false">IF($X152*N152&gt;150000,($X152*N152-150000)*6%*45%,0)</f>
        <v>0</v>
      </c>
      <c r="AR152" s="130" t="n">
        <f aca="false">IF($X152*O152&gt;150000,($X152*O152-150000)*6%*45%,0)</f>
        <v>0</v>
      </c>
      <c r="AS152" s="130" t="n">
        <f aca="false">IF($X152*P152&gt;150000,($X152*P152-150000)*6%*45%,0)</f>
        <v>0</v>
      </c>
      <c r="AT152" s="130" t="n">
        <f aca="false">IF($X152*Q152&gt;150000,($X152*Q152-150000)*6%*45%,0)</f>
        <v>0</v>
      </c>
      <c r="AU152" s="130" t="n">
        <f aca="false">IF($X152*R152&gt;150000,($X152*R152-150000)*6%*45%,0)</f>
        <v>0</v>
      </c>
      <c r="AV152" s="130" t="n">
        <f aca="false">IF($X152*S152&gt;150000,($X152*S152-150000)*6%*45%,0)</f>
        <v>0</v>
      </c>
      <c r="AW152" s="130" t="n">
        <f aca="false">IF($X152*T152&gt;150000,($X152*T152-150000)*6%*45%,0)</f>
        <v>0</v>
      </c>
      <c r="AX152" s="130" t="n">
        <f aca="false">IF($X152*U152&gt;150000,($X152*U152-150000)*6%*45%,0)</f>
        <v>0</v>
      </c>
      <c r="AY152" s="130"/>
      <c r="AZ152" s="162" t="n">
        <f aca="false">IF(ISERROR(VLOOKUP(D152,[27]일용직명단!$A$3:$M$1151,11,FALSE())),0,VLOOKUP(D152,[27]일용직명단!$A$3:$M$1151,11,FALSE()))</f>
        <v>0</v>
      </c>
      <c r="BA152" s="163"/>
      <c r="BB152" s="163"/>
      <c r="BC152" s="358"/>
      <c r="BD152" s="358"/>
      <c r="BE152" s="358"/>
      <c r="BF152" s="358"/>
      <c r="BG152" s="358"/>
      <c r="BH152" s="358"/>
      <c r="BI152" s="358"/>
      <c r="BJ152" s="358"/>
      <c r="BK152" s="358"/>
      <c r="BL152" s="358"/>
      <c r="BM152" s="358"/>
      <c r="BN152" s="358"/>
      <c r="BO152" s="358"/>
      <c r="BP152" s="358"/>
      <c r="BQ152" s="358"/>
      <c r="BR152" s="358"/>
      <c r="BS152" s="358"/>
      <c r="BT152" s="358"/>
      <c r="BU152" s="358"/>
      <c r="BV152" s="358"/>
      <c r="BW152" s="358"/>
      <c r="BX152" s="358"/>
      <c r="BY152" s="358"/>
      <c r="BZ152" s="358"/>
      <c r="CA152" s="358"/>
      <c r="CB152" s="358"/>
      <c r="CC152" s="358"/>
      <c r="CD152" s="358"/>
      <c r="CE152" s="358"/>
      <c r="CF152" s="358"/>
      <c r="CG152" s="358"/>
      <c r="CH152" s="358"/>
      <c r="CI152" s="358"/>
      <c r="CJ152" s="358"/>
      <c r="CK152" s="358"/>
      <c r="CL152" s="358"/>
      <c r="CM152" s="358"/>
      <c r="CN152" s="358"/>
      <c r="CO152" s="358"/>
      <c r="CP152" s="358"/>
      <c r="CQ152" s="358"/>
      <c r="CR152" s="358"/>
      <c r="CS152" s="358"/>
      <c r="CT152" s="358"/>
      <c r="CU152" s="358"/>
      <c r="CV152" s="358"/>
      <c r="CW152" s="358"/>
      <c r="CX152" s="358"/>
      <c r="CY152" s="358"/>
      <c r="CZ152" s="358"/>
      <c r="DA152" s="358"/>
      <c r="DB152" s="358"/>
      <c r="DC152" s="358"/>
      <c r="DD152" s="358"/>
      <c r="DE152" s="358"/>
      <c r="DF152" s="358"/>
      <c r="DG152" s="358"/>
      <c r="DH152" s="358"/>
      <c r="DI152" s="358"/>
      <c r="DJ152" s="358"/>
      <c r="DK152" s="358"/>
      <c r="DL152" s="358"/>
      <c r="DM152" s="358"/>
      <c r="DN152" s="358"/>
      <c r="DO152" s="358"/>
      <c r="DP152" s="358"/>
      <c r="DQ152" s="358"/>
      <c r="DR152" s="358"/>
      <c r="DS152" s="358"/>
      <c r="DT152" s="358"/>
      <c r="DU152" s="358"/>
      <c r="DV152" s="358"/>
      <c r="DW152" s="358"/>
      <c r="DX152" s="358"/>
      <c r="DY152" s="358"/>
      <c r="DZ152" s="358"/>
      <c r="EA152" s="358"/>
      <c r="EB152" s="358"/>
      <c r="EC152" s="358"/>
      <c r="ED152" s="358"/>
      <c r="EE152" s="358"/>
      <c r="EF152" s="358"/>
      <c r="EG152" s="358"/>
      <c r="EH152" s="358"/>
      <c r="EI152" s="358"/>
      <c r="EJ152" s="358"/>
      <c r="EK152" s="358"/>
      <c r="EL152" s="358"/>
      <c r="EM152" s="358"/>
      <c r="EN152" s="358"/>
      <c r="EO152" s="358"/>
      <c r="EP152" s="358"/>
      <c r="EQ152" s="358"/>
      <c r="ER152" s="358"/>
      <c r="ES152" s="358"/>
      <c r="ET152" s="358"/>
      <c r="EU152" s="358"/>
      <c r="EV152" s="358"/>
      <c r="EW152" s="358"/>
      <c r="EX152" s="358"/>
      <c r="EY152" s="358"/>
      <c r="EZ152" s="358"/>
      <c r="FA152" s="358"/>
      <c r="FB152" s="358"/>
      <c r="FC152" s="358"/>
      <c r="FD152" s="358"/>
      <c r="FE152" s="358"/>
      <c r="FF152" s="358"/>
      <c r="FG152" s="358"/>
      <c r="FH152" s="358"/>
      <c r="FI152" s="358"/>
      <c r="FJ152" s="358"/>
      <c r="FK152" s="358"/>
      <c r="FL152" s="358"/>
      <c r="FM152" s="358"/>
      <c r="FN152" s="358"/>
      <c r="FO152" s="358"/>
      <c r="FP152" s="358"/>
      <c r="FQ152" s="358"/>
      <c r="FR152" s="358"/>
      <c r="FS152" s="358"/>
      <c r="FT152" s="358"/>
      <c r="FU152" s="358"/>
      <c r="FV152" s="358"/>
      <c r="FW152" s="358"/>
      <c r="FX152" s="358"/>
      <c r="FY152" s="358"/>
      <c r="FZ152" s="358"/>
      <c r="GA152" s="358"/>
      <c r="GB152" s="358"/>
      <c r="GC152" s="358"/>
      <c r="GD152" s="358"/>
      <c r="GE152" s="358"/>
      <c r="GF152" s="358"/>
      <c r="GG152" s="358"/>
      <c r="GH152" s="358"/>
      <c r="GI152" s="358"/>
      <c r="GJ152" s="358"/>
      <c r="GK152" s="358"/>
      <c r="GL152" s="358"/>
      <c r="GM152" s="358"/>
      <c r="GN152" s="358"/>
      <c r="GO152" s="358"/>
      <c r="GP152" s="358"/>
      <c r="GQ152" s="358"/>
      <c r="GR152" s="358"/>
      <c r="GS152" s="358"/>
      <c r="GT152" s="358"/>
      <c r="GU152" s="358"/>
      <c r="GV152" s="358"/>
      <c r="GW152" s="358"/>
      <c r="GX152" s="358"/>
      <c r="GY152" s="358"/>
      <c r="GZ152" s="358"/>
      <c r="HA152" s="358"/>
      <c r="HB152" s="358"/>
      <c r="HC152" s="358"/>
      <c r="HD152" s="358"/>
      <c r="HE152" s="358"/>
      <c r="HF152" s="358"/>
      <c r="HG152" s="358"/>
      <c r="HH152" s="358"/>
      <c r="HI152" s="358"/>
      <c r="HJ152" s="358"/>
      <c r="HK152" s="358"/>
      <c r="HL152" s="358"/>
      <c r="HM152" s="358"/>
      <c r="HN152" s="358"/>
      <c r="HO152" s="358"/>
      <c r="HP152" s="358"/>
      <c r="HQ152" s="358"/>
      <c r="HR152" s="358"/>
      <c r="HS152" s="358"/>
      <c r="HT152" s="358"/>
      <c r="HU152" s="358"/>
      <c r="HV152" s="358"/>
      <c r="HW152" s="358"/>
      <c r="HX152" s="358"/>
      <c r="HY152" s="358"/>
      <c r="HZ152" s="358"/>
      <c r="IA152" s="358"/>
      <c r="IB152" s="358"/>
      <c r="IC152" s="358"/>
      <c r="ID152" s="358"/>
      <c r="IE152" s="358"/>
      <c r="IF152" s="358"/>
      <c r="IG152" s="358"/>
      <c r="IH152" s="358"/>
      <c r="II152" s="358"/>
      <c r="IJ152" s="358"/>
      <c r="IK152" s="358"/>
      <c r="IL152" s="358"/>
      <c r="IM152" s="358"/>
      <c r="IN152" s="358"/>
      <c r="IO152" s="358"/>
      <c r="IP152" s="358"/>
      <c r="IQ152" s="358"/>
      <c r="IW152" s="11"/>
    </row>
    <row r="153" customFormat="false" ht="13.5" hidden="true" customHeight="true" outlineLevel="0" collapsed="false">
      <c r="A153" s="108"/>
      <c r="B153" s="402"/>
      <c r="C153" s="159"/>
      <c r="D153" s="203"/>
      <c r="E153" s="311"/>
      <c r="F153" s="160" t="n">
        <f aca="false">IF(ISERROR(VLOOKUP(D152,[31]일용직명단!$A$3:$K$1220,9,FALSE())),0,VLOOKUP(D152,[31]일용직명단!$A$3:$K$1220,9,FALSE()))</f>
        <v>0</v>
      </c>
      <c r="G153" s="405"/>
      <c r="H153" s="406"/>
      <c r="I153" s="405"/>
      <c r="J153" s="136"/>
      <c r="K153" s="407"/>
      <c r="L153" s="136"/>
      <c r="M153" s="408"/>
      <c r="N153" s="408"/>
      <c r="O153" s="114"/>
      <c r="P153" s="409"/>
      <c r="Q153" s="114"/>
      <c r="R153" s="114"/>
      <c r="S153" s="408"/>
      <c r="T153" s="408"/>
      <c r="U153" s="408"/>
      <c r="V153" s="119"/>
      <c r="W153" s="144"/>
      <c r="X153" s="138" t="n">
        <f aca="false">X152*W152</f>
        <v>0</v>
      </c>
      <c r="Y153" s="156" t="n">
        <f aca="false">IF(AI152&lt;1000,0,AI152)</f>
        <v>0</v>
      </c>
      <c r="Z153" s="156" t="n">
        <f aca="false">ROUNDDOWN(Y153*10%,-1)</f>
        <v>0</v>
      </c>
      <c r="AA153" s="156" t="n">
        <f aca="false">IF(AF152&gt;=8,ROUNDDOWN(Z152*$R$4,-1),0)</f>
        <v>0</v>
      </c>
      <c r="AB153" s="145"/>
      <c r="AC153" s="146"/>
      <c r="AD153" s="158" t="n">
        <f aca="false">IF(ISERROR(VLOOKUP(D152,[31]일용직명단!$A$3:$I$1200,7,FALSE())),0,VLOOKUP(D152,[31]일용직명단!$A$3:$I$1200,7,FALSE()))</f>
        <v>0</v>
      </c>
      <c r="AE153" s="158"/>
      <c r="AF153" s="141"/>
      <c r="AG153" s="129"/>
      <c r="AH153" s="129"/>
      <c r="AI153" s="161"/>
      <c r="AJ153" s="130" t="n">
        <f aca="false">IF($X152*G153&gt;150000,($X152*G153-150000)*6%*45%,0)</f>
        <v>0</v>
      </c>
      <c r="AK153" s="130" t="n">
        <f aca="false">IF($X152*H153&gt;150000,($X152*H153-150000)*6%*45%,0)</f>
        <v>0</v>
      </c>
      <c r="AL153" s="130" t="n">
        <f aca="false">IF($X152*I153&gt;150000,($X152*I153-150000)*6%*45%,0)</f>
        <v>0</v>
      </c>
      <c r="AM153" s="130" t="n">
        <f aca="false">IF($X152*J153&gt;150000,($X152*J153-150000)*6%*45%,0)</f>
        <v>0</v>
      </c>
      <c r="AN153" s="130" t="n">
        <f aca="false">IF($X152*K153&gt;150000,($X152*K153-150000)*6%*45%,0)</f>
        <v>0</v>
      </c>
      <c r="AO153" s="130" t="n">
        <f aca="false">IF($X152*L153&gt;150000,($X152*L153-150000)*6%*45%,0)</f>
        <v>0</v>
      </c>
      <c r="AP153" s="130" t="n">
        <f aca="false">IF($X152*M153&gt;150000,($X152*M153-150000)*6%*45%,0)</f>
        <v>0</v>
      </c>
      <c r="AQ153" s="130" t="n">
        <f aca="false">IF($X152*N153&gt;150000,($X152*N153-150000)*6%*45%,0)</f>
        <v>0</v>
      </c>
      <c r="AR153" s="130" t="n">
        <f aca="false">IF($X152*O153&gt;150000,($X152*O153-150000)*6%*45%,0)</f>
        <v>0</v>
      </c>
      <c r="AS153" s="130" t="n">
        <f aca="false">IF($X152*P153&gt;150000,($X152*P153-150000)*6%*45%,0)</f>
        <v>0</v>
      </c>
      <c r="AT153" s="130" t="n">
        <f aca="false">IF($X152*Q153&gt;150000,($X152*Q153-150000)*6%*45%,0)</f>
        <v>0</v>
      </c>
      <c r="AU153" s="130" t="n">
        <f aca="false">IF($X152*R153&gt;150000,($X152*R153-150000)*6%*45%,0)</f>
        <v>0</v>
      </c>
      <c r="AV153" s="130" t="n">
        <f aca="false">IF($X152*S153&gt;150000,($X152*S153-150000)*6%*45%,0)</f>
        <v>0</v>
      </c>
      <c r="AW153" s="130" t="n">
        <f aca="false">IF($X152*T153&gt;150000,($X152*T153-150000)*6%*45%,0)</f>
        <v>0</v>
      </c>
      <c r="AX153" s="130" t="n">
        <f aca="false">IF($X152*U153&gt;150000,($X152*U153-150000)*6%*45%,0)</f>
        <v>0</v>
      </c>
      <c r="AY153" s="130" t="n">
        <f aca="false">IF($X152*V153&gt;150000,($X152*V153-150000)*6%*45%,0)</f>
        <v>0</v>
      </c>
      <c r="AZ153" s="162"/>
      <c r="BA153" s="163"/>
      <c r="BB153" s="163"/>
      <c r="BC153" s="358"/>
      <c r="BD153" s="358"/>
      <c r="BE153" s="358"/>
      <c r="BF153" s="358"/>
      <c r="BG153" s="358"/>
      <c r="BH153" s="358"/>
      <c r="BI153" s="358"/>
      <c r="BJ153" s="358"/>
      <c r="BK153" s="358"/>
      <c r="BL153" s="358"/>
      <c r="BM153" s="358"/>
      <c r="BN153" s="358"/>
      <c r="BO153" s="358"/>
      <c r="BP153" s="358"/>
      <c r="BQ153" s="358"/>
      <c r="BR153" s="358"/>
      <c r="BS153" s="358"/>
      <c r="BT153" s="358"/>
      <c r="BU153" s="358"/>
      <c r="BV153" s="358"/>
      <c r="BW153" s="358"/>
      <c r="BX153" s="358"/>
      <c r="BY153" s="358"/>
      <c r="BZ153" s="358"/>
      <c r="CA153" s="358"/>
      <c r="CB153" s="358"/>
      <c r="CC153" s="358"/>
      <c r="CD153" s="358"/>
      <c r="CE153" s="358"/>
      <c r="CF153" s="358"/>
      <c r="CG153" s="358"/>
      <c r="CH153" s="358"/>
      <c r="CI153" s="358"/>
      <c r="CJ153" s="358"/>
      <c r="CK153" s="358"/>
      <c r="CL153" s="358"/>
      <c r="CM153" s="358"/>
      <c r="CN153" s="358"/>
      <c r="CO153" s="358"/>
      <c r="CP153" s="358"/>
      <c r="CQ153" s="358"/>
      <c r="CR153" s="358"/>
      <c r="CS153" s="358"/>
      <c r="CT153" s="358"/>
      <c r="CU153" s="358"/>
      <c r="CV153" s="358"/>
      <c r="CW153" s="358"/>
      <c r="CX153" s="358"/>
      <c r="CY153" s="358"/>
      <c r="CZ153" s="358"/>
      <c r="DA153" s="358"/>
      <c r="DB153" s="358"/>
      <c r="DC153" s="358"/>
      <c r="DD153" s="358"/>
      <c r="DE153" s="358"/>
      <c r="DF153" s="358"/>
      <c r="DG153" s="358"/>
      <c r="DH153" s="358"/>
      <c r="DI153" s="358"/>
      <c r="DJ153" s="358"/>
      <c r="DK153" s="358"/>
      <c r="DL153" s="358"/>
      <c r="DM153" s="358"/>
      <c r="DN153" s="358"/>
      <c r="DO153" s="358"/>
      <c r="DP153" s="358"/>
      <c r="DQ153" s="358"/>
      <c r="DR153" s="358"/>
      <c r="DS153" s="358"/>
      <c r="DT153" s="358"/>
      <c r="DU153" s="358"/>
      <c r="DV153" s="358"/>
      <c r="DW153" s="358"/>
      <c r="DX153" s="358"/>
      <c r="DY153" s="358"/>
      <c r="DZ153" s="358"/>
      <c r="EA153" s="358"/>
      <c r="EB153" s="358"/>
      <c r="EC153" s="358"/>
      <c r="ED153" s="358"/>
      <c r="EE153" s="358"/>
      <c r="EF153" s="358"/>
      <c r="EG153" s="358"/>
      <c r="EH153" s="358"/>
      <c r="EI153" s="358"/>
      <c r="EJ153" s="358"/>
      <c r="EK153" s="358"/>
      <c r="EL153" s="358"/>
      <c r="EM153" s="358"/>
      <c r="EN153" s="358"/>
      <c r="EO153" s="358"/>
      <c r="EP153" s="358"/>
      <c r="EQ153" s="358"/>
      <c r="ER153" s="358"/>
      <c r="ES153" s="358"/>
      <c r="ET153" s="358"/>
      <c r="EU153" s="358"/>
      <c r="EV153" s="358"/>
      <c r="EW153" s="358"/>
      <c r="EX153" s="358"/>
      <c r="EY153" s="358"/>
      <c r="EZ153" s="358"/>
      <c r="FA153" s="358"/>
      <c r="FB153" s="358"/>
      <c r="FC153" s="358"/>
      <c r="FD153" s="358"/>
      <c r="FE153" s="358"/>
      <c r="FF153" s="358"/>
      <c r="FG153" s="358"/>
      <c r="FH153" s="358"/>
      <c r="FI153" s="358"/>
      <c r="FJ153" s="358"/>
      <c r="FK153" s="358"/>
      <c r="FL153" s="358"/>
      <c r="FM153" s="358"/>
      <c r="FN153" s="358"/>
      <c r="FO153" s="358"/>
      <c r="FP153" s="358"/>
      <c r="FQ153" s="358"/>
      <c r="FR153" s="358"/>
      <c r="FS153" s="358"/>
      <c r="FT153" s="358"/>
      <c r="FU153" s="358"/>
      <c r="FV153" s="358"/>
      <c r="FW153" s="358"/>
      <c r="FX153" s="358"/>
      <c r="FY153" s="358"/>
      <c r="FZ153" s="358"/>
      <c r="GA153" s="358"/>
      <c r="GB153" s="358"/>
      <c r="GC153" s="358"/>
      <c r="GD153" s="358"/>
      <c r="GE153" s="358"/>
      <c r="GF153" s="358"/>
      <c r="GG153" s="358"/>
      <c r="GH153" s="358"/>
      <c r="GI153" s="358"/>
      <c r="GJ153" s="358"/>
      <c r="GK153" s="358"/>
      <c r="GL153" s="358"/>
      <c r="GM153" s="358"/>
      <c r="GN153" s="358"/>
      <c r="GO153" s="358"/>
      <c r="GP153" s="358"/>
      <c r="GQ153" s="358"/>
      <c r="GR153" s="358"/>
      <c r="GS153" s="358"/>
      <c r="GT153" s="358"/>
      <c r="GU153" s="358"/>
      <c r="GV153" s="358"/>
      <c r="GW153" s="358"/>
      <c r="GX153" s="358"/>
      <c r="GY153" s="358"/>
      <c r="GZ153" s="358"/>
      <c r="HA153" s="358"/>
      <c r="HB153" s="358"/>
      <c r="HC153" s="358"/>
      <c r="HD153" s="358"/>
      <c r="HE153" s="358"/>
      <c r="HF153" s="358"/>
      <c r="HG153" s="358"/>
      <c r="HH153" s="358"/>
      <c r="HI153" s="358"/>
      <c r="HJ153" s="358"/>
      <c r="HK153" s="358"/>
      <c r="HL153" s="358"/>
      <c r="HM153" s="358"/>
      <c r="HN153" s="358"/>
      <c r="HO153" s="358"/>
      <c r="HP153" s="358"/>
      <c r="HQ153" s="358"/>
      <c r="HR153" s="358"/>
      <c r="HS153" s="358"/>
      <c r="HT153" s="358"/>
      <c r="HU153" s="358"/>
      <c r="HV153" s="358"/>
      <c r="HW153" s="358"/>
      <c r="HX153" s="358"/>
      <c r="HY153" s="358"/>
      <c r="HZ153" s="358"/>
      <c r="IA153" s="358"/>
      <c r="IB153" s="358"/>
      <c r="IC153" s="358"/>
      <c r="ID153" s="358"/>
      <c r="IE153" s="358"/>
      <c r="IF153" s="358"/>
      <c r="IG153" s="358"/>
      <c r="IH153" s="358"/>
      <c r="II153" s="358"/>
      <c r="IJ153" s="358"/>
      <c r="IK153" s="358"/>
      <c r="IL153" s="358"/>
      <c r="IM153" s="358"/>
      <c r="IN153" s="358"/>
      <c r="IO153" s="358"/>
      <c r="IP153" s="358"/>
      <c r="IQ153" s="358"/>
      <c r="IW153" s="11"/>
    </row>
    <row r="154" customFormat="false" ht="13.5" hidden="true" customHeight="true" outlineLevel="0" collapsed="false">
      <c r="A154" s="108" t="n">
        <f aca="false">A152+1</f>
        <v>21</v>
      </c>
      <c r="B154" s="404"/>
      <c r="C154" s="403" t="n">
        <f aca="false">IF(ISERROR(VLOOKUP(D154,[31]일용직명단!$A$3:$I$105,2,FALSE())),0,VLOOKUP(D154,[31]일용직명단!$A$3:$I$105,2,FALSE()))</f>
        <v>0</v>
      </c>
      <c r="D154" s="110"/>
      <c r="E154" s="311" t="n">
        <f aca="false">IF(ISERROR(VLOOKUP(D154,[31]일용직명단!$A$3:$K$1220,3,FALSE())),0,VLOOKUP(D154,[31]일용직명단!$A$3:$K$1220,3,FALSE()))</f>
        <v>0</v>
      </c>
      <c r="F154" s="140" t="n">
        <f aca="false">IF(ISERROR(VLOOKUP(D154,[31]일용직명단!$A$3:$K$1220,4,FALSE())),0,VLOOKUP(D154,[31]일용직명단!$A$3:$K$1220,4,FALSE()))</f>
        <v>0</v>
      </c>
      <c r="G154" s="408"/>
      <c r="H154" s="114"/>
      <c r="I154" s="409"/>
      <c r="J154" s="409"/>
      <c r="K154" s="408"/>
      <c r="L154" s="409"/>
      <c r="M154" s="408"/>
      <c r="N154" s="408"/>
      <c r="O154" s="114"/>
      <c r="P154" s="114"/>
      <c r="Q154" s="408"/>
      <c r="R154" s="114"/>
      <c r="S154" s="409"/>
      <c r="T154" s="114"/>
      <c r="U154" s="409"/>
      <c r="V154" s="119"/>
      <c r="W154" s="144" t="n">
        <f aca="false">SUM(G154:V155)</f>
        <v>0</v>
      </c>
      <c r="X154" s="121" t="n">
        <f aca="false">IF(ISERROR(VLOOKUP(D154,[31]일용직명단!$A$3:$K$1220,8,FALSE())),0,VLOOKUP(D154,[31]일용직명단!$A$3:$K$1220,8,FALSE()))</f>
        <v>0</v>
      </c>
      <c r="Y154" s="123" t="n">
        <f aca="false">IFERROR(IF(AH154&gt;=65,0,ROUNDDOWN(X155*$AA$4,-1)),0)</f>
        <v>0</v>
      </c>
      <c r="Z154" s="123" t="n">
        <f aca="false">IF(AF154&gt;=8,ROUNDDOWN(X155*$N$4,-1),0)</f>
        <v>0</v>
      </c>
      <c r="AA154" s="123" t="n">
        <f aca="false">IFERROR(IF(AND(COUNT(G154:V155)&gt;=8,$AH154&lt;60,X155&lt;=5530000),ROUNDDOWN(ROUNDDOWN(X155,-3)*4.5%,-1),IF(AND(COUNT(G154:V155)&gt;=8,AH154&lt;60,X155&gt;5530000),248850,0)),0)</f>
        <v>0</v>
      </c>
      <c r="AB154" s="145" t="n">
        <f aca="false">+Y154+Z154+Y155+Z155+AA154+AA155</f>
        <v>0</v>
      </c>
      <c r="AC154" s="146" t="n">
        <f aca="false">X155-AB154</f>
        <v>0</v>
      </c>
      <c r="AD154" s="411" t="n">
        <f aca="false">IF(ISERROR(VLOOKUP(D154,[31]일용직명단!$A$3:$I$1200,5,FALSE())),0,VLOOKUP(D154,[31]일용직명단!$A$3:$I$1200,5,FALSE()))</f>
        <v>0</v>
      </c>
      <c r="AE154" s="412" t="n">
        <f aca="false">IF(ISERROR(VLOOKUP(D154,[31]일용직명단!$A$3:$I$1200,6,FALSE())),0,VLOOKUP(D154,[31]일용직명단!$A$3:$I$1200,6,FALSE()))</f>
        <v>0</v>
      </c>
      <c r="AF154" s="149" t="n">
        <f aca="false">COUNT(G154:V155)</f>
        <v>0</v>
      </c>
      <c r="AG154" s="129" t="str">
        <f aca="false">IF(OR(MID(E154,8,1)="1",MID(E154,8,1)="2"),19&amp;LEFT(E154,2),20&amp;LEFT(E154,2))&amp;"-"&amp;MID(E154,3,2)&amp;"-"&amp;MID(E154,5,2)</f>
        <v>200--</v>
      </c>
      <c r="AH154" s="129" t="e">
        <f aca="true">INT((TODAY()-AG154)/365.25)</f>
        <v>#VALUE!</v>
      </c>
      <c r="AI154" s="130" t="n">
        <f aca="false">ROUNDDOWN(SUM(AJ154:AY155),-1)</f>
        <v>0</v>
      </c>
      <c r="AJ154" s="130" t="n">
        <f aca="false">IF($X154*G154&gt;150000,($X154*G154-150000)*6%*45%,0)</f>
        <v>0</v>
      </c>
      <c r="AK154" s="130" t="n">
        <f aca="false">IF($X154*H154&gt;150000,($X154*H154-150000)*6%*45%,0)</f>
        <v>0</v>
      </c>
      <c r="AL154" s="130" t="n">
        <f aca="false">IF($X154*I154&gt;150000,($X154*I154-150000)*6%*45%,0)</f>
        <v>0</v>
      </c>
      <c r="AM154" s="130" t="n">
        <f aca="false">IF($X154*J154&gt;150000,($X154*J154-150000)*6%*45%,0)</f>
        <v>0</v>
      </c>
      <c r="AN154" s="130" t="n">
        <f aca="false">IF($X154*K154&gt;150000,($X154*K154-150000)*6%*45%,0)</f>
        <v>0</v>
      </c>
      <c r="AO154" s="130" t="n">
        <f aca="false">IF($X154*L154&gt;150000,($X154*L154-150000)*6%*45%,0)</f>
        <v>0</v>
      </c>
      <c r="AP154" s="130" t="n">
        <f aca="false">IF($X154*M154&gt;150000,($X154*M154-150000)*6%*45%,0)</f>
        <v>0</v>
      </c>
      <c r="AQ154" s="130" t="n">
        <f aca="false">IF($X154*N154&gt;150000,($X154*N154-150000)*6%*45%,0)</f>
        <v>0</v>
      </c>
      <c r="AR154" s="130" t="n">
        <f aca="false">IF($X154*O154&gt;150000,($X154*O154-150000)*6%*45%,0)</f>
        <v>0</v>
      </c>
      <c r="AS154" s="130" t="n">
        <f aca="false">IF($X154*P154&gt;150000,($X154*P154-150000)*6%*45%,0)</f>
        <v>0</v>
      </c>
      <c r="AT154" s="130" t="n">
        <f aca="false">IF($X154*Q154&gt;150000,($X154*Q154-150000)*6%*45%,0)</f>
        <v>0</v>
      </c>
      <c r="AU154" s="130" t="n">
        <f aca="false">IF($X154*R154&gt;150000,($X154*R154-150000)*6%*45%,0)</f>
        <v>0</v>
      </c>
      <c r="AV154" s="130" t="n">
        <f aca="false">IF($X154*S154&gt;150000,($X154*S154-150000)*6%*45%,0)</f>
        <v>0</v>
      </c>
      <c r="AW154" s="130" t="n">
        <f aca="false">IF($X154*T154&gt;150000,($X154*T154-150000)*6%*45%,0)</f>
        <v>0</v>
      </c>
      <c r="AX154" s="130" t="n">
        <f aca="false">IF($X154*U154&gt;150000,($X154*U154-150000)*6%*45%,0)</f>
        <v>0</v>
      </c>
      <c r="AY154" s="130"/>
      <c r="AZ154" s="131" t="n">
        <f aca="false">IF(ISERROR(VLOOKUP(D154,[32]일용직명단!$A$3:$M$1151,11,FALSE())),0,VLOOKUP(D154,[32]일용직명단!$A$3:$M$1151,11,FALSE()))</f>
        <v>0</v>
      </c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1"/>
      <c r="EC154" s="11"/>
      <c r="ED154" s="11"/>
      <c r="EE154" s="11"/>
      <c r="EF154" s="11"/>
      <c r="EG154" s="11"/>
      <c r="EH154" s="11"/>
      <c r="EI154" s="11"/>
      <c r="EJ154" s="11"/>
      <c r="EK154" s="11"/>
      <c r="EL154" s="11"/>
      <c r="EM154" s="11"/>
      <c r="EN154" s="11"/>
      <c r="EO154" s="11"/>
      <c r="EP154" s="11"/>
      <c r="EQ154" s="11"/>
      <c r="ER154" s="11"/>
      <c r="ES154" s="11"/>
      <c r="ET154" s="11"/>
      <c r="EU154" s="11"/>
      <c r="EV154" s="11"/>
      <c r="EW154" s="11"/>
      <c r="EX154" s="11"/>
      <c r="EY154" s="11"/>
      <c r="EZ154" s="11"/>
      <c r="FA154" s="11"/>
      <c r="FB154" s="11"/>
      <c r="FC154" s="11"/>
      <c r="FD154" s="11"/>
      <c r="FE154" s="11"/>
      <c r="FF154" s="11"/>
      <c r="FG154" s="11"/>
      <c r="FH154" s="11"/>
      <c r="FI154" s="11"/>
      <c r="FJ154" s="11"/>
      <c r="FK154" s="11"/>
      <c r="FL154" s="11"/>
      <c r="FM154" s="11"/>
      <c r="FN154" s="11"/>
      <c r="FO154" s="11"/>
      <c r="FP154" s="11"/>
      <c r="FQ154" s="11"/>
      <c r="FR154" s="11"/>
      <c r="FS154" s="11"/>
      <c r="FT154" s="11"/>
      <c r="FU154" s="11"/>
      <c r="FV154" s="11"/>
      <c r="FW154" s="11"/>
      <c r="FX154" s="11"/>
      <c r="FY154" s="11"/>
      <c r="FZ154" s="11"/>
      <c r="GA154" s="11"/>
      <c r="GB154" s="11"/>
      <c r="GC154" s="11"/>
      <c r="GD154" s="11"/>
      <c r="GE154" s="11"/>
      <c r="GF154" s="11"/>
      <c r="GG154" s="11"/>
      <c r="GH154" s="11"/>
      <c r="GI154" s="11"/>
      <c r="GJ154" s="11"/>
      <c r="GK154" s="11"/>
      <c r="GL154" s="11"/>
      <c r="GM154" s="11"/>
      <c r="GN154" s="11"/>
      <c r="GO154" s="11"/>
      <c r="GP154" s="11"/>
      <c r="GQ154" s="11"/>
      <c r="GR154" s="11"/>
      <c r="GS154" s="11"/>
      <c r="GT154" s="11"/>
      <c r="GU154" s="11"/>
      <c r="GV154" s="11"/>
      <c r="GW154" s="11"/>
      <c r="GX154" s="11"/>
      <c r="GY154" s="11"/>
      <c r="GZ154" s="11"/>
      <c r="HA154" s="11"/>
      <c r="HB154" s="11"/>
      <c r="HC154" s="11"/>
      <c r="HD154" s="11"/>
      <c r="HE154" s="11"/>
      <c r="HF154" s="11"/>
      <c r="HG154" s="11"/>
      <c r="HH154" s="11"/>
      <c r="HI154" s="11"/>
      <c r="HJ154" s="11"/>
      <c r="HK154" s="11"/>
      <c r="HL154" s="11"/>
      <c r="HM154" s="11"/>
      <c r="HN154" s="11"/>
      <c r="HO154" s="11"/>
      <c r="HP154" s="11"/>
      <c r="HQ154" s="11"/>
      <c r="HR154" s="11"/>
      <c r="HS154" s="11"/>
      <c r="HT154" s="11"/>
      <c r="HU154" s="11"/>
      <c r="HV154" s="11"/>
      <c r="HW154" s="11"/>
      <c r="HX154" s="11"/>
      <c r="HY154" s="11"/>
      <c r="HZ154" s="11"/>
      <c r="IA154" s="11"/>
      <c r="IB154" s="11"/>
      <c r="IC154" s="11"/>
      <c r="ID154" s="11"/>
      <c r="IE154" s="11"/>
      <c r="IF154" s="11"/>
      <c r="IG154" s="11"/>
      <c r="IH154" s="11"/>
      <c r="II154" s="11"/>
      <c r="IJ154" s="11"/>
      <c r="IK154" s="11"/>
      <c r="IL154" s="11"/>
      <c r="IM154" s="11"/>
      <c r="IN154" s="11"/>
      <c r="IO154" s="11"/>
      <c r="IP154" s="11"/>
      <c r="IQ154" s="11"/>
      <c r="IR154" s="11"/>
      <c r="IS154" s="11"/>
      <c r="IT154" s="11"/>
      <c r="IU154" s="11"/>
      <c r="IV154" s="11"/>
      <c r="IW154" s="11"/>
    </row>
    <row r="155" customFormat="false" ht="13.5" hidden="true" customHeight="true" outlineLevel="0" collapsed="false">
      <c r="A155" s="108"/>
      <c r="B155" s="404"/>
      <c r="C155" s="403"/>
      <c r="D155" s="110"/>
      <c r="E155" s="311"/>
      <c r="F155" s="140" t="n">
        <f aca="false">IF(ISERROR(VLOOKUP(D154,[31]일용직명단!$A$3:$K$1220,9,FALSE())),0,VLOOKUP(D154,[31]일용직명단!$A$3:$K$1220,9,FALSE()))</f>
        <v>0</v>
      </c>
      <c r="G155" s="405"/>
      <c r="H155" s="406"/>
      <c r="I155" s="405"/>
      <c r="J155" s="136"/>
      <c r="K155" s="407"/>
      <c r="L155" s="136"/>
      <c r="M155" s="408"/>
      <c r="N155" s="408"/>
      <c r="O155" s="114"/>
      <c r="P155" s="409"/>
      <c r="Q155" s="114"/>
      <c r="R155" s="114"/>
      <c r="S155" s="408"/>
      <c r="T155" s="408"/>
      <c r="U155" s="408"/>
      <c r="V155" s="119"/>
      <c r="W155" s="144"/>
      <c r="X155" s="138" t="n">
        <f aca="false">X154*W154</f>
        <v>0</v>
      </c>
      <c r="Y155" s="123" t="n">
        <f aca="false">IF(AI154&lt;1000,0,AI154)</f>
        <v>0</v>
      </c>
      <c r="Z155" s="123" t="n">
        <f aca="false">ROUNDDOWN(Y155*10%,-1)</f>
        <v>0</v>
      </c>
      <c r="AA155" s="123" t="n">
        <f aca="false">IF(AF154&gt;=8,ROUNDDOWN(Z154*$R$4,-1),0)</f>
        <v>0</v>
      </c>
      <c r="AB155" s="145"/>
      <c r="AC155" s="146"/>
      <c r="AD155" s="412" t="n">
        <f aca="false">IF(ISERROR(VLOOKUP(D154,[31]일용직명단!$A$3:$I$1200,7,FALSE())),0,VLOOKUP(D154,[31]일용직명단!$A$3:$I$1200,7,FALSE()))</f>
        <v>0</v>
      </c>
      <c r="AE155" s="412"/>
      <c r="AF155" s="149"/>
      <c r="AG155" s="129"/>
      <c r="AH155" s="129"/>
      <c r="AI155" s="130"/>
      <c r="AJ155" s="130" t="n">
        <f aca="false">IF($X154*G155&gt;150000,($X154*G155-150000)*6%*45%,0)</f>
        <v>0</v>
      </c>
      <c r="AK155" s="130" t="n">
        <f aca="false">IF($X154*H155&gt;150000,($X154*H155-150000)*6%*45%,0)</f>
        <v>0</v>
      </c>
      <c r="AL155" s="130" t="n">
        <f aca="false">IF($X154*I155&gt;150000,($X154*I155-150000)*6%*45%,0)</f>
        <v>0</v>
      </c>
      <c r="AM155" s="130" t="n">
        <f aca="false">IF($X154*J155&gt;150000,($X154*J155-150000)*6%*45%,0)</f>
        <v>0</v>
      </c>
      <c r="AN155" s="130" t="n">
        <f aca="false">IF($X154*K155&gt;150000,($X154*K155-150000)*6%*45%,0)</f>
        <v>0</v>
      </c>
      <c r="AO155" s="130" t="n">
        <f aca="false">IF($X154*L155&gt;150000,($X154*L155-150000)*6%*45%,0)</f>
        <v>0</v>
      </c>
      <c r="AP155" s="130" t="n">
        <f aca="false">IF($X154*M155&gt;150000,($X154*M155-150000)*6%*45%,0)</f>
        <v>0</v>
      </c>
      <c r="AQ155" s="130" t="n">
        <f aca="false">IF($X154*N155&gt;150000,($X154*N155-150000)*6%*45%,0)</f>
        <v>0</v>
      </c>
      <c r="AR155" s="130" t="n">
        <f aca="false">IF($X154*O155&gt;150000,($X154*O155-150000)*6%*45%,0)</f>
        <v>0</v>
      </c>
      <c r="AS155" s="130" t="n">
        <f aca="false">IF($X154*P155&gt;150000,($X154*P155-150000)*6%*45%,0)</f>
        <v>0</v>
      </c>
      <c r="AT155" s="130" t="n">
        <f aca="false">IF($X154*Q155&gt;150000,($X154*Q155-150000)*6%*45%,0)</f>
        <v>0</v>
      </c>
      <c r="AU155" s="130" t="n">
        <f aca="false">IF($X154*R155&gt;150000,($X154*R155-150000)*6%*45%,0)</f>
        <v>0</v>
      </c>
      <c r="AV155" s="130" t="n">
        <f aca="false">IF($X154*S155&gt;150000,($X154*S155-150000)*6%*45%,0)</f>
        <v>0</v>
      </c>
      <c r="AW155" s="130" t="n">
        <f aca="false">IF($X154*T155&gt;150000,($X154*T155-150000)*6%*45%,0)</f>
        <v>0</v>
      </c>
      <c r="AX155" s="130" t="n">
        <f aca="false">IF($X154*U155&gt;150000,($X154*U155-150000)*6%*45%,0)</f>
        <v>0</v>
      </c>
      <c r="AY155" s="130" t="n">
        <f aca="false">IF($X154*V155&gt;150000,($X154*V155-150000)*6%*45%,0)</f>
        <v>0</v>
      </c>
      <c r="AZ155" s="13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1"/>
      <c r="FW155" s="11"/>
      <c r="FX155" s="11"/>
      <c r="FY155" s="11"/>
      <c r="FZ155" s="11"/>
      <c r="GA155" s="11"/>
      <c r="GB155" s="11"/>
      <c r="GC155" s="11"/>
      <c r="GD155" s="11"/>
      <c r="GE155" s="11"/>
      <c r="GF155" s="11"/>
      <c r="GG155" s="11"/>
      <c r="GH155" s="11"/>
      <c r="GI155" s="11"/>
      <c r="GJ155" s="11"/>
      <c r="GK155" s="11"/>
      <c r="GL155" s="11"/>
      <c r="GM155" s="11"/>
      <c r="GN155" s="11"/>
      <c r="GO155" s="11"/>
      <c r="GP155" s="11"/>
      <c r="GQ155" s="11"/>
      <c r="GR155" s="11"/>
      <c r="GS155" s="11"/>
      <c r="GT155" s="11"/>
      <c r="GU155" s="11"/>
      <c r="GV155" s="11"/>
      <c r="GW155" s="11"/>
      <c r="GX155" s="11"/>
      <c r="GY155" s="11"/>
      <c r="GZ155" s="11"/>
      <c r="HA155" s="11"/>
      <c r="HB155" s="11"/>
      <c r="HC155" s="11"/>
      <c r="HD155" s="11"/>
      <c r="HE155" s="11"/>
      <c r="HF155" s="11"/>
      <c r="HG155" s="11"/>
      <c r="HH155" s="11"/>
      <c r="HI155" s="11"/>
      <c r="HJ155" s="11"/>
      <c r="HK155" s="11"/>
      <c r="HL155" s="11"/>
      <c r="HM155" s="11"/>
      <c r="HN155" s="11"/>
      <c r="HO155" s="11"/>
      <c r="HP155" s="11"/>
      <c r="HQ155" s="11"/>
      <c r="HR155" s="11"/>
      <c r="HS155" s="11"/>
      <c r="HT155" s="11"/>
      <c r="HU155" s="11"/>
      <c r="HV155" s="11"/>
      <c r="HW155" s="11"/>
      <c r="HX155" s="11"/>
      <c r="HY155" s="11"/>
      <c r="HZ155" s="11"/>
      <c r="IA155" s="11"/>
      <c r="IB155" s="11"/>
      <c r="IC155" s="11"/>
      <c r="ID155" s="11"/>
      <c r="IE155" s="11"/>
      <c r="IF155" s="11"/>
      <c r="IG155" s="11"/>
      <c r="IH155" s="11"/>
      <c r="II155" s="11"/>
      <c r="IJ155" s="11"/>
      <c r="IK155" s="11"/>
      <c r="IL155" s="11"/>
      <c r="IM155" s="11"/>
      <c r="IN155" s="11"/>
      <c r="IO155" s="11"/>
      <c r="IP155" s="11"/>
      <c r="IQ155" s="11"/>
      <c r="IR155" s="11"/>
      <c r="IS155" s="11"/>
      <c r="IT155" s="11"/>
      <c r="IU155" s="11"/>
      <c r="IV155" s="11"/>
      <c r="IW155" s="11"/>
    </row>
    <row r="156" customFormat="false" ht="13.5" hidden="true" customHeight="true" outlineLevel="0" collapsed="false">
      <c r="A156" s="108" t="n">
        <f aca="false">A154+1</f>
        <v>22</v>
      </c>
      <c r="B156" s="402"/>
      <c r="C156" s="159"/>
      <c r="D156" s="206"/>
      <c r="E156" s="311" t="n">
        <f aca="false">IF(ISERROR(VLOOKUP(D156,[31]일용직명단!$A$3:$K$1220,3,FALSE())),0,VLOOKUP(D156,[31]일용직명단!$A$3:$K$1220,3,FALSE()))</f>
        <v>0</v>
      </c>
      <c r="F156" s="164" t="n">
        <f aca="false">IF(ISERROR(VLOOKUP(D156,[31]일용직명단!$A$3:$K$1220,4,FALSE())),0,VLOOKUP(D156,[31]일용직명단!$A$3:$K$1220,4,FALSE()))</f>
        <v>0</v>
      </c>
      <c r="G156" s="408"/>
      <c r="H156" s="114"/>
      <c r="I156" s="409"/>
      <c r="J156" s="409"/>
      <c r="K156" s="408"/>
      <c r="L156" s="409"/>
      <c r="M156" s="408"/>
      <c r="N156" s="408"/>
      <c r="O156" s="114"/>
      <c r="P156" s="114"/>
      <c r="Q156" s="408"/>
      <c r="R156" s="114"/>
      <c r="S156" s="409"/>
      <c r="T156" s="114"/>
      <c r="U156" s="409"/>
      <c r="V156" s="119"/>
      <c r="W156" s="144" t="n">
        <f aca="false">SUM(G156:V157)</f>
        <v>0</v>
      </c>
      <c r="X156" s="121" t="n">
        <f aca="false">IF(ISERROR(VLOOKUP(D156,[31]일용직명단!$A$3:$K$1220,8,FALSE())),0,VLOOKUP(D156,[31]일용직명단!$A$3:$K$1220,8,FALSE()))</f>
        <v>0</v>
      </c>
      <c r="Y156" s="123" t="n">
        <f aca="false">IFERROR(IF(AH156&gt;=65,0,ROUNDDOWN(X157*$AA$4,-1)),0)</f>
        <v>0</v>
      </c>
      <c r="Z156" s="123" t="n">
        <f aca="false">IF(AF156&gt;=8,ROUNDDOWN(X157*$N$4,-1),0)</f>
        <v>0</v>
      </c>
      <c r="AA156" s="123" t="n">
        <f aca="false">IFERROR(IF(AND(COUNT(G156:V157)&gt;=8,$AH156&lt;60,X157&lt;=5530000),ROUNDDOWN(ROUNDDOWN(X157,-3)*4.5%,-1),IF(AND(COUNT(G156:V157)&gt;=8,AH156&lt;60,X157&gt;5530000),248850,0)),0)</f>
        <v>0</v>
      </c>
      <c r="AB156" s="145" t="n">
        <f aca="false">+Y156+Z156+Y157+Z157+AA156+AA157</f>
        <v>0</v>
      </c>
      <c r="AC156" s="146" t="n">
        <f aca="false">X157-AB156</f>
        <v>0</v>
      </c>
      <c r="AD156" s="411" t="n">
        <f aca="false">IF(ISERROR(VLOOKUP(D156,[31]일용직명단!$A$3:$I$1200,5,FALSE())),0,VLOOKUP(D156,[31]일용직명단!$A$3:$I$1200,5,FALSE()))</f>
        <v>0</v>
      </c>
      <c r="AE156" s="412" t="n">
        <f aca="false">IF(ISERROR(VLOOKUP(D156,[31]일용직명단!$A$3:$I$1200,6,FALSE())),0,VLOOKUP(D156,[31]일용직명단!$A$3:$I$1200,6,FALSE()))</f>
        <v>0</v>
      </c>
      <c r="AF156" s="128" t="n">
        <f aca="false">COUNT(G156:V157)</f>
        <v>0</v>
      </c>
      <c r="AG156" s="129" t="str">
        <f aca="false">IF(OR(MID(E156,8,1)="1",MID(E156,8,1)="2"),19&amp;LEFT(E156,2),20&amp;LEFT(E156,2))&amp;"-"&amp;MID(E156,3,2)&amp;"-"&amp;MID(E156,5,2)</f>
        <v>200--</v>
      </c>
      <c r="AH156" s="129" t="e">
        <f aca="true">INT((TODAY()-AG156)/365.25)</f>
        <v>#VALUE!</v>
      </c>
      <c r="AI156" s="130" t="n">
        <f aca="false">ROUNDDOWN(SUM(AJ156:AY157),-1)</f>
        <v>0</v>
      </c>
      <c r="AJ156" s="130" t="n">
        <f aca="false">IF($X156*G156&gt;150000,($X156*G156-150000)*6%*45%,0)</f>
        <v>0</v>
      </c>
      <c r="AK156" s="130" t="n">
        <f aca="false">IF($X156*H156&gt;150000,($X156*H156-150000)*6%*45%,0)</f>
        <v>0</v>
      </c>
      <c r="AL156" s="130" t="n">
        <f aca="false">IF($X156*I156&gt;150000,($X156*I156-150000)*6%*45%,0)</f>
        <v>0</v>
      </c>
      <c r="AM156" s="130" t="n">
        <f aca="false">IF($X156*J156&gt;150000,($X156*J156-150000)*6%*45%,0)</f>
        <v>0</v>
      </c>
      <c r="AN156" s="130" t="n">
        <f aca="false">IF($X156*K156&gt;150000,($X156*K156-150000)*6%*45%,0)</f>
        <v>0</v>
      </c>
      <c r="AO156" s="130" t="n">
        <f aca="false">IF($X156*L156&gt;150000,($X156*L156-150000)*6%*45%,0)</f>
        <v>0</v>
      </c>
      <c r="AP156" s="130" t="n">
        <f aca="false">IF($X156*M156&gt;150000,($X156*M156-150000)*6%*45%,0)</f>
        <v>0</v>
      </c>
      <c r="AQ156" s="130" t="n">
        <f aca="false">IF($X156*N156&gt;150000,($X156*N156-150000)*6%*45%,0)</f>
        <v>0</v>
      </c>
      <c r="AR156" s="130" t="n">
        <f aca="false">IF($X156*O156&gt;150000,($X156*O156-150000)*6%*45%,0)</f>
        <v>0</v>
      </c>
      <c r="AS156" s="130" t="n">
        <f aca="false">IF($X156*P156&gt;150000,($X156*P156-150000)*6%*45%,0)</f>
        <v>0</v>
      </c>
      <c r="AT156" s="130" t="n">
        <f aca="false">IF($X156*Q156&gt;150000,($X156*Q156-150000)*6%*45%,0)</f>
        <v>0</v>
      </c>
      <c r="AU156" s="130" t="n">
        <f aca="false">IF($X156*R156&gt;150000,($X156*R156-150000)*6%*45%,0)</f>
        <v>0</v>
      </c>
      <c r="AV156" s="130" t="n">
        <f aca="false">IF($X156*S156&gt;150000,($X156*S156-150000)*6%*45%,0)</f>
        <v>0</v>
      </c>
      <c r="AW156" s="130" t="n">
        <f aca="false">IF($X156*T156&gt;150000,($X156*T156-150000)*6%*45%,0)</f>
        <v>0</v>
      </c>
      <c r="AX156" s="130" t="n">
        <f aca="false">IF($X156*U156&gt;150000,($X156*U156-150000)*6%*45%,0)</f>
        <v>0</v>
      </c>
      <c r="AY156" s="130"/>
      <c r="AZ156" s="131" t="n">
        <f aca="false">IF(ISERROR(VLOOKUP(AK109,[32]일용직명단!$A$3:$M$1151,11,FALSE())),0,VLOOKUP(AK109,[32]일용직명단!$A$3:$M$1151,11,FALSE()))</f>
        <v>0</v>
      </c>
      <c r="BA156" s="11"/>
      <c r="BB156" s="11"/>
      <c r="BC156" s="358"/>
      <c r="BD156" s="358"/>
      <c r="BE156" s="358"/>
      <c r="BF156" s="358"/>
      <c r="BG156" s="358"/>
      <c r="BH156" s="358"/>
      <c r="BI156" s="358"/>
      <c r="BJ156" s="358"/>
      <c r="BK156" s="358"/>
      <c r="BL156" s="358"/>
      <c r="BM156" s="358"/>
      <c r="BN156" s="358"/>
      <c r="BO156" s="358"/>
      <c r="BP156" s="358"/>
      <c r="BQ156" s="358"/>
      <c r="BR156" s="358"/>
      <c r="BS156" s="358"/>
      <c r="BT156" s="358"/>
      <c r="BU156" s="358"/>
      <c r="BV156" s="358"/>
      <c r="BW156" s="358"/>
      <c r="BX156" s="358"/>
      <c r="BY156" s="358"/>
      <c r="BZ156" s="358"/>
      <c r="CA156" s="358"/>
      <c r="CB156" s="358"/>
      <c r="CC156" s="358"/>
      <c r="CD156" s="358"/>
      <c r="CE156" s="358"/>
      <c r="CF156" s="358"/>
      <c r="CG156" s="358"/>
      <c r="CH156" s="358"/>
      <c r="CI156" s="358"/>
      <c r="CJ156" s="358"/>
      <c r="CK156" s="358"/>
      <c r="CL156" s="358"/>
      <c r="CM156" s="358"/>
      <c r="CN156" s="358"/>
      <c r="CO156" s="358"/>
      <c r="CP156" s="358"/>
      <c r="CQ156" s="358"/>
      <c r="CR156" s="358"/>
      <c r="CS156" s="358"/>
      <c r="CT156" s="358"/>
      <c r="CU156" s="358"/>
      <c r="CV156" s="358"/>
      <c r="CW156" s="358"/>
      <c r="CX156" s="358"/>
      <c r="CY156" s="358"/>
      <c r="CZ156" s="358"/>
      <c r="DA156" s="358"/>
      <c r="DB156" s="358"/>
      <c r="DC156" s="358"/>
      <c r="DD156" s="358"/>
      <c r="DE156" s="358"/>
      <c r="DF156" s="358"/>
      <c r="DG156" s="358"/>
      <c r="DH156" s="358"/>
      <c r="DI156" s="358"/>
      <c r="DJ156" s="358"/>
      <c r="DK156" s="358"/>
      <c r="DL156" s="358"/>
      <c r="DM156" s="358"/>
      <c r="DN156" s="358"/>
      <c r="DO156" s="358"/>
      <c r="DP156" s="358"/>
      <c r="DQ156" s="358"/>
      <c r="DR156" s="358"/>
      <c r="DS156" s="358"/>
      <c r="DT156" s="358"/>
      <c r="DU156" s="358"/>
      <c r="DV156" s="358"/>
      <c r="DW156" s="358"/>
      <c r="DX156" s="358"/>
      <c r="DY156" s="358"/>
      <c r="DZ156" s="358"/>
      <c r="EA156" s="358"/>
      <c r="EB156" s="358"/>
      <c r="EC156" s="358"/>
      <c r="ED156" s="358"/>
      <c r="EE156" s="358"/>
      <c r="EF156" s="358"/>
      <c r="EG156" s="358"/>
      <c r="EH156" s="358"/>
      <c r="EI156" s="358"/>
      <c r="EJ156" s="358"/>
      <c r="EK156" s="358"/>
      <c r="EL156" s="358"/>
      <c r="EM156" s="358"/>
      <c r="EN156" s="358"/>
      <c r="EO156" s="358"/>
      <c r="EP156" s="358"/>
      <c r="EQ156" s="358"/>
      <c r="ER156" s="358"/>
      <c r="ES156" s="358"/>
      <c r="ET156" s="358"/>
      <c r="EU156" s="358"/>
      <c r="EV156" s="358"/>
      <c r="EW156" s="358"/>
      <c r="EX156" s="358"/>
      <c r="EY156" s="358"/>
      <c r="EZ156" s="358"/>
      <c r="FA156" s="358"/>
      <c r="FB156" s="358"/>
      <c r="FC156" s="358"/>
      <c r="FD156" s="358"/>
      <c r="FE156" s="358"/>
      <c r="FF156" s="358"/>
      <c r="FG156" s="358"/>
      <c r="FH156" s="358"/>
      <c r="FI156" s="358"/>
      <c r="FJ156" s="358"/>
      <c r="FK156" s="358"/>
      <c r="FL156" s="358"/>
      <c r="FM156" s="358"/>
      <c r="FN156" s="358"/>
      <c r="FO156" s="358"/>
      <c r="FP156" s="358"/>
      <c r="FQ156" s="358"/>
      <c r="FR156" s="358"/>
      <c r="FS156" s="358"/>
      <c r="FT156" s="358"/>
      <c r="FU156" s="358"/>
      <c r="FV156" s="358"/>
      <c r="FW156" s="358"/>
      <c r="FX156" s="358"/>
      <c r="FY156" s="358"/>
      <c r="FZ156" s="358"/>
      <c r="GA156" s="358"/>
      <c r="GB156" s="358"/>
      <c r="GC156" s="358"/>
      <c r="GD156" s="358"/>
      <c r="GE156" s="358"/>
      <c r="GF156" s="358"/>
      <c r="GG156" s="358"/>
      <c r="GH156" s="358"/>
      <c r="GI156" s="358"/>
      <c r="GJ156" s="358"/>
      <c r="GK156" s="358"/>
      <c r="GL156" s="358"/>
      <c r="GM156" s="358"/>
      <c r="GN156" s="358"/>
      <c r="GO156" s="358"/>
      <c r="GP156" s="358"/>
      <c r="GQ156" s="358"/>
      <c r="GR156" s="358"/>
      <c r="GS156" s="358"/>
      <c r="GT156" s="358"/>
      <c r="GU156" s="358"/>
      <c r="GV156" s="358"/>
      <c r="GW156" s="358"/>
      <c r="GX156" s="358"/>
      <c r="GY156" s="358"/>
      <c r="GZ156" s="358"/>
      <c r="HA156" s="358"/>
      <c r="HB156" s="358"/>
      <c r="HC156" s="358"/>
      <c r="HD156" s="358"/>
      <c r="HE156" s="358"/>
      <c r="HF156" s="358"/>
      <c r="HG156" s="358"/>
      <c r="HH156" s="358"/>
      <c r="HI156" s="358"/>
      <c r="HJ156" s="358"/>
      <c r="HK156" s="358"/>
      <c r="HL156" s="358"/>
      <c r="HM156" s="358"/>
      <c r="HN156" s="358"/>
      <c r="HO156" s="358"/>
      <c r="HP156" s="358"/>
      <c r="HQ156" s="358"/>
      <c r="HR156" s="358"/>
      <c r="HS156" s="358"/>
      <c r="HT156" s="358"/>
      <c r="HU156" s="358"/>
      <c r="HV156" s="358"/>
      <c r="HW156" s="358"/>
      <c r="HX156" s="358"/>
      <c r="HY156" s="358"/>
      <c r="HZ156" s="358"/>
      <c r="IA156" s="358"/>
      <c r="IB156" s="358"/>
      <c r="IC156" s="358"/>
      <c r="ID156" s="358"/>
      <c r="IE156" s="358"/>
      <c r="IF156" s="358"/>
      <c r="IG156" s="358"/>
      <c r="IH156" s="358"/>
      <c r="II156" s="358"/>
      <c r="IJ156" s="358"/>
      <c r="IK156" s="358"/>
      <c r="IL156" s="358"/>
      <c r="IM156" s="358"/>
      <c r="IN156" s="358"/>
      <c r="IO156" s="358"/>
      <c r="IP156" s="358"/>
      <c r="IQ156" s="358"/>
    </row>
    <row r="157" customFormat="false" ht="13.5" hidden="true" customHeight="true" outlineLevel="0" collapsed="false">
      <c r="A157" s="108"/>
      <c r="B157" s="402"/>
      <c r="C157" s="159"/>
      <c r="D157" s="206"/>
      <c r="E157" s="311"/>
      <c r="F157" s="164" t="n">
        <f aca="false">IF(ISERROR(VLOOKUP(D156,[31]일용직명단!$A$3:$K$1220,9,FALSE())),0,VLOOKUP(D156,[31]일용직명단!$A$3:$K$1220,9,FALSE()))</f>
        <v>0</v>
      </c>
      <c r="G157" s="405"/>
      <c r="H157" s="406"/>
      <c r="I157" s="405"/>
      <c r="J157" s="136"/>
      <c r="K157" s="407"/>
      <c r="L157" s="136"/>
      <c r="M157" s="408"/>
      <c r="N157" s="408"/>
      <c r="O157" s="114"/>
      <c r="P157" s="409"/>
      <c r="Q157" s="114"/>
      <c r="R157" s="114"/>
      <c r="S157" s="408"/>
      <c r="T157" s="408"/>
      <c r="U157" s="408"/>
      <c r="V157" s="119"/>
      <c r="W157" s="144"/>
      <c r="X157" s="138" t="n">
        <f aca="false">X156*W156</f>
        <v>0</v>
      </c>
      <c r="Y157" s="123" t="n">
        <f aca="false">IF(AI156&lt;1000,0,AI156)</f>
        <v>0</v>
      </c>
      <c r="Z157" s="123" t="n">
        <f aca="false">ROUNDDOWN(Y157*10%,-1)</f>
        <v>0</v>
      </c>
      <c r="AA157" s="123" t="n">
        <f aca="false">IF(AF156&gt;=8,ROUNDDOWN(Z156*$R$4,-1),0)</f>
        <v>0</v>
      </c>
      <c r="AB157" s="145"/>
      <c r="AC157" s="146"/>
      <c r="AD157" s="412" t="n">
        <f aca="false">IF(ISERROR(VLOOKUP(D156,[31]일용직명단!$A$3:$I$1200,7,FALSE())),0,VLOOKUP(D156,[31]일용직명단!$A$3:$I$1200,7,FALSE()))</f>
        <v>0</v>
      </c>
      <c r="AE157" s="412"/>
      <c r="AF157" s="128"/>
      <c r="AG157" s="129"/>
      <c r="AH157" s="129"/>
      <c r="AI157" s="130"/>
      <c r="AJ157" s="130" t="n">
        <f aca="false">IF($X156*G157&gt;150000,($X156*G157-150000)*6%*45%,0)</f>
        <v>0</v>
      </c>
      <c r="AK157" s="130" t="n">
        <f aca="false">IF($X156*H157&gt;150000,($X156*H157-150000)*6%*45%,0)</f>
        <v>0</v>
      </c>
      <c r="AL157" s="130" t="n">
        <f aca="false">IF($X156*I157&gt;150000,($X156*I157-150000)*6%*45%,0)</f>
        <v>0</v>
      </c>
      <c r="AM157" s="130" t="n">
        <f aca="false">IF($X156*J157&gt;150000,($X156*J157-150000)*6%*45%,0)</f>
        <v>0</v>
      </c>
      <c r="AN157" s="130" t="n">
        <f aca="false">IF($X156*K157&gt;150000,($X156*K157-150000)*6%*45%,0)</f>
        <v>0</v>
      </c>
      <c r="AO157" s="130" t="n">
        <f aca="false">IF($X156*L157&gt;150000,($X156*L157-150000)*6%*45%,0)</f>
        <v>0</v>
      </c>
      <c r="AP157" s="130" t="n">
        <f aca="false">IF($X156*M157&gt;150000,($X156*M157-150000)*6%*45%,0)</f>
        <v>0</v>
      </c>
      <c r="AQ157" s="130" t="n">
        <f aca="false">IF($X156*N157&gt;150000,($X156*N157-150000)*6%*45%,0)</f>
        <v>0</v>
      </c>
      <c r="AR157" s="130" t="n">
        <f aca="false">IF($X156*O157&gt;150000,($X156*O157-150000)*6%*45%,0)</f>
        <v>0</v>
      </c>
      <c r="AS157" s="130" t="n">
        <f aca="false">IF($X156*P157&gt;150000,($X156*P157-150000)*6%*45%,0)</f>
        <v>0</v>
      </c>
      <c r="AT157" s="130" t="n">
        <f aca="false">IF($X156*Q157&gt;150000,($X156*Q157-150000)*6%*45%,0)</f>
        <v>0</v>
      </c>
      <c r="AU157" s="130" t="n">
        <f aca="false">IF($X156*R157&gt;150000,($X156*R157-150000)*6%*45%,0)</f>
        <v>0</v>
      </c>
      <c r="AV157" s="130" t="n">
        <f aca="false">IF($X156*S157&gt;150000,($X156*S157-150000)*6%*45%,0)</f>
        <v>0</v>
      </c>
      <c r="AW157" s="130" t="n">
        <f aca="false">IF($X156*T157&gt;150000,($X156*T157-150000)*6%*45%,0)</f>
        <v>0</v>
      </c>
      <c r="AX157" s="130" t="n">
        <f aca="false">IF($X156*U157&gt;150000,($X156*U157-150000)*6%*45%,0)</f>
        <v>0</v>
      </c>
      <c r="AY157" s="130" t="n">
        <f aca="false">IF($X156*V157&gt;150000,($X156*V157-150000)*6%*45%,0)</f>
        <v>0</v>
      </c>
      <c r="AZ157" s="131"/>
      <c r="BA157" s="11"/>
      <c r="BB157" s="11"/>
      <c r="BC157" s="358"/>
      <c r="BD157" s="358"/>
      <c r="BE157" s="358"/>
      <c r="BF157" s="358"/>
      <c r="BG157" s="358"/>
      <c r="BH157" s="358"/>
      <c r="BI157" s="358"/>
      <c r="BJ157" s="358"/>
      <c r="BK157" s="358"/>
      <c r="BL157" s="358"/>
      <c r="BM157" s="358"/>
      <c r="BN157" s="358"/>
      <c r="BO157" s="358"/>
      <c r="BP157" s="358"/>
      <c r="BQ157" s="358"/>
      <c r="BR157" s="358"/>
      <c r="BS157" s="358"/>
      <c r="BT157" s="358"/>
      <c r="BU157" s="358"/>
      <c r="BV157" s="358"/>
      <c r="BW157" s="358"/>
      <c r="BX157" s="358"/>
      <c r="BY157" s="358"/>
      <c r="BZ157" s="358"/>
      <c r="CA157" s="358"/>
      <c r="CB157" s="358"/>
      <c r="CC157" s="358"/>
      <c r="CD157" s="358"/>
      <c r="CE157" s="358"/>
      <c r="CF157" s="358"/>
      <c r="CG157" s="358"/>
      <c r="CH157" s="358"/>
      <c r="CI157" s="358"/>
      <c r="CJ157" s="358"/>
      <c r="CK157" s="358"/>
      <c r="CL157" s="358"/>
      <c r="CM157" s="358"/>
      <c r="CN157" s="358"/>
      <c r="CO157" s="358"/>
      <c r="CP157" s="358"/>
      <c r="CQ157" s="358"/>
      <c r="CR157" s="358"/>
      <c r="CS157" s="358"/>
      <c r="CT157" s="358"/>
      <c r="CU157" s="358"/>
      <c r="CV157" s="358"/>
      <c r="CW157" s="358"/>
      <c r="CX157" s="358"/>
      <c r="CY157" s="358"/>
      <c r="CZ157" s="358"/>
      <c r="DA157" s="358"/>
      <c r="DB157" s="358"/>
      <c r="DC157" s="358"/>
      <c r="DD157" s="358"/>
      <c r="DE157" s="358"/>
      <c r="DF157" s="358"/>
      <c r="DG157" s="358"/>
      <c r="DH157" s="358"/>
      <c r="DI157" s="358"/>
      <c r="DJ157" s="358"/>
      <c r="DK157" s="358"/>
      <c r="DL157" s="358"/>
      <c r="DM157" s="358"/>
      <c r="DN157" s="358"/>
      <c r="DO157" s="358"/>
      <c r="DP157" s="358"/>
      <c r="DQ157" s="358"/>
      <c r="DR157" s="358"/>
      <c r="DS157" s="358"/>
      <c r="DT157" s="358"/>
      <c r="DU157" s="358"/>
      <c r="DV157" s="358"/>
      <c r="DW157" s="358"/>
      <c r="DX157" s="358"/>
      <c r="DY157" s="358"/>
      <c r="DZ157" s="358"/>
      <c r="EA157" s="358"/>
      <c r="EB157" s="358"/>
      <c r="EC157" s="358"/>
      <c r="ED157" s="358"/>
      <c r="EE157" s="358"/>
      <c r="EF157" s="358"/>
      <c r="EG157" s="358"/>
      <c r="EH157" s="358"/>
      <c r="EI157" s="358"/>
      <c r="EJ157" s="358"/>
      <c r="EK157" s="358"/>
      <c r="EL157" s="358"/>
      <c r="EM157" s="358"/>
      <c r="EN157" s="358"/>
      <c r="EO157" s="358"/>
      <c r="EP157" s="358"/>
      <c r="EQ157" s="358"/>
      <c r="ER157" s="358"/>
      <c r="ES157" s="358"/>
      <c r="ET157" s="358"/>
      <c r="EU157" s="358"/>
      <c r="EV157" s="358"/>
      <c r="EW157" s="358"/>
      <c r="EX157" s="358"/>
      <c r="EY157" s="358"/>
      <c r="EZ157" s="358"/>
      <c r="FA157" s="358"/>
      <c r="FB157" s="358"/>
      <c r="FC157" s="358"/>
      <c r="FD157" s="358"/>
      <c r="FE157" s="358"/>
      <c r="FF157" s="358"/>
      <c r="FG157" s="358"/>
      <c r="FH157" s="358"/>
      <c r="FI157" s="358"/>
      <c r="FJ157" s="358"/>
      <c r="FK157" s="358"/>
      <c r="FL157" s="358"/>
      <c r="FM157" s="358"/>
      <c r="FN157" s="358"/>
      <c r="FO157" s="358"/>
      <c r="FP157" s="358"/>
      <c r="FQ157" s="358"/>
      <c r="FR157" s="358"/>
      <c r="FS157" s="358"/>
      <c r="FT157" s="358"/>
      <c r="FU157" s="358"/>
      <c r="FV157" s="358"/>
      <c r="FW157" s="358"/>
      <c r="FX157" s="358"/>
      <c r="FY157" s="358"/>
      <c r="FZ157" s="358"/>
      <c r="GA157" s="358"/>
      <c r="GB157" s="358"/>
      <c r="GC157" s="358"/>
      <c r="GD157" s="358"/>
      <c r="GE157" s="358"/>
      <c r="GF157" s="358"/>
      <c r="GG157" s="358"/>
      <c r="GH157" s="358"/>
      <c r="GI157" s="358"/>
      <c r="GJ157" s="358"/>
      <c r="GK157" s="358"/>
      <c r="GL157" s="358"/>
      <c r="GM157" s="358"/>
      <c r="GN157" s="358"/>
      <c r="GO157" s="358"/>
      <c r="GP157" s="358"/>
      <c r="GQ157" s="358"/>
      <c r="GR157" s="358"/>
      <c r="GS157" s="358"/>
      <c r="GT157" s="358"/>
      <c r="GU157" s="358"/>
      <c r="GV157" s="358"/>
      <c r="GW157" s="358"/>
      <c r="GX157" s="358"/>
      <c r="GY157" s="358"/>
      <c r="GZ157" s="358"/>
      <c r="HA157" s="358"/>
      <c r="HB157" s="358"/>
      <c r="HC157" s="358"/>
      <c r="HD157" s="358"/>
      <c r="HE157" s="358"/>
      <c r="HF157" s="358"/>
      <c r="HG157" s="358"/>
      <c r="HH157" s="358"/>
      <c r="HI157" s="358"/>
      <c r="HJ157" s="358"/>
      <c r="HK157" s="358"/>
      <c r="HL157" s="358"/>
      <c r="HM157" s="358"/>
      <c r="HN157" s="358"/>
      <c r="HO157" s="358"/>
      <c r="HP157" s="358"/>
      <c r="HQ157" s="358"/>
      <c r="HR157" s="358"/>
      <c r="HS157" s="358"/>
      <c r="HT157" s="358"/>
      <c r="HU157" s="358"/>
      <c r="HV157" s="358"/>
      <c r="HW157" s="358"/>
      <c r="HX157" s="358"/>
      <c r="HY157" s="358"/>
      <c r="HZ157" s="358"/>
      <c r="IA157" s="358"/>
      <c r="IB157" s="358"/>
      <c r="IC157" s="358"/>
      <c r="ID157" s="358"/>
      <c r="IE157" s="358"/>
      <c r="IF157" s="358"/>
      <c r="IG157" s="358"/>
      <c r="IH157" s="358"/>
      <c r="II157" s="358"/>
      <c r="IJ157" s="358"/>
      <c r="IK157" s="358"/>
      <c r="IL157" s="358"/>
      <c r="IM157" s="358"/>
      <c r="IN157" s="358"/>
      <c r="IO157" s="358"/>
      <c r="IP157" s="358"/>
      <c r="IQ157" s="358"/>
    </row>
    <row r="158" customFormat="false" ht="13.5" hidden="true" customHeight="true" outlineLevel="0" collapsed="false">
      <c r="A158" s="108" t="n">
        <f aca="false">A156+1</f>
        <v>23</v>
      </c>
      <c r="B158" s="389" t="e">
        <f aca="false">#REF!+1</f>
        <v>#REF!</v>
      </c>
      <c r="C158" s="159" t="n">
        <f aca="false">IF(ISERROR(VLOOKUP(D158,[31]일용직명단!$A$3:$I$105,2,FALSE())),0,VLOOKUP(D158,[31]일용직명단!$A$3:$I$105,2,FALSE()))</f>
        <v>0</v>
      </c>
      <c r="D158" s="290"/>
      <c r="E158" s="311" t="n">
        <f aca="false">IF(ISERROR(VLOOKUP(D158,[31]일용직명단!$A$3:$K$1220,3,FALSE())),0,VLOOKUP(D158,[31]일용직명단!$A$3:$K$1220,3,FALSE()))</f>
        <v>0</v>
      </c>
      <c r="F158" s="164" t="n">
        <f aca="false">IF(ISERROR(VLOOKUP(D158,[31]일용직명단!$A$3:$K$1220,4,FALSE())),0,VLOOKUP(D158,[31]일용직명단!$A$3:$K$1220,4,FALSE()))</f>
        <v>0</v>
      </c>
      <c r="G158" s="408"/>
      <c r="H158" s="114"/>
      <c r="I158" s="409"/>
      <c r="J158" s="409"/>
      <c r="K158" s="408"/>
      <c r="L158" s="409"/>
      <c r="M158" s="408"/>
      <c r="N158" s="408"/>
      <c r="O158" s="114"/>
      <c r="P158" s="114"/>
      <c r="Q158" s="408"/>
      <c r="R158" s="114"/>
      <c r="S158" s="409"/>
      <c r="T158" s="114"/>
      <c r="U158" s="409"/>
      <c r="V158" s="119"/>
      <c r="W158" s="144" t="n">
        <f aca="false">SUM(G158:V159)</f>
        <v>0</v>
      </c>
      <c r="X158" s="121" t="n">
        <f aca="false">IF(ISERROR(VLOOKUP(D158,[31]일용직명단!$A$3:$K$1220,8,FALSE())),0,VLOOKUP(D158,[31]일용직명단!$A$3:$K$1220,8,FALSE()))</f>
        <v>0</v>
      </c>
      <c r="Y158" s="123" t="n">
        <f aca="false">IFERROR(IF(AH158&gt;=65,0,ROUNDDOWN(X159*$AA$4,-1)),0)</f>
        <v>0</v>
      </c>
      <c r="Z158" s="123" t="n">
        <f aca="false">IF(AF158&gt;=8,ROUNDDOWN(X159*$N$4,-1),0)</f>
        <v>0</v>
      </c>
      <c r="AA158" s="123" t="n">
        <f aca="false">IFERROR(IF(AND(COUNT(G158:V159)&gt;=8,$AH158&lt;60,X159&lt;=5530000),ROUNDDOWN(ROUNDDOWN(X159,-3)*4.5%,-1),IF(AND(COUNT(G158:V159)&gt;=8,AH158&lt;60,X159&gt;5530000),248850,0)),0)</f>
        <v>0</v>
      </c>
      <c r="AB158" s="145" t="n">
        <f aca="false">+Y158+Z158+Y159+Z159+AA158+AA159</f>
        <v>0</v>
      </c>
      <c r="AC158" s="146" t="n">
        <f aca="false">X159-AB158</f>
        <v>0</v>
      </c>
      <c r="AD158" s="411" t="n">
        <f aca="false">IF(ISERROR(VLOOKUP(D158,[31]일용직명단!$A$3:$I$1200,5,FALSE())),0,VLOOKUP(D158,[31]일용직명단!$A$3:$I$1200,5,FALSE()))</f>
        <v>0</v>
      </c>
      <c r="AE158" s="412" t="n">
        <f aca="false">IF(ISERROR(VLOOKUP(D158,[31]일용직명단!$A$3:$I$1200,6,FALSE())),0,VLOOKUP(D158,[31]일용직명단!$A$3:$I$1200,6,FALSE()))</f>
        <v>0</v>
      </c>
      <c r="AF158" s="128" t="n">
        <f aca="false">COUNT(G158:V159)</f>
        <v>0</v>
      </c>
      <c r="AG158" s="129" t="str">
        <f aca="false">IF(OR(MID(E158,8,1)="1",MID(E158,8,1)="2"),19&amp;LEFT(E158,2),20&amp;LEFT(E158,2))&amp;"-"&amp;MID(E158,3,2)&amp;"-"&amp;MID(E158,5,2)</f>
        <v>200--</v>
      </c>
      <c r="AH158" s="129" t="e">
        <f aca="true">INT((TODAY()-AG158)/365.25)</f>
        <v>#VALUE!</v>
      </c>
      <c r="AI158" s="130" t="n">
        <f aca="false">ROUNDDOWN(SUM(AJ158:AY159),-1)</f>
        <v>0</v>
      </c>
      <c r="AJ158" s="130" t="n">
        <f aca="false">IF($X158*G158&gt;150000,($X158*G158-150000)*6%*45%,0)</f>
        <v>0</v>
      </c>
      <c r="AK158" s="130" t="n">
        <f aca="false">IF($X158*H158&gt;150000,($X158*H158-150000)*6%*45%,0)</f>
        <v>0</v>
      </c>
      <c r="AL158" s="130" t="n">
        <f aca="false">IF($X158*I158&gt;150000,($X158*I158-150000)*6%*45%,0)</f>
        <v>0</v>
      </c>
      <c r="AM158" s="130" t="n">
        <f aca="false">IF($X158*J158&gt;150000,($X158*J158-150000)*6%*45%,0)</f>
        <v>0</v>
      </c>
      <c r="AN158" s="130" t="n">
        <f aca="false">IF($X158*K158&gt;150000,($X158*K158-150000)*6%*45%,0)</f>
        <v>0</v>
      </c>
      <c r="AO158" s="130" t="n">
        <f aca="false">IF($X158*L158&gt;150000,($X158*L158-150000)*6%*45%,0)</f>
        <v>0</v>
      </c>
      <c r="AP158" s="130" t="n">
        <f aca="false">IF($X158*M158&gt;150000,($X158*M158-150000)*6%*45%,0)</f>
        <v>0</v>
      </c>
      <c r="AQ158" s="130" t="n">
        <f aca="false">IF($X158*N158&gt;150000,($X158*N158-150000)*6%*45%,0)</f>
        <v>0</v>
      </c>
      <c r="AR158" s="130" t="n">
        <f aca="false">IF($X158*O158&gt;150000,($X158*O158-150000)*6%*45%,0)</f>
        <v>0</v>
      </c>
      <c r="AS158" s="130" t="n">
        <f aca="false">IF($X158*P158&gt;150000,($X158*P158-150000)*6%*45%,0)</f>
        <v>0</v>
      </c>
      <c r="AT158" s="130" t="n">
        <f aca="false">IF($X158*Q158&gt;150000,($X158*Q158-150000)*6%*45%,0)</f>
        <v>0</v>
      </c>
      <c r="AU158" s="130" t="n">
        <f aca="false">IF($X158*R158&gt;150000,($X158*R158-150000)*6%*45%,0)</f>
        <v>0</v>
      </c>
      <c r="AV158" s="130" t="n">
        <f aca="false">IF($X158*S158&gt;150000,($X158*S158-150000)*6%*45%,0)</f>
        <v>0</v>
      </c>
      <c r="AW158" s="130" t="n">
        <f aca="false">IF($X158*T158&gt;150000,($X158*T158-150000)*6%*45%,0)</f>
        <v>0</v>
      </c>
      <c r="AX158" s="130" t="n">
        <f aca="false">IF($X158*U158&gt;150000,($X158*U158-150000)*6%*45%,0)</f>
        <v>0</v>
      </c>
      <c r="AY158" s="130"/>
      <c r="AZ158" s="131" t="n">
        <f aca="false">IF(ISERROR(VLOOKUP(D158,[32]일용직명단!$A$3:$M$1151,11,FALSE())),0,VLOOKUP(D158,[32]일용직명단!$A$3:$M$1151,11,FALSE()))</f>
        <v>0</v>
      </c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/>
      <c r="EB158" s="11"/>
      <c r="EC158" s="11"/>
      <c r="ED158" s="11"/>
      <c r="EE158" s="11"/>
      <c r="EF158" s="11"/>
      <c r="EG158" s="11"/>
      <c r="EH158" s="11"/>
      <c r="EI158" s="11"/>
      <c r="EJ158" s="11"/>
      <c r="EK158" s="11"/>
      <c r="EL158" s="11"/>
      <c r="EM158" s="11"/>
      <c r="EN158" s="11"/>
      <c r="EO158" s="11"/>
      <c r="EP158" s="11"/>
      <c r="EQ158" s="11"/>
      <c r="ER158" s="11"/>
      <c r="ES158" s="11"/>
      <c r="ET158" s="11"/>
      <c r="EU158" s="11"/>
      <c r="EV158" s="11"/>
      <c r="EW158" s="11"/>
      <c r="EX158" s="11"/>
      <c r="EY158" s="11"/>
      <c r="EZ158" s="11"/>
      <c r="FA158" s="11"/>
      <c r="FB158" s="11"/>
      <c r="FC158" s="11"/>
      <c r="FD158" s="11"/>
      <c r="FE158" s="11"/>
      <c r="FF158" s="11"/>
      <c r="FG158" s="11"/>
      <c r="FH158" s="11"/>
      <c r="FI158" s="11"/>
      <c r="FJ158" s="11"/>
      <c r="FK158" s="11"/>
      <c r="FL158" s="11"/>
      <c r="FM158" s="11"/>
      <c r="FN158" s="11"/>
      <c r="FO158" s="11"/>
      <c r="FP158" s="11"/>
      <c r="FQ158" s="11"/>
      <c r="FR158" s="11"/>
      <c r="FS158" s="11"/>
      <c r="FT158" s="11"/>
      <c r="FU158" s="11"/>
      <c r="FV158" s="11"/>
      <c r="FW158" s="11"/>
      <c r="FX158" s="11"/>
      <c r="FY158" s="11"/>
      <c r="FZ158" s="11"/>
      <c r="GA158" s="11"/>
      <c r="GB158" s="11"/>
      <c r="GC158" s="11"/>
      <c r="GD158" s="11"/>
      <c r="GE158" s="11"/>
      <c r="GF158" s="11"/>
      <c r="GG158" s="11"/>
      <c r="GH158" s="11"/>
      <c r="GI158" s="11"/>
      <c r="GJ158" s="11"/>
      <c r="GK158" s="11"/>
      <c r="GL158" s="11"/>
      <c r="GM158" s="11"/>
      <c r="GN158" s="11"/>
      <c r="GO158" s="11"/>
      <c r="GP158" s="11"/>
      <c r="GQ158" s="11"/>
      <c r="GR158" s="11"/>
      <c r="GS158" s="11"/>
      <c r="GT158" s="11"/>
      <c r="GU158" s="11"/>
      <c r="GV158" s="11"/>
      <c r="GW158" s="11"/>
      <c r="GX158" s="11"/>
      <c r="GY158" s="11"/>
      <c r="GZ158" s="11"/>
      <c r="HA158" s="11"/>
      <c r="HB158" s="11"/>
      <c r="HC158" s="11"/>
      <c r="HD158" s="11"/>
      <c r="HE158" s="11"/>
      <c r="HF158" s="11"/>
      <c r="HG158" s="11"/>
      <c r="HH158" s="11"/>
      <c r="HI158" s="11"/>
      <c r="HJ158" s="11"/>
      <c r="HK158" s="11"/>
      <c r="HL158" s="11"/>
      <c r="HM158" s="11"/>
      <c r="HN158" s="11"/>
      <c r="HO158" s="11"/>
      <c r="HP158" s="11"/>
      <c r="HQ158" s="11"/>
      <c r="HR158" s="11"/>
      <c r="HS158" s="11"/>
      <c r="HT158" s="11"/>
      <c r="HU158" s="11"/>
      <c r="HV158" s="11"/>
      <c r="HW158" s="11"/>
      <c r="HX158" s="11"/>
      <c r="HY158" s="11"/>
      <c r="HZ158" s="11"/>
      <c r="IA158" s="11"/>
      <c r="IB158" s="11"/>
      <c r="IC158" s="11"/>
      <c r="ID158" s="11"/>
      <c r="IE158" s="11"/>
      <c r="IF158" s="11"/>
      <c r="IG158" s="11"/>
      <c r="IH158" s="11"/>
      <c r="II158" s="11"/>
      <c r="IJ158" s="11"/>
      <c r="IK158" s="11"/>
      <c r="IL158" s="11"/>
      <c r="IM158" s="11"/>
      <c r="IN158" s="11"/>
      <c r="IO158" s="11"/>
      <c r="IP158" s="11"/>
      <c r="IQ158" s="11"/>
      <c r="IR158" s="11"/>
      <c r="IS158" s="11"/>
      <c r="IT158" s="11"/>
      <c r="IU158" s="11"/>
      <c r="IV158" s="11"/>
      <c r="IW158" s="11"/>
    </row>
    <row r="159" customFormat="false" ht="13.5" hidden="true" customHeight="true" outlineLevel="0" collapsed="false">
      <c r="A159" s="108"/>
      <c r="B159" s="389"/>
      <c r="C159" s="159"/>
      <c r="D159" s="290"/>
      <c r="E159" s="311"/>
      <c r="F159" s="164" t="n">
        <f aca="false">IF(ISERROR(VLOOKUP(D158,[31]일용직명단!$A$3:$K$1220,9,FALSE())),0,VLOOKUP(D158,[31]일용직명단!$A$3:$K$1220,9,FALSE()))</f>
        <v>0</v>
      </c>
      <c r="G159" s="405"/>
      <c r="H159" s="406"/>
      <c r="I159" s="405"/>
      <c r="J159" s="136"/>
      <c r="K159" s="407"/>
      <c r="L159" s="136"/>
      <c r="M159" s="408"/>
      <c r="N159" s="408"/>
      <c r="O159" s="114"/>
      <c r="P159" s="409"/>
      <c r="Q159" s="114"/>
      <c r="R159" s="114"/>
      <c r="S159" s="408"/>
      <c r="T159" s="408"/>
      <c r="U159" s="408"/>
      <c r="V159" s="119"/>
      <c r="W159" s="144"/>
      <c r="X159" s="138" t="n">
        <f aca="false">X158*W158</f>
        <v>0</v>
      </c>
      <c r="Y159" s="123" t="n">
        <f aca="false">IF(AI158&lt;1000,0,AI158)</f>
        <v>0</v>
      </c>
      <c r="Z159" s="123" t="n">
        <f aca="false">ROUNDDOWN(Y159*10%,-1)</f>
        <v>0</v>
      </c>
      <c r="AA159" s="123" t="n">
        <f aca="false">IF(AF158&gt;=8,ROUNDDOWN(Z158*$R$4,-1),0)</f>
        <v>0</v>
      </c>
      <c r="AB159" s="145"/>
      <c r="AC159" s="146"/>
      <c r="AD159" s="412" t="n">
        <f aca="false">IF(ISERROR(VLOOKUP(D158,[31]일용직명단!$A$3:$I$1200,7,FALSE())),0,VLOOKUP(D158,[31]일용직명단!$A$3:$I$1200,7,FALSE()))</f>
        <v>0</v>
      </c>
      <c r="AE159" s="412"/>
      <c r="AF159" s="128"/>
      <c r="AG159" s="129"/>
      <c r="AH159" s="129"/>
      <c r="AI159" s="130"/>
      <c r="AJ159" s="130" t="n">
        <f aca="false">IF($X158*G159&gt;150000,($X158*G159-150000)*6%*45%,0)</f>
        <v>0</v>
      </c>
      <c r="AK159" s="130" t="n">
        <f aca="false">IF($X158*H159&gt;150000,($X158*H159-150000)*6%*45%,0)</f>
        <v>0</v>
      </c>
      <c r="AL159" s="130" t="n">
        <f aca="false">IF($X158*I159&gt;150000,($X158*I159-150000)*6%*45%,0)</f>
        <v>0</v>
      </c>
      <c r="AM159" s="130" t="n">
        <f aca="false">IF($X158*J159&gt;150000,($X158*J159-150000)*6%*45%,0)</f>
        <v>0</v>
      </c>
      <c r="AN159" s="130" t="n">
        <f aca="false">IF($X158*K159&gt;150000,($X158*K159-150000)*6%*45%,0)</f>
        <v>0</v>
      </c>
      <c r="AO159" s="130" t="n">
        <f aca="false">IF($X158*L159&gt;150000,($X158*L159-150000)*6%*45%,0)</f>
        <v>0</v>
      </c>
      <c r="AP159" s="130" t="n">
        <f aca="false">IF($X158*M159&gt;150000,($X158*M159-150000)*6%*45%,0)</f>
        <v>0</v>
      </c>
      <c r="AQ159" s="130" t="n">
        <f aca="false">IF($X158*N159&gt;150000,($X158*N159-150000)*6%*45%,0)</f>
        <v>0</v>
      </c>
      <c r="AR159" s="130" t="n">
        <f aca="false">IF($X158*O159&gt;150000,($X158*O159-150000)*6%*45%,0)</f>
        <v>0</v>
      </c>
      <c r="AS159" s="130" t="n">
        <f aca="false">IF($X158*P159&gt;150000,($X158*P159-150000)*6%*45%,0)</f>
        <v>0</v>
      </c>
      <c r="AT159" s="130" t="n">
        <f aca="false">IF($X158*Q159&gt;150000,($X158*Q159-150000)*6%*45%,0)</f>
        <v>0</v>
      </c>
      <c r="AU159" s="130" t="n">
        <f aca="false">IF($X158*R159&gt;150000,($X158*R159-150000)*6%*45%,0)</f>
        <v>0</v>
      </c>
      <c r="AV159" s="130" t="n">
        <f aca="false">IF($X158*S159&gt;150000,($X158*S159-150000)*6%*45%,0)</f>
        <v>0</v>
      </c>
      <c r="AW159" s="130" t="n">
        <f aca="false">IF($X158*T159&gt;150000,($X158*T159-150000)*6%*45%,0)</f>
        <v>0</v>
      </c>
      <c r="AX159" s="130" t="n">
        <f aca="false">IF($X158*U159&gt;150000,($X158*U159-150000)*6%*45%,0)</f>
        <v>0</v>
      </c>
      <c r="AY159" s="130" t="n">
        <f aca="false">IF($X158*V159&gt;150000,($X158*V159-150000)*6%*45%,0)</f>
        <v>0</v>
      </c>
      <c r="AZ159" s="13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1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1"/>
      <c r="FW159" s="11"/>
      <c r="FX159" s="11"/>
      <c r="FY159" s="11"/>
      <c r="FZ159" s="11"/>
      <c r="GA159" s="11"/>
      <c r="GB159" s="11"/>
      <c r="GC159" s="11"/>
      <c r="GD159" s="11"/>
      <c r="GE159" s="11"/>
      <c r="GF159" s="11"/>
      <c r="GG159" s="11"/>
      <c r="GH159" s="11"/>
      <c r="GI159" s="11"/>
      <c r="GJ159" s="11"/>
      <c r="GK159" s="11"/>
      <c r="GL159" s="11"/>
      <c r="GM159" s="11"/>
      <c r="GN159" s="11"/>
      <c r="GO159" s="11"/>
      <c r="GP159" s="11"/>
      <c r="GQ159" s="11"/>
      <c r="GR159" s="11"/>
      <c r="GS159" s="11"/>
      <c r="GT159" s="11"/>
      <c r="GU159" s="11"/>
      <c r="GV159" s="11"/>
      <c r="GW159" s="11"/>
      <c r="GX159" s="11"/>
      <c r="GY159" s="11"/>
      <c r="GZ159" s="11"/>
      <c r="HA159" s="11"/>
      <c r="HB159" s="11"/>
      <c r="HC159" s="11"/>
      <c r="HD159" s="11"/>
      <c r="HE159" s="11"/>
      <c r="HF159" s="11"/>
      <c r="HG159" s="11"/>
      <c r="HH159" s="11"/>
      <c r="HI159" s="11"/>
      <c r="HJ159" s="11"/>
      <c r="HK159" s="11"/>
      <c r="HL159" s="11"/>
      <c r="HM159" s="11"/>
      <c r="HN159" s="11"/>
      <c r="HO159" s="11"/>
      <c r="HP159" s="11"/>
      <c r="HQ159" s="11"/>
      <c r="HR159" s="11"/>
      <c r="HS159" s="11"/>
      <c r="HT159" s="11"/>
      <c r="HU159" s="11"/>
      <c r="HV159" s="11"/>
      <c r="HW159" s="11"/>
      <c r="HX159" s="11"/>
      <c r="HY159" s="11"/>
      <c r="HZ159" s="11"/>
      <c r="IA159" s="11"/>
      <c r="IB159" s="11"/>
      <c r="IC159" s="11"/>
      <c r="ID159" s="11"/>
      <c r="IE159" s="11"/>
      <c r="IF159" s="11"/>
      <c r="IG159" s="11"/>
      <c r="IH159" s="11"/>
      <c r="II159" s="11"/>
      <c r="IJ159" s="11"/>
      <c r="IK159" s="11"/>
      <c r="IL159" s="11"/>
      <c r="IM159" s="11"/>
      <c r="IN159" s="11"/>
      <c r="IO159" s="11"/>
      <c r="IP159" s="11"/>
      <c r="IQ159" s="11"/>
      <c r="IR159" s="11"/>
      <c r="IS159" s="11"/>
      <c r="IT159" s="11"/>
      <c r="IU159" s="11"/>
      <c r="IV159" s="11"/>
      <c r="IW159" s="11"/>
    </row>
    <row r="160" customFormat="false" ht="13.5" hidden="true" customHeight="true" outlineLevel="0" collapsed="false">
      <c r="A160" s="108" t="n">
        <f aca="false">A158+1</f>
        <v>24</v>
      </c>
      <c r="B160" s="402"/>
      <c r="C160" s="159"/>
      <c r="D160" s="203"/>
      <c r="E160" s="311" t="n">
        <f aca="false">IF(ISERROR(VLOOKUP(D160,[33]일용직명단!$A$3:$K$1183,3,FALSE())),0,VLOOKUP(D160,[33]일용직명단!$A$3:$K$1183,3,FALSE()))</f>
        <v>0</v>
      </c>
      <c r="F160" s="160" t="n">
        <f aca="false">IF(ISERROR(VLOOKUP(D160,[31]일용직명단!$A$3:$K$1220,4,FALSE())),0,VLOOKUP(D160,[31]일용직명단!$A$3:$K$1220,4,FALSE()))</f>
        <v>0</v>
      </c>
      <c r="G160" s="408"/>
      <c r="H160" s="114"/>
      <c r="I160" s="409"/>
      <c r="J160" s="409"/>
      <c r="K160" s="408"/>
      <c r="L160" s="409"/>
      <c r="M160" s="408"/>
      <c r="N160" s="408"/>
      <c r="O160" s="114"/>
      <c r="P160" s="114"/>
      <c r="Q160" s="408"/>
      <c r="R160" s="114"/>
      <c r="S160" s="409"/>
      <c r="T160" s="114"/>
      <c r="U160" s="409"/>
      <c r="V160" s="119"/>
      <c r="W160" s="144" t="n">
        <f aca="false">SUM(G160:V161)</f>
        <v>0</v>
      </c>
      <c r="X160" s="121" t="n">
        <f aca="false">IF(ISERROR(VLOOKUP(D160,[31]일용직명단!$A$3:$K$1220,8,FALSE())),0,VLOOKUP(D160,[31]일용직명단!$A$3:$K$1220,8,FALSE()))</f>
        <v>0</v>
      </c>
      <c r="Y160" s="156" t="n">
        <f aca="false">IFERROR(IF(AH160&gt;=65,0,ROUNDDOWN(X161*$AA$4,-1)),0)</f>
        <v>0</v>
      </c>
      <c r="Z160" s="156" t="n">
        <f aca="false">IF(AF160&gt;=8,ROUNDDOWN(X161*$N$4,-1),0)</f>
        <v>0</v>
      </c>
      <c r="AA160" s="156" t="n">
        <f aca="false">IFERROR(IF(AND(COUNT(G160:V161)&gt;=8,$AH160&lt;60,X161&lt;=5530000),ROUNDDOWN(ROUNDDOWN(X161,-3)*4.5%,-1),IF(AND(COUNT(G160:V161)&gt;=8,AH160&lt;60,X161&gt;5530000),248850,0)),0)</f>
        <v>0</v>
      </c>
      <c r="AB160" s="145" t="n">
        <f aca="false">+Y160+Z160+Y161+Z161+AA160+AA161</f>
        <v>0</v>
      </c>
      <c r="AC160" s="146" t="n">
        <f aca="false">X161-AB160</f>
        <v>0</v>
      </c>
      <c r="AD160" s="157" t="n">
        <f aca="false">IF(ISERROR(VLOOKUP(D160,[31]일용직명단!$A$3:$I$1200,5,FALSE())),0,VLOOKUP(D160,[31]일용직명단!$A$3:$I$1200,5,FALSE()))</f>
        <v>0</v>
      </c>
      <c r="AE160" s="158" t="n">
        <f aca="false">IF(ISERROR(VLOOKUP(D160,[31]일용직명단!$A$3:$I$1200,6,FALSE())),0,VLOOKUP(D160,[31]일용직명단!$A$3:$I$1200,6,FALSE()))</f>
        <v>0</v>
      </c>
      <c r="AF160" s="141" t="n">
        <f aca="false">COUNT(G160:V161)</f>
        <v>0</v>
      </c>
      <c r="AG160" s="129" t="str">
        <f aca="false">IF(OR(MID(E160,8,1)="1",MID(E160,8,1)="2"),19&amp;LEFT(E160,2),20&amp;LEFT(E160,2))&amp;"-"&amp;MID(E160,3,2)&amp;"-"&amp;MID(E160,5,2)</f>
        <v>200--</v>
      </c>
      <c r="AH160" s="129" t="e">
        <f aca="true">INT((TODAY()-AG160)/365.25)</f>
        <v>#VALUE!</v>
      </c>
      <c r="AI160" s="161" t="n">
        <f aca="false">ROUNDDOWN(SUM(AJ160:AY161),-1)</f>
        <v>0</v>
      </c>
      <c r="AJ160" s="130" t="n">
        <f aca="false">IF($X160*G160&gt;150000,($X160*G160-150000)*6%*45%,0)</f>
        <v>0</v>
      </c>
      <c r="AK160" s="130" t="n">
        <f aca="false">IF($X160*H160&gt;150000,($X160*H160-150000)*6%*45%,0)</f>
        <v>0</v>
      </c>
      <c r="AL160" s="130" t="n">
        <f aca="false">IF($X160*I160&gt;150000,($X160*I160-150000)*6%*45%,0)</f>
        <v>0</v>
      </c>
      <c r="AM160" s="130" t="n">
        <f aca="false">IF($X160*J160&gt;150000,($X160*J160-150000)*6%*45%,0)</f>
        <v>0</v>
      </c>
      <c r="AN160" s="130" t="n">
        <f aca="false">IF($X160*K160&gt;150000,($X160*K160-150000)*6%*45%,0)</f>
        <v>0</v>
      </c>
      <c r="AO160" s="130" t="n">
        <f aca="false">IF($X160*L160&gt;150000,($X160*L160-150000)*6%*45%,0)</f>
        <v>0</v>
      </c>
      <c r="AP160" s="130" t="n">
        <f aca="false">IF($X160*M160&gt;150000,($X160*M160-150000)*6%*45%,0)</f>
        <v>0</v>
      </c>
      <c r="AQ160" s="130" t="n">
        <f aca="false">IF($X160*N160&gt;150000,($X160*N160-150000)*6%*45%,0)</f>
        <v>0</v>
      </c>
      <c r="AR160" s="130" t="n">
        <f aca="false">IF($X160*O160&gt;150000,($X160*O160-150000)*6%*45%,0)</f>
        <v>0</v>
      </c>
      <c r="AS160" s="130" t="n">
        <f aca="false">IF($X160*P160&gt;150000,($X160*P160-150000)*6%*45%,0)</f>
        <v>0</v>
      </c>
      <c r="AT160" s="130" t="n">
        <f aca="false">IF($X160*Q160&gt;150000,($X160*Q160-150000)*6%*45%,0)</f>
        <v>0</v>
      </c>
      <c r="AU160" s="130" t="n">
        <f aca="false">IF($X160*R160&gt;150000,($X160*R160-150000)*6%*45%,0)</f>
        <v>0</v>
      </c>
      <c r="AV160" s="130" t="n">
        <f aca="false">IF($X160*S160&gt;150000,($X160*S160-150000)*6%*45%,0)</f>
        <v>0</v>
      </c>
      <c r="AW160" s="130" t="n">
        <f aca="false">IF($X160*T160&gt;150000,($X160*T160-150000)*6%*45%,0)</f>
        <v>0</v>
      </c>
      <c r="AX160" s="130" t="n">
        <f aca="false">IF($X160*U160&gt;150000,($X160*U160-150000)*6%*45%,0)</f>
        <v>0</v>
      </c>
      <c r="AY160" s="130"/>
      <c r="AZ160" s="162" t="n">
        <f aca="false">IF(ISERROR(VLOOKUP(D160,[27]일용직명단!$A$3:$M$1151,11,FALSE())),0,VLOOKUP(D160,[27]일용직명단!$A$3:$M$1151,11,FALSE()))</f>
        <v>0</v>
      </c>
      <c r="BA160" s="163"/>
      <c r="BB160" s="163"/>
      <c r="BC160" s="358"/>
      <c r="BD160" s="358"/>
      <c r="BE160" s="358"/>
      <c r="BF160" s="358"/>
      <c r="BG160" s="358"/>
      <c r="BH160" s="358"/>
      <c r="BI160" s="358"/>
      <c r="BJ160" s="358"/>
      <c r="BK160" s="358"/>
      <c r="BL160" s="358"/>
      <c r="BM160" s="358"/>
      <c r="BN160" s="358"/>
      <c r="BO160" s="358"/>
      <c r="BP160" s="358"/>
      <c r="BQ160" s="358"/>
      <c r="BR160" s="358"/>
      <c r="BS160" s="358"/>
      <c r="BT160" s="358"/>
      <c r="BU160" s="358"/>
      <c r="BV160" s="358"/>
      <c r="BW160" s="358"/>
      <c r="BX160" s="358"/>
      <c r="BY160" s="358"/>
      <c r="BZ160" s="358"/>
      <c r="CA160" s="358"/>
      <c r="CB160" s="358"/>
      <c r="CC160" s="358"/>
      <c r="CD160" s="358"/>
      <c r="CE160" s="358"/>
      <c r="CF160" s="358"/>
      <c r="CG160" s="358"/>
      <c r="CH160" s="358"/>
      <c r="CI160" s="358"/>
      <c r="CJ160" s="358"/>
      <c r="CK160" s="358"/>
      <c r="CL160" s="358"/>
      <c r="CM160" s="358"/>
      <c r="CN160" s="358"/>
      <c r="CO160" s="358"/>
      <c r="CP160" s="358"/>
      <c r="CQ160" s="358"/>
      <c r="CR160" s="358"/>
      <c r="CS160" s="358"/>
      <c r="CT160" s="358"/>
      <c r="CU160" s="358"/>
      <c r="CV160" s="358"/>
      <c r="CW160" s="358"/>
      <c r="CX160" s="358"/>
      <c r="CY160" s="358"/>
      <c r="CZ160" s="358"/>
      <c r="DA160" s="358"/>
      <c r="DB160" s="358"/>
      <c r="DC160" s="358"/>
      <c r="DD160" s="358"/>
      <c r="DE160" s="358"/>
      <c r="DF160" s="358"/>
      <c r="DG160" s="358"/>
      <c r="DH160" s="358"/>
      <c r="DI160" s="358"/>
      <c r="DJ160" s="358"/>
      <c r="DK160" s="358"/>
      <c r="DL160" s="358"/>
      <c r="DM160" s="358"/>
      <c r="DN160" s="358"/>
      <c r="DO160" s="358"/>
      <c r="DP160" s="358"/>
      <c r="DQ160" s="358"/>
      <c r="DR160" s="358"/>
      <c r="DS160" s="358"/>
      <c r="DT160" s="358"/>
      <c r="DU160" s="358"/>
      <c r="DV160" s="358"/>
      <c r="DW160" s="358"/>
      <c r="DX160" s="358"/>
      <c r="DY160" s="358"/>
      <c r="DZ160" s="358"/>
      <c r="EA160" s="358"/>
      <c r="EB160" s="358"/>
      <c r="EC160" s="358"/>
      <c r="ED160" s="358"/>
      <c r="EE160" s="358"/>
      <c r="EF160" s="358"/>
      <c r="EG160" s="358"/>
      <c r="EH160" s="358"/>
      <c r="EI160" s="358"/>
      <c r="EJ160" s="358"/>
      <c r="EK160" s="358"/>
      <c r="EL160" s="358"/>
      <c r="EM160" s="358"/>
      <c r="EN160" s="358"/>
      <c r="EO160" s="358"/>
      <c r="EP160" s="358"/>
      <c r="EQ160" s="358"/>
      <c r="ER160" s="358"/>
      <c r="ES160" s="358"/>
      <c r="ET160" s="358"/>
      <c r="EU160" s="358"/>
      <c r="EV160" s="358"/>
      <c r="EW160" s="358"/>
      <c r="EX160" s="358"/>
      <c r="EY160" s="358"/>
      <c r="EZ160" s="358"/>
      <c r="FA160" s="358"/>
      <c r="FB160" s="358"/>
      <c r="FC160" s="358"/>
      <c r="FD160" s="358"/>
      <c r="FE160" s="358"/>
      <c r="FF160" s="358"/>
      <c r="FG160" s="358"/>
      <c r="FH160" s="358"/>
      <c r="FI160" s="358"/>
      <c r="FJ160" s="358"/>
      <c r="FK160" s="358"/>
      <c r="FL160" s="358"/>
      <c r="FM160" s="358"/>
      <c r="FN160" s="358"/>
      <c r="FO160" s="358"/>
      <c r="FP160" s="358"/>
      <c r="FQ160" s="358"/>
      <c r="FR160" s="358"/>
      <c r="FS160" s="358"/>
      <c r="FT160" s="358"/>
      <c r="FU160" s="358"/>
      <c r="FV160" s="358"/>
      <c r="FW160" s="358"/>
      <c r="FX160" s="358"/>
      <c r="FY160" s="358"/>
      <c r="FZ160" s="358"/>
      <c r="GA160" s="358"/>
      <c r="GB160" s="358"/>
      <c r="GC160" s="358"/>
      <c r="GD160" s="358"/>
      <c r="GE160" s="358"/>
      <c r="GF160" s="358"/>
      <c r="GG160" s="358"/>
      <c r="GH160" s="358"/>
      <c r="GI160" s="358"/>
      <c r="GJ160" s="358"/>
      <c r="GK160" s="358"/>
      <c r="GL160" s="358"/>
      <c r="GM160" s="358"/>
      <c r="GN160" s="358"/>
      <c r="GO160" s="358"/>
      <c r="GP160" s="358"/>
      <c r="GQ160" s="358"/>
      <c r="GR160" s="358"/>
      <c r="GS160" s="358"/>
      <c r="GT160" s="358"/>
      <c r="GU160" s="358"/>
      <c r="GV160" s="358"/>
      <c r="GW160" s="358"/>
      <c r="GX160" s="358"/>
      <c r="GY160" s="358"/>
      <c r="GZ160" s="358"/>
      <c r="HA160" s="358"/>
      <c r="HB160" s="358"/>
      <c r="HC160" s="358"/>
      <c r="HD160" s="358"/>
      <c r="HE160" s="358"/>
      <c r="HF160" s="358"/>
      <c r="HG160" s="358"/>
      <c r="HH160" s="358"/>
      <c r="HI160" s="358"/>
      <c r="HJ160" s="358"/>
      <c r="HK160" s="358"/>
      <c r="HL160" s="358"/>
      <c r="HM160" s="358"/>
      <c r="HN160" s="358"/>
      <c r="HO160" s="358"/>
      <c r="HP160" s="358"/>
      <c r="HQ160" s="358"/>
      <c r="HR160" s="358"/>
      <c r="HS160" s="358"/>
      <c r="HT160" s="358"/>
      <c r="HU160" s="358"/>
      <c r="HV160" s="358"/>
      <c r="HW160" s="358"/>
      <c r="HX160" s="358"/>
      <c r="HY160" s="358"/>
      <c r="HZ160" s="358"/>
      <c r="IA160" s="358"/>
      <c r="IB160" s="358"/>
      <c r="IC160" s="358"/>
      <c r="ID160" s="358"/>
      <c r="IE160" s="358"/>
      <c r="IF160" s="358"/>
      <c r="IG160" s="358"/>
      <c r="IH160" s="358"/>
      <c r="II160" s="358"/>
      <c r="IJ160" s="358"/>
      <c r="IK160" s="358"/>
      <c r="IL160" s="358"/>
      <c r="IM160" s="358"/>
      <c r="IN160" s="358"/>
      <c r="IO160" s="358"/>
      <c r="IP160" s="358"/>
      <c r="IQ160" s="358"/>
      <c r="IW160" s="11"/>
    </row>
    <row r="161" customFormat="false" ht="13.5" hidden="true" customHeight="true" outlineLevel="0" collapsed="false">
      <c r="A161" s="108"/>
      <c r="B161" s="402"/>
      <c r="C161" s="159"/>
      <c r="D161" s="203"/>
      <c r="E161" s="311"/>
      <c r="F161" s="160" t="n">
        <f aca="false">IF(ISERROR(VLOOKUP(D160,[31]일용직명단!$A$3:$K$1220,9,FALSE())),0,VLOOKUP(D160,[31]일용직명단!$A$3:$K$1220,9,FALSE()))</f>
        <v>0</v>
      </c>
      <c r="G161" s="405"/>
      <c r="H161" s="406"/>
      <c r="I161" s="405"/>
      <c r="J161" s="136"/>
      <c r="K161" s="407"/>
      <c r="L161" s="136"/>
      <c r="M161" s="408"/>
      <c r="N161" s="408"/>
      <c r="O161" s="114"/>
      <c r="P161" s="409"/>
      <c r="Q161" s="114"/>
      <c r="R161" s="114"/>
      <c r="S161" s="408"/>
      <c r="T161" s="408"/>
      <c r="U161" s="408"/>
      <c r="V161" s="119"/>
      <c r="W161" s="144"/>
      <c r="X161" s="138" t="n">
        <f aca="false">X160*W160</f>
        <v>0</v>
      </c>
      <c r="Y161" s="156" t="n">
        <f aca="false">IF(AI160&lt;1000,0,AI160)</f>
        <v>0</v>
      </c>
      <c r="Z161" s="156" t="n">
        <f aca="false">ROUNDDOWN(Y161*10%,-1)</f>
        <v>0</v>
      </c>
      <c r="AA161" s="156" t="n">
        <f aca="false">IF(AF160&gt;=8,ROUNDDOWN(Z160*$R$4,-1),0)</f>
        <v>0</v>
      </c>
      <c r="AB161" s="145"/>
      <c r="AC161" s="146"/>
      <c r="AD161" s="158" t="n">
        <f aca="false">IF(ISERROR(VLOOKUP(D160,[31]일용직명단!$A$3:$I$1200,7,FALSE())),0,VLOOKUP(D160,[31]일용직명단!$A$3:$I$1200,7,FALSE()))</f>
        <v>0</v>
      </c>
      <c r="AE161" s="158"/>
      <c r="AF161" s="141"/>
      <c r="AG161" s="129"/>
      <c r="AH161" s="129"/>
      <c r="AI161" s="161"/>
      <c r="AJ161" s="130" t="n">
        <f aca="false">IF($X160*G161&gt;150000,($X160*G161-150000)*6%*45%,0)</f>
        <v>0</v>
      </c>
      <c r="AK161" s="130" t="n">
        <f aca="false">IF($X160*H161&gt;150000,($X160*H161-150000)*6%*45%,0)</f>
        <v>0</v>
      </c>
      <c r="AL161" s="130" t="n">
        <f aca="false">IF($X160*I161&gt;150000,($X160*I161-150000)*6%*45%,0)</f>
        <v>0</v>
      </c>
      <c r="AM161" s="130" t="n">
        <f aca="false">IF($X160*J161&gt;150000,($X160*J161-150000)*6%*45%,0)</f>
        <v>0</v>
      </c>
      <c r="AN161" s="130" t="n">
        <f aca="false">IF($X160*K161&gt;150000,($X160*K161-150000)*6%*45%,0)</f>
        <v>0</v>
      </c>
      <c r="AO161" s="130" t="n">
        <f aca="false">IF($X160*L161&gt;150000,($X160*L161-150000)*6%*45%,0)</f>
        <v>0</v>
      </c>
      <c r="AP161" s="130" t="n">
        <f aca="false">IF($X160*M161&gt;150000,($X160*M161-150000)*6%*45%,0)</f>
        <v>0</v>
      </c>
      <c r="AQ161" s="130" t="n">
        <f aca="false">IF($X160*N161&gt;150000,($X160*N161-150000)*6%*45%,0)</f>
        <v>0</v>
      </c>
      <c r="AR161" s="130" t="n">
        <f aca="false">IF($X160*O161&gt;150000,($X160*O161-150000)*6%*45%,0)</f>
        <v>0</v>
      </c>
      <c r="AS161" s="130" t="n">
        <f aca="false">IF($X160*P161&gt;150000,($X160*P161-150000)*6%*45%,0)</f>
        <v>0</v>
      </c>
      <c r="AT161" s="130" t="n">
        <f aca="false">IF($X160*Q161&gt;150000,($X160*Q161-150000)*6%*45%,0)</f>
        <v>0</v>
      </c>
      <c r="AU161" s="130" t="n">
        <f aca="false">IF($X160*R161&gt;150000,($X160*R161-150000)*6%*45%,0)</f>
        <v>0</v>
      </c>
      <c r="AV161" s="130" t="n">
        <f aca="false">IF($X160*S161&gt;150000,($X160*S161-150000)*6%*45%,0)</f>
        <v>0</v>
      </c>
      <c r="AW161" s="130" t="n">
        <f aca="false">IF($X160*T161&gt;150000,($X160*T161-150000)*6%*45%,0)</f>
        <v>0</v>
      </c>
      <c r="AX161" s="130" t="n">
        <f aca="false">IF($X160*U161&gt;150000,($X160*U161-150000)*6%*45%,0)</f>
        <v>0</v>
      </c>
      <c r="AY161" s="130" t="n">
        <f aca="false">IF($X160*V161&gt;150000,($X160*V161-150000)*6%*45%,0)</f>
        <v>0</v>
      </c>
      <c r="AZ161" s="162"/>
      <c r="BA161" s="163"/>
      <c r="BB161" s="163"/>
      <c r="BC161" s="358"/>
      <c r="BD161" s="358"/>
      <c r="BE161" s="358"/>
      <c r="BF161" s="358"/>
      <c r="BG161" s="358"/>
      <c r="BH161" s="358"/>
      <c r="BI161" s="358"/>
      <c r="BJ161" s="358"/>
      <c r="BK161" s="358"/>
      <c r="BL161" s="358"/>
      <c r="BM161" s="358"/>
      <c r="BN161" s="358"/>
      <c r="BO161" s="358"/>
      <c r="BP161" s="358"/>
      <c r="BQ161" s="358"/>
      <c r="BR161" s="358"/>
      <c r="BS161" s="358"/>
      <c r="BT161" s="358"/>
      <c r="BU161" s="358"/>
      <c r="BV161" s="358"/>
      <c r="BW161" s="358"/>
      <c r="BX161" s="358"/>
      <c r="BY161" s="358"/>
      <c r="BZ161" s="358"/>
      <c r="CA161" s="358"/>
      <c r="CB161" s="358"/>
      <c r="CC161" s="358"/>
      <c r="CD161" s="358"/>
      <c r="CE161" s="358"/>
      <c r="CF161" s="358"/>
      <c r="CG161" s="358"/>
      <c r="CH161" s="358"/>
      <c r="CI161" s="358"/>
      <c r="CJ161" s="358"/>
      <c r="CK161" s="358"/>
      <c r="CL161" s="358"/>
      <c r="CM161" s="358"/>
      <c r="CN161" s="358"/>
      <c r="CO161" s="358"/>
      <c r="CP161" s="358"/>
      <c r="CQ161" s="358"/>
      <c r="CR161" s="358"/>
      <c r="CS161" s="358"/>
      <c r="CT161" s="358"/>
      <c r="CU161" s="358"/>
      <c r="CV161" s="358"/>
      <c r="CW161" s="358"/>
      <c r="CX161" s="358"/>
      <c r="CY161" s="358"/>
      <c r="CZ161" s="358"/>
      <c r="DA161" s="358"/>
      <c r="DB161" s="358"/>
      <c r="DC161" s="358"/>
      <c r="DD161" s="358"/>
      <c r="DE161" s="358"/>
      <c r="DF161" s="358"/>
      <c r="DG161" s="358"/>
      <c r="DH161" s="358"/>
      <c r="DI161" s="358"/>
      <c r="DJ161" s="358"/>
      <c r="DK161" s="358"/>
      <c r="DL161" s="358"/>
      <c r="DM161" s="358"/>
      <c r="DN161" s="358"/>
      <c r="DO161" s="358"/>
      <c r="DP161" s="358"/>
      <c r="DQ161" s="358"/>
      <c r="DR161" s="358"/>
      <c r="DS161" s="358"/>
      <c r="DT161" s="358"/>
      <c r="DU161" s="358"/>
      <c r="DV161" s="358"/>
      <c r="DW161" s="358"/>
      <c r="DX161" s="358"/>
      <c r="DY161" s="358"/>
      <c r="DZ161" s="358"/>
      <c r="EA161" s="358"/>
      <c r="EB161" s="358"/>
      <c r="EC161" s="358"/>
      <c r="ED161" s="358"/>
      <c r="EE161" s="358"/>
      <c r="EF161" s="358"/>
      <c r="EG161" s="358"/>
      <c r="EH161" s="358"/>
      <c r="EI161" s="358"/>
      <c r="EJ161" s="358"/>
      <c r="EK161" s="358"/>
      <c r="EL161" s="358"/>
      <c r="EM161" s="358"/>
      <c r="EN161" s="358"/>
      <c r="EO161" s="358"/>
      <c r="EP161" s="358"/>
      <c r="EQ161" s="358"/>
      <c r="ER161" s="358"/>
      <c r="ES161" s="358"/>
      <c r="ET161" s="358"/>
      <c r="EU161" s="358"/>
      <c r="EV161" s="358"/>
      <c r="EW161" s="358"/>
      <c r="EX161" s="358"/>
      <c r="EY161" s="358"/>
      <c r="EZ161" s="358"/>
      <c r="FA161" s="358"/>
      <c r="FB161" s="358"/>
      <c r="FC161" s="358"/>
      <c r="FD161" s="358"/>
      <c r="FE161" s="358"/>
      <c r="FF161" s="358"/>
      <c r="FG161" s="358"/>
      <c r="FH161" s="358"/>
      <c r="FI161" s="358"/>
      <c r="FJ161" s="358"/>
      <c r="FK161" s="358"/>
      <c r="FL161" s="358"/>
      <c r="FM161" s="358"/>
      <c r="FN161" s="358"/>
      <c r="FO161" s="358"/>
      <c r="FP161" s="358"/>
      <c r="FQ161" s="358"/>
      <c r="FR161" s="358"/>
      <c r="FS161" s="358"/>
      <c r="FT161" s="358"/>
      <c r="FU161" s="358"/>
      <c r="FV161" s="358"/>
      <c r="FW161" s="358"/>
      <c r="FX161" s="358"/>
      <c r="FY161" s="358"/>
      <c r="FZ161" s="358"/>
      <c r="GA161" s="358"/>
      <c r="GB161" s="358"/>
      <c r="GC161" s="358"/>
      <c r="GD161" s="358"/>
      <c r="GE161" s="358"/>
      <c r="GF161" s="358"/>
      <c r="GG161" s="358"/>
      <c r="GH161" s="358"/>
      <c r="GI161" s="358"/>
      <c r="GJ161" s="358"/>
      <c r="GK161" s="358"/>
      <c r="GL161" s="358"/>
      <c r="GM161" s="358"/>
      <c r="GN161" s="358"/>
      <c r="GO161" s="358"/>
      <c r="GP161" s="358"/>
      <c r="GQ161" s="358"/>
      <c r="GR161" s="358"/>
      <c r="GS161" s="358"/>
      <c r="GT161" s="358"/>
      <c r="GU161" s="358"/>
      <c r="GV161" s="358"/>
      <c r="GW161" s="358"/>
      <c r="GX161" s="358"/>
      <c r="GY161" s="358"/>
      <c r="GZ161" s="358"/>
      <c r="HA161" s="358"/>
      <c r="HB161" s="358"/>
      <c r="HC161" s="358"/>
      <c r="HD161" s="358"/>
      <c r="HE161" s="358"/>
      <c r="HF161" s="358"/>
      <c r="HG161" s="358"/>
      <c r="HH161" s="358"/>
      <c r="HI161" s="358"/>
      <c r="HJ161" s="358"/>
      <c r="HK161" s="358"/>
      <c r="HL161" s="358"/>
      <c r="HM161" s="358"/>
      <c r="HN161" s="358"/>
      <c r="HO161" s="358"/>
      <c r="HP161" s="358"/>
      <c r="HQ161" s="358"/>
      <c r="HR161" s="358"/>
      <c r="HS161" s="358"/>
      <c r="HT161" s="358"/>
      <c r="HU161" s="358"/>
      <c r="HV161" s="358"/>
      <c r="HW161" s="358"/>
      <c r="HX161" s="358"/>
      <c r="HY161" s="358"/>
      <c r="HZ161" s="358"/>
      <c r="IA161" s="358"/>
      <c r="IB161" s="358"/>
      <c r="IC161" s="358"/>
      <c r="ID161" s="358"/>
      <c r="IE161" s="358"/>
      <c r="IF161" s="358"/>
      <c r="IG161" s="358"/>
      <c r="IH161" s="358"/>
      <c r="II161" s="358"/>
      <c r="IJ161" s="358"/>
      <c r="IK161" s="358"/>
      <c r="IL161" s="358"/>
      <c r="IM161" s="358"/>
      <c r="IN161" s="358"/>
      <c r="IO161" s="358"/>
      <c r="IP161" s="358"/>
      <c r="IQ161" s="358"/>
      <c r="IW161" s="11"/>
    </row>
    <row r="162" customFormat="false" ht="13.5" hidden="true" customHeight="true" outlineLevel="0" collapsed="false">
      <c r="A162" s="108" t="n">
        <f aca="false">A160+1</f>
        <v>25</v>
      </c>
      <c r="B162" s="404"/>
      <c r="C162" s="159" t="n">
        <f aca="false">IF(ISERROR(VLOOKUP(D162,[34]일용직명단!$A$3:$I$97,2,FALSE())),0,VLOOKUP(D162,[34]일용직명단!$A$3:$I$97,2,FALSE()))</f>
        <v>0</v>
      </c>
      <c r="D162" s="207"/>
      <c r="E162" s="311" t="n">
        <f aca="false">IF(ISERROR(VLOOKUP(D162,[33]일용직명단!$A$3:$K$1183,3,FALSE())),0,VLOOKUP(D162,[33]일용직명단!$A$3:$K$1183,3,FALSE()))</f>
        <v>0</v>
      </c>
      <c r="F162" s="160" t="n">
        <f aca="false">IF(ISERROR(VLOOKUP(D162,[31]일용직명단!$A$3:$K$1220,4,FALSE())),0,VLOOKUP(D162,[31]일용직명단!$A$3:$K$1220,4,FALSE()))</f>
        <v>0</v>
      </c>
      <c r="G162" s="408"/>
      <c r="H162" s="114"/>
      <c r="I162" s="409"/>
      <c r="J162" s="409"/>
      <c r="K162" s="408"/>
      <c r="L162" s="409"/>
      <c r="M162" s="408"/>
      <c r="N162" s="408"/>
      <c r="O162" s="114"/>
      <c r="P162" s="114"/>
      <c r="Q162" s="408"/>
      <c r="R162" s="114"/>
      <c r="S162" s="409"/>
      <c r="T162" s="114"/>
      <c r="U162" s="409"/>
      <c r="V162" s="119"/>
      <c r="W162" s="144" t="n">
        <f aca="false">SUM(G162:V163)</f>
        <v>0</v>
      </c>
      <c r="X162" s="121" t="n">
        <f aca="false">IF(ISERROR(VLOOKUP(D162,[31]일용직명단!$A$3:$K$1220,8,FALSE())),0,VLOOKUP(D162,[31]일용직명단!$A$3:$K$1220,8,FALSE()))</f>
        <v>0</v>
      </c>
      <c r="Y162" s="156" t="n">
        <f aca="false">IFERROR(IF(AH162&gt;=65,0,ROUNDDOWN(X163*$AA$4,-1)),0)</f>
        <v>0</v>
      </c>
      <c r="Z162" s="156" t="n">
        <f aca="false">IF(AF162&gt;=8,ROUNDDOWN(X163*$N$4,-1),0)</f>
        <v>0</v>
      </c>
      <c r="AA162" s="156" t="n">
        <f aca="false">IFERROR(IF(AND(COUNT(G162:V163)&gt;=8,$AH162&lt;60,X163&lt;=5530000),ROUNDDOWN(ROUNDDOWN(X163,-3)*4.5%,-1),IF(AND(COUNT(G162:V163)&gt;=8,AH162&lt;60,X163&gt;5530000),248850,0)),0)</f>
        <v>0</v>
      </c>
      <c r="AB162" s="145" t="n">
        <f aca="false">+Y162+Z162+Y163+Z163+AA162+AA163</f>
        <v>0</v>
      </c>
      <c r="AC162" s="146" t="n">
        <f aca="false">X163-AB162</f>
        <v>0</v>
      </c>
      <c r="AD162" s="157" t="n">
        <f aca="false">IF(ISERROR(VLOOKUP(D162,[31]일용직명단!$A$3:$I$1200,5,FALSE())),0,VLOOKUP(D162,[31]일용직명단!$A$3:$I$1200,5,FALSE()))</f>
        <v>0</v>
      </c>
      <c r="AE162" s="158" t="n">
        <f aca="false">IF(ISERROR(VLOOKUP(D162,[31]일용직명단!$A$3:$I$1200,6,FALSE())),0,VLOOKUP(D162,[31]일용직명단!$A$3:$I$1200,6,FALSE()))</f>
        <v>0</v>
      </c>
      <c r="AF162" s="141" t="n">
        <f aca="false">COUNT(G162:V163)</f>
        <v>0</v>
      </c>
      <c r="AG162" s="129" t="str">
        <f aca="false">IF(OR(MID(E162,8,1)="1",MID(E162,8,1)="2"),19&amp;LEFT(E162,2),20&amp;LEFT(E162,2))&amp;"-"&amp;MID(E162,3,2)&amp;"-"&amp;MID(E162,5,2)</f>
        <v>200--</v>
      </c>
      <c r="AH162" s="129" t="e">
        <f aca="true">INT((TODAY()-AG162)/365.25)</f>
        <v>#VALUE!</v>
      </c>
      <c r="AI162" s="161" t="n">
        <f aca="false">ROUNDDOWN(SUM(AJ162:AY163),-1)</f>
        <v>0</v>
      </c>
      <c r="AJ162" s="130" t="n">
        <f aca="false">IF($X162*G162&gt;150000,($X162*G162-150000)*6%*45%,0)</f>
        <v>0</v>
      </c>
      <c r="AK162" s="130" t="n">
        <f aca="false">IF($X162*H162&gt;150000,($X162*H162-150000)*6%*45%,0)</f>
        <v>0</v>
      </c>
      <c r="AL162" s="130" t="n">
        <f aca="false">IF($X162*I162&gt;150000,($X162*I162-150000)*6%*45%,0)</f>
        <v>0</v>
      </c>
      <c r="AM162" s="130" t="n">
        <f aca="false">IF($X162*J162&gt;150000,($X162*J162-150000)*6%*45%,0)</f>
        <v>0</v>
      </c>
      <c r="AN162" s="130" t="n">
        <f aca="false">IF($X162*K162&gt;150000,($X162*K162-150000)*6%*45%,0)</f>
        <v>0</v>
      </c>
      <c r="AO162" s="130" t="n">
        <f aca="false">IF($X162*L162&gt;150000,($X162*L162-150000)*6%*45%,0)</f>
        <v>0</v>
      </c>
      <c r="AP162" s="130" t="n">
        <f aca="false">IF($X162*M162&gt;150000,($X162*M162-150000)*6%*45%,0)</f>
        <v>0</v>
      </c>
      <c r="AQ162" s="130" t="n">
        <f aca="false">IF($X162*N162&gt;150000,($X162*N162-150000)*6%*45%,0)</f>
        <v>0</v>
      </c>
      <c r="AR162" s="130" t="n">
        <f aca="false">IF($X162*O162&gt;150000,($X162*O162-150000)*6%*45%,0)</f>
        <v>0</v>
      </c>
      <c r="AS162" s="130" t="n">
        <f aca="false">IF($X162*P162&gt;150000,($X162*P162-150000)*6%*45%,0)</f>
        <v>0</v>
      </c>
      <c r="AT162" s="130" t="n">
        <f aca="false">IF($X162*Q162&gt;150000,($X162*Q162-150000)*6%*45%,0)</f>
        <v>0</v>
      </c>
      <c r="AU162" s="130" t="n">
        <f aca="false">IF($X162*R162&gt;150000,($X162*R162-150000)*6%*45%,0)</f>
        <v>0</v>
      </c>
      <c r="AV162" s="130" t="n">
        <f aca="false">IF($X162*S162&gt;150000,($X162*S162-150000)*6%*45%,0)</f>
        <v>0</v>
      </c>
      <c r="AW162" s="130" t="n">
        <f aca="false">IF($X162*T162&gt;150000,($X162*T162-150000)*6%*45%,0)</f>
        <v>0</v>
      </c>
      <c r="AX162" s="130" t="n">
        <f aca="false">IF($X162*U162&gt;150000,($X162*U162-150000)*6%*45%,0)</f>
        <v>0</v>
      </c>
      <c r="AY162" s="130"/>
      <c r="AZ162" s="162" t="n">
        <f aca="false">IF(ISERROR(VLOOKUP(D162,[27]일용직명단!$A$3:$M$1151,11,FALSE())),0,VLOOKUP(D162,[27]일용직명단!$A$3:$M$1151,11,FALSE()))</f>
        <v>0</v>
      </c>
      <c r="BA162" s="163"/>
      <c r="BB162" s="163"/>
      <c r="BC162" s="163"/>
      <c r="BD162" s="163"/>
      <c r="BE162" s="163"/>
      <c r="BF162" s="163"/>
      <c r="BG162" s="163"/>
      <c r="BH162" s="163"/>
      <c r="BI162" s="163"/>
      <c r="BJ162" s="163"/>
      <c r="BK162" s="163"/>
      <c r="BL162" s="163"/>
      <c r="BM162" s="163"/>
      <c r="BN162" s="163"/>
      <c r="BO162" s="163"/>
      <c r="BP162" s="163"/>
      <c r="BQ162" s="163"/>
      <c r="BR162" s="163"/>
      <c r="BS162" s="163"/>
      <c r="BT162" s="163"/>
      <c r="BU162" s="163"/>
      <c r="BV162" s="163"/>
      <c r="BW162" s="163"/>
      <c r="BX162" s="163"/>
      <c r="BY162" s="163"/>
      <c r="BZ162" s="163"/>
      <c r="CA162" s="163"/>
      <c r="CB162" s="163"/>
      <c r="CC162" s="163"/>
      <c r="CD162" s="163"/>
      <c r="CE162" s="163"/>
      <c r="CF162" s="163"/>
      <c r="CG162" s="163"/>
      <c r="CH162" s="163"/>
      <c r="CI162" s="163"/>
      <c r="CJ162" s="163"/>
      <c r="CK162" s="163"/>
      <c r="CL162" s="163"/>
      <c r="CM162" s="163"/>
      <c r="CN162" s="163"/>
      <c r="CO162" s="163"/>
      <c r="CP162" s="163"/>
      <c r="CQ162" s="163"/>
      <c r="CR162" s="163"/>
      <c r="CS162" s="163"/>
      <c r="CT162" s="163"/>
      <c r="CU162" s="163"/>
      <c r="CV162" s="163"/>
      <c r="CW162" s="163"/>
      <c r="CX162" s="163"/>
      <c r="CY162" s="163"/>
      <c r="CZ162" s="163"/>
      <c r="DA162" s="163"/>
      <c r="DB162" s="163"/>
      <c r="DC162" s="163"/>
      <c r="DD162" s="163"/>
      <c r="DE162" s="163"/>
      <c r="DF162" s="163"/>
      <c r="DG162" s="163"/>
      <c r="DH162" s="163"/>
      <c r="DI162" s="163"/>
      <c r="DJ162" s="163"/>
      <c r="DK162" s="163"/>
      <c r="DL162" s="163"/>
      <c r="DM162" s="163"/>
      <c r="DN162" s="163"/>
      <c r="DO162" s="163"/>
      <c r="DP162" s="163"/>
      <c r="DQ162" s="163"/>
      <c r="DR162" s="163"/>
      <c r="DS162" s="163"/>
      <c r="DT162" s="163"/>
      <c r="DU162" s="163"/>
      <c r="DV162" s="163"/>
      <c r="DW162" s="163"/>
      <c r="DX162" s="163"/>
      <c r="DY162" s="163"/>
      <c r="DZ162" s="163"/>
      <c r="EA162" s="163"/>
      <c r="EB162" s="163"/>
      <c r="EC162" s="163"/>
      <c r="ED162" s="163"/>
      <c r="EE162" s="163"/>
      <c r="EF162" s="163"/>
      <c r="EG162" s="163"/>
      <c r="EH162" s="163"/>
      <c r="EI162" s="163"/>
      <c r="EJ162" s="163"/>
      <c r="EK162" s="163"/>
      <c r="EL162" s="163"/>
      <c r="EM162" s="163"/>
      <c r="EN162" s="163"/>
      <c r="EO162" s="163"/>
      <c r="EP162" s="163"/>
      <c r="EQ162" s="163"/>
      <c r="ER162" s="163"/>
      <c r="ES162" s="163"/>
      <c r="ET162" s="163"/>
      <c r="EU162" s="163"/>
      <c r="EV162" s="163"/>
      <c r="EW162" s="163"/>
      <c r="EX162" s="163"/>
      <c r="EY162" s="163"/>
      <c r="EZ162" s="163"/>
      <c r="FA162" s="163"/>
      <c r="FB162" s="163"/>
      <c r="FC162" s="163"/>
      <c r="FD162" s="163"/>
      <c r="FE162" s="163"/>
      <c r="FF162" s="163"/>
      <c r="FG162" s="163"/>
      <c r="FH162" s="163"/>
      <c r="FI162" s="163"/>
      <c r="FJ162" s="163"/>
      <c r="FK162" s="163"/>
      <c r="FL162" s="163"/>
      <c r="FM162" s="163"/>
      <c r="FN162" s="163"/>
      <c r="FO162" s="163"/>
      <c r="FP162" s="163"/>
      <c r="FQ162" s="163"/>
      <c r="FR162" s="163"/>
      <c r="FS162" s="163"/>
      <c r="FT162" s="163"/>
      <c r="FU162" s="163"/>
      <c r="FV162" s="163"/>
      <c r="FW162" s="163"/>
      <c r="FX162" s="163"/>
      <c r="FY162" s="163"/>
      <c r="FZ162" s="163"/>
      <c r="GA162" s="163"/>
      <c r="GB162" s="163"/>
      <c r="GC162" s="163"/>
      <c r="GD162" s="163"/>
      <c r="GE162" s="163"/>
      <c r="GF162" s="163"/>
      <c r="GG162" s="163"/>
      <c r="GH162" s="163"/>
      <c r="GI162" s="163"/>
      <c r="GJ162" s="163"/>
      <c r="GK162" s="163"/>
      <c r="GL162" s="163"/>
      <c r="GM162" s="163"/>
      <c r="GN162" s="163"/>
      <c r="GO162" s="163"/>
      <c r="GP162" s="163"/>
      <c r="GQ162" s="163"/>
      <c r="GR162" s="163"/>
      <c r="GS162" s="163"/>
      <c r="GT162" s="163"/>
      <c r="GU162" s="163"/>
      <c r="GV162" s="163"/>
      <c r="GW162" s="163"/>
      <c r="GX162" s="163"/>
      <c r="GY162" s="163"/>
      <c r="GZ162" s="163"/>
      <c r="HA162" s="163"/>
      <c r="HB162" s="163"/>
      <c r="HC162" s="163"/>
      <c r="HD162" s="163"/>
      <c r="HE162" s="163"/>
      <c r="HF162" s="163"/>
      <c r="HG162" s="163"/>
      <c r="HH162" s="163"/>
      <c r="HI162" s="163"/>
      <c r="HJ162" s="163"/>
      <c r="HK162" s="163"/>
      <c r="HL162" s="163"/>
      <c r="HM162" s="163"/>
      <c r="HN162" s="163"/>
      <c r="HO162" s="163"/>
      <c r="HP162" s="163"/>
      <c r="HQ162" s="163"/>
      <c r="HR162" s="163"/>
      <c r="HS162" s="163"/>
      <c r="HT162" s="163"/>
      <c r="HU162" s="163"/>
      <c r="HV162" s="163"/>
      <c r="HW162" s="163"/>
      <c r="HX162" s="163"/>
      <c r="HY162" s="163"/>
      <c r="HZ162" s="163"/>
      <c r="IA162" s="163"/>
      <c r="IB162" s="163"/>
      <c r="IC162" s="163"/>
      <c r="ID162" s="163"/>
      <c r="IE162" s="163"/>
      <c r="IF162" s="163"/>
      <c r="IG162" s="163"/>
      <c r="IH162" s="163"/>
      <c r="II162" s="163"/>
      <c r="IJ162" s="163"/>
      <c r="IK162" s="163"/>
      <c r="IL162" s="163"/>
      <c r="IM162" s="163"/>
      <c r="IN162" s="163"/>
      <c r="IO162" s="163"/>
      <c r="IP162" s="163"/>
      <c r="IQ162" s="163"/>
      <c r="IR162" s="163"/>
      <c r="IS162" s="163"/>
      <c r="IT162" s="163"/>
      <c r="IU162" s="163"/>
      <c r="IV162" s="163"/>
      <c r="IW162" s="11"/>
    </row>
    <row r="163" customFormat="false" ht="13.5" hidden="true" customHeight="true" outlineLevel="0" collapsed="false">
      <c r="A163" s="108"/>
      <c r="B163" s="404"/>
      <c r="C163" s="159"/>
      <c r="D163" s="207"/>
      <c r="E163" s="311"/>
      <c r="F163" s="160" t="n">
        <f aca="false">IF(ISERROR(VLOOKUP(D162,[31]일용직명단!$A$3:$K$1220,9,FALSE())),0,VLOOKUP(D162,[31]일용직명단!$A$3:$K$1220,9,FALSE()))</f>
        <v>0</v>
      </c>
      <c r="G163" s="405"/>
      <c r="H163" s="406"/>
      <c r="I163" s="405"/>
      <c r="J163" s="136"/>
      <c r="K163" s="407"/>
      <c r="L163" s="136"/>
      <c r="M163" s="408"/>
      <c r="N163" s="408"/>
      <c r="O163" s="114"/>
      <c r="P163" s="409"/>
      <c r="Q163" s="114"/>
      <c r="R163" s="114"/>
      <c r="S163" s="408"/>
      <c r="T163" s="408"/>
      <c r="U163" s="408"/>
      <c r="V163" s="119"/>
      <c r="W163" s="144"/>
      <c r="X163" s="138" t="n">
        <f aca="false">X162*W162</f>
        <v>0</v>
      </c>
      <c r="Y163" s="156" t="n">
        <f aca="false">IF(AI162&lt;1000,0,AI162)</f>
        <v>0</v>
      </c>
      <c r="Z163" s="156" t="n">
        <f aca="false">ROUNDDOWN(Y163*10%,-1)</f>
        <v>0</v>
      </c>
      <c r="AA163" s="156" t="n">
        <f aca="false">IF(AF162&gt;=8,ROUNDDOWN(Z162*$R$4,-1),0)</f>
        <v>0</v>
      </c>
      <c r="AB163" s="145"/>
      <c r="AC163" s="146"/>
      <c r="AD163" s="158" t="n">
        <f aca="false">IF(ISERROR(VLOOKUP(D162,[31]일용직명단!$A$3:$I$1200,7,FALSE())),0,VLOOKUP(D162,[31]일용직명단!$A$3:$I$1200,7,FALSE()))</f>
        <v>0</v>
      </c>
      <c r="AE163" s="158"/>
      <c r="AF163" s="141"/>
      <c r="AG163" s="129"/>
      <c r="AH163" s="129"/>
      <c r="AI163" s="161"/>
      <c r="AJ163" s="130" t="n">
        <f aca="false">IF($X163*G163&gt;150000,($X163*G163-150000)*6%*45%,0)</f>
        <v>0</v>
      </c>
      <c r="AK163" s="130" t="n">
        <f aca="false">IF($X163*H163&gt;150000,($X163*H163-150000)*6%*45%,0)</f>
        <v>0</v>
      </c>
      <c r="AL163" s="130" t="n">
        <f aca="false">IF($X163*I163&gt;150000,($X163*I163-150000)*6%*45%,0)</f>
        <v>0</v>
      </c>
      <c r="AM163" s="130" t="n">
        <f aca="false">IF($X163*J163&gt;150000,($X163*J163-150000)*6%*45%,0)</f>
        <v>0</v>
      </c>
      <c r="AN163" s="130" t="n">
        <f aca="false">IF($X163*K163&gt;150000,($X163*K163-150000)*6%*45%,0)</f>
        <v>0</v>
      </c>
      <c r="AO163" s="130" t="n">
        <f aca="false">IF($X163*L163&gt;150000,($X163*L163-150000)*6%*45%,0)</f>
        <v>0</v>
      </c>
      <c r="AP163" s="130" t="n">
        <f aca="false">IF($X163*M163&gt;150000,($X163*M163-150000)*6%*45%,0)</f>
        <v>0</v>
      </c>
      <c r="AQ163" s="130" t="n">
        <f aca="false">IF($X163*N163&gt;150000,($X163*N163-150000)*6%*45%,0)</f>
        <v>0</v>
      </c>
      <c r="AR163" s="130" t="n">
        <f aca="false">IF($X163*O163&gt;150000,($X163*O163-150000)*6%*45%,0)</f>
        <v>0</v>
      </c>
      <c r="AS163" s="130" t="n">
        <f aca="false">IF($X163*P163&gt;150000,($X163*P163-150000)*6%*45%,0)</f>
        <v>0</v>
      </c>
      <c r="AT163" s="130" t="n">
        <f aca="false">IF($X163*Q163&gt;150000,($X163*Q163-150000)*6%*45%,0)</f>
        <v>0</v>
      </c>
      <c r="AU163" s="130" t="n">
        <f aca="false">IF($X163*R163&gt;150000,($X163*R163-150000)*6%*45%,0)</f>
        <v>0</v>
      </c>
      <c r="AV163" s="130" t="n">
        <f aca="false">IF($X163*S163&gt;150000,($X163*S163-150000)*6%*45%,0)</f>
        <v>0</v>
      </c>
      <c r="AW163" s="130" t="n">
        <f aca="false">IF($X163*T163&gt;150000,($X163*T163-150000)*6%*45%,0)</f>
        <v>0</v>
      </c>
      <c r="AX163" s="130" t="n">
        <f aca="false">IF($X163*U163&gt;150000,($X163*U163-150000)*6%*45%,0)</f>
        <v>0</v>
      </c>
      <c r="AY163" s="130"/>
      <c r="AZ163" s="162"/>
      <c r="BA163" s="163"/>
      <c r="BB163" s="163"/>
      <c r="BC163" s="163"/>
      <c r="BD163" s="163"/>
      <c r="BE163" s="163"/>
      <c r="BF163" s="163"/>
      <c r="BG163" s="163"/>
      <c r="BH163" s="163"/>
      <c r="BI163" s="163"/>
      <c r="BJ163" s="163"/>
      <c r="BK163" s="163"/>
      <c r="BL163" s="163"/>
      <c r="BM163" s="163"/>
      <c r="BN163" s="163"/>
      <c r="BO163" s="163"/>
      <c r="BP163" s="163"/>
      <c r="BQ163" s="163"/>
      <c r="BR163" s="163"/>
      <c r="BS163" s="163"/>
      <c r="BT163" s="163"/>
      <c r="BU163" s="163"/>
      <c r="BV163" s="163"/>
      <c r="BW163" s="163"/>
      <c r="BX163" s="163"/>
      <c r="BY163" s="163"/>
      <c r="BZ163" s="163"/>
      <c r="CA163" s="163"/>
      <c r="CB163" s="163"/>
      <c r="CC163" s="163"/>
      <c r="CD163" s="163"/>
      <c r="CE163" s="163"/>
      <c r="CF163" s="163"/>
      <c r="CG163" s="163"/>
      <c r="CH163" s="163"/>
      <c r="CI163" s="163"/>
      <c r="CJ163" s="163"/>
      <c r="CK163" s="163"/>
      <c r="CL163" s="163"/>
      <c r="CM163" s="163"/>
      <c r="CN163" s="163"/>
      <c r="CO163" s="163"/>
      <c r="CP163" s="163"/>
      <c r="CQ163" s="163"/>
      <c r="CR163" s="163"/>
      <c r="CS163" s="163"/>
      <c r="CT163" s="163"/>
      <c r="CU163" s="163"/>
      <c r="CV163" s="163"/>
      <c r="CW163" s="163"/>
      <c r="CX163" s="163"/>
      <c r="CY163" s="163"/>
      <c r="CZ163" s="163"/>
      <c r="DA163" s="163"/>
      <c r="DB163" s="163"/>
      <c r="DC163" s="163"/>
      <c r="DD163" s="163"/>
      <c r="DE163" s="163"/>
      <c r="DF163" s="163"/>
      <c r="DG163" s="163"/>
      <c r="DH163" s="163"/>
      <c r="DI163" s="163"/>
      <c r="DJ163" s="163"/>
      <c r="DK163" s="163"/>
      <c r="DL163" s="163"/>
      <c r="DM163" s="163"/>
      <c r="DN163" s="163"/>
      <c r="DO163" s="163"/>
      <c r="DP163" s="163"/>
      <c r="DQ163" s="163"/>
      <c r="DR163" s="163"/>
      <c r="DS163" s="163"/>
      <c r="DT163" s="163"/>
      <c r="DU163" s="163"/>
      <c r="DV163" s="163"/>
      <c r="DW163" s="163"/>
      <c r="DX163" s="163"/>
      <c r="DY163" s="163"/>
      <c r="DZ163" s="163"/>
      <c r="EA163" s="163"/>
      <c r="EB163" s="163"/>
      <c r="EC163" s="163"/>
      <c r="ED163" s="163"/>
      <c r="EE163" s="163"/>
      <c r="EF163" s="163"/>
      <c r="EG163" s="163"/>
      <c r="EH163" s="163"/>
      <c r="EI163" s="163"/>
      <c r="EJ163" s="163"/>
      <c r="EK163" s="163"/>
      <c r="EL163" s="163"/>
      <c r="EM163" s="163"/>
      <c r="EN163" s="163"/>
      <c r="EO163" s="163"/>
      <c r="EP163" s="163"/>
      <c r="EQ163" s="163"/>
      <c r="ER163" s="163"/>
      <c r="ES163" s="163"/>
      <c r="ET163" s="163"/>
      <c r="EU163" s="163"/>
      <c r="EV163" s="163"/>
      <c r="EW163" s="163"/>
      <c r="EX163" s="163"/>
      <c r="EY163" s="163"/>
      <c r="EZ163" s="163"/>
      <c r="FA163" s="163"/>
      <c r="FB163" s="163"/>
      <c r="FC163" s="163"/>
      <c r="FD163" s="163"/>
      <c r="FE163" s="163"/>
      <c r="FF163" s="163"/>
      <c r="FG163" s="163"/>
      <c r="FH163" s="163"/>
      <c r="FI163" s="163"/>
      <c r="FJ163" s="163"/>
      <c r="FK163" s="163"/>
      <c r="FL163" s="163"/>
      <c r="FM163" s="163"/>
      <c r="FN163" s="163"/>
      <c r="FO163" s="163"/>
      <c r="FP163" s="163"/>
      <c r="FQ163" s="163"/>
      <c r="FR163" s="163"/>
      <c r="FS163" s="163"/>
      <c r="FT163" s="163"/>
      <c r="FU163" s="163"/>
      <c r="FV163" s="163"/>
      <c r="FW163" s="163"/>
      <c r="FX163" s="163"/>
      <c r="FY163" s="163"/>
      <c r="FZ163" s="163"/>
      <c r="GA163" s="163"/>
      <c r="GB163" s="163"/>
      <c r="GC163" s="163"/>
      <c r="GD163" s="163"/>
      <c r="GE163" s="163"/>
      <c r="GF163" s="163"/>
      <c r="GG163" s="163"/>
      <c r="GH163" s="163"/>
      <c r="GI163" s="163"/>
      <c r="GJ163" s="163"/>
      <c r="GK163" s="163"/>
      <c r="GL163" s="163"/>
      <c r="GM163" s="163"/>
      <c r="GN163" s="163"/>
      <c r="GO163" s="163"/>
      <c r="GP163" s="163"/>
      <c r="GQ163" s="163"/>
      <c r="GR163" s="163"/>
      <c r="GS163" s="163"/>
      <c r="GT163" s="163"/>
      <c r="GU163" s="163"/>
      <c r="GV163" s="163"/>
      <c r="GW163" s="163"/>
      <c r="GX163" s="163"/>
      <c r="GY163" s="163"/>
      <c r="GZ163" s="163"/>
      <c r="HA163" s="163"/>
      <c r="HB163" s="163"/>
      <c r="HC163" s="163"/>
      <c r="HD163" s="163"/>
      <c r="HE163" s="163"/>
      <c r="HF163" s="163"/>
      <c r="HG163" s="163"/>
      <c r="HH163" s="163"/>
      <c r="HI163" s="163"/>
      <c r="HJ163" s="163"/>
      <c r="HK163" s="163"/>
      <c r="HL163" s="163"/>
      <c r="HM163" s="163"/>
      <c r="HN163" s="163"/>
      <c r="HO163" s="163"/>
      <c r="HP163" s="163"/>
      <c r="HQ163" s="163"/>
      <c r="HR163" s="163"/>
      <c r="HS163" s="163"/>
      <c r="HT163" s="163"/>
      <c r="HU163" s="163"/>
      <c r="HV163" s="163"/>
      <c r="HW163" s="163"/>
      <c r="HX163" s="163"/>
      <c r="HY163" s="163"/>
      <c r="HZ163" s="163"/>
      <c r="IA163" s="163"/>
      <c r="IB163" s="163"/>
      <c r="IC163" s="163"/>
      <c r="ID163" s="163"/>
      <c r="IE163" s="163"/>
      <c r="IF163" s="163"/>
      <c r="IG163" s="163"/>
      <c r="IH163" s="163"/>
      <c r="II163" s="163"/>
      <c r="IJ163" s="163"/>
      <c r="IK163" s="163"/>
      <c r="IL163" s="163"/>
      <c r="IM163" s="163"/>
      <c r="IN163" s="163"/>
      <c r="IO163" s="163"/>
      <c r="IP163" s="163"/>
      <c r="IQ163" s="163"/>
      <c r="IR163" s="163"/>
      <c r="IS163" s="163"/>
      <c r="IT163" s="163"/>
      <c r="IU163" s="163"/>
      <c r="IV163" s="163"/>
      <c r="IW163" s="11"/>
    </row>
    <row r="164" customFormat="false" ht="13.5" hidden="true" customHeight="true" outlineLevel="0" collapsed="false">
      <c r="A164" s="108" t="n">
        <f aca="false">A162+1</f>
        <v>26</v>
      </c>
      <c r="B164" s="404"/>
      <c r="C164" s="159" t="n">
        <f aca="false">IF(ISERROR(VLOOKUP(D164,[34]일용직명단!$A$3:$I$97,2,FALSE())),0,VLOOKUP(D164,[34]일용직명단!$A$3:$I$97,2,FALSE()))</f>
        <v>0</v>
      </c>
      <c r="D164" s="203"/>
      <c r="E164" s="311" t="n">
        <f aca="false">IF(ISERROR(VLOOKUP(D164,[33]일용직명단!$A$3:$K$1183,3,FALSE())),0,VLOOKUP(D164,[33]일용직명단!$A$3:$K$1183,3,FALSE()))</f>
        <v>0</v>
      </c>
      <c r="F164" s="160" t="n">
        <f aca="false">IF(ISERROR(VLOOKUP(D164,[31]일용직명단!$A$3:$K$1220,4,FALSE())),0,VLOOKUP(D164,[31]일용직명단!$A$3:$K$1220,4,FALSE()))</f>
        <v>0</v>
      </c>
      <c r="G164" s="208"/>
      <c r="H164" s="415"/>
      <c r="I164" s="415"/>
      <c r="J164" s="415"/>
      <c r="K164" s="415"/>
      <c r="L164" s="415"/>
      <c r="M164" s="415"/>
      <c r="N164" s="415"/>
      <c r="O164" s="415"/>
      <c r="P164" s="415"/>
      <c r="Q164" s="415"/>
      <c r="R164" s="415"/>
      <c r="S164" s="415"/>
      <c r="T164" s="415"/>
      <c r="U164" s="415"/>
      <c r="V164" s="416"/>
      <c r="W164" s="144" t="n">
        <f aca="false">SUM(G164:V165)</f>
        <v>0</v>
      </c>
      <c r="X164" s="211" t="n">
        <f aca="false">IF(ISERROR(VLOOKUP(D164,[31]일용직명단!$A$3:$K$1220,8,FALSE())),0,VLOOKUP(D164,[31]일용직명단!$A$3:$K$1220,8,FALSE()))</f>
        <v>0</v>
      </c>
      <c r="Y164" s="156" t="n">
        <f aca="false">IFERROR(IF(AH164&gt;=65,0,ROUNDDOWN(X165*$AA$4,-1)),0)</f>
        <v>0</v>
      </c>
      <c r="Z164" s="156" t="n">
        <f aca="false">IF(AF164&gt;=8,ROUNDDOWN(X165*$N$4,-1),0)</f>
        <v>0</v>
      </c>
      <c r="AA164" s="156" t="n">
        <f aca="false">IFERROR(IF(AND(COUNT(G164:V165)&gt;=8,$AH164&lt;60,X165&lt;=5530000),ROUNDDOWN(ROUNDDOWN(X165,-3)*4.5%,-1),IF(AND(COUNT(G164:V165)&gt;=8,AH164&lt;60,X165&gt;5530000),248850,0)),0)</f>
        <v>0</v>
      </c>
      <c r="AB164" s="145" t="n">
        <f aca="false">+Y164+Z164+Y165+Z165+AA164+AA165</f>
        <v>0</v>
      </c>
      <c r="AC164" s="146" t="n">
        <f aca="false">X165-AB164</f>
        <v>0</v>
      </c>
      <c r="AD164" s="157" t="n">
        <f aca="false">IF(ISERROR(VLOOKUP(D164,[31]일용직명단!$A$3:$I$1200,5,FALSE())),0,VLOOKUP(D164,[31]일용직명단!$A$3:$I$1200,5,FALSE()))</f>
        <v>0</v>
      </c>
      <c r="AE164" s="158" t="n">
        <f aca="false">IF(ISERROR(VLOOKUP(D164,[31]일용직명단!$A$3:$I$1200,6,FALSE())),0,VLOOKUP(D164,[31]일용직명단!$A$3:$I$1200,6,FALSE()))</f>
        <v>0</v>
      </c>
      <c r="AF164" s="141" t="n">
        <f aca="false">COUNT(G164:V165)</f>
        <v>0</v>
      </c>
      <c r="AG164" s="129" t="str">
        <f aca="false">IF(OR(MID(E164,8,1)="1",MID(E164,8,1)="2"),19&amp;LEFT(E164,2),20&amp;LEFT(E164,2))&amp;"-"&amp;MID(E164,3,2)&amp;"-"&amp;MID(E164,5,2)</f>
        <v>200--</v>
      </c>
      <c r="AH164" s="129" t="e">
        <f aca="true">INT((TODAY()-AG164)/365.25)</f>
        <v>#VALUE!</v>
      </c>
      <c r="AI164" s="161" t="n">
        <f aca="false">ROUNDDOWN(SUM(AJ164:AY165),-1)</f>
        <v>0</v>
      </c>
      <c r="AJ164" s="161" t="n">
        <f aca="false">IF($X164*G164&gt;150000,($X164*G164-150000)*6%*45%,0)</f>
        <v>0</v>
      </c>
      <c r="AK164" s="161" t="n">
        <f aca="false">IF($X164*H164&gt;150000,($X164*H164-150000)*6%*45%,0)</f>
        <v>0</v>
      </c>
      <c r="AL164" s="161" t="n">
        <f aca="false">IF($X164*I164&gt;150000,($X164*I164-150000)*6%*45%,0)</f>
        <v>0</v>
      </c>
      <c r="AM164" s="161" t="n">
        <f aca="false">IF($X164*J164&gt;150000,($X164*J164-150000)*6%*45%,0)</f>
        <v>0</v>
      </c>
      <c r="AN164" s="161" t="n">
        <f aca="false">IF($X164*K164&gt;150000,($X164*K164-150000)*6%*45%,0)</f>
        <v>0</v>
      </c>
      <c r="AO164" s="161" t="n">
        <f aca="false">IF($X164*L164&gt;150000,($X164*L164-150000)*6%*45%,0)</f>
        <v>0</v>
      </c>
      <c r="AP164" s="161" t="n">
        <f aca="false">IF($X164*M164&gt;150000,($X164*M164-150000)*6%*45%,0)</f>
        <v>0</v>
      </c>
      <c r="AQ164" s="161" t="n">
        <f aca="false">IF($X164*N164&gt;150000,($X164*N164-150000)*6%*45%,0)</f>
        <v>0</v>
      </c>
      <c r="AR164" s="161" t="n">
        <f aca="false">IF($X164*O164&gt;150000,($X164*O164-150000)*6%*45%,0)</f>
        <v>0</v>
      </c>
      <c r="AS164" s="161" t="n">
        <f aca="false">IF($X164*P164&gt;150000,($X164*P164-150000)*6%*45%,0)</f>
        <v>0</v>
      </c>
      <c r="AT164" s="161" t="n">
        <f aca="false">IF($X164*Q164&gt;150000,($X164*Q164-150000)*6%*45%,0)</f>
        <v>0</v>
      </c>
      <c r="AU164" s="161" t="n">
        <f aca="false">IF($X164*R164&gt;150000,($X164*R164-150000)*6%*45%,0)</f>
        <v>0</v>
      </c>
      <c r="AV164" s="161" t="n">
        <f aca="false">IF($X164*S164&gt;150000,($X164*S164-150000)*6%*45%,0)</f>
        <v>0</v>
      </c>
      <c r="AW164" s="161" t="n">
        <f aca="false">IF($X164*T164&gt;150000,($X164*T164-150000)*6%*45%,0)</f>
        <v>0</v>
      </c>
      <c r="AX164" s="161" t="n">
        <f aca="false">IF($X164*U164&gt;150000,($X164*U164-150000)*6%*45%,0)</f>
        <v>0</v>
      </c>
      <c r="AY164" s="161"/>
      <c r="AZ164" s="162" t="n">
        <f aca="false">IF(ISERROR(VLOOKUP(D164,[27]일용직명단!$A$3:$M$1151,11,FALSE())),0,VLOOKUP(D164,[27]일용직명단!$A$3:$M$1151,11,FALSE()))</f>
        <v>0</v>
      </c>
      <c r="BA164" s="163"/>
      <c r="BB164" s="163"/>
      <c r="BC164" s="163"/>
      <c r="BD164" s="163"/>
      <c r="BE164" s="163"/>
      <c r="BF164" s="163"/>
      <c r="BG164" s="163"/>
      <c r="BH164" s="163"/>
      <c r="BI164" s="163"/>
      <c r="BJ164" s="163"/>
      <c r="BK164" s="163"/>
      <c r="BL164" s="163"/>
      <c r="BM164" s="163"/>
      <c r="BN164" s="163"/>
      <c r="BO164" s="163"/>
      <c r="BP164" s="163"/>
      <c r="BQ164" s="163"/>
      <c r="BR164" s="163"/>
      <c r="BS164" s="163"/>
      <c r="BT164" s="163"/>
      <c r="BU164" s="163"/>
      <c r="BV164" s="163"/>
      <c r="BW164" s="163"/>
      <c r="BX164" s="163"/>
      <c r="BY164" s="163"/>
      <c r="BZ164" s="163"/>
      <c r="CA164" s="163"/>
      <c r="CB164" s="163"/>
      <c r="CC164" s="163"/>
      <c r="CD164" s="163"/>
      <c r="CE164" s="163"/>
      <c r="CF164" s="163"/>
      <c r="CG164" s="163"/>
      <c r="CH164" s="163"/>
      <c r="CI164" s="163"/>
      <c r="CJ164" s="163"/>
      <c r="CK164" s="163"/>
      <c r="CL164" s="163"/>
      <c r="CM164" s="163"/>
      <c r="CN164" s="163"/>
      <c r="CO164" s="163"/>
      <c r="CP164" s="163"/>
      <c r="CQ164" s="163"/>
      <c r="CR164" s="163"/>
      <c r="CS164" s="163"/>
      <c r="CT164" s="163"/>
      <c r="CU164" s="163"/>
      <c r="CV164" s="163"/>
      <c r="CW164" s="163"/>
      <c r="CX164" s="163"/>
      <c r="CY164" s="163"/>
      <c r="CZ164" s="163"/>
      <c r="DA164" s="163"/>
      <c r="DB164" s="163"/>
      <c r="DC164" s="163"/>
      <c r="DD164" s="163"/>
      <c r="DE164" s="163"/>
      <c r="DF164" s="163"/>
      <c r="DG164" s="163"/>
      <c r="DH164" s="163"/>
      <c r="DI164" s="163"/>
      <c r="DJ164" s="163"/>
      <c r="DK164" s="163"/>
      <c r="DL164" s="163"/>
      <c r="DM164" s="163"/>
      <c r="DN164" s="163"/>
      <c r="DO164" s="163"/>
      <c r="DP164" s="163"/>
      <c r="DQ164" s="163"/>
      <c r="DR164" s="163"/>
      <c r="DS164" s="163"/>
      <c r="DT164" s="163"/>
      <c r="DU164" s="163"/>
      <c r="DV164" s="163"/>
      <c r="DW164" s="163"/>
      <c r="DX164" s="163"/>
      <c r="DY164" s="163"/>
      <c r="DZ164" s="163"/>
      <c r="EA164" s="163"/>
      <c r="EB164" s="163"/>
      <c r="EC164" s="163"/>
      <c r="ED164" s="163"/>
      <c r="EE164" s="163"/>
      <c r="EF164" s="163"/>
      <c r="EG164" s="163"/>
      <c r="EH164" s="163"/>
      <c r="EI164" s="163"/>
      <c r="EJ164" s="163"/>
      <c r="EK164" s="163"/>
      <c r="EL164" s="163"/>
      <c r="EM164" s="163"/>
      <c r="EN164" s="163"/>
      <c r="EO164" s="163"/>
      <c r="EP164" s="163"/>
      <c r="EQ164" s="163"/>
      <c r="ER164" s="163"/>
      <c r="ES164" s="163"/>
      <c r="ET164" s="163"/>
      <c r="EU164" s="163"/>
      <c r="EV164" s="163"/>
      <c r="EW164" s="163"/>
      <c r="EX164" s="163"/>
      <c r="EY164" s="163"/>
      <c r="EZ164" s="163"/>
      <c r="FA164" s="163"/>
      <c r="FB164" s="163"/>
      <c r="FC164" s="163"/>
      <c r="FD164" s="163"/>
      <c r="FE164" s="163"/>
      <c r="FF164" s="163"/>
      <c r="FG164" s="163"/>
      <c r="FH164" s="163"/>
      <c r="FI164" s="163"/>
      <c r="FJ164" s="163"/>
      <c r="FK164" s="163"/>
      <c r="FL164" s="163"/>
      <c r="FM164" s="163"/>
      <c r="FN164" s="163"/>
      <c r="FO164" s="163"/>
      <c r="FP164" s="163"/>
      <c r="FQ164" s="163"/>
      <c r="FR164" s="163"/>
      <c r="FS164" s="163"/>
      <c r="FT164" s="163"/>
      <c r="FU164" s="163"/>
      <c r="FV164" s="163"/>
      <c r="FW164" s="163"/>
      <c r="FX164" s="163"/>
      <c r="FY164" s="163"/>
      <c r="FZ164" s="163"/>
      <c r="GA164" s="163"/>
      <c r="GB164" s="163"/>
      <c r="GC164" s="163"/>
      <c r="GD164" s="163"/>
      <c r="GE164" s="163"/>
      <c r="GF164" s="163"/>
      <c r="GG164" s="163"/>
      <c r="GH164" s="163"/>
      <c r="GI164" s="163"/>
      <c r="GJ164" s="163"/>
      <c r="GK164" s="163"/>
      <c r="GL164" s="163"/>
      <c r="GM164" s="163"/>
      <c r="GN164" s="163"/>
      <c r="GO164" s="163"/>
      <c r="GP164" s="163"/>
      <c r="GQ164" s="163"/>
      <c r="GR164" s="163"/>
      <c r="GS164" s="163"/>
      <c r="GT164" s="163"/>
      <c r="GU164" s="163"/>
      <c r="GV164" s="163"/>
      <c r="GW164" s="163"/>
      <c r="GX164" s="163"/>
      <c r="GY164" s="163"/>
      <c r="GZ164" s="163"/>
      <c r="HA164" s="163"/>
      <c r="HB164" s="163"/>
      <c r="HC164" s="163"/>
      <c r="HD164" s="163"/>
      <c r="HE164" s="163"/>
      <c r="HF164" s="163"/>
      <c r="HG164" s="163"/>
      <c r="HH164" s="163"/>
      <c r="HI164" s="163"/>
      <c r="HJ164" s="163"/>
      <c r="HK164" s="163"/>
      <c r="HL164" s="163"/>
      <c r="HM164" s="163"/>
      <c r="HN164" s="163"/>
      <c r="HO164" s="163"/>
      <c r="HP164" s="163"/>
      <c r="HQ164" s="163"/>
      <c r="HR164" s="163"/>
      <c r="HS164" s="163"/>
      <c r="HT164" s="163"/>
      <c r="HU164" s="163"/>
      <c r="HV164" s="163"/>
      <c r="HW164" s="163"/>
      <c r="HX164" s="163"/>
      <c r="HY164" s="163"/>
      <c r="HZ164" s="163"/>
      <c r="IA164" s="163"/>
      <c r="IB164" s="163"/>
      <c r="IC164" s="163"/>
      <c r="ID164" s="163"/>
      <c r="IE164" s="163"/>
      <c r="IF164" s="163"/>
      <c r="IG164" s="163"/>
      <c r="IH164" s="163"/>
      <c r="II164" s="163"/>
      <c r="IJ164" s="163"/>
      <c r="IK164" s="163"/>
      <c r="IL164" s="163"/>
      <c r="IM164" s="163"/>
      <c r="IN164" s="163"/>
      <c r="IO164" s="163"/>
      <c r="IP164" s="163"/>
      <c r="IQ164" s="163"/>
      <c r="IR164" s="163"/>
      <c r="IS164" s="163"/>
      <c r="IT164" s="163"/>
      <c r="IU164" s="163"/>
      <c r="IV164" s="163"/>
      <c r="IW164" s="11"/>
    </row>
    <row r="165" customFormat="false" ht="13.5" hidden="true" customHeight="true" outlineLevel="0" collapsed="false">
      <c r="A165" s="108"/>
      <c r="B165" s="404"/>
      <c r="C165" s="159"/>
      <c r="D165" s="203"/>
      <c r="E165" s="311"/>
      <c r="F165" s="160" t="n">
        <f aca="false">IF(ISERROR(VLOOKUP(D164,[31]일용직명단!$A$3:$K$1220,9,FALSE())),0,VLOOKUP(D164,[31]일용직명단!$A$3:$K$1220,9,FALSE()))</f>
        <v>0</v>
      </c>
      <c r="G165" s="415"/>
      <c r="H165" s="415"/>
      <c r="I165" s="415"/>
      <c r="J165" s="415"/>
      <c r="K165" s="415"/>
      <c r="L165" s="415"/>
      <c r="M165" s="415"/>
      <c r="N165" s="415"/>
      <c r="O165" s="415"/>
      <c r="P165" s="415"/>
      <c r="Q165" s="415"/>
      <c r="R165" s="415"/>
      <c r="S165" s="415"/>
      <c r="T165" s="415"/>
      <c r="U165" s="415"/>
      <c r="V165" s="417"/>
      <c r="W165" s="144"/>
      <c r="X165" s="138" t="n">
        <f aca="false">X164*W164</f>
        <v>0</v>
      </c>
      <c r="Y165" s="156" t="n">
        <f aca="false">IF(AI164&lt;1000,0,AI164)</f>
        <v>0</v>
      </c>
      <c r="Z165" s="156" t="n">
        <f aca="false">ROUNDDOWN(Y165*10%,-1)</f>
        <v>0</v>
      </c>
      <c r="AA165" s="156" t="n">
        <f aca="false">IF(AF164&gt;=8,ROUNDDOWN(Z164*$R$4,-1),0)</f>
        <v>0</v>
      </c>
      <c r="AB165" s="145"/>
      <c r="AC165" s="146"/>
      <c r="AD165" s="158" t="n">
        <f aca="false">IF(ISERROR(VLOOKUP(D164,[31]일용직명단!$A$3:$I$1200,7,FALSE())),0,VLOOKUP(D164,[31]일용직명단!$A$3:$I$1200,7,FALSE()))</f>
        <v>0</v>
      </c>
      <c r="AE165" s="158"/>
      <c r="AF165" s="141"/>
      <c r="AG165" s="129"/>
      <c r="AH165" s="129"/>
      <c r="AI165" s="161"/>
      <c r="AJ165" s="161" t="n">
        <f aca="false">IF($X164*G165&gt;150000,($X164*G165-150000)*6%*45%,0)</f>
        <v>0</v>
      </c>
      <c r="AK165" s="161" t="n">
        <f aca="false">IF($X164*H165&gt;150000,($X164*H165-150000)*6%*45%,0)</f>
        <v>0</v>
      </c>
      <c r="AL165" s="161" t="n">
        <f aca="false">IF($X164*I165&gt;150000,($X164*I165-150000)*6%*45%,0)</f>
        <v>0</v>
      </c>
      <c r="AM165" s="161" t="n">
        <f aca="false">IF($X164*J165&gt;150000,($X164*J165-150000)*6%*45%,0)</f>
        <v>0</v>
      </c>
      <c r="AN165" s="161" t="n">
        <f aca="false">IF($X164*K165&gt;150000,($X164*K165-150000)*6%*45%,0)</f>
        <v>0</v>
      </c>
      <c r="AO165" s="161" t="n">
        <f aca="false">IF($X164*L165&gt;150000,($X164*L165-150000)*6%*45%,0)</f>
        <v>0</v>
      </c>
      <c r="AP165" s="161" t="n">
        <f aca="false">IF($X164*M165&gt;150000,($X164*M165-150000)*6%*45%,0)</f>
        <v>0</v>
      </c>
      <c r="AQ165" s="161" t="n">
        <f aca="false">IF($X164*N165&gt;150000,($X164*N165-150000)*6%*45%,0)</f>
        <v>0</v>
      </c>
      <c r="AR165" s="161" t="n">
        <f aca="false">IF($X164*O165&gt;150000,($X164*O165-150000)*6%*45%,0)</f>
        <v>0</v>
      </c>
      <c r="AS165" s="161" t="n">
        <f aca="false">IF($X164*P165&gt;150000,($X164*P165-150000)*6%*45%,0)</f>
        <v>0</v>
      </c>
      <c r="AT165" s="161" t="n">
        <f aca="false">IF($X164*Q165&gt;150000,($X164*Q165-150000)*6%*45%,0)</f>
        <v>0</v>
      </c>
      <c r="AU165" s="161" t="n">
        <f aca="false">IF($X164*R165&gt;150000,($X164*R165-150000)*6%*45%,0)</f>
        <v>0</v>
      </c>
      <c r="AV165" s="161" t="n">
        <f aca="false">IF($X164*S165&gt;150000,($X164*S165-150000)*6%*45%,0)</f>
        <v>0</v>
      </c>
      <c r="AW165" s="161" t="n">
        <f aca="false">IF($X164*T165&gt;150000,($X164*T165-150000)*6%*45%,0)</f>
        <v>0</v>
      </c>
      <c r="AX165" s="161" t="n">
        <f aca="false">IF($X164*U165&gt;150000,($X164*U165-150000)*6%*45%,0)</f>
        <v>0</v>
      </c>
      <c r="AY165" s="161" t="n">
        <f aca="false">IF($X164*V165&gt;150000,($X164*V165-150000)*6%*45%,0)</f>
        <v>0</v>
      </c>
      <c r="AZ165" s="162"/>
      <c r="BA165" s="163"/>
      <c r="BB165" s="163"/>
      <c r="BC165" s="163"/>
      <c r="BD165" s="163"/>
      <c r="BE165" s="163"/>
      <c r="BF165" s="163"/>
      <c r="BG165" s="163"/>
      <c r="BH165" s="163"/>
      <c r="BI165" s="163"/>
      <c r="BJ165" s="163"/>
      <c r="BK165" s="163"/>
      <c r="BL165" s="163"/>
      <c r="BM165" s="163"/>
      <c r="BN165" s="163"/>
      <c r="BO165" s="163"/>
      <c r="BP165" s="163"/>
      <c r="BQ165" s="163"/>
      <c r="BR165" s="163"/>
      <c r="BS165" s="163"/>
      <c r="BT165" s="163"/>
      <c r="BU165" s="163"/>
      <c r="BV165" s="163"/>
      <c r="BW165" s="163"/>
      <c r="BX165" s="163"/>
      <c r="BY165" s="163"/>
      <c r="BZ165" s="163"/>
      <c r="CA165" s="163"/>
      <c r="CB165" s="163"/>
      <c r="CC165" s="163"/>
      <c r="CD165" s="163"/>
      <c r="CE165" s="163"/>
      <c r="CF165" s="163"/>
      <c r="CG165" s="163"/>
      <c r="CH165" s="163"/>
      <c r="CI165" s="163"/>
      <c r="CJ165" s="163"/>
      <c r="CK165" s="163"/>
      <c r="CL165" s="163"/>
      <c r="CM165" s="163"/>
      <c r="CN165" s="163"/>
      <c r="CO165" s="163"/>
      <c r="CP165" s="163"/>
      <c r="CQ165" s="163"/>
      <c r="CR165" s="163"/>
      <c r="CS165" s="163"/>
      <c r="CT165" s="163"/>
      <c r="CU165" s="163"/>
      <c r="CV165" s="163"/>
      <c r="CW165" s="163"/>
      <c r="CX165" s="163"/>
      <c r="CY165" s="163"/>
      <c r="CZ165" s="163"/>
      <c r="DA165" s="163"/>
      <c r="DB165" s="163"/>
      <c r="DC165" s="163"/>
      <c r="DD165" s="163"/>
      <c r="DE165" s="163"/>
      <c r="DF165" s="163"/>
      <c r="DG165" s="163"/>
      <c r="DH165" s="163"/>
      <c r="DI165" s="163"/>
      <c r="DJ165" s="163"/>
      <c r="DK165" s="163"/>
      <c r="DL165" s="163"/>
      <c r="DM165" s="163"/>
      <c r="DN165" s="163"/>
      <c r="DO165" s="163"/>
      <c r="DP165" s="163"/>
      <c r="DQ165" s="163"/>
      <c r="DR165" s="163"/>
      <c r="DS165" s="163"/>
      <c r="DT165" s="163"/>
      <c r="DU165" s="163"/>
      <c r="DV165" s="163"/>
      <c r="DW165" s="163"/>
      <c r="DX165" s="163"/>
      <c r="DY165" s="163"/>
      <c r="DZ165" s="163"/>
      <c r="EA165" s="163"/>
      <c r="EB165" s="163"/>
      <c r="EC165" s="163"/>
      <c r="ED165" s="163"/>
      <c r="EE165" s="163"/>
      <c r="EF165" s="163"/>
      <c r="EG165" s="163"/>
      <c r="EH165" s="163"/>
      <c r="EI165" s="163"/>
      <c r="EJ165" s="163"/>
      <c r="EK165" s="163"/>
      <c r="EL165" s="163"/>
      <c r="EM165" s="163"/>
      <c r="EN165" s="163"/>
      <c r="EO165" s="163"/>
      <c r="EP165" s="163"/>
      <c r="EQ165" s="163"/>
      <c r="ER165" s="163"/>
      <c r="ES165" s="163"/>
      <c r="ET165" s="163"/>
      <c r="EU165" s="163"/>
      <c r="EV165" s="163"/>
      <c r="EW165" s="163"/>
      <c r="EX165" s="163"/>
      <c r="EY165" s="163"/>
      <c r="EZ165" s="163"/>
      <c r="FA165" s="163"/>
      <c r="FB165" s="163"/>
      <c r="FC165" s="163"/>
      <c r="FD165" s="163"/>
      <c r="FE165" s="163"/>
      <c r="FF165" s="163"/>
      <c r="FG165" s="163"/>
      <c r="FH165" s="163"/>
      <c r="FI165" s="163"/>
      <c r="FJ165" s="163"/>
      <c r="FK165" s="163"/>
      <c r="FL165" s="163"/>
      <c r="FM165" s="163"/>
      <c r="FN165" s="163"/>
      <c r="FO165" s="163"/>
      <c r="FP165" s="163"/>
      <c r="FQ165" s="163"/>
      <c r="FR165" s="163"/>
      <c r="FS165" s="163"/>
      <c r="FT165" s="163"/>
      <c r="FU165" s="163"/>
      <c r="FV165" s="163"/>
      <c r="FW165" s="163"/>
      <c r="FX165" s="163"/>
      <c r="FY165" s="163"/>
      <c r="FZ165" s="163"/>
      <c r="GA165" s="163"/>
      <c r="GB165" s="163"/>
      <c r="GC165" s="163"/>
      <c r="GD165" s="163"/>
      <c r="GE165" s="163"/>
      <c r="GF165" s="163"/>
      <c r="GG165" s="163"/>
      <c r="GH165" s="163"/>
      <c r="GI165" s="163"/>
      <c r="GJ165" s="163"/>
      <c r="GK165" s="163"/>
      <c r="GL165" s="163"/>
      <c r="GM165" s="163"/>
      <c r="GN165" s="163"/>
      <c r="GO165" s="163"/>
      <c r="GP165" s="163"/>
      <c r="GQ165" s="163"/>
      <c r="GR165" s="163"/>
      <c r="GS165" s="163"/>
      <c r="GT165" s="163"/>
      <c r="GU165" s="163"/>
      <c r="GV165" s="163"/>
      <c r="GW165" s="163"/>
      <c r="GX165" s="163"/>
      <c r="GY165" s="163"/>
      <c r="GZ165" s="163"/>
      <c r="HA165" s="163"/>
      <c r="HB165" s="163"/>
      <c r="HC165" s="163"/>
      <c r="HD165" s="163"/>
      <c r="HE165" s="163"/>
      <c r="HF165" s="163"/>
      <c r="HG165" s="163"/>
      <c r="HH165" s="163"/>
      <c r="HI165" s="163"/>
      <c r="HJ165" s="163"/>
      <c r="HK165" s="163"/>
      <c r="HL165" s="163"/>
      <c r="HM165" s="163"/>
      <c r="HN165" s="163"/>
      <c r="HO165" s="163"/>
      <c r="HP165" s="163"/>
      <c r="HQ165" s="163"/>
      <c r="HR165" s="163"/>
      <c r="HS165" s="163"/>
      <c r="HT165" s="163"/>
      <c r="HU165" s="163"/>
      <c r="HV165" s="163"/>
      <c r="HW165" s="163"/>
      <c r="HX165" s="163"/>
      <c r="HY165" s="163"/>
      <c r="HZ165" s="163"/>
      <c r="IA165" s="163"/>
      <c r="IB165" s="163"/>
      <c r="IC165" s="163"/>
      <c r="ID165" s="163"/>
      <c r="IE165" s="163"/>
      <c r="IF165" s="163"/>
      <c r="IG165" s="163"/>
      <c r="IH165" s="163"/>
      <c r="II165" s="163"/>
      <c r="IJ165" s="163"/>
      <c r="IK165" s="163"/>
      <c r="IL165" s="163"/>
      <c r="IM165" s="163"/>
      <c r="IN165" s="163"/>
      <c r="IO165" s="163"/>
      <c r="IP165" s="163"/>
      <c r="IQ165" s="163"/>
      <c r="IR165" s="163"/>
      <c r="IS165" s="163"/>
      <c r="IT165" s="163"/>
      <c r="IU165" s="163"/>
      <c r="IV165" s="163"/>
      <c r="IW165" s="11"/>
    </row>
    <row r="166" customFormat="false" ht="13.5" hidden="true" customHeight="true" outlineLevel="0" collapsed="false">
      <c r="A166" s="108" t="n">
        <f aca="false">A164+1</f>
        <v>27</v>
      </c>
      <c r="B166" s="402"/>
      <c r="C166" s="159"/>
      <c r="D166" s="203"/>
      <c r="E166" s="311" t="n">
        <f aca="false">IF(ISERROR(VLOOKUP(D166,[33]일용직명단!$A$3:$K$1183,3,FALSE())),0,VLOOKUP(D166,[33]일용직명단!$A$3:$K$1183,3,FALSE()))</f>
        <v>0</v>
      </c>
      <c r="F166" s="160" t="n">
        <f aca="false">IF(ISERROR(VLOOKUP(D166,[31]일용직명단!$A$3:$K$1220,4,FALSE())),0,VLOOKUP(D166,[31]일용직명단!$A$3:$K$1220,4,FALSE()))</f>
        <v>0</v>
      </c>
      <c r="G166" s="208"/>
      <c r="H166" s="415"/>
      <c r="I166" s="415"/>
      <c r="J166" s="415"/>
      <c r="K166" s="415"/>
      <c r="L166" s="415"/>
      <c r="M166" s="415"/>
      <c r="N166" s="415"/>
      <c r="O166" s="415"/>
      <c r="P166" s="415"/>
      <c r="Q166" s="415"/>
      <c r="R166" s="415"/>
      <c r="S166" s="415"/>
      <c r="T166" s="415"/>
      <c r="U166" s="415"/>
      <c r="V166" s="416"/>
      <c r="W166" s="144" t="n">
        <f aca="false">SUM(G166:V167)</f>
        <v>0</v>
      </c>
      <c r="X166" s="211" t="n">
        <f aca="false">IF(ISERROR(VLOOKUP(D166,[31]일용직명단!$A$3:$K$1220,8,FALSE())),0,VLOOKUP(D166,[31]일용직명단!$A$3:$K$1220,8,FALSE()))</f>
        <v>0</v>
      </c>
      <c r="Y166" s="156" t="n">
        <f aca="false">IFERROR(IF(AH166&gt;=65,0,ROUNDDOWN(X167*$AA$4,-1)),0)</f>
        <v>0</v>
      </c>
      <c r="Z166" s="156" t="n">
        <f aca="false">IF(AF166&gt;=8,ROUNDDOWN(X167*$N$4,-1),0)</f>
        <v>0</v>
      </c>
      <c r="AA166" s="156" t="n">
        <f aca="false">IFERROR(IF(AND(COUNT(G166:V167)&gt;=8,$AH166&lt;60,X167&lt;=5530000),ROUNDDOWN(ROUNDDOWN(X167,-3)*4.5%,-1),IF(AND(COUNT(G166:V167)&gt;=8,AH166&lt;60,X167&gt;5530000),248850,0)),0)</f>
        <v>0</v>
      </c>
      <c r="AB166" s="145" t="n">
        <f aca="false">+Y166+Z166+Y167+Z167+AA166+AA167</f>
        <v>0</v>
      </c>
      <c r="AC166" s="146" t="n">
        <f aca="false">X167-AB166</f>
        <v>0</v>
      </c>
      <c r="AD166" s="157" t="n">
        <f aca="false">IF(ISERROR(VLOOKUP(D166,[31]일용직명단!$A$3:$I$1200,5,FALSE())),0,VLOOKUP(D166,[31]일용직명단!$A$3:$I$1200,5,FALSE()))</f>
        <v>0</v>
      </c>
      <c r="AE166" s="158" t="n">
        <f aca="false">IF(ISERROR(VLOOKUP(D166,[31]일용직명단!$A$3:$I$1200,6,FALSE())),0,VLOOKUP(D166,[31]일용직명단!$A$3:$I$1200,6,FALSE()))</f>
        <v>0</v>
      </c>
      <c r="AF166" s="128" t="n">
        <f aca="false">COUNT(G166:V167)</f>
        <v>0</v>
      </c>
      <c r="AG166" s="129" t="str">
        <f aca="false">IF(OR(MID(E166,8,1)="1",MID(E166,8,1)="2"),19&amp;LEFT(E166,2),20&amp;LEFT(E166,2))&amp;"-"&amp;MID(E166,3,2)&amp;"-"&amp;MID(E166,5,2)</f>
        <v>200--</v>
      </c>
      <c r="AH166" s="129" t="e">
        <f aca="true">INT((TODAY()-AG166)/365.25)</f>
        <v>#VALUE!</v>
      </c>
      <c r="AI166" s="161" t="n">
        <f aca="false">ROUNDDOWN(SUM(AJ166:AY167),-1)</f>
        <v>0</v>
      </c>
      <c r="AJ166" s="161" t="n">
        <f aca="false">IF($X166*G166&gt;150000,($X166*G166-150000)*6%*45%,0)</f>
        <v>0</v>
      </c>
      <c r="AK166" s="161" t="n">
        <f aca="false">IF($X166*H166&gt;150000,($X166*H166-150000)*6%*45%,0)</f>
        <v>0</v>
      </c>
      <c r="AL166" s="161" t="n">
        <f aca="false">IF($X166*I166&gt;150000,($X166*I166-150000)*6%*45%,0)</f>
        <v>0</v>
      </c>
      <c r="AM166" s="161" t="n">
        <f aca="false">IF($X166*J166&gt;150000,($X166*J166-150000)*6%*45%,0)</f>
        <v>0</v>
      </c>
      <c r="AN166" s="161" t="n">
        <f aca="false">IF($X166*K166&gt;150000,($X166*K166-150000)*6%*45%,0)</f>
        <v>0</v>
      </c>
      <c r="AO166" s="161" t="n">
        <f aca="false">IF($X166*L166&gt;150000,($X166*L166-150000)*6%*45%,0)</f>
        <v>0</v>
      </c>
      <c r="AP166" s="161" t="n">
        <f aca="false">IF($X166*M166&gt;150000,($X166*M166-150000)*6%*45%,0)</f>
        <v>0</v>
      </c>
      <c r="AQ166" s="161" t="n">
        <f aca="false">IF($X166*N166&gt;150000,($X166*N166-150000)*6%*45%,0)</f>
        <v>0</v>
      </c>
      <c r="AR166" s="161" t="n">
        <f aca="false">IF($X166*O166&gt;150000,($X166*O166-150000)*6%*45%,0)</f>
        <v>0</v>
      </c>
      <c r="AS166" s="161" t="n">
        <f aca="false">IF($X166*P166&gt;150000,($X166*P166-150000)*6%*45%,0)</f>
        <v>0</v>
      </c>
      <c r="AT166" s="161" t="n">
        <f aca="false">IF($X166*Q166&gt;150000,($X166*Q166-150000)*6%*45%,0)</f>
        <v>0</v>
      </c>
      <c r="AU166" s="161" t="n">
        <f aca="false">IF($X166*R166&gt;150000,($X166*R166-150000)*6%*45%,0)</f>
        <v>0</v>
      </c>
      <c r="AV166" s="161" t="n">
        <f aca="false">IF($X166*S166&gt;150000,($X166*S166-150000)*6%*45%,0)</f>
        <v>0</v>
      </c>
      <c r="AW166" s="161" t="n">
        <f aca="false">IF($X166*T166&gt;150000,($X166*T166-150000)*6%*45%,0)</f>
        <v>0</v>
      </c>
      <c r="AX166" s="161" t="n">
        <f aca="false">IF($X166*U166&gt;150000,($X166*U166-150000)*6%*45%,0)</f>
        <v>0</v>
      </c>
      <c r="AY166" s="161"/>
      <c r="AZ166" s="162" t="n">
        <f aca="false">IF(ISERROR(VLOOKUP(D166,[27]일용직명단!$A$3:$M$1151,11,FALSE())),0,VLOOKUP(D166,[27]일용직명단!$A$3:$M$1151,11,FALSE()))</f>
        <v>0</v>
      </c>
      <c r="BA166" s="163"/>
      <c r="BB166" s="163"/>
      <c r="BC166" s="358"/>
      <c r="BD166" s="358"/>
      <c r="BE166" s="358"/>
      <c r="BF166" s="358"/>
      <c r="BG166" s="358"/>
      <c r="BH166" s="358"/>
      <c r="BI166" s="358"/>
      <c r="BJ166" s="358"/>
      <c r="BK166" s="358"/>
      <c r="BL166" s="358"/>
      <c r="BM166" s="358"/>
      <c r="BN166" s="358"/>
      <c r="BO166" s="358"/>
      <c r="BP166" s="358"/>
      <c r="BQ166" s="358"/>
      <c r="BR166" s="358"/>
      <c r="BS166" s="358"/>
      <c r="BT166" s="358"/>
      <c r="BU166" s="358"/>
      <c r="BV166" s="358"/>
      <c r="BW166" s="358"/>
      <c r="BX166" s="358"/>
      <c r="BY166" s="358"/>
      <c r="BZ166" s="358"/>
      <c r="CA166" s="358"/>
      <c r="CB166" s="358"/>
      <c r="CC166" s="358"/>
      <c r="CD166" s="358"/>
      <c r="CE166" s="358"/>
      <c r="CF166" s="358"/>
      <c r="CG166" s="358"/>
      <c r="CH166" s="358"/>
      <c r="CI166" s="358"/>
      <c r="CJ166" s="358"/>
      <c r="CK166" s="358"/>
      <c r="CL166" s="358"/>
      <c r="CM166" s="358"/>
      <c r="CN166" s="358"/>
      <c r="CO166" s="358"/>
      <c r="CP166" s="358"/>
      <c r="CQ166" s="358"/>
      <c r="CR166" s="358"/>
      <c r="CS166" s="358"/>
      <c r="CT166" s="358"/>
      <c r="CU166" s="358"/>
      <c r="CV166" s="358"/>
      <c r="CW166" s="358"/>
      <c r="CX166" s="358"/>
      <c r="CY166" s="358"/>
      <c r="CZ166" s="358"/>
      <c r="DA166" s="358"/>
      <c r="DB166" s="358"/>
      <c r="DC166" s="358"/>
      <c r="DD166" s="358"/>
      <c r="DE166" s="358"/>
      <c r="DF166" s="358"/>
      <c r="DG166" s="358"/>
      <c r="DH166" s="358"/>
      <c r="DI166" s="358"/>
      <c r="DJ166" s="358"/>
      <c r="DK166" s="358"/>
      <c r="DL166" s="358"/>
      <c r="DM166" s="358"/>
      <c r="DN166" s="358"/>
      <c r="DO166" s="358"/>
      <c r="DP166" s="358"/>
      <c r="DQ166" s="358"/>
      <c r="DR166" s="358"/>
      <c r="DS166" s="358"/>
      <c r="DT166" s="358"/>
      <c r="DU166" s="358"/>
      <c r="DV166" s="358"/>
      <c r="DW166" s="358"/>
      <c r="DX166" s="358"/>
      <c r="DY166" s="358"/>
      <c r="DZ166" s="358"/>
      <c r="EA166" s="358"/>
      <c r="EB166" s="358"/>
      <c r="EC166" s="358"/>
      <c r="ED166" s="358"/>
      <c r="EE166" s="358"/>
      <c r="EF166" s="358"/>
      <c r="EG166" s="358"/>
      <c r="EH166" s="358"/>
      <c r="EI166" s="358"/>
      <c r="EJ166" s="358"/>
      <c r="EK166" s="358"/>
      <c r="EL166" s="358"/>
      <c r="EM166" s="358"/>
      <c r="EN166" s="358"/>
      <c r="EO166" s="358"/>
      <c r="EP166" s="358"/>
      <c r="EQ166" s="358"/>
      <c r="ER166" s="358"/>
      <c r="ES166" s="358"/>
      <c r="ET166" s="358"/>
      <c r="EU166" s="358"/>
      <c r="EV166" s="358"/>
      <c r="EW166" s="358"/>
      <c r="EX166" s="358"/>
      <c r="EY166" s="358"/>
      <c r="EZ166" s="358"/>
      <c r="FA166" s="358"/>
      <c r="FB166" s="358"/>
      <c r="FC166" s="358"/>
      <c r="FD166" s="358"/>
      <c r="FE166" s="358"/>
      <c r="FF166" s="358"/>
      <c r="FG166" s="358"/>
      <c r="FH166" s="358"/>
      <c r="FI166" s="358"/>
      <c r="FJ166" s="358"/>
      <c r="FK166" s="358"/>
      <c r="FL166" s="358"/>
      <c r="FM166" s="358"/>
      <c r="FN166" s="358"/>
      <c r="FO166" s="358"/>
      <c r="FP166" s="358"/>
      <c r="FQ166" s="358"/>
      <c r="FR166" s="358"/>
      <c r="FS166" s="358"/>
      <c r="FT166" s="358"/>
      <c r="FU166" s="358"/>
      <c r="FV166" s="358"/>
      <c r="FW166" s="358"/>
      <c r="FX166" s="358"/>
      <c r="FY166" s="358"/>
      <c r="FZ166" s="358"/>
      <c r="GA166" s="358"/>
      <c r="GB166" s="358"/>
      <c r="GC166" s="358"/>
      <c r="GD166" s="358"/>
      <c r="GE166" s="358"/>
      <c r="GF166" s="358"/>
      <c r="GG166" s="358"/>
      <c r="GH166" s="358"/>
      <c r="GI166" s="358"/>
      <c r="GJ166" s="358"/>
      <c r="GK166" s="358"/>
      <c r="GL166" s="358"/>
      <c r="GM166" s="358"/>
      <c r="GN166" s="358"/>
      <c r="GO166" s="358"/>
      <c r="GP166" s="358"/>
      <c r="GQ166" s="358"/>
      <c r="GR166" s="358"/>
      <c r="GS166" s="358"/>
      <c r="GT166" s="358"/>
      <c r="GU166" s="358"/>
      <c r="GV166" s="358"/>
      <c r="GW166" s="358"/>
      <c r="GX166" s="358"/>
      <c r="GY166" s="358"/>
      <c r="GZ166" s="358"/>
      <c r="HA166" s="358"/>
      <c r="HB166" s="358"/>
      <c r="HC166" s="358"/>
      <c r="HD166" s="358"/>
      <c r="HE166" s="358"/>
      <c r="HF166" s="358"/>
      <c r="HG166" s="358"/>
      <c r="HH166" s="358"/>
      <c r="HI166" s="358"/>
      <c r="HJ166" s="358"/>
      <c r="HK166" s="358"/>
      <c r="HL166" s="358"/>
      <c r="HM166" s="358"/>
      <c r="HN166" s="358"/>
      <c r="HO166" s="358"/>
      <c r="HP166" s="358"/>
      <c r="HQ166" s="358"/>
      <c r="HR166" s="358"/>
      <c r="HS166" s="358"/>
      <c r="HT166" s="358"/>
      <c r="HU166" s="358"/>
      <c r="HV166" s="358"/>
      <c r="HW166" s="358"/>
      <c r="HX166" s="358"/>
      <c r="HY166" s="358"/>
      <c r="HZ166" s="358"/>
      <c r="IA166" s="358"/>
      <c r="IB166" s="358"/>
      <c r="IC166" s="358"/>
      <c r="ID166" s="358"/>
      <c r="IE166" s="358"/>
      <c r="IF166" s="358"/>
      <c r="IG166" s="358"/>
      <c r="IH166" s="358"/>
      <c r="II166" s="358"/>
      <c r="IJ166" s="358"/>
      <c r="IK166" s="358"/>
      <c r="IL166" s="358"/>
      <c r="IM166" s="358"/>
      <c r="IN166" s="358"/>
      <c r="IO166" s="358"/>
      <c r="IP166" s="358"/>
      <c r="IQ166" s="358"/>
      <c r="IW166" s="11"/>
    </row>
    <row r="167" customFormat="false" ht="13.5" hidden="true" customHeight="true" outlineLevel="0" collapsed="false">
      <c r="A167" s="108"/>
      <c r="B167" s="402"/>
      <c r="C167" s="159"/>
      <c r="D167" s="203"/>
      <c r="E167" s="311"/>
      <c r="F167" s="160" t="n">
        <f aca="false">IF(ISERROR(VLOOKUP(D166,[31]일용직명단!$A$3:$K$1220,9,FALSE())),0,VLOOKUP(D166,[31]일용직명단!$A$3:$K$1220,9,FALSE()))</f>
        <v>0</v>
      </c>
      <c r="G167" s="415"/>
      <c r="H167" s="415"/>
      <c r="I167" s="415"/>
      <c r="J167" s="415"/>
      <c r="K167" s="415"/>
      <c r="L167" s="415"/>
      <c r="M167" s="415"/>
      <c r="N167" s="415"/>
      <c r="O167" s="415"/>
      <c r="P167" s="415"/>
      <c r="Q167" s="415"/>
      <c r="R167" s="415"/>
      <c r="S167" s="415"/>
      <c r="T167" s="415"/>
      <c r="U167" s="415"/>
      <c r="V167" s="417"/>
      <c r="W167" s="144"/>
      <c r="X167" s="138" t="n">
        <f aca="false">X166*W166</f>
        <v>0</v>
      </c>
      <c r="Y167" s="156" t="n">
        <f aca="false">IF(AI166&lt;1000,0,AI166)</f>
        <v>0</v>
      </c>
      <c r="Z167" s="156" t="n">
        <f aca="false">ROUNDDOWN(Y167*10%,-1)</f>
        <v>0</v>
      </c>
      <c r="AA167" s="156" t="n">
        <f aca="false">IF(AF166&gt;=8,ROUNDDOWN(Z166*$R$4,-1),0)</f>
        <v>0</v>
      </c>
      <c r="AB167" s="145"/>
      <c r="AC167" s="146"/>
      <c r="AD167" s="158" t="n">
        <f aca="false">IF(ISERROR(VLOOKUP(D166,[31]일용직명단!$A$3:$I$1200,7,FALSE())),0,VLOOKUP(D166,[31]일용직명단!$A$3:$I$1200,7,FALSE()))</f>
        <v>0</v>
      </c>
      <c r="AE167" s="158"/>
      <c r="AF167" s="128"/>
      <c r="AG167" s="129"/>
      <c r="AH167" s="129"/>
      <c r="AI167" s="161"/>
      <c r="AJ167" s="161" t="n">
        <f aca="false">IF($X166*G167&gt;150000,($X166*G167-150000)*6%*45%,0)</f>
        <v>0</v>
      </c>
      <c r="AK167" s="161" t="n">
        <f aca="false">IF($X166*H167&gt;150000,($X166*H167-150000)*6%*45%,0)</f>
        <v>0</v>
      </c>
      <c r="AL167" s="161" t="n">
        <f aca="false">IF($X166*I167&gt;150000,($X166*I167-150000)*6%*45%,0)</f>
        <v>0</v>
      </c>
      <c r="AM167" s="161" t="n">
        <f aca="false">IF($X166*J167&gt;150000,($X166*J167-150000)*6%*45%,0)</f>
        <v>0</v>
      </c>
      <c r="AN167" s="161" t="n">
        <f aca="false">IF($X166*K167&gt;150000,($X166*K167-150000)*6%*45%,0)</f>
        <v>0</v>
      </c>
      <c r="AO167" s="161" t="n">
        <f aca="false">IF($X166*L167&gt;150000,($X166*L167-150000)*6%*45%,0)</f>
        <v>0</v>
      </c>
      <c r="AP167" s="161" t="n">
        <f aca="false">IF($X166*M167&gt;150000,($X166*M167-150000)*6%*45%,0)</f>
        <v>0</v>
      </c>
      <c r="AQ167" s="161" t="n">
        <f aca="false">IF($X166*N167&gt;150000,($X166*N167-150000)*6%*45%,0)</f>
        <v>0</v>
      </c>
      <c r="AR167" s="161" t="n">
        <f aca="false">IF($X166*O167&gt;150000,($X166*O167-150000)*6%*45%,0)</f>
        <v>0</v>
      </c>
      <c r="AS167" s="161" t="n">
        <f aca="false">IF($X166*P167&gt;150000,($X166*P167-150000)*6%*45%,0)</f>
        <v>0</v>
      </c>
      <c r="AT167" s="161" t="n">
        <f aca="false">IF($X166*Q167&gt;150000,($X166*Q167-150000)*6%*45%,0)</f>
        <v>0</v>
      </c>
      <c r="AU167" s="161" t="n">
        <f aca="false">IF($X166*R167&gt;150000,($X166*R167-150000)*6%*45%,0)</f>
        <v>0</v>
      </c>
      <c r="AV167" s="161" t="n">
        <f aca="false">IF($X166*S167&gt;150000,($X166*S167-150000)*6%*45%,0)</f>
        <v>0</v>
      </c>
      <c r="AW167" s="161" t="n">
        <f aca="false">IF($X166*T167&gt;150000,($X166*T167-150000)*6%*45%,0)</f>
        <v>0</v>
      </c>
      <c r="AX167" s="161" t="n">
        <f aca="false">IF($X166*U167&gt;150000,($X166*U167-150000)*6%*45%,0)</f>
        <v>0</v>
      </c>
      <c r="AY167" s="161" t="n">
        <f aca="false">IF($X166*V167&gt;150000,($X166*V167-150000)*6%*45%,0)</f>
        <v>0</v>
      </c>
      <c r="AZ167" s="162"/>
      <c r="BA167" s="163"/>
      <c r="BB167" s="163"/>
      <c r="BC167" s="358"/>
      <c r="BD167" s="358"/>
      <c r="BE167" s="358"/>
      <c r="BF167" s="358"/>
      <c r="BG167" s="358"/>
      <c r="BH167" s="358"/>
      <c r="BI167" s="358"/>
      <c r="BJ167" s="358"/>
      <c r="BK167" s="358"/>
      <c r="BL167" s="358"/>
      <c r="BM167" s="358"/>
      <c r="BN167" s="358"/>
      <c r="BO167" s="358"/>
      <c r="BP167" s="358"/>
      <c r="BQ167" s="358"/>
      <c r="BR167" s="358"/>
      <c r="BS167" s="358"/>
      <c r="BT167" s="358"/>
      <c r="BU167" s="358"/>
      <c r="BV167" s="358"/>
      <c r="BW167" s="358"/>
      <c r="BX167" s="358"/>
      <c r="BY167" s="358"/>
      <c r="BZ167" s="358"/>
      <c r="CA167" s="358"/>
      <c r="CB167" s="358"/>
      <c r="CC167" s="358"/>
      <c r="CD167" s="358"/>
      <c r="CE167" s="358"/>
      <c r="CF167" s="358"/>
      <c r="CG167" s="358"/>
      <c r="CH167" s="358"/>
      <c r="CI167" s="358"/>
      <c r="CJ167" s="358"/>
      <c r="CK167" s="358"/>
      <c r="CL167" s="358"/>
      <c r="CM167" s="358"/>
      <c r="CN167" s="358"/>
      <c r="CO167" s="358"/>
      <c r="CP167" s="358"/>
      <c r="CQ167" s="358"/>
      <c r="CR167" s="358"/>
      <c r="CS167" s="358"/>
      <c r="CT167" s="358"/>
      <c r="CU167" s="358"/>
      <c r="CV167" s="358"/>
      <c r="CW167" s="358"/>
      <c r="CX167" s="358"/>
      <c r="CY167" s="358"/>
      <c r="CZ167" s="358"/>
      <c r="DA167" s="358"/>
      <c r="DB167" s="358"/>
      <c r="DC167" s="358"/>
      <c r="DD167" s="358"/>
      <c r="DE167" s="358"/>
      <c r="DF167" s="358"/>
      <c r="DG167" s="358"/>
      <c r="DH167" s="358"/>
      <c r="DI167" s="358"/>
      <c r="DJ167" s="358"/>
      <c r="DK167" s="358"/>
      <c r="DL167" s="358"/>
      <c r="DM167" s="358"/>
      <c r="DN167" s="358"/>
      <c r="DO167" s="358"/>
      <c r="DP167" s="358"/>
      <c r="DQ167" s="358"/>
      <c r="DR167" s="358"/>
      <c r="DS167" s="358"/>
      <c r="DT167" s="358"/>
      <c r="DU167" s="358"/>
      <c r="DV167" s="358"/>
      <c r="DW167" s="358"/>
      <c r="DX167" s="358"/>
      <c r="DY167" s="358"/>
      <c r="DZ167" s="358"/>
      <c r="EA167" s="358"/>
      <c r="EB167" s="358"/>
      <c r="EC167" s="358"/>
      <c r="ED167" s="358"/>
      <c r="EE167" s="358"/>
      <c r="EF167" s="358"/>
      <c r="EG167" s="358"/>
      <c r="EH167" s="358"/>
      <c r="EI167" s="358"/>
      <c r="EJ167" s="358"/>
      <c r="EK167" s="358"/>
      <c r="EL167" s="358"/>
      <c r="EM167" s="358"/>
      <c r="EN167" s="358"/>
      <c r="EO167" s="358"/>
      <c r="EP167" s="358"/>
      <c r="EQ167" s="358"/>
      <c r="ER167" s="358"/>
      <c r="ES167" s="358"/>
      <c r="ET167" s="358"/>
      <c r="EU167" s="358"/>
      <c r="EV167" s="358"/>
      <c r="EW167" s="358"/>
      <c r="EX167" s="358"/>
      <c r="EY167" s="358"/>
      <c r="EZ167" s="358"/>
      <c r="FA167" s="358"/>
      <c r="FB167" s="358"/>
      <c r="FC167" s="358"/>
      <c r="FD167" s="358"/>
      <c r="FE167" s="358"/>
      <c r="FF167" s="358"/>
      <c r="FG167" s="358"/>
      <c r="FH167" s="358"/>
      <c r="FI167" s="358"/>
      <c r="FJ167" s="358"/>
      <c r="FK167" s="358"/>
      <c r="FL167" s="358"/>
      <c r="FM167" s="358"/>
      <c r="FN167" s="358"/>
      <c r="FO167" s="358"/>
      <c r="FP167" s="358"/>
      <c r="FQ167" s="358"/>
      <c r="FR167" s="358"/>
      <c r="FS167" s="358"/>
      <c r="FT167" s="358"/>
      <c r="FU167" s="358"/>
      <c r="FV167" s="358"/>
      <c r="FW167" s="358"/>
      <c r="FX167" s="358"/>
      <c r="FY167" s="358"/>
      <c r="FZ167" s="358"/>
      <c r="GA167" s="358"/>
      <c r="GB167" s="358"/>
      <c r="GC167" s="358"/>
      <c r="GD167" s="358"/>
      <c r="GE167" s="358"/>
      <c r="GF167" s="358"/>
      <c r="GG167" s="358"/>
      <c r="GH167" s="358"/>
      <c r="GI167" s="358"/>
      <c r="GJ167" s="358"/>
      <c r="GK167" s="358"/>
      <c r="GL167" s="358"/>
      <c r="GM167" s="358"/>
      <c r="GN167" s="358"/>
      <c r="GO167" s="358"/>
      <c r="GP167" s="358"/>
      <c r="GQ167" s="358"/>
      <c r="GR167" s="358"/>
      <c r="GS167" s="358"/>
      <c r="GT167" s="358"/>
      <c r="GU167" s="358"/>
      <c r="GV167" s="358"/>
      <c r="GW167" s="358"/>
      <c r="GX167" s="358"/>
      <c r="GY167" s="358"/>
      <c r="GZ167" s="358"/>
      <c r="HA167" s="358"/>
      <c r="HB167" s="358"/>
      <c r="HC167" s="358"/>
      <c r="HD167" s="358"/>
      <c r="HE167" s="358"/>
      <c r="HF167" s="358"/>
      <c r="HG167" s="358"/>
      <c r="HH167" s="358"/>
      <c r="HI167" s="358"/>
      <c r="HJ167" s="358"/>
      <c r="HK167" s="358"/>
      <c r="HL167" s="358"/>
      <c r="HM167" s="358"/>
      <c r="HN167" s="358"/>
      <c r="HO167" s="358"/>
      <c r="HP167" s="358"/>
      <c r="HQ167" s="358"/>
      <c r="HR167" s="358"/>
      <c r="HS167" s="358"/>
      <c r="HT167" s="358"/>
      <c r="HU167" s="358"/>
      <c r="HV167" s="358"/>
      <c r="HW167" s="358"/>
      <c r="HX167" s="358"/>
      <c r="HY167" s="358"/>
      <c r="HZ167" s="358"/>
      <c r="IA167" s="358"/>
      <c r="IB167" s="358"/>
      <c r="IC167" s="358"/>
      <c r="ID167" s="358"/>
      <c r="IE167" s="358"/>
      <c r="IF167" s="358"/>
      <c r="IG167" s="358"/>
      <c r="IH167" s="358"/>
      <c r="II167" s="358"/>
      <c r="IJ167" s="358"/>
      <c r="IK167" s="358"/>
      <c r="IL167" s="358"/>
      <c r="IM167" s="358"/>
      <c r="IN167" s="358"/>
      <c r="IO167" s="358"/>
      <c r="IP167" s="358"/>
      <c r="IQ167" s="358"/>
      <c r="IW167" s="11"/>
    </row>
    <row r="168" customFormat="false" ht="13.5" hidden="true" customHeight="true" outlineLevel="0" collapsed="false">
      <c r="A168" s="108" t="n">
        <f aca="false">A166+1</f>
        <v>28</v>
      </c>
      <c r="B168" s="404"/>
      <c r="C168" s="159" t="n">
        <f aca="false">IF(ISERROR(VLOOKUP(D168,[34]일용직명단!$A$3:$I$97,2,FALSE())),0,VLOOKUP(D168,[34]일용직명단!$A$3:$I$97,2,FALSE()))</f>
        <v>0</v>
      </c>
      <c r="D168" s="203"/>
      <c r="E168" s="311" t="n">
        <f aca="false">IF(ISERROR(VLOOKUP(D168,[33]일용직명단!$A$3:$K$1183,3,FALSE())),0,VLOOKUP(D168,[33]일용직명단!$A$3:$K$1183,3,FALSE()))</f>
        <v>0</v>
      </c>
      <c r="F168" s="160" t="n">
        <f aca="false">IF(ISERROR(VLOOKUP(D168,[31]일용직명단!$A$3:$K$1220,4,FALSE())),0,VLOOKUP(D168,[31]일용직명단!$A$3:$K$1220,4,FALSE()))</f>
        <v>0</v>
      </c>
      <c r="G168" s="208"/>
      <c r="H168" s="415"/>
      <c r="I168" s="415"/>
      <c r="J168" s="415"/>
      <c r="K168" s="415"/>
      <c r="L168" s="415"/>
      <c r="M168" s="415"/>
      <c r="N168" s="415"/>
      <c r="O168" s="415"/>
      <c r="P168" s="415"/>
      <c r="Q168" s="415"/>
      <c r="R168" s="415"/>
      <c r="S168" s="415"/>
      <c r="T168" s="415"/>
      <c r="U168" s="415"/>
      <c r="V168" s="416"/>
      <c r="W168" s="144" t="n">
        <f aca="false">SUM(G168:V169)</f>
        <v>0</v>
      </c>
      <c r="X168" s="211" t="n">
        <f aca="false">IF(ISERROR(VLOOKUP(D168,[31]일용직명단!$A$3:$K$1220,8,FALSE())),0,VLOOKUP(D168,[31]일용직명단!$A$3:$K$1220,8,FALSE()))</f>
        <v>0</v>
      </c>
      <c r="Y168" s="156" t="n">
        <f aca="false">IFERROR(IF(AH168&gt;=65,0,ROUNDDOWN(X169*$AA$4,-1)),0)</f>
        <v>0</v>
      </c>
      <c r="Z168" s="156" t="n">
        <f aca="false">IF(AF168&gt;=8,ROUNDDOWN(X169*$N$4,-1),0)</f>
        <v>0</v>
      </c>
      <c r="AA168" s="156" t="n">
        <f aca="false">IFERROR(IF(AND(COUNT(G168:V169)&gt;=8,$AH168&lt;60,X169&lt;=5530000),ROUNDDOWN(ROUNDDOWN(X169,-3)*4.5%,-1),IF(AND(COUNT(G168:V169)&gt;=8,AH168&lt;60,X169&gt;5530000),248850,0)),0)</f>
        <v>0</v>
      </c>
      <c r="AB168" s="145" t="n">
        <f aca="false">+Y168+Z168+Y169+Z169+AA168+AA169</f>
        <v>0</v>
      </c>
      <c r="AC168" s="146" t="n">
        <f aca="false">X169-AB168</f>
        <v>0</v>
      </c>
      <c r="AD168" s="157" t="n">
        <f aca="false">IF(ISERROR(VLOOKUP(D168,[31]일용직명단!$A$3:$I$1200,5,FALSE())),0,VLOOKUP(D168,[31]일용직명단!$A$3:$I$1200,5,FALSE()))</f>
        <v>0</v>
      </c>
      <c r="AE168" s="158" t="n">
        <f aca="false">IF(ISERROR(VLOOKUP(D168,[31]일용직명단!$A$3:$I$1200,6,FALSE())),0,VLOOKUP(D168,[31]일용직명단!$A$3:$I$1200,6,FALSE()))</f>
        <v>0</v>
      </c>
      <c r="AF168" s="141" t="n">
        <f aca="false">COUNT(G168:V169)</f>
        <v>0</v>
      </c>
      <c r="AG168" s="129" t="str">
        <f aca="false">IF(OR(MID(E168,8,1)="1",MID(E168,8,1)="2"),19&amp;LEFT(E168,2),20&amp;LEFT(E168,2))&amp;"-"&amp;MID(E168,3,2)&amp;"-"&amp;MID(E168,5,2)</f>
        <v>200--</v>
      </c>
      <c r="AH168" s="129" t="e">
        <f aca="true">INT((TODAY()-AG168)/365.25)</f>
        <v>#VALUE!</v>
      </c>
      <c r="AI168" s="161" t="n">
        <f aca="false">ROUNDDOWN(SUM(AJ168:AY169),-1)</f>
        <v>0</v>
      </c>
      <c r="AJ168" s="161" t="n">
        <f aca="false">IF($X168*G168&gt;150000,($X168*G168-150000)*6%*45%,0)</f>
        <v>0</v>
      </c>
      <c r="AK168" s="161" t="n">
        <f aca="false">IF($X168*H168&gt;150000,($X168*H168-150000)*6%*45%,0)</f>
        <v>0</v>
      </c>
      <c r="AL168" s="161" t="n">
        <f aca="false">IF($X168*I168&gt;150000,($X168*I168-150000)*6%*45%,0)</f>
        <v>0</v>
      </c>
      <c r="AM168" s="161" t="n">
        <f aca="false">IF($X168*J168&gt;150000,($X168*J168-150000)*6%*45%,0)</f>
        <v>0</v>
      </c>
      <c r="AN168" s="161" t="n">
        <f aca="false">IF($X168*K168&gt;150000,($X168*K168-150000)*6%*45%,0)</f>
        <v>0</v>
      </c>
      <c r="AO168" s="161" t="n">
        <f aca="false">IF($X168*L168&gt;150000,($X168*L168-150000)*6%*45%,0)</f>
        <v>0</v>
      </c>
      <c r="AP168" s="161" t="n">
        <f aca="false">IF($X168*M168&gt;150000,($X168*M168-150000)*6%*45%,0)</f>
        <v>0</v>
      </c>
      <c r="AQ168" s="161" t="n">
        <f aca="false">IF($X168*N168&gt;150000,($X168*N168-150000)*6%*45%,0)</f>
        <v>0</v>
      </c>
      <c r="AR168" s="161" t="n">
        <f aca="false">IF($X168*O168&gt;150000,($X168*O168-150000)*6%*45%,0)</f>
        <v>0</v>
      </c>
      <c r="AS168" s="161" t="n">
        <f aca="false">IF($X168*P168&gt;150000,($X168*P168-150000)*6%*45%,0)</f>
        <v>0</v>
      </c>
      <c r="AT168" s="161" t="n">
        <f aca="false">IF($X168*Q168&gt;150000,($X168*Q168-150000)*6%*45%,0)</f>
        <v>0</v>
      </c>
      <c r="AU168" s="161" t="n">
        <f aca="false">IF($X168*R168&gt;150000,($X168*R168-150000)*6%*45%,0)</f>
        <v>0</v>
      </c>
      <c r="AV168" s="161" t="n">
        <f aca="false">IF($X168*S168&gt;150000,($X168*S168-150000)*6%*45%,0)</f>
        <v>0</v>
      </c>
      <c r="AW168" s="161" t="n">
        <f aca="false">IF($X168*T168&gt;150000,($X168*T168-150000)*6%*45%,0)</f>
        <v>0</v>
      </c>
      <c r="AX168" s="161" t="n">
        <f aca="false">IF($X168*U168&gt;150000,($X168*U168-150000)*6%*45%,0)</f>
        <v>0</v>
      </c>
      <c r="AY168" s="161"/>
      <c r="AZ168" s="162" t="n">
        <f aca="false">IF(ISERROR(VLOOKUP(D168,[27]일용직명단!$A$3:$M$1151,11,FALSE())),0,VLOOKUP(D168,[27]일용직명단!$A$3:$M$1151,11,FALSE()))</f>
        <v>0</v>
      </c>
      <c r="BA168" s="163"/>
      <c r="BB168" s="163"/>
      <c r="BC168" s="163"/>
      <c r="BD168" s="163"/>
      <c r="BE168" s="163"/>
      <c r="BF168" s="163"/>
      <c r="BG168" s="163"/>
      <c r="BH168" s="163"/>
      <c r="BI168" s="163"/>
      <c r="BJ168" s="163"/>
      <c r="BK168" s="163"/>
      <c r="BL168" s="163"/>
      <c r="BM168" s="163"/>
      <c r="BN168" s="163"/>
      <c r="BO168" s="163"/>
      <c r="BP168" s="163"/>
      <c r="BQ168" s="163"/>
      <c r="BR168" s="163"/>
      <c r="BS168" s="163"/>
      <c r="BT168" s="163"/>
      <c r="BU168" s="163"/>
      <c r="BV168" s="163"/>
      <c r="BW168" s="163"/>
      <c r="BX168" s="163"/>
      <c r="BY168" s="163"/>
      <c r="BZ168" s="163"/>
      <c r="CA168" s="163"/>
      <c r="CB168" s="163"/>
      <c r="CC168" s="163"/>
      <c r="CD168" s="163"/>
      <c r="CE168" s="163"/>
      <c r="CF168" s="163"/>
      <c r="CG168" s="163"/>
      <c r="CH168" s="163"/>
      <c r="CI168" s="163"/>
      <c r="CJ168" s="163"/>
      <c r="CK168" s="163"/>
      <c r="CL168" s="163"/>
      <c r="CM168" s="163"/>
      <c r="CN168" s="163"/>
      <c r="CO168" s="163"/>
      <c r="CP168" s="163"/>
      <c r="CQ168" s="163"/>
      <c r="CR168" s="163"/>
      <c r="CS168" s="163"/>
      <c r="CT168" s="163"/>
      <c r="CU168" s="163"/>
      <c r="CV168" s="163"/>
      <c r="CW168" s="163"/>
      <c r="CX168" s="163"/>
      <c r="CY168" s="163"/>
      <c r="CZ168" s="163"/>
      <c r="DA168" s="163"/>
      <c r="DB168" s="163"/>
      <c r="DC168" s="163"/>
      <c r="DD168" s="163"/>
      <c r="DE168" s="163"/>
      <c r="DF168" s="163"/>
      <c r="DG168" s="163"/>
      <c r="DH168" s="163"/>
      <c r="DI168" s="163"/>
      <c r="DJ168" s="163"/>
      <c r="DK168" s="163"/>
      <c r="DL168" s="163"/>
      <c r="DM168" s="163"/>
      <c r="DN168" s="163"/>
      <c r="DO168" s="163"/>
      <c r="DP168" s="163"/>
      <c r="DQ168" s="163"/>
      <c r="DR168" s="163"/>
      <c r="DS168" s="163"/>
      <c r="DT168" s="163"/>
      <c r="DU168" s="163"/>
      <c r="DV168" s="163"/>
      <c r="DW168" s="163"/>
      <c r="DX168" s="163"/>
      <c r="DY168" s="163"/>
      <c r="DZ168" s="163"/>
      <c r="EA168" s="163"/>
      <c r="EB168" s="163"/>
      <c r="EC168" s="163"/>
      <c r="ED168" s="163"/>
      <c r="EE168" s="163"/>
      <c r="EF168" s="163"/>
      <c r="EG168" s="163"/>
      <c r="EH168" s="163"/>
      <c r="EI168" s="163"/>
      <c r="EJ168" s="163"/>
      <c r="EK168" s="163"/>
      <c r="EL168" s="163"/>
      <c r="EM168" s="163"/>
      <c r="EN168" s="163"/>
      <c r="EO168" s="163"/>
      <c r="EP168" s="163"/>
      <c r="EQ168" s="163"/>
      <c r="ER168" s="163"/>
      <c r="ES168" s="163"/>
      <c r="ET168" s="163"/>
      <c r="EU168" s="163"/>
      <c r="EV168" s="163"/>
      <c r="EW168" s="163"/>
      <c r="EX168" s="163"/>
      <c r="EY168" s="163"/>
      <c r="EZ168" s="163"/>
      <c r="FA168" s="163"/>
      <c r="FB168" s="163"/>
      <c r="FC168" s="163"/>
      <c r="FD168" s="163"/>
      <c r="FE168" s="163"/>
      <c r="FF168" s="163"/>
      <c r="FG168" s="163"/>
      <c r="FH168" s="163"/>
      <c r="FI168" s="163"/>
      <c r="FJ168" s="163"/>
      <c r="FK168" s="163"/>
      <c r="FL168" s="163"/>
      <c r="FM168" s="163"/>
      <c r="FN168" s="163"/>
      <c r="FO168" s="163"/>
      <c r="FP168" s="163"/>
      <c r="FQ168" s="163"/>
      <c r="FR168" s="163"/>
      <c r="FS168" s="163"/>
      <c r="FT168" s="163"/>
      <c r="FU168" s="163"/>
      <c r="FV168" s="163"/>
      <c r="FW168" s="163"/>
      <c r="FX168" s="163"/>
      <c r="FY168" s="163"/>
      <c r="FZ168" s="163"/>
      <c r="GA168" s="163"/>
      <c r="GB168" s="163"/>
      <c r="GC168" s="163"/>
      <c r="GD168" s="163"/>
      <c r="GE168" s="163"/>
      <c r="GF168" s="163"/>
      <c r="GG168" s="163"/>
      <c r="GH168" s="163"/>
      <c r="GI168" s="163"/>
      <c r="GJ168" s="163"/>
      <c r="GK168" s="163"/>
      <c r="GL168" s="163"/>
      <c r="GM168" s="163"/>
      <c r="GN168" s="163"/>
      <c r="GO168" s="163"/>
      <c r="GP168" s="163"/>
      <c r="GQ168" s="163"/>
      <c r="GR168" s="163"/>
      <c r="GS168" s="163"/>
      <c r="GT168" s="163"/>
      <c r="GU168" s="163"/>
      <c r="GV168" s="163"/>
      <c r="GW168" s="163"/>
      <c r="GX168" s="163"/>
      <c r="GY168" s="163"/>
      <c r="GZ168" s="163"/>
      <c r="HA168" s="163"/>
      <c r="HB168" s="163"/>
      <c r="HC168" s="163"/>
      <c r="HD168" s="163"/>
      <c r="HE168" s="163"/>
      <c r="HF168" s="163"/>
      <c r="HG168" s="163"/>
      <c r="HH168" s="163"/>
      <c r="HI168" s="163"/>
      <c r="HJ168" s="163"/>
      <c r="HK168" s="163"/>
      <c r="HL168" s="163"/>
      <c r="HM168" s="163"/>
      <c r="HN168" s="163"/>
      <c r="HO168" s="163"/>
      <c r="HP168" s="163"/>
      <c r="HQ168" s="163"/>
      <c r="HR168" s="163"/>
      <c r="HS168" s="163"/>
      <c r="HT168" s="163"/>
      <c r="HU168" s="163"/>
      <c r="HV168" s="163"/>
      <c r="HW168" s="163"/>
      <c r="HX168" s="163"/>
      <c r="HY168" s="163"/>
      <c r="HZ168" s="163"/>
      <c r="IA168" s="163"/>
      <c r="IB168" s="163"/>
      <c r="IC168" s="163"/>
      <c r="ID168" s="163"/>
      <c r="IE168" s="163"/>
      <c r="IF168" s="163"/>
      <c r="IG168" s="163"/>
      <c r="IH168" s="163"/>
      <c r="II168" s="163"/>
      <c r="IJ168" s="163"/>
      <c r="IK168" s="163"/>
      <c r="IL168" s="163"/>
      <c r="IM168" s="163"/>
      <c r="IN168" s="163"/>
      <c r="IO168" s="163"/>
      <c r="IP168" s="163"/>
      <c r="IQ168" s="163"/>
      <c r="IR168" s="163"/>
      <c r="IS168" s="163"/>
      <c r="IT168" s="163"/>
      <c r="IU168" s="163"/>
      <c r="IV168" s="163"/>
      <c r="IW168" s="11"/>
    </row>
    <row r="169" customFormat="false" ht="13.5" hidden="true" customHeight="true" outlineLevel="0" collapsed="false">
      <c r="A169" s="108"/>
      <c r="B169" s="404"/>
      <c r="C169" s="159"/>
      <c r="D169" s="203"/>
      <c r="E169" s="311"/>
      <c r="F169" s="160" t="n">
        <f aca="false">IF(ISERROR(VLOOKUP(D168,[31]일용직명단!$A$3:$K$1220,9,FALSE())),0,VLOOKUP(D168,[31]일용직명단!$A$3:$K$1220,9,FALSE()))</f>
        <v>0</v>
      </c>
      <c r="G169" s="415"/>
      <c r="H169" s="415"/>
      <c r="I169" s="415"/>
      <c r="J169" s="415"/>
      <c r="K169" s="415"/>
      <c r="L169" s="415"/>
      <c r="M169" s="415"/>
      <c r="N169" s="415"/>
      <c r="O169" s="415"/>
      <c r="P169" s="415"/>
      <c r="Q169" s="415"/>
      <c r="R169" s="415"/>
      <c r="S169" s="415"/>
      <c r="T169" s="415"/>
      <c r="U169" s="415"/>
      <c r="V169" s="417"/>
      <c r="W169" s="144"/>
      <c r="X169" s="138" t="n">
        <f aca="false">X168*W168</f>
        <v>0</v>
      </c>
      <c r="Y169" s="156" t="n">
        <f aca="false">IF(AI168&lt;1000,0,AI168)</f>
        <v>0</v>
      </c>
      <c r="Z169" s="156" t="n">
        <f aca="false">ROUNDDOWN(Y169*10%,-1)</f>
        <v>0</v>
      </c>
      <c r="AA169" s="156" t="n">
        <f aca="false">IF(AF168&gt;=8,ROUNDDOWN(Z168*$R$4,-1),0)</f>
        <v>0</v>
      </c>
      <c r="AB169" s="145"/>
      <c r="AC169" s="146"/>
      <c r="AD169" s="158" t="n">
        <f aca="false">IF(ISERROR(VLOOKUP(D168,[31]일용직명단!$A$3:$I$1200,7,FALSE())),0,VLOOKUP(D168,[31]일용직명단!$A$3:$I$1200,7,FALSE()))</f>
        <v>0</v>
      </c>
      <c r="AE169" s="158"/>
      <c r="AF169" s="141"/>
      <c r="AG169" s="129"/>
      <c r="AH169" s="129"/>
      <c r="AI169" s="161"/>
      <c r="AJ169" s="161" t="n">
        <f aca="false">IF($X168*G169&gt;150000,($X168*G169-150000)*6%*45%,0)</f>
        <v>0</v>
      </c>
      <c r="AK169" s="161" t="n">
        <f aca="false">IF($X168*H169&gt;150000,($X168*H169-150000)*6%*45%,0)</f>
        <v>0</v>
      </c>
      <c r="AL169" s="161" t="n">
        <f aca="false">IF($X168*I169&gt;150000,($X168*I169-150000)*6%*45%,0)</f>
        <v>0</v>
      </c>
      <c r="AM169" s="161" t="n">
        <f aca="false">IF($X168*J169&gt;150000,($X168*J169-150000)*6%*45%,0)</f>
        <v>0</v>
      </c>
      <c r="AN169" s="161" t="n">
        <f aca="false">IF($X168*K169&gt;150000,($X168*K169-150000)*6%*45%,0)</f>
        <v>0</v>
      </c>
      <c r="AO169" s="161" t="n">
        <f aca="false">IF($X168*L169&gt;150000,($X168*L169-150000)*6%*45%,0)</f>
        <v>0</v>
      </c>
      <c r="AP169" s="161" t="n">
        <f aca="false">IF($X168*M169&gt;150000,($X168*M169-150000)*6%*45%,0)</f>
        <v>0</v>
      </c>
      <c r="AQ169" s="161" t="n">
        <f aca="false">IF($X168*N169&gt;150000,($X168*N169-150000)*6%*45%,0)</f>
        <v>0</v>
      </c>
      <c r="AR169" s="161" t="n">
        <f aca="false">IF($X168*O169&gt;150000,($X168*O169-150000)*6%*45%,0)</f>
        <v>0</v>
      </c>
      <c r="AS169" s="161" t="n">
        <f aca="false">IF($X168*P169&gt;150000,($X168*P169-150000)*6%*45%,0)</f>
        <v>0</v>
      </c>
      <c r="AT169" s="161" t="n">
        <f aca="false">IF($X168*Q169&gt;150000,($X168*Q169-150000)*6%*45%,0)</f>
        <v>0</v>
      </c>
      <c r="AU169" s="161" t="n">
        <f aca="false">IF($X168*R169&gt;150000,($X168*R169-150000)*6%*45%,0)</f>
        <v>0</v>
      </c>
      <c r="AV169" s="161" t="n">
        <f aca="false">IF($X168*S169&gt;150000,($X168*S169-150000)*6%*45%,0)</f>
        <v>0</v>
      </c>
      <c r="AW169" s="161" t="n">
        <f aca="false">IF($X168*T169&gt;150000,($X168*T169-150000)*6%*45%,0)</f>
        <v>0</v>
      </c>
      <c r="AX169" s="161" t="n">
        <f aca="false">IF($X168*U169&gt;150000,($X168*U169-150000)*6%*45%,0)</f>
        <v>0</v>
      </c>
      <c r="AY169" s="161" t="n">
        <f aca="false">IF($X168*V169&gt;150000,($X168*V169-150000)*6%*45%,0)</f>
        <v>0</v>
      </c>
      <c r="AZ169" s="162"/>
      <c r="BA169" s="163"/>
      <c r="BB169" s="163"/>
      <c r="BC169" s="163"/>
      <c r="BD169" s="163"/>
      <c r="BE169" s="163"/>
      <c r="BF169" s="163"/>
      <c r="BG169" s="163"/>
      <c r="BH169" s="163"/>
      <c r="BI169" s="163"/>
      <c r="BJ169" s="163"/>
      <c r="BK169" s="163"/>
      <c r="BL169" s="163"/>
      <c r="BM169" s="163"/>
      <c r="BN169" s="163"/>
      <c r="BO169" s="163"/>
      <c r="BP169" s="163"/>
      <c r="BQ169" s="163"/>
      <c r="BR169" s="163"/>
      <c r="BS169" s="163"/>
      <c r="BT169" s="163"/>
      <c r="BU169" s="163"/>
      <c r="BV169" s="163"/>
      <c r="BW169" s="163"/>
      <c r="BX169" s="163"/>
      <c r="BY169" s="163"/>
      <c r="BZ169" s="163"/>
      <c r="CA169" s="163"/>
      <c r="CB169" s="163"/>
      <c r="CC169" s="163"/>
      <c r="CD169" s="163"/>
      <c r="CE169" s="163"/>
      <c r="CF169" s="163"/>
      <c r="CG169" s="163"/>
      <c r="CH169" s="163"/>
      <c r="CI169" s="163"/>
      <c r="CJ169" s="163"/>
      <c r="CK169" s="163"/>
      <c r="CL169" s="163"/>
      <c r="CM169" s="163"/>
      <c r="CN169" s="163"/>
      <c r="CO169" s="163"/>
      <c r="CP169" s="163"/>
      <c r="CQ169" s="163"/>
      <c r="CR169" s="163"/>
      <c r="CS169" s="163"/>
      <c r="CT169" s="163"/>
      <c r="CU169" s="163"/>
      <c r="CV169" s="163"/>
      <c r="CW169" s="163"/>
      <c r="CX169" s="163"/>
      <c r="CY169" s="163"/>
      <c r="CZ169" s="163"/>
      <c r="DA169" s="163"/>
      <c r="DB169" s="163"/>
      <c r="DC169" s="163"/>
      <c r="DD169" s="163"/>
      <c r="DE169" s="163"/>
      <c r="DF169" s="163"/>
      <c r="DG169" s="163"/>
      <c r="DH169" s="163"/>
      <c r="DI169" s="163"/>
      <c r="DJ169" s="163"/>
      <c r="DK169" s="163"/>
      <c r="DL169" s="163"/>
      <c r="DM169" s="163"/>
      <c r="DN169" s="163"/>
      <c r="DO169" s="163"/>
      <c r="DP169" s="163"/>
      <c r="DQ169" s="163"/>
      <c r="DR169" s="163"/>
      <c r="DS169" s="163"/>
      <c r="DT169" s="163"/>
      <c r="DU169" s="163"/>
      <c r="DV169" s="163"/>
      <c r="DW169" s="163"/>
      <c r="DX169" s="163"/>
      <c r="DY169" s="163"/>
      <c r="DZ169" s="163"/>
      <c r="EA169" s="163"/>
      <c r="EB169" s="163"/>
      <c r="EC169" s="163"/>
      <c r="ED169" s="163"/>
      <c r="EE169" s="163"/>
      <c r="EF169" s="163"/>
      <c r="EG169" s="163"/>
      <c r="EH169" s="163"/>
      <c r="EI169" s="163"/>
      <c r="EJ169" s="163"/>
      <c r="EK169" s="163"/>
      <c r="EL169" s="163"/>
      <c r="EM169" s="163"/>
      <c r="EN169" s="163"/>
      <c r="EO169" s="163"/>
      <c r="EP169" s="163"/>
      <c r="EQ169" s="163"/>
      <c r="ER169" s="163"/>
      <c r="ES169" s="163"/>
      <c r="ET169" s="163"/>
      <c r="EU169" s="163"/>
      <c r="EV169" s="163"/>
      <c r="EW169" s="163"/>
      <c r="EX169" s="163"/>
      <c r="EY169" s="163"/>
      <c r="EZ169" s="163"/>
      <c r="FA169" s="163"/>
      <c r="FB169" s="163"/>
      <c r="FC169" s="163"/>
      <c r="FD169" s="163"/>
      <c r="FE169" s="163"/>
      <c r="FF169" s="163"/>
      <c r="FG169" s="163"/>
      <c r="FH169" s="163"/>
      <c r="FI169" s="163"/>
      <c r="FJ169" s="163"/>
      <c r="FK169" s="163"/>
      <c r="FL169" s="163"/>
      <c r="FM169" s="163"/>
      <c r="FN169" s="163"/>
      <c r="FO169" s="163"/>
      <c r="FP169" s="163"/>
      <c r="FQ169" s="163"/>
      <c r="FR169" s="163"/>
      <c r="FS169" s="163"/>
      <c r="FT169" s="163"/>
      <c r="FU169" s="163"/>
      <c r="FV169" s="163"/>
      <c r="FW169" s="163"/>
      <c r="FX169" s="163"/>
      <c r="FY169" s="163"/>
      <c r="FZ169" s="163"/>
      <c r="GA169" s="163"/>
      <c r="GB169" s="163"/>
      <c r="GC169" s="163"/>
      <c r="GD169" s="163"/>
      <c r="GE169" s="163"/>
      <c r="GF169" s="163"/>
      <c r="GG169" s="163"/>
      <c r="GH169" s="163"/>
      <c r="GI169" s="163"/>
      <c r="GJ169" s="163"/>
      <c r="GK169" s="163"/>
      <c r="GL169" s="163"/>
      <c r="GM169" s="163"/>
      <c r="GN169" s="163"/>
      <c r="GO169" s="163"/>
      <c r="GP169" s="163"/>
      <c r="GQ169" s="163"/>
      <c r="GR169" s="163"/>
      <c r="GS169" s="163"/>
      <c r="GT169" s="163"/>
      <c r="GU169" s="163"/>
      <c r="GV169" s="163"/>
      <c r="GW169" s="163"/>
      <c r="GX169" s="163"/>
      <c r="GY169" s="163"/>
      <c r="GZ169" s="163"/>
      <c r="HA169" s="163"/>
      <c r="HB169" s="163"/>
      <c r="HC169" s="163"/>
      <c r="HD169" s="163"/>
      <c r="HE169" s="163"/>
      <c r="HF169" s="163"/>
      <c r="HG169" s="163"/>
      <c r="HH169" s="163"/>
      <c r="HI169" s="163"/>
      <c r="HJ169" s="163"/>
      <c r="HK169" s="163"/>
      <c r="HL169" s="163"/>
      <c r="HM169" s="163"/>
      <c r="HN169" s="163"/>
      <c r="HO169" s="163"/>
      <c r="HP169" s="163"/>
      <c r="HQ169" s="163"/>
      <c r="HR169" s="163"/>
      <c r="HS169" s="163"/>
      <c r="HT169" s="163"/>
      <c r="HU169" s="163"/>
      <c r="HV169" s="163"/>
      <c r="HW169" s="163"/>
      <c r="HX169" s="163"/>
      <c r="HY169" s="163"/>
      <c r="HZ169" s="163"/>
      <c r="IA169" s="163"/>
      <c r="IB169" s="163"/>
      <c r="IC169" s="163"/>
      <c r="ID169" s="163"/>
      <c r="IE169" s="163"/>
      <c r="IF169" s="163"/>
      <c r="IG169" s="163"/>
      <c r="IH169" s="163"/>
      <c r="II169" s="163"/>
      <c r="IJ169" s="163"/>
      <c r="IK169" s="163"/>
      <c r="IL169" s="163"/>
      <c r="IM169" s="163"/>
      <c r="IN169" s="163"/>
      <c r="IO169" s="163"/>
      <c r="IP169" s="163"/>
      <c r="IQ169" s="163"/>
      <c r="IR169" s="163"/>
      <c r="IS169" s="163"/>
      <c r="IT169" s="163"/>
      <c r="IU169" s="163"/>
      <c r="IV169" s="163"/>
      <c r="IW169" s="11"/>
    </row>
    <row r="170" customFormat="false" ht="13.5" hidden="true" customHeight="true" outlineLevel="0" collapsed="false">
      <c r="A170" s="108" t="n">
        <f aca="false">A168+1</f>
        <v>29</v>
      </c>
      <c r="B170" s="404"/>
      <c r="C170" s="159" t="n">
        <f aca="false">IF(ISERROR(VLOOKUP(D170,[34]일용직명단!$A$3:$I$97,2,FALSE())),0,VLOOKUP(D170,[34]일용직명단!$A$3:$I$97,2,FALSE()))</f>
        <v>0</v>
      </c>
      <c r="D170" s="203"/>
      <c r="E170" s="311" t="n">
        <f aca="false">IF(ISERROR(VLOOKUP(D170,[33]일용직명단!$A$3:$K$1183,3,FALSE())),0,VLOOKUP(D170,[33]일용직명단!$A$3:$K$1183,3,FALSE()))</f>
        <v>0</v>
      </c>
      <c r="F170" s="160" t="n">
        <f aca="false">IF(ISERROR(VLOOKUP(D170,[31]일용직명단!$A$3:$K$1220,4,FALSE())),0,VLOOKUP(D170,[31]일용직명단!$A$3:$K$1220,4,FALSE()))</f>
        <v>0</v>
      </c>
      <c r="G170" s="208"/>
      <c r="H170" s="415"/>
      <c r="I170" s="415"/>
      <c r="J170" s="415"/>
      <c r="K170" s="415"/>
      <c r="L170" s="415"/>
      <c r="M170" s="415"/>
      <c r="N170" s="415"/>
      <c r="O170" s="415"/>
      <c r="P170" s="415"/>
      <c r="Q170" s="415"/>
      <c r="R170" s="415"/>
      <c r="S170" s="418"/>
      <c r="T170" s="415"/>
      <c r="U170" s="415"/>
      <c r="V170" s="416"/>
      <c r="W170" s="144" t="n">
        <f aca="false">SUM(G170:V171)</f>
        <v>0</v>
      </c>
      <c r="X170" s="211" t="n">
        <f aca="false">IF(ISERROR(VLOOKUP(D170,[31]일용직명단!$A$3:$K$1220,8,FALSE())),0,VLOOKUP(D170,[31]일용직명단!$A$3:$K$1220,8,FALSE()))</f>
        <v>0</v>
      </c>
      <c r="Y170" s="156" t="n">
        <f aca="false">IFERROR(IF(AH170&gt;=65,0,ROUNDDOWN(X171*$AA$4,-1)),0)</f>
        <v>0</v>
      </c>
      <c r="Z170" s="156" t="n">
        <f aca="false">IF(AF170&gt;=8,ROUNDDOWN(X171*$N$4,-1),0)</f>
        <v>0</v>
      </c>
      <c r="AA170" s="156" t="n">
        <f aca="false">IFERROR(IF(AND(COUNT(G170:V171)&gt;=8,$AH170&lt;60,X171&lt;=5530000),ROUNDDOWN(ROUNDDOWN(X171,-3)*4.5%,-1),IF(AND(COUNT(G170:V171)&gt;=8,AH170&lt;60,X171&gt;5530000),248850,0)),0)</f>
        <v>0</v>
      </c>
      <c r="AB170" s="145" t="n">
        <f aca="false">+Y170+Z170+Y171+Z171+AA170+AA171</f>
        <v>0</v>
      </c>
      <c r="AC170" s="146" t="n">
        <f aca="false">X171-AB170</f>
        <v>0</v>
      </c>
      <c r="AD170" s="157" t="n">
        <f aca="false">IF(ISERROR(VLOOKUP(D170,[31]일용직명단!$A$3:$I$1200,5,FALSE())),0,VLOOKUP(D170,[31]일용직명단!$A$3:$I$1200,5,FALSE()))</f>
        <v>0</v>
      </c>
      <c r="AE170" s="158" t="n">
        <f aca="false">IF(ISERROR(VLOOKUP(D170,[31]일용직명단!$A$3:$I$1200,6,FALSE())),0,VLOOKUP(D170,[31]일용직명단!$A$3:$I$1200,6,FALSE()))</f>
        <v>0</v>
      </c>
      <c r="AF170" s="141" t="n">
        <f aca="false">COUNT(G170:V171)</f>
        <v>0</v>
      </c>
      <c r="AG170" s="129" t="str">
        <f aca="false">IF(OR(MID(E170,8,1)="1",MID(E170,8,1)="2"),19&amp;LEFT(E170,2),20&amp;LEFT(E170,2))&amp;"-"&amp;MID(E170,3,2)&amp;"-"&amp;MID(E170,5,2)</f>
        <v>200--</v>
      </c>
      <c r="AH170" s="129" t="e">
        <f aca="true">INT((TODAY()-AG170)/365.25)</f>
        <v>#VALUE!</v>
      </c>
      <c r="AI170" s="161" t="n">
        <f aca="false">ROUNDDOWN(SUM(AJ170:AY171),-1)</f>
        <v>0</v>
      </c>
      <c r="AJ170" s="161" t="n">
        <f aca="false">IF($X170*G170&gt;150000,($X170*G170-150000)*6%*45%,0)</f>
        <v>0</v>
      </c>
      <c r="AK170" s="161" t="n">
        <f aca="false">IF($X170*H170&gt;150000,($X170*H170-150000)*6%*45%,0)</f>
        <v>0</v>
      </c>
      <c r="AL170" s="161" t="n">
        <f aca="false">IF($X170*I170&gt;150000,($X170*I170-150000)*6%*45%,0)</f>
        <v>0</v>
      </c>
      <c r="AM170" s="161" t="n">
        <f aca="false">IF($X170*J170&gt;150000,($X170*J170-150000)*6%*45%,0)</f>
        <v>0</v>
      </c>
      <c r="AN170" s="161" t="n">
        <f aca="false">IF($X170*K170&gt;150000,($X170*K170-150000)*6%*45%,0)</f>
        <v>0</v>
      </c>
      <c r="AO170" s="161" t="n">
        <f aca="false">IF($X170*L170&gt;150000,($X170*L170-150000)*6%*45%,0)</f>
        <v>0</v>
      </c>
      <c r="AP170" s="161" t="n">
        <f aca="false">IF($X170*M170&gt;150000,($X170*M170-150000)*6%*45%,0)</f>
        <v>0</v>
      </c>
      <c r="AQ170" s="161" t="n">
        <f aca="false">IF($X170*N170&gt;150000,($X170*N170-150000)*6%*45%,0)</f>
        <v>0</v>
      </c>
      <c r="AR170" s="161" t="n">
        <f aca="false">IF($X170*O170&gt;150000,($X170*O170-150000)*6%*45%,0)</f>
        <v>0</v>
      </c>
      <c r="AS170" s="161" t="n">
        <f aca="false">IF($X170*P170&gt;150000,($X170*P170-150000)*6%*45%,0)</f>
        <v>0</v>
      </c>
      <c r="AT170" s="161" t="n">
        <f aca="false">IF($X170*Q170&gt;150000,($X170*Q170-150000)*6%*45%,0)</f>
        <v>0</v>
      </c>
      <c r="AU170" s="161" t="n">
        <f aca="false">IF($X170*R170&gt;150000,($X170*R170-150000)*6%*45%,0)</f>
        <v>0</v>
      </c>
      <c r="AV170" s="161" t="n">
        <f aca="false">IF($X170*S170&gt;150000,($X170*S170-150000)*6%*45%,0)</f>
        <v>0</v>
      </c>
      <c r="AW170" s="161" t="n">
        <f aca="false">IF($X170*T170&gt;150000,($X170*T170-150000)*6%*45%,0)</f>
        <v>0</v>
      </c>
      <c r="AX170" s="161" t="n">
        <f aca="false">IF($X170*U170&gt;150000,($X170*U170-150000)*6%*45%,0)</f>
        <v>0</v>
      </c>
      <c r="AY170" s="161"/>
      <c r="AZ170" s="162" t="n">
        <f aca="false">IF(ISERROR(VLOOKUP(D170,[27]일용직명단!$A$3:$M$1151,11,FALSE())),0,VLOOKUP(D170,[27]일용직명단!$A$3:$M$1151,11,FALSE()))</f>
        <v>0</v>
      </c>
      <c r="BA170" s="163"/>
      <c r="BB170" s="163"/>
      <c r="BC170" s="358"/>
      <c r="BD170" s="358"/>
      <c r="BE170" s="358"/>
      <c r="BF170" s="358"/>
      <c r="BG170" s="358"/>
      <c r="BH170" s="358"/>
      <c r="BI170" s="163"/>
      <c r="BJ170" s="163"/>
      <c r="BK170" s="163"/>
      <c r="BL170" s="163"/>
      <c r="BM170" s="163"/>
      <c r="BN170" s="163"/>
      <c r="BO170" s="163"/>
      <c r="BP170" s="163"/>
      <c r="BQ170" s="163"/>
      <c r="BR170" s="163"/>
      <c r="BS170" s="163"/>
      <c r="BT170" s="163"/>
      <c r="BU170" s="163"/>
      <c r="BV170" s="163"/>
      <c r="BW170" s="163"/>
      <c r="BX170" s="163"/>
      <c r="BY170" s="163"/>
      <c r="BZ170" s="163"/>
      <c r="CA170" s="163"/>
      <c r="CB170" s="163"/>
      <c r="CC170" s="163"/>
      <c r="CD170" s="163"/>
      <c r="CE170" s="163"/>
      <c r="CF170" s="163"/>
      <c r="CG170" s="163"/>
      <c r="CH170" s="163"/>
      <c r="CI170" s="163"/>
      <c r="CJ170" s="163"/>
      <c r="CK170" s="163"/>
      <c r="CL170" s="163"/>
      <c r="CM170" s="163"/>
      <c r="CN170" s="163"/>
      <c r="CO170" s="163"/>
      <c r="CP170" s="163"/>
      <c r="CQ170" s="163"/>
      <c r="CR170" s="163"/>
      <c r="CS170" s="163"/>
      <c r="CT170" s="163"/>
      <c r="CU170" s="163"/>
      <c r="CV170" s="163"/>
      <c r="CW170" s="163"/>
      <c r="CX170" s="163"/>
      <c r="CY170" s="163"/>
      <c r="CZ170" s="163"/>
      <c r="DA170" s="163"/>
      <c r="DB170" s="163"/>
      <c r="DC170" s="163"/>
      <c r="DD170" s="163"/>
      <c r="DE170" s="163"/>
      <c r="DF170" s="163"/>
      <c r="DG170" s="163"/>
      <c r="DH170" s="163"/>
      <c r="DI170" s="163"/>
      <c r="DJ170" s="163"/>
      <c r="DK170" s="163"/>
      <c r="DL170" s="163"/>
      <c r="DM170" s="163"/>
      <c r="DN170" s="163"/>
      <c r="DO170" s="163"/>
      <c r="DP170" s="163"/>
      <c r="DQ170" s="163"/>
      <c r="DR170" s="163"/>
      <c r="DS170" s="163"/>
      <c r="DT170" s="163"/>
      <c r="DU170" s="163"/>
      <c r="DV170" s="163"/>
      <c r="DW170" s="163"/>
      <c r="DX170" s="163"/>
      <c r="DY170" s="163"/>
      <c r="DZ170" s="163"/>
      <c r="EA170" s="163"/>
      <c r="EB170" s="163"/>
      <c r="EC170" s="163"/>
      <c r="ED170" s="163"/>
      <c r="EE170" s="163"/>
      <c r="EF170" s="163"/>
      <c r="EG170" s="163"/>
      <c r="EH170" s="163"/>
      <c r="EI170" s="163"/>
      <c r="EJ170" s="163"/>
      <c r="EK170" s="163"/>
      <c r="EL170" s="163"/>
      <c r="EM170" s="163"/>
      <c r="EN170" s="163"/>
      <c r="EO170" s="163"/>
      <c r="EP170" s="163"/>
      <c r="EQ170" s="163"/>
      <c r="ER170" s="163"/>
      <c r="ES170" s="163"/>
      <c r="ET170" s="163"/>
      <c r="EU170" s="163"/>
      <c r="EV170" s="163"/>
      <c r="EW170" s="163"/>
      <c r="EX170" s="163"/>
      <c r="EY170" s="163"/>
      <c r="EZ170" s="163"/>
      <c r="FA170" s="163"/>
      <c r="FB170" s="163"/>
      <c r="FC170" s="163"/>
      <c r="FD170" s="163"/>
      <c r="FE170" s="163"/>
      <c r="FF170" s="163"/>
      <c r="FG170" s="163"/>
      <c r="FH170" s="163"/>
      <c r="FI170" s="163"/>
      <c r="FJ170" s="163"/>
      <c r="FK170" s="163"/>
      <c r="FL170" s="163"/>
      <c r="FM170" s="163"/>
      <c r="FN170" s="163"/>
      <c r="FO170" s="163"/>
      <c r="FP170" s="163"/>
      <c r="FQ170" s="163"/>
      <c r="FR170" s="163"/>
      <c r="FS170" s="163"/>
      <c r="FT170" s="163"/>
      <c r="FU170" s="163"/>
      <c r="FV170" s="163"/>
      <c r="FW170" s="163"/>
      <c r="FX170" s="163"/>
      <c r="FY170" s="163"/>
      <c r="FZ170" s="163"/>
      <c r="GA170" s="163"/>
      <c r="GB170" s="163"/>
      <c r="GC170" s="163"/>
      <c r="GD170" s="163"/>
      <c r="GE170" s="163"/>
      <c r="GF170" s="163"/>
      <c r="GG170" s="163"/>
      <c r="GH170" s="163"/>
      <c r="GI170" s="163"/>
      <c r="GJ170" s="163"/>
      <c r="GK170" s="163"/>
      <c r="GL170" s="163"/>
      <c r="GM170" s="163"/>
      <c r="GN170" s="163"/>
      <c r="GO170" s="163"/>
      <c r="GP170" s="163"/>
      <c r="GQ170" s="163"/>
      <c r="GR170" s="163"/>
      <c r="GS170" s="163"/>
      <c r="GT170" s="163"/>
      <c r="GU170" s="163"/>
      <c r="GV170" s="163"/>
      <c r="GW170" s="163"/>
      <c r="GX170" s="163"/>
      <c r="GY170" s="163"/>
      <c r="GZ170" s="163"/>
      <c r="HA170" s="163"/>
      <c r="HB170" s="163"/>
      <c r="HC170" s="163"/>
      <c r="HD170" s="163"/>
      <c r="HE170" s="163"/>
      <c r="HF170" s="163"/>
      <c r="HG170" s="163"/>
      <c r="HH170" s="163"/>
      <c r="HI170" s="163"/>
      <c r="HJ170" s="163"/>
      <c r="HK170" s="163"/>
      <c r="HL170" s="163"/>
      <c r="HM170" s="163"/>
      <c r="HN170" s="163"/>
      <c r="HO170" s="163"/>
      <c r="HP170" s="163"/>
      <c r="HQ170" s="163"/>
      <c r="HR170" s="163"/>
      <c r="HS170" s="163"/>
      <c r="HT170" s="163"/>
      <c r="HU170" s="163"/>
      <c r="HV170" s="163"/>
      <c r="HW170" s="163"/>
      <c r="HX170" s="163"/>
      <c r="HY170" s="163"/>
      <c r="HZ170" s="163"/>
      <c r="IA170" s="163"/>
      <c r="IB170" s="163"/>
      <c r="IC170" s="163"/>
      <c r="ID170" s="163"/>
      <c r="IE170" s="163"/>
      <c r="IF170" s="163"/>
      <c r="IG170" s="163"/>
      <c r="IH170" s="163"/>
      <c r="II170" s="163"/>
      <c r="IJ170" s="163"/>
      <c r="IK170" s="163"/>
      <c r="IL170" s="163"/>
      <c r="IM170" s="163"/>
      <c r="IN170" s="163"/>
      <c r="IO170" s="163"/>
      <c r="IP170" s="163"/>
      <c r="IQ170" s="163"/>
      <c r="IR170" s="163"/>
      <c r="IS170" s="163"/>
      <c r="IT170" s="163"/>
      <c r="IU170" s="163"/>
      <c r="IV170" s="163"/>
      <c r="IW170" s="11"/>
    </row>
    <row r="171" customFormat="false" ht="13.5" hidden="true" customHeight="true" outlineLevel="0" collapsed="false">
      <c r="A171" s="108"/>
      <c r="B171" s="404"/>
      <c r="C171" s="159"/>
      <c r="D171" s="203"/>
      <c r="E171" s="311"/>
      <c r="F171" s="160" t="n">
        <f aca="false">IF(ISERROR(VLOOKUP(D170,[31]일용직명단!$A$3:$K$1220,9,FALSE())),0,VLOOKUP(D170,[31]일용직명단!$A$3:$K$1220,9,FALSE()))</f>
        <v>0</v>
      </c>
      <c r="G171" s="415"/>
      <c r="H171" s="415"/>
      <c r="I171" s="415"/>
      <c r="J171" s="415"/>
      <c r="K171" s="415"/>
      <c r="L171" s="415"/>
      <c r="M171" s="415"/>
      <c r="N171" s="415"/>
      <c r="O171" s="415"/>
      <c r="P171" s="415"/>
      <c r="Q171" s="415"/>
      <c r="R171" s="415"/>
      <c r="S171" s="415"/>
      <c r="T171" s="415"/>
      <c r="U171" s="415"/>
      <c r="V171" s="417"/>
      <c r="W171" s="144"/>
      <c r="X171" s="138" t="n">
        <f aca="false">X170*W170</f>
        <v>0</v>
      </c>
      <c r="Y171" s="156" t="n">
        <f aca="false">IF(AI170&lt;1000,0,AI170)</f>
        <v>0</v>
      </c>
      <c r="Z171" s="156" t="n">
        <f aca="false">ROUNDDOWN(Y171*10%,-1)</f>
        <v>0</v>
      </c>
      <c r="AA171" s="156" t="n">
        <f aca="false">IF(AF170&gt;=8,ROUNDDOWN(Z170*$R$4,-1),0)</f>
        <v>0</v>
      </c>
      <c r="AB171" s="145"/>
      <c r="AC171" s="146"/>
      <c r="AD171" s="158" t="n">
        <f aca="false">IF(ISERROR(VLOOKUP(D170,[31]일용직명단!$A$3:$I$1200,7,FALSE())),0,VLOOKUP(D170,[31]일용직명단!$A$3:$I$1200,7,FALSE()))</f>
        <v>0</v>
      </c>
      <c r="AE171" s="158"/>
      <c r="AF171" s="141"/>
      <c r="AG171" s="129"/>
      <c r="AH171" s="129"/>
      <c r="AI171" s="161"/>
      <c r="AJ171" s="161" t="n">
        <f aca="false">IF($X170*G171&gt;150000,($X170*G171-150000)*6%*45%,0)</f>
        <v>0</v>
      </c>
      <c r="AK171" s="161" t="n">
        <f aca="false">IF($X170*H171&gt;150000,($X170*H171-150000)*6%*45%,0)</f>
        <v>0</v>
      </c>
      <c r="AL171" s="161" t="n">
        <f aca="false">IF($X170*I171&gt;150000,($X170*I171-150000)*6%*45%,0)</f>
        <v>0</v>
      </c>
      <c r="AM171" s="161" t="n">
        <f aca="false">IF($X170*J171&gt;150000,($X170*J171-150000)*6%*45%,0)</f>
        <v>0</v>
      </c>
      <c r="AN171" s="161" t="n">
        <f aca="false">IF($X170*K171&gt;150000,($X170*K171-150000)*6%*45%,0)</f>
        <v>0</v>
      </c>
      <c r="AO171" s="161" t="n">
        <f aca="false">IF($X170*L171&gt;150000,($X170*L171-150000)*6%*45%,0)</f>
        <v>0</v>
      </c>
      <c r="AP171" s="161" t="n">
        <f aca="false">IF($X170*M171&gt;150000,($X170*M171-150000)*6%*45%,0)</f>
        <v>0</v>
      </c>
      <c r="AQ171" s="161" t="n">
        <f aca="false">IF($X170*N171&gt;150000,($X170*N171-150000)*6%*45%,0)</f>
        <v>0</v>
      </c>
      <c r="AR171" s="161" t="n">
        <f aca="false">IF($X170*O171&gt;150000,($X170*O171-150000)*6%*45%,0)</f>
        <v>0</v>
      </c>
      <c r="AS171" s="161" t="n">
        <f aca="false">IF($X170*P171&gt;150000,($X170*P171-150000)*6%*45%,0)</f>
        <v>0</v>
      </c>
      <c r="AT171" s="161" t="n">
        <f aca="false">IF($X170*Q171&gt;150000,($X170*Q171-150000)*6%*45%,0)</f>
        <v>0</v>
      </c>
      <c r="AU171" s="161" t="n">
        <f aca="false">IF($X170*R171&gt;150000,($X170*R171-150000)*6%*45%,0)</f>
        <v>0</v>
      </c>
      <c r="AV171" s="161" t="n">
        <f aca="false">IF($X170*S171&gt;150000,($X170*S171-150000)*6%*45%,0)</f>
        <v>0</v>
      </c>
      <c r="AW171" s="161" t="n">
        <f aca="false">IF($X170*T171&gt;150000,($X170*T171-150000)*6%*45%,0)</f>
        <v>0</v>
      </c>
      <c r="AX171" s="161" t="n">
        <f aca="false">IF($X170*U171&gt;150000,($X170*U171-150000)*6%*45%,0)</f>
        <v>0</v>
      </c>
      <c r="AY171" s="161" t="n">
        <f aca="false">IF($X170*V171&gt;150000,($X170*V171-150000)*6%*45%,0)</f>
        <v>0</v>
      </c>
      <c r="AZ171" s="162"/>
      <c r="BA171" s="163"/>
      <c r="BB171" s="163"/>
      <c r="BC171" s="358"/>
      <c r="BD171" s="358"/>
      <c r="BE171" s="358"/>
      <c r="BF171" s="358"/>
      <c r="BG171" s="358"/>
      <c r="BH171" s="358"/>
      <c r="BI171" s="163"/>
      <c r="BJ171" s="163"/>
      <c r="BK171" s="163"/>
      <c r="BL171" s="163"/>
      <c r="BM171" s="163"/>
      <c r="BN171" s="163"/>
      <c r="BO171" s="163"/>
      <c r="BP171" s="163"/>
      <c r="BQ171" s="163"/>
      <c r="BR171" s="163"/>
      <c r="BS171" s="163"/>
      <c r="BT171" s="163"/>
      <c r="BU171" s="163"/>
      <c r="BV171" s="163"/>
      <c r="BW171" s="163"/>
      <c r="BX171" s="163"/>
      <c r="BY171" s="163"/>
      <c r="BZ171" s="163"/>
      <c r="CA171" s="163"/>
      <c r="CB171" s="163"/>
      <c r="CC171" s="163"/>
      <c r="CD171" s="163"/>
      <c r="CE171" s="163"/>
      <c r="CF171" s="163"/>
      <c r="CG171" s="163"/>
      <c r="CH171" s="163"/>
      <c r="CI171" s="163"/>
      <c r="CJ171" s="163"/>
      <c r="CK171" s="163"/>
      <c r="CL171" s="163"/>
      <c r="CM171" s="163"/>
      <c r="CN171" s="163"/>
      <c r="CO171" s="163"/>
      <c r="CP171" s="163"/>
      <c r="CQ171" s="163"/>
      <c r="CR171" s="163"/>
      <c r="CS171" s="163"/>
      <c r="CT171" s="163"/>
      <c r="CU171" s="163"/>
      <c r="CV171" s="163"/>
      <c r="CW171" s="163"/>
      <c r="CX171" s="163"/>
      <c r="CY171" s="163"/>
      <c r="CZ171" s="163"/>
      <c r="DA171" s="163"/>
      <c r="DB171" s="163"/>
      <c r="DC171" s="163"/>
      <c r="DD171" s="163"/>
      <c r="DE171" s="163"/>
      <c r="DF171" s="163"/>
      <c r="DG171" s="163"/>
      <c r="DH171" s="163"/>
      <c r="DI171" s="163"/>
      <c r="DJ171" s="163"/>
      <c r="DK171" s="163"/>
      <c r="DL171" s="163"/>
      <c r="DM171" s="163"/>
      <c r="DN171" s="163"/>
      <c r="DO171" s="163"/>
      <c r="DP171" s="163"/>
      <c r="DQ171" s="163"/>
      <c r="DR171" s="163"/>
      <c r="DS171" s="163"/>
      <c r="DT171" s="163"/>
      <c r="DU171" s="163"/>
      <c r="DV171" s="163"/>
      <c r="DW171" s="163"/>
      <c r="DX171" s="163"/>
      <c r="DY171" s="163"/>
      <c r="DZ171" s="163"/>
      <c r="EA171" s="163"/>
      <c r="EB171" s="163"/>
      <c r="EC171" s="163"/>
      <c r="ED171" s="163"/>
      <c r="EE171" s="163"/>
      <c r="EF171" s="163"/>
      <c r="EG171" s="163"/>
      <c r="EH171" s="163"/>
      <c r="EI171" s="163"/>
      <c r="EJ171" s="163"/>
      <c r="EK171" s="163"/>
      <c r="EL171" s="163"/>
      <c r="EM171" s="163"/>
      <c r="EN171" s="163"/>
      <c r="EO171" s="163"/>
      <c r="EP171" s="163"/>
      <c r="EQ171" s="163"/>
      <c r="ER171" s="163"/>
      <c r="ES171" s="163"/>
      <c r="ET171" s="163"/>
      <c r="EU171" s="163"/>
      <c r="EV171" s="163"/>
      <c r="EW171" s="163"/>
      <c r="EX171" s="163"/>
      <c r="EY171" s="163"/>
      <c r="EZ171" s="163"/>
      <c r="FA171" s="163"/>
      <c r="FB171" s="163"/>
      <c r="FC171" s="163"/>
      <c r="FD171" s="163"/>
      <c r="FE171" s="163"/>
      <c r="FF171" s="163"/>
      <c r="FG171" s="163"/>
      <c r="FH171" s="163"/>
      <c r="FI171" s="163"/>
      <c r="FJ171" s="163"/>
      <c r="FK171" s="163"/>
      <c r="FL171" s="163"/>
      <c r="FM171" s="163"/>
      <c r="FN171" s="163"/>
      <c r="FO171" s="163"/>
      <c r="FP171" s="163"/>
      <c r="FQ171" s="163"/>
      <c r="FR171" s="163"/>
      <c r="FS171" s="163"/>
      <c r="FT171" s="163"/>
      <c r="FU171" s="163"/>
      <c r="FV171" s="163"/>
      <c r="FW171" s="163"/>
      <c r="FX171" s="163"/>
      <c r="FY171" s="163"/>
      <c r="FZ171" s="163"/>
      <c r="GA171" s="163"/>
      <c r="GB171" s="163"/>
      <c r="GC171" s="163"/>
      <c r="GD171" s="163"/>
      <c r="GE171" s="163"/>
      <c r="GF171" s="163"/>
      <c r="GG171" s="163"/>
      <c r="GH171" s="163"/>
      <c r="GI171" s="163"/>
      <c r="GJ171" s="163"/>
      <c r="GK171" s="163"/>
      <c r="GL171" s="163"/>
      <c r="GM171" s="163"/>
      <c r="GN171" s="163"/>
      <c r="GO171" s="163"/>
      <c r="GP171" s="163"/>
      <c r="GQ171" s="163"/>
      <c r="GR171" s="163"/>
      <c r="GS171" s="163"/>
      <c r="GT171" s="163"/>
      <c r="GU171" s="163"/>
      <c r="GV171" s="163"/>
      <c r="GW171" s="163"/>
      <c r="GX171" s="163"/>
      <c r="GY171" s="163"/>
      <c r="GZ171" s="163"/>
      <c r="HA171" s="163"/>
      <c r="HB171" s="163"/>
      <c r="HC171" s="163"/>
      <c r="HD171" s="163"/>
      <c r="HE171" s="163"/>
      <c r="HF171" s="163"/>
      <c r="HG171" s="163"/>
      <c r="HH171" s="163"/>
      <c r="HI171" s="163"/>
      <c r="HJ171" s="163"/>
      <c r="HK171" s="163"/>
      <c r="HL171" s="163"/>
      <c r="HM171" s="163"/>
      <c r="HN171" s="163"/>
      <c r="HO171" s="163"/>
      <c r="HP171" s="163"/>
      <c r="HQ171" s="163"/>
      <c r="HR171" s="163"/>
      <c r="HS171" s="163"/>
      <c r="HT171" s="163"/>
      <c r="HU171" s="163"/>
      <c r="HV171" s="163"/>
      <c r="HW171" s="163"/>
      <c r="HX171" s="163"/>
      <c r="HY171" s="163"/>
      <c r="HZ171" s="163"/>
      <c r="IA171" s="163"/>
      <c r="IB171" s="163"/>
      <c r="IC171" s="163"/>
      <c r="ID171" s="163"/>
      <c r="IE171" s="163"/>
      <c r="IF171" s="163"/>
      <c r="IG171" s="163"/>
      <c r="IH171" s="163"/>
      <c r="II171" s="163"/>
      <c r="IJ171" s="163"/>
      <c r="IK171" s="163"/>
      <c r="IL171" s="163"/>
      <c r="IM171" s="163"/>
      <c r="IN171" s="163"/>
      <c r="IO171" s="163"/>
      <c r="IP171" s="163"/>
      <c r="IQ171" s="163"/>
      <c r="IR171" s="163"/>
      <c r="IS171" s="163"/>
      <c r="IT171" s="163"/>
      <c r="IU171" s="163"/>
      <c r="IV171" s="163"/>
      <c r="IW171" s="11"/>
    </row>
    <row r="172" customFormat="false" ht="13.5" hidden="true" customHeight="true" outlineLevel="0" collapsed="false">
      <c r="A172" s="108" t="n">
        <f aca="false">A170+1</f>
        <v>30</v>
      </c>
      <c r="B172" s="393"/>
      <c r="C172" s="159" t="n">
        <f aca="false">IF(ISERROR(VLOOKUP(D172,[31]일용직명단!$A$3:$I$105,2,FALSE())),0,VLOOKUP(D172,[31]일용직명단!$A$3:$I$105,2,FALSE()))</f>
        <v>0</v>
      </c>
      <c r="D172" s="203"/>
      <c r="E172" s="311" t="n">
        <f aca="false">IF(ISERROR(VLOOKUP(D172,[35]일용직명단!$A$3:$K$1182,3,FALSE())),0,VLOOKUP(D172,[35]일용직명단!$A$3:$K$1182,3,FALSE()))</f>
        <v>0</v>
      </c>
      <c r="F172" s="160" t="n">
        <f aca="false">IF(ISERROR(VLOOKUP(D172,[35]일용직명단!$A$3:$K$1185,4,FALSE())),0,VLOOKUP(D172,[35]일용직명단!$A$3:$K$1185,4,FALSE()))</f>
        <v>0</v>
      </c>
      <c r="G172" s="417"/>
      <c r="H172" s="417"/>
      <c r="I172" s="417"/>
      <c r="J172" s="419"/>
      <c r="K172" s="417"/>
      <c r="L172" s="419"/>
      <c r="M172" s="417"/>
      <c r="N172" s="417"/>
      <c r="O172" s="420"/>
      <c r="P172" s="420"/>
      <c r="Q172" s="417"/>
      <c r="R172" s="420"/>
      <c r="S172" s="419"/>
      <c r="T172" s="420"/>
      <c r="U172" s="419"/>
      <c r="V172" s="421"/>
      <c r="W172" s="168" t="n">
        <f aca="false">SUM(G172:V173)</f>
        <v>0</v>
      </c>
      <c r="X172" s="211" t="n">
        <f aca="false">IF(ISERROR(VLOOKUP(D172,[35]일용직명단!$A$3:$K$1185,8,FALSE())),0,VLOOKUP(D172,[35]일용직명단!$A$3:$K$1185,8,FALSE()))</f>
        <v>0</v>
      </c>
      <c r="Y172" s="156" t="n">
        <f aca="false">IFERROR(IF(AH172&gt;=65,0,ROUNDDOWN(X173*$AA$4,-1)),0)</f>
        <v>0</v>
      </c>
      <c r="Z172" s="156" t="n">
        <f aca="false">IF(AF172&gt;=8,ROUNDDOWN(X173*$N$4,-1),0)</f>
        <v>0</v>
      </c>
      <c r="AA172" s="156" t="n">
        <f aca="false">IFERROR(IF(AND(COUNT(G172:V173)&gt;=8,$AH172&lt;60,X173&lt;=5530000),ROUNDDOWN(ROUNDDOWN(X173,-3)*4.5%,-1),IF(AND(COUNT(G172:V173)&gt;=8,AH172&lt;60,X173&gt;5530000),248850,0)),0)</f>
        <v>0</v>
      </c>
      <c r="AB172" s="145" t="n">
        <f aca="false">+Y172+Z172+Y173+Z173+AA172+AA173</f>
        <v>0</v>
      </c>
      <c r="AC172" s="146" t="n">
        <f aca="false">X173-AB172</f>
        <v>0</v>
      </c>
      <c r="AD172" s="422" t="n">
        <f aca="false">IF(ISERROR(VLOOKUP(D172,[35]일용직명단!$A$3:$I$1165,5,FALSE())),0,VLOOKUP(D172,[35]일용직명단!$A$3:$I$1165,5,FALSE()))</f>
        <v>0</v>
      </c>
      <c r="AE172" s="423" t="n">
        <f aca="false">IF(ISERROR(VLOOKUP(D172,[35]일용직명단!$A$3:$I$1165,6,FALSE())),0,VLOOKUP(D172,[35]일용직명단!$A$3:$I$1165,6,FALSE()))</f>
        <v>0</v>
      </c>
      <c r="AF172" s="141" t="n">
        <f aca="false">COUNT(G172:V173)</f>
        <v>0</v>
      </c>
      <c r="AG172" s="129" t="str">
        <f aca="false">IF(OR(MID(E172,8,1)="1",MID(E172,8,1)="2"),19&amp;LEFT(E172,2),20&amp;LEFT(E172,2))&amp;"-"&amp;MID(E172,3,2)&amp;"-"&amp;MID(E172,5,2)</f>
        <v>200--</v>
      </c>
      <c r="AH172" s="129" t="e">
        <f aca="true">INT((TODAY()-AG172)/365.25)</f>
        <v>#VALUE!</v>
      </c>
      <c r="AI172" s="130" t="n">
        <f aca="false">ROUNDDOWN(SUM(AJ172:AY173),-1)</f>
        <v>0</v>
      </c>
      <c r="AJ172" s="130" t="n">
        <f aca="false">IF($X172*G172&gt;150000,($X172*G172-150000)*6%*45%,0)</f>
        <v>0</v>
      </c>
      <c r="AK172" s="130" t="n">
        <f aca="false">IF($X172*H172&gt;150000,($X172*H172-150000)*6%*45%,0)</f>
        <v>0</v>
      </c>
      <c r="AL172" s="130" t="n">
        <f aca="false">IF($X172*I172&gt;150000,($X172*I172-150000)*6%*45%,0)</f>
        <v>0</v>
      </c>
      <c r="AM172" s="130" t="n">
        <f aca="false">IF($X172*J172&gt;150000,($X172*J172-150000)*6%*45%,0)</f>
        <v>0</v>
      </c>
      <c r="AN172" s="130" t="n">
        <f aca="false">IF($X172*K172&gt;150000,($X172*K172-150000)*6%*45%,0)</f>
        <v>0</v>
      </c>
      <c r="AO172" s="130" t="n">
        <f aca="false">IF($X172*L172&gt;150000,($X172*L172-150000)*6%*45%,0)</f>
        <v>0</v>
      </c>
      <c r="AP172" s="130" t="n">
        <f aca="false">IF($X172*M172&gt;150000,($X172*M172-150000)*6%*45%,0)</f>
        <v>0</v>
      </c>
      <c r="AQ172" s="130" t="n">
        <f aca="false">IF($X172*N172&gt;150000,($X172*N172-150000)*6%*45%,0)</f>
        <v>0</v>
      </c>
      <c r="AR172" s="130" t="n">
        <f aca="false">IF($X172*O172&gt;150000,($X172*O172-150000)*6%*45%,0)</f>
        <v>0</v>
      </c>
      <c r="AS172" s="130" t="n">
        <f aca="false">IF($X172*P172&gt;150000,($X172*P172-150000)*6%*45%,0)</f>
        <v>0</v>
      </c>
      <c r="AT172" s="130" t="n">
        <f aca="false">IF($X172*Q172&gt;150000,($X172*Q172-150000)*6%*45%,0)</f>
        <v>0</v>
      </c>
      <c r="AU172" s="130" t="n">
        <f aca="false">IF($X172*R172&gt;150000,($X172*R172-150000)*6%*45%,0)</f>
        <v>0</v>
      </c>
      <c r="AV172" s="130" t="n">
        <f aca="false">IF($X172*S172&gt;150000,($X172*S172-150000)*6%*45%,0)</f>
        <v>0</v>
      </c>
      <c r="AW172" s="130" t="n">
        <f aca="false">IF($X172*T172&gt;150000,($X172*T172-150000)*6%*45%,0)</f>
        <v>0</v>
      </c>
      <c r="AX172" s="130" t="n">
        <f aca="false">IF($X172*U172&gt;150000,($X172*U172-150000)*6%*45%,0)</f>
        <v>0</v>
      </c>
      <c r="AY172" s="130"/>
      <c r="AZ172" s="131" t="n">
        <f aca="false">IF(ISERROR(VLOOKUP(D172,[32]일용직명단!$A$3:$M$1151,11,FALSE())),0,VLOOKUP(D172,[32]일용직명단!$A$3:$M$1151,11,FALSE()))</f>
        <v>0</v>
      </c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/>
      <c r="EB172" s="11"/>
      <c r="EC172" s="11"/>
      <c r="ED172" s="11"/>
      <c r="EE172" s="11"/>
      <c r="EF172" s="11"/>
      <c r="EG172" s="11"/>
      <c r="EH172" s="11"/>
      <c r="EI172" s="11"/>
      <c r="EJ172" s="11"/>
      <c r="EK172" s="11"/>
      <c r="EL172" s="11"/>
      <c r="EM172" s="11"/>
      <c r="EN172" s="11"/>
      <c r="EO172" s="11"/>
      <c r="EP172" s="11"/>
      <c r="EQ172" s="11"/>
      <c r="ER172" s="11"/>
      <c r="ES172" s="11"/>
      <c r="ET172" s="11"/>
      <c r="EU172" s="11"/>
      <c r="EV172" s="11"/>
      <c r="EW172" s="11"/>
      <c r="EX172" s="11"/>
      <c r="EY172" s="11"/>
      <c r="EZ172" s="11"/>
      <c r="FA172" s="11"/>
      <c r="FB172" s="11"/>
      <c r="FC172" s="11"/>
      <c r="FD172" s="11"/>
      <c r="FE172" s="11"/>
      <c r="FF172" s="11"/>
      <c r="FG172" s="11"/>
      <c r="FH172" s="11"/>
      <c r="FI172" s="11"/>
      <c r="FJ172" s="11"/>
      <c r="FK172" s="11"/>
      <c r="FL172" s="11"/>
      <c r="FM172" s="11"/>
      <c r="FN172" s="11"/>
      <c r="FO172" s="11"/>
      <c r="FP172" s="11"/>
      <c r="FQ172" s="11"/>
      <c r="FR172" s="11"/>
      <c r="FS172" s="11"/>
      <c r="FT172" s="11"/>
      <c r="FU172" s="11"/>
      <c r="FV172" s="11"/>
      <c r="FW172" s="11"/>
      <c r="FX172" s="11"/>
      <c r="FY172" s="11"/>
      <c r="FZ172" s="11"/>
      <c r="GA172" s="11"/>
      <c r="GB172" s="11"/>
      <c r="GC172" s="11"/>
      <c r="GD172" s="11"/>
      <c r="GE172" s="11"/>
      <c r="GF172" s="11"/>
      <c r="GG172" s="11"/>
      <c r="GH172" s="11"/>
      <c r="GI172" s="11"/>
      <c r="GJ172" s="11"/>
      <c r="GK172" s="11"/>
      <c r="GL172" s="11"/>
      <c r="GM172" s="11"/>
      <c r="GN172" s="11"/>
      <c r="GO172" s="11"/>
      <c r="GP172" s="11"/>
      <c r="GQ172" s="11"/>
      <c r="GR172" s="11"/>
      <c r="GS172" s="11"/>
      <c r="GT172" s="11"/>
      <c r="GU172" s="11"/>
      <c r="GV172" s="11"/>
      <c r="GW172" s="11"/>
      <c r="GX172" s="11"/>
      <c r="GY172" s="11"/>
      <c r="GZ172" s="11"/>
      <c r="HA172" s="11"/>
      <c r="HB172" s="11"/>
      <c r="HC172" s="11"/>
      <c r="HD172" s="11"/>
      <c r="HE172" s="11"/>
      <c r="HF172" s="11"/>
      <c r="HG172" s="11"/>
      <c r="HH172" s="11"/>
      <c r="HI172" s="11"/>
      <c r="HJ172" s="11"/>
      <c r="HK172" s="11"/>
      <c r="HL172" s="11"/>
      <c r="HM172" s="11"/>
      <c r="HN172" s="11"/>
      <c r="HO172" s="11"/>
      <c r="HP172" s="11"/>
      <c r="HQ172" s="11"/>
      <c r="HR172" s="11"/>
      <c r="HS172" s="11"/>
      <c r="HT172" s="11"/>
      <c r="HU172" s="11"/>
      <c r="HV172" s="11"/>
      <c r="HW172" s="11"/>
      <c r="HX172" s="11"/>
      <c r="HY172" s="11"/>
      <c r="HZ172" s="11"/>
      <c r="IA172" s="11"/>
      <c r="IB172" s="11"/>
      <c r="IC172" s="11"/>
      <c r="ID172" s="11"/>
      <c r="IE172" s="11"/>
      <c r="IF172" s="11"/>
      <c r="IG172" s="11"/>
      <c r="IH172" s="11"/>
      <c r="II172" s="11"/>
      <c r="IJ172" s="11"/>
      <c r="IK172" s="11"/>
      <c r="IL172" s="11"/>
      <c r="IM172" s="11"/>
      <c r="IN172" s="11"/>
      <c r="IO172" s="11"/>
      <c r="IP172" s="11"/>
      <c r="IQ172" s="11"/>
      <c r="IR172" s="11"/>
      <c r="IS172" s="11"/>
      <c r="IT172" s="11"/>
      <c r="IU172" s="11"/>
      <c r="IV172" s="11"/>
      <c r="IW172" s="11"/>
    </row>
    <row r="173" customFormat="false" ht="13.5" hidden="true" customHeight="true" outlineLevel="0" collapsed="false">
      <c r="A173" s="108"/>
      <c r="B173" s="393"/>
      <c r="C173" s="159"/>
      <c r="D173" s="203"/>
      <c r="E173" s="311"/>
      <c r="F173" s="160" t="n">
        <f aca="false">IF(ISERROR(VLOOKUP(D172,[35]일용직명단!$A$3:$K$1185,9,FALSE())),0,VLOOKUP(D172,[35]일용직명단!$A$3:$K$1185,9,FALSE()))</f>
        <v>0</v>
      </c>
      <c r="G173" s="417"/>
      <c r="H173" s="420"/>
      <c r="I173" s="419"/>
      <c r="J173" s="420"/>
      <c r="K173" s="419"/>
      <c r="L173" s="420"/>
      <c r="M173" s="420"/>
      <c r="N173" s="419"/>
      <c r="O173" s="420"/>
      <c r="P173" s="419"/>
      <c r="Q173" s="420"/>
      <c r="R173" s="420"/>
      <c r="S173" s="417"/>
      <c r="T173" s="417"/>
      <c r="U173" s="417"/>
      <c r="V173" s="417"/>
      <c r="W173" s="168"/>
      <c r="X173" s="138" t="n">
        <f aca="false">X172*W172</f>
        <v>0</v>
      </c>
      <c r="Y173" s="156" t="n">
        <f aca="false">IF(AI172&lt;1000,0,AI172)</f>
        <v>0</v>
      </c>
      <c r="Z173" s="156" t="n">
        <f aca="false">ROUNDDOWN(Y173*10%,-1)</f>
        <v>0</v>
      </c>
      <c r="AA173" s="156" t="n">
        <f aca="false">IF(AF172&gt;=8,ROUNDDOWN(Z172*$R$4,-1),0)</f>
        <v>0</v>
      </c>
      <c r="AB173" s="145"/>
      <c r="AC173" s="146"/>
      <c r="AD173" s="423" t="n">
        <f aca="false">IF(ISERROR(VLOOKUP(D172,[35]일용직명단!$A$3:$I$1165,7,FALSE())),0,VLOOKUP(D172,[35]일용직명단!$A$3:$I$1165,7,FALSE()))</f>
        <v>0</v>
      </c>
      <c r="AE173" s="423"/>
      <c r="AF173" s="141"/>
      <c r="AG173" s="129"/>
      <c r="AH173" s="129"/>
      <c r="AI173" s="130"/>
      <c r="AJ173" s="130" t="n">
        <f aca="false">IF($X172*G173&gt;150000,($X172*G173-150000)*6%*45%,0)</f>
        <v>0</v>
      </c>
      <c r="AK173" s="130" t="n">
        <f aca="false">IF($X172*H173&gt;150000,($X172*H173-150000)*6%*45%,0)</f>
        <v>0</v>
      </c>
      <c r="AL173" s="130" t="n">
        <f aca="false">IF($X172*I173&gt;150000,($X172*I173-150000)*6%*45%,0)</f>
        <v>0</v>
      </c>
      <c r="AM173" s="130" t="n">
        <f aca="false">IF($X172*J173&gt;150000,($X172*J173-150000)*6%*45%,0)</f>
        <v>0</v>
      </c>
      <c r="AN173" s="130" t="n">
        <f aca="false">IF($X172*K173&gt;150000,($X172*K173-150000)*6%*45%,0)</f>
        <v>0</v>
      </c>
      <c r="AO173" s="130" t="n">
        <f aca="false">IF($X172*L173&gt;150000,($X172*L173-150000)*6%*45%,0)</f>
        <v>0</v>
      </c>
      <c r="AP173" s="130" t="n">
        <f aca="false">IF($X172*M173&gt;150000,($X172*M173-150000)*6%*45%,0)</f>
        <v>0</v>
      </c>
      <c r="AQ173" s="130" t="n">
        <f aca="false">IF($X172*N173&gt;150000,($X172*N173-150000)*6%*45%,0)</f>
        <v>0</v>
      </c>
      <c r="AR173" s="130" t="n">
        <f aca="false">IF($X172*O173&gt;150000,($X172*O173-150000)*6%*45%,0)</f>
        <v>0</v>
      </c>
      <c r="AS173" s="130" t="n">
        <f aca="false">IF($X172*P173&gt;150000,($X172*P173-150000)*6%*45%,0)</f>
        <v>0</v>
      </c>
      <c r="AT173" s="130" t="n">
        <f aca="false">IF($X172*Q173&gt;150000,($X172*Q173-150000)*6%*45%,0)</f>
        <v>0</v>
      </c>
      <c r="AU173" s="130" t="n">
        <f aca="false">IF($X172*R173&gt;150000,($X172*R173-150000)*6%*45%,0)</f>
        <v>0</v>
      </c>
      <c r="AV173" s="130" t="n">
        <f aca="false">IF($X172*S173&gt;150000,($X172*S173-150000)*6%*45%,0)</f>
        <v>0</v>
      </c>
      <c r="AW173" s="130" t="n">
        <f aca="false">IF($X172*T173&gt;150000,($X172*T173-150000)*6%*45%,0)</f>
        <v>0</v>
      </c>
      <c r="AX173" s="130" t="n">
        <f aca="false">IF($X172*U173&gt;150000,($X172*U173-150000)*6%*45%,0)</f>
        <v>0</v>
      </c>
      <c r="AY173" s="130" t="n">
        <f aca="false">IF($X172*V173&gt;150000,($X172*V173-150000)*6%*45%,0)</f>
        <v>0</v>
      </c>
      <c r="AZ173" s="13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  <c r="DT173" s="11"/>
      <c r="DU173" s="11"/>
      <c r="DV173" s="11"/>
      <c r="DW173" s="11"/>
      <c r="DX173" s="11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1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1"/>
      <c r="FW173" s="11"/>
      <c r="FX173" s="11"/>
      <c r="FY173" s="11"/>
      <c r="FZ173" s="11"/>
      <c r="GA173" s="11"/>
      <c r="GB173" s="11"/>
      <c r="GC173" s="11"/>
      <c r="GD173" s="11"/>
      <c r="GE173" s="11"/>
      <c r="GF173" s="11"/>
      <c r="GG173" s="11"/>
      <c r="GH173" s="11"/>
      <c r="GI173" s="11"/>
      <c r="GJ173" s="11"/>
      <c r="GK173" s="11"/>
      <c r="GL173" s="11"/>
      <c r="GM173" s="11"/>
      <c r="GN173" s="11"/>
      <c r="GO173" s="11"/>
      <c r="GP173" s="11"/>
      <c r="GQ173" s="11"/>
      <c r="GR173" s="11"/>
      <c r="GS173" s="11"/>
      <c r="GT173" s="11"/>
      <c r="GU173" s="11"/>
      <c r="GV173" s="11"/>
      <c r="GW173" s="11"/>
      <c r="GX173" s="11"/>
      <c r="GY173" s="11"/>
      <c r="GZ173" s="11"/>
      <c r="HA173" s="11"/>
      <c r="HB173" s="11"/>
      <c r="HC173" s="11"/>
      <c r="HD173" s="11"/>
      <c r="HE173" s="11"/>
      <c r="HF173" s="11"/>
      <c r="HG173" s="11"/>
      <c r="HH173" s="11"/>
      <c r="HI173" s="11"/>
      <c r="HJ173" s="11"/>
      <c r="HK173" s="11"/>
      <c r="HL173" s="11"/>
      <c r="HM173" s="11"/>
      <c r="HN173" s="11"/>
      <c r="HO173" s="11"/>
      <c r="HP173" s="11"/>
      <c r="HQ173" s="11"/>
      <c r="HR173" s="11"/>
      <c r="HS173" s="11"/>
      <c r="HT173" s="11"/>
      <c r="HU173" s="11"/>
      <c r="HV173" s="11"/>
      <c r="HW173" s="11"/>
      <c r="HX173" s="11"/>
      <c r="HY173" s="11"/>
      <c r="HZ173" s="11"/>
      <c r="IA173" s="11"/>
      <c r="IB173" s="11"/>
      <c r="IC173" s="11"/>
      <c r="ID173" s="11"/>
      <c r="IE173" s="11"/>
      <c r="IF173" s="11"/>
      <c r="IG173" s="11"/>
      <c r="IH173" s="11"/>
      <c r="II173" s="11"/>
      <c r="IJ173" s="11"/>
      <c r="IK173" s="11"/>
      <c r="IL173" s="11"/>
      <c r="IM173" s="11"/>
      <c r="IN173" s="11"/>
      <c r="IO173" s="11"/>
      <c r="IP173" s="11"/>
      <c r="IQ173" s="11"/>
      <c r="IR173" s="11"/>
      <c r="IS173" s="11"/>
      <c r="IT173" s="11"/>
      <c r="IU173" s="11"/>
      <c r="IV173" s="11"/>
      <c r="IW173" s="11"/>
    </row>
    <row r="174" customFormat="false" ht="13.5" hidden="true" customHeight="true" outlineLevel="0" collapsed="false">
      <c r="A174" s="108" t="n">
        <f aca="false">A172+1</f>
        <v>31</v>
      </c>
      <c r="B174" s="404"/>
      <c r="C174" s="159" t="n">
        <f aca="false">IF(ISERROR(VLOOKUP(D174,[31]일용직명단!$A$3:$I$105,2,FALSE())),0,VLOOKUP(D174,[31]일용직명단!$A$3:$I$105,2,FALSE()))</f>
        <v>0</v>
      </c>
      <c r="D174" s="203"/>
      <c r="E174" s="311" t="n">
        <f aca="false">IF(ISERROR(VLOOKUP(D174,[35]일용직명단!$A$3:$K$1182,3,FALSE())),0,VLOOKUP(D174,[35]일용직명단!$A$3:$K$1182,3,FALSE()))</f>
        <v>0</v>
      </c>
      <c r="F174" s="160" t="n">
        <f aca="false">IF(ISERROR(VLOOKUP(D174,[35]일용직명단!$A$3:$K$1185,4,FALSE())),0,VLOOKUP(D174,[35]일용직명단!$A$3:$K$1185,4,FALSE()))</f>
        <v>0</v>
      </c>
      <c r="G174" s="417"/>
      <c r="H174" s="417"/>
      <c r="I174" s="417"/>
      <c r="J174" s="419"/>
      <c r="K174" s="417"/>
      <c r="L174" s="419"/>
      <c r="M174" s="417"/>
      <c r="N174" s="419"/>
      <c r="O174" s="420"/>
      <c r="P174" s="419"/>
      <c r="Q174" s="420"/>
      <c r="R174" s="420"/>
      <c r="S174" s="417"/>
      <c r="T174" s="417"/>
      <c r="U174" s="417"/>
      <c r="V174" s="421"/>
      <c r="W174" s="168" t="n">
        <f aca="false">SUM(G174:V175)</f>
        <v>0</v>
      </c>
      <c r="X174" s="211" t="n">
        <f aca="false">IF(ISERROR(VLOOKUP(D174,[35]일용직명단!$A$3:$K$1185,8,FALSE())),0,VLOOKUP(D174,[35]일용직명단!$A$3:$K$1185,8,FALSE()))</f>
        <v>0</v>
      </c>
      <c r="Y174" s="156" t="n">
        <f aca="false">IFERROR(IF(AH174&gt;=65,0,ROUNDDOWN(X175*$AA$4,-1)),0)</f>
        <v>0</v>
      </c>
      <c r="Z174" s="156" t="n">
        <f aca="false">IF(AF174&gt;=8,ROUNDDOWN(X175*$N$4,-1),0)</f>
        <v>0</v>
      </c>
      <c r="AA174" s="156" t="n">
        <f aca="false">IFERROR(IF(AND(COUNT(G174:V175)&gt;=8,$AH174&lt;60,X175&lt;=5530000),ROUNDDOWN(ROUNDDOWN(X175,-3)*4.5%,-1),IF(AND(COUNT(G174:V175)&gt;=8,AH174&lt;60,X175&gt;5530000),248850,0)),0)</f>
        <v>0</v>
      </c>
      <c r="AB174" s="145" t="n">
        <f aca="false">+Y174+Z174+Y175+Z175+AA174+AA175</f>
        <v>0</v>
      </c>
      <c r="AC174" s="146" t="n">
        <f aca="false">X175-AB174</f>
        <v>0</v>
      </c>
      <c r="AD174" s="422" t="n">
        <f aca="false">IF(ISERROR(VLOOKUP(D174,[35]일용직명단!$A$3:$I$1165,5,FALSE())),0,VLOOKUP(D174,[35]일용직명단!$A$3:$I$1165,5,FALSE()))</f>
        <v>0</v>
      </c>
      <c r="AE174" s="423" t="n">
        <f aca="false">IF(ISERROR(VLOOKUP(D174,[35]일용직명단!$A$3:$I$1165,6,FALSE())),0,VLOOKUP(D174,[35]일용직명단!$A$3:$I$1165,6,FALSE()))</f>
        <v>0</v>
      </c>
      <c r="AF174" s="141" t="n">
        <f aca="false">COUNT(G174:V175)</f>
        <v>0</v>
      </c>
      <c r="AG174" s="129" t="str">
        <f aca="false">IF(OR(MID(E174,8,1)="1",MID(E174,8,1)="2"),19&amp;LEFT(E174,2),20&amp;LEFT(E174,2))&amp;"-"&amp;MID(E174,3,2)&amp;"-"&amp;MID(E174,5,2)</f>
        <v>200--</v>
      </c>
      <c r="AH174" s="129" t="e">
        <f aca="true">INT((TODAY()-AG174)/365.25)</f>
        <v>#VALUE!</v>
      </c>
      <c r="AI174" s="130" t="n">
        <f aca="false">ROUNDDOWN(SUM(AJ174:AY175),-1)</f>
        <v>0</v>
      </c>
      <c r="AJ174" s="130" t="n">
        <f aca="false">IF($X174*G174&gt;150000,($X174*G174-150000)*6%*45%,0)</f>
        <v>0</v>
      </c>
      <c r="AK174" s="130" t="n">
        <f aca="false">IF($X174*H174&gt;150000,($X174*H174-150000)*6%*45%,0)</f>
        <v>0</v>
      </c>
      <c r="AL174" s="130" t="n">
        <f aca="false">IF($X174*I174&gt;150000,($X174*I174-150000)*6%*45%,0)</f>
        <v>0</v>
      </c>
      <c r="AM174" s="130" t="n">
        <f aca="false">IF($X174*J174&gt;150000,($X174*J174-150000)*6%*45%,0)</f>
        <v>0</v>
      </c>
      <c r="AN174" s="130" t="n">
        <f aca="false">IF($X174*K174&gt;150000,($X174*K174-150000)*6%*45%,0)</f>
        <v>0</v>
      </c>
      <c r="AO174" s="130" t="n">
        <f aca="false">IF($X174*L174&gt;150000,($X174*L174-150000)*6%*45%,0)</f>
        <v>0</v>
      </c>
      <c r="AP174" s="130" t="n">
        <f aca="false">IF($X174*M174&gt;150000,($X174*M174-150000)*6%*45%,0)</f>
        <v>0</v>
      </c>
      <c r="AQ174" s="130" t="n">
        <f aca="false">IF($X174*N174&gt;150000,($X174*N174-150000)*6%*45%,0)</f>
        <v>0</v>
      </c>
      <c r="AR174" s="130" t="n">
        <f aca="false">IF($X174*O174&gt;150000,($X174*O174-150000)*6%*45%,0)</f>
        <v>0</v>
      </c>
      <c r="AS174" s="130" t="n">
        <f aca="false">IF($X174*P174&gt;150000,($X174*P174-150000)*6%*45%,0)</f>
        <v>0</v>
      </c>
      <c r="AT174" s="130" t="n">
        <f aca="false">IF($X174*Q174&gt;150000,($X174*Q174-150000)*6%*45%,0)</f>
        <v>0</v>
      </c>
      <c r="AU174" s="130" t="n">
        <f aca="false">IF($X174*R174&gt;150000,($X174*R174-150000)*6%*45%,0)</f>
        <v>0</v>
      </c>
      <c r="AV174" s="130" t="n">
        <f aca="false">IF($X174*S174&gt;150000,($X174*S174-150000)*6%*45%,0)</f>
        <v>0</v>
      </c>
      <c r="AW174" s="130" t="n">
        <f aca="false">IF($X174*T174&gt;150000,($X174*T174-150000)*6%*45%,0)</f>
        <v>0</v>
      </c>
      <c r="AX174" s="130" t="n">
        <f aca="false">IF($X174*U174&gt;150000,($X174*U174-150000)*6%*45%,0)</f>
        <v>0</v>
      </c>
      <c r="AY174" s="130"/>
      <c r="AZ174" s="131" t="n">
        <f aca="false">IF(ISERROR(VLOOKUP(D174,[32]일용직명단!$A$3:$M$1151,11,FALSE())),0,VLOOKUP(D174,[32]일용직명단!$A$3:$M$1151,11,FALSE()))</f>
        <v>0</v>
      </c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  <c r="DT174" s="11"/>
      <c r="DU174" s="11"/>
      <c r="DV174" s="11"/>
      <c r="DW174" s="11"/>
      <c r="DX174" s="11"/>
      <c r="DY174" s="11"/>
      <c r="DZ174" s="11"/>
      <c r="EA174" s="11"/>
      <c r="EB174" s="11"/>
      <c r="EC174" s="11"/>
      <c r="ED174" s="11"/>
      <c r="EE174" s="11"/>
      <c r="EF174" s="11"/>
      <c r="EG174" s="11"/>
      <c r="EH174" s="11"/>
      <c r="EI174" s="11"/>
      <c r="EJ174" s="11"/>
      <c r="EK174" s="11"/>
      <c r="EL174" s="11"/>
      <c r="EM174" s="11"/>
      <c r="EN174" s="11"/>
      <c r="EO174" s="11"/>
      <c r="EP174" s="11"/>
      <c r="EQ174" s="11"/>
      <c r="ER174" s="11"/>
      <c r="ES174" s="11"/>
      <c r="ET174" s="11"/>
      <c r="EU174" s="11"/>
      <c r="EV174" s="11"/>
      <c r="EW174" s="11"/>
      <c r="EX174" s="11"/>
      <c r="EY174" s="11"/>
      <c r="EZ174" s="11"/>
      <c r="FA174" s="11"/>
      <c r="FB174" s="11"/>
      <c r="FC174" s="11"/>
      <c r="FD174" s="11"/>
      <c r="FE174" s="11"/>
      <c r="FF174" s="11"/>
      <c r="FG174" s="11"/>
      <c r="FH174" s="11"/>
      <c r="FI174" s="11"/>
      <c r="FJ174" s="11"/>
      <c r="FK174" s="11"/>
      <c r="FL174" s="11"/>
      <c r="FM174" s="11"/>
      <c r="FN174" s="11"/>
      <c r="FO174" s="11"/>
      <c r="FP174" s="11"/>
      <c r="FQ174" s="11"/>
      <c r="FR174" s="11"/>
      <c r="FS174" s="11"/>
      <c r="FT174" s="11"/>
      <c r="FU174" s="11"/>
      <c r="FV174" s="11"/>
      <c r="FW174" s="11"/>
      <c r="FX174" s="11"/>
      <c r="FY174" s="11"/>
      <c r="FZ174" s="11"/>
      <c r="GA174" s="11"/>
      <c r="GB174" s="11"/>
      <c r="GC174" s="11"/>
      <c r="GD174" s="11"/>
      <c r="GE174" s="11"/>
      <c r="GF174" s="11"/>
      <c r="GG174" s="11"/>
      <c r="GH174" s="11"/>
      <c r="GI174" s="11"/>
      <c r="GJ174" s="11"/>
      <c r="GK174" s="11"/>
      <c r="GL174" s="11"/>
      <c r="GM174" s="11"/>
      <c r="GN174" s="11"/>
      <c r="GO174" s="11"/>
      <c r="GP174" s="11"/>
      <c r="GQ174" s="11"/>
      <c r="GR174" s="11"/>
      <c r="GS174" s="11"/>
      <c r="GT174" s="11"/>
      <c r="GU174" s="11"/>
      <c r="GV174" s="11"/>
      <c r="GW174" s="11"/>
      <c r="GX174" s="11"/>
      <c r="GY174" s="11"/>
      <c r="GZ174" s="11"/>
      <c r="HA174" s="11"/>
      <c r="HB174" s="11"/>
      <c r="HC174" s="11"/>
      <c r="HD174" s="11"/>
      <c r="HE174" s="11"/>
      <c r="HF174" s="11"/>
      <c r="HG174" s="11"/>
      <c r="HH174" s="11"/>
      <c r="HI174" s="11"/>
      <c r="HJ174" s="11"/>
      <c r="HK174" s="11"/>
      <c r="HL174" s="11"/>
      <c r="HM174" s="11"/>
      <c r="HN174" s="11"/>
      <c r="HO174" s="11"/>
      <c r="HP174" s="11"/>
      <c r="HQ174" s="11"/>
      <c r="HR174" s="11"/>
      <c r="HS174" s="11"/>
      <c r="HT174" s="11"/>
      <c r="HU174" s="11"/>
      <c r="HV174" s="11"/>
      <c r="HW174" s="11"/>
      <c r="HX174" s="11"/>
      <c r="HY174" s="11"/>
      <c r="HZ174" s="11"/>
      <c r="IA174" s="11"/>
      <c r="IB174" s="11"/>
      <c r="IC174" s="11"/>
      <c r="ID174" s="11"/>
      <c r="IE174" s="11"/>
      <c r="IF174" s="11"/>
      <c r="IG174" s="11"/>
      <c r="IH174" s="11"/>
      <c r="II174" s="11"/>
      <c r="IJ174" s="11"/>
      <c r="IK174" s="11"/>
      <c r="IL174" s="11"/>
      <c r="IM174" s="11"/>
      <c r="IN174" s="11"/>
      <c r="IO174" s="11"/>
      <c r="IP174" s="11"/>
      <c r="IQ174" s="11"/>
      <c r="IR174" s="11"/>
      <c r="IS174" s="11"/>
      <c r="IT174" s="11"/>
      <c r="IU174" s="11"/>
      <c r="IV174" s="11"/>
      <c r="IW174" s="11"/>
    </row>
    <row r="175" customFormat="false" ht="13.5" hidden="true" customHeight="true" outlineLevel="0" collapsed="false">
      <c r="A175" s="108"/>
      <c r="B175" s="404"/>
      <c r="C175" s="159"/>
      <c r="D175" s="203"/>
      <c r="E175" s="311"/>
      <c r="F175" s="160" t="n">
        <f aca="false">IF(ISERROR(VLOOKUP(D174,[35]일용직명단!$A$3:$K$1185,9,FALSE())),0,VLOOKUP(D174,[35]일용직명단!$A$3:$K$1185,9,FALSE()))</f>
        <v>0</v>
      </c>
      <c r="G175" s="417"/>
      <c r="H175" s="420"/>
      <c r="I175" s="419"/>
      <c r="J175" s="420"/>
      <c r="K175" s="419"/>
      <c r="L175" s="420"/>
      <c r="M175" s="420"/>
      <c r="N175" s="417"/>
      <c r="O175" s="420"/>
      <c r="P175" s="420"/>
      <c r="Q175" s="417"/>
      <c r="R175" s="420"/>
      <c r="S175" s="419"/>
      <c r="T175" s="420"/>
      <c r="U175" s="419"/>
      <c r="V175" s="417"/>
      <c r="W175" s="168"/>
      <c r="X175" s="138" t="n">
        <f aca="false">X174*W174</f>
        <v>0</v>
      </c>
      <c r="Y175" s="156" t="n">
        <f aca="false">IF(AI174&lt;1000,0,AI174)</f>
        <v>0</v>
      </c>
      <c r="Z175" s="156" t="n">
        <f aca="false">ROUNDDOWN(Y175*10%,-1)</f>
        <v>0</v>
      </c>
      <c r="AA175" s="156" t="n">
        <f aca="false">IF(AF174&gt;=8,ROUNDDOWN(Z174*$R$4,-1),0)</f>
        <v>0</v>
      </c>
      <c r="AB175" s="145"/>
      <c r="AC175" s="146"/>
      <c r="AD175" s="423" t="n">
        <f aca="false">IF(ISERROR(VLOOKUP(D174,[35]일용직명단!$A$3:$I$1165,7,FALSE())),0,VLOOKUP(D174,[35]일용직명단!$A$3:$I$1165,7,FALSE()))</f>
        <v>0</v>
      </c>
      <c r="AE175" s="423"/>
      <c r="AF175" s="141"/>
      <c r="AG175" s="129"/>
      <c r="AH175" s="129"/>
      <c r="AI175" s="130"/>
      <c r="AJ175" s="130" t="n">
        <f aca="false">IF($X174*G175&gt;150000,($X174*G175-150000)*6%*45%,0)</f>
        <v>0</v>
      </c>
      <c r="AK175" s="130" t="n">
        <f aca="false">IF($X174*H175&gt;150000,($X174*H175-150000)*6%*45%,0)</f>
        <v>0</v>
      </c>
      <c r="AL175" s="130" t="n">
        <f aca="false">IF($X174*I175&gt;150000,($X174*I175-150000)*6%*45%,0)</f>
        <v>0</v>
      </c>
      <c r="AM175" s="130" t="n">
        <f aca="false">IF($X174*J175&gt;150000,($X174*J175-150000)*6%*45%,0)</f>
        <v>0</v>
      </c>
      <c r="AN175" s="130" t="n">
        <f aca="false">IF($X174*K175&gt;150000,($X174*K175-150000)*6%*45%,0)</f>
        <v>0</v>
      </c>
      <c r="AO175" s="130" t="n">
        <f aca="false">IF($X174*L175&gt;150000,($X174*L175-150000)*6%*45%,0)</f>
        <v>0</v>
      </c>
      <c r="AP175" s="130" t="n">
        <f aca="false">IF($X174*M175&gt;150000,($X174*M175-150000)*6%*45%,0)</f>
        <v>0</v>
      </c>
      <c r="AQ175" s="130" t="n">
        <f aca="false">IF($X174*N175&gt;150000,($X174*N175-150000)*6%*45%,0)</f>
        <v>0</v>
      </c>
      <c r="AR175" s="130" t="n">
        <f aca="false">IF($X174*O175&gt;150000,($X174*O175-150000)*6%*45%,0)</f>
        <v>0</v>
      </c>
      <c r="AS175" s="130" t="n">
        <f aca="false">IF($X174*P175&gt;150000,($X174*P175-150000)*6%*45%,0)</f>
        <v>0</v>
      </c>
      <c r="AT175" s="130" t="n">
        <f aca="false">IF($X174*Q175&gt;150000,($X174*Q175-150000)*6%*45%,0)</f>
        <v>0</v>
      </c>
      <c r="AU175" s="130" t="n">
        <f aca="false">IF($X174*R175&gt;150000,($X174*R175-150000)*6%*45%,0)</f>
        <v>0</v>
      </c>
      <c r="AV175" s="130" t="n">
        <f aca="false">IF($X174*S175&gt;150000,($X174*S175-150000)*6%*45%,0)</f>
        <v>0</v>
      </c>
      <c r="AW175" s="130" t="n">
        <f aca="false">IF($X174*T175&gt;150000,($X174*T175-150000)*6%*45%,0)</f>
        <v>0</v>
      </c>
      <c r="AX175" s="130" t="n">
        <f aca="false">IF($X174*U175&gt;150000,($X174*U175-150000)*6%*45%,0)</f>
        <v>0</v>
      </c>
      <c r="AY175" s="130" t="n">
        <f aca="false">IF($X174*V175&gt;150000,($X174*V175-150000)*6%*45%,0)</f>
        <v>0</v>
      </c>
      <c r="AZ175" s="13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  <c r="DT175" s="11"/>
      <c r="DU175" s="11"/>
      <c r="DV175" s="11"/>
      <c r="DW175" s="11"/>
      <c r="DX175" s="11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1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1"/>
      <c r="FW175" s="11"/>
      <c r="FX175" s="11"/>
      <c r="FY175" s="11"/>
      <c r="FZ175" s="11"/>
      <c r="GA175" s="11"/>
      <c r="GB175" s="11"/>
      <c r="GC175" s="11"/>
      <c r="GD175" s="11"/>
      <c r="GE175" s="11"/>
      <c r="GF175" s="11"/>
      <c r="GG175" s="11"/>
      <c r="GH175" s="11"/>
      <c r="GI175" s="11"/>
      <c r="GJ175" s="11"/>
      <c r="GK175" s="11"/>
      <c r="GL175" s="11"/>
      <c r="GM175" s="11"/>
      <c r="GN175" s="11"/>
      <c r="GO175" s="11"/>
      <c r="GP175" s="11"/>
      <c r="GQ175" s="11"/>
      <c r="GR175" s="11"/>
      <c r="GS175" s="11"/>
      <c r="GT175" s="11"/>
      <c r="GU175" s="11"/>
      <c r="GV175" s="11"/>
      <c r="GW175" s="11"/>
      <c r="GX175" s="11"/>
      <c r="GY175" s="11"/>
      <c r="GZ175" s="11"/>
      <c r="HA175" s="11"/>
      <c r="HB175" s="11"/>
      <c r="HC175" s="11"/>
      <c r="HD175" s="11"/>
      <c r="HE175" s="11"/>
      <c r="HF175" s="11"/>
      <c r="HG175" s="11"/>
      <c r="HH175" s="11"/>
      <c r="HI175" s="11"/>
      <c r="HJ175" s="11"/>
      <c r="HK175" s="11"/>
      <c r="HL175" s="11"/>
      <c r="HM175" s="11"/>
      <c r="HN175" s="11"/>
      <c r="HO175" s="11"/>
      <c r="HP175" s="11"/>
      <c r="HQ175" s="11"/>
      <c r="HR175" s="11"/>
      <c r="HS175" s="11"/>
      <c r="HT175" s="11"/>
      <c r="HU175" s="11"/>
      <c r="HV175" s="11"/>
      <c r="HW175" s="11"/>
      <c r="HX175" s="11"/>
      <c r="HY175" s="11"/>
      <c r="HZ175" s="11"/>
      <c r="IA175" s="11"/>
      <c r="IB175" s="11"/>
      <c r="IC175" s="11"/>
      <c r="ID175" s="11"/>
      <c r="IE175" s="11"/>
      <c r="IF175" s="11"/>
      <c r="IG175" s="11"/>
      <c r="IH175" s="11"/>
      <c r="II175" s="11"/>
      <c r="IJ175" s="11"/>
      <c r="IK175" s="11"/>
      <c r="IL175" s="11"/>
      <c r="IM175" s="11"/>
      <c r="IN175" s="11"/>
      <c r="IO175" s="11"/>
      <c r="IP175" s="11"/>
      <c r="IQ175" s="11"/>
      <c r="IR175" s="11"/>
      <c r="IS175" s="11"/>
      <c r="IT175" s="11"/>
      <c r="IU175" s="11"/>
      <c r="IV175" s="11"/>
      <c r="IW175" s="11"/>
    </row>
    <row r="176" customFormat="false" ht="13.5" hidden="true" customHeight="true" outlineLevel="0" collapsed="false">
      <c r="A176" s="108" t="n">
        <f aca="false">A174+1</f>
        <v>32</v>
      </c>
      <c r="B176" s="404"/>
      <c r="C176" s="159" t="n">
        <f aca="false">IF(ISERROR(VLOOKUP(D176,[31]일용직명단!$A$3:$I$105,2,FALSE())),0,VLOOKUP(D176,[31]일용직명단!$A$3:$I$105,2,FALSE()))</f>
        <v>0</v>
      </c>
      <c r="D176" s="203"/>
      <c r="E176" s="311" t="n">
        <f aca="false">IF(ISERROR(VLOOKUP(D176,[35]일용직명단!$A$3:$K$1182,3,FALSE())),0,VLOOKUP(D176,[35]일용직명단!$A$3:$K$1182,3,FALSE()))</f>
        <v>0</v>
      </c>
      <c r="F176" s="160" t="n">
        <f aca="false">IF(ISERROR(VLOOKUP(D176,[35]일용직명단!$A$3:$K$1185,4,FALSE())),0,VLOOKUP(D176,[35]일용직명단!$A$3:$K$1185,4,FALSE()))</f>
        <v>0</v>
      </c>
      <c r="G176" s="417"/>
      <c r="H176" s="417"/>
      <c r="I176" s="417"/>
      <c r="J176" s="419"/>
      <c r="K176" s="417"/>
      <c r="L176" s="419"/>
      <c r="M176" s="417"/>
      <c r="N176" s="417"/>
      <c r="O176" s="420"/>
      <c r="P176" s="420"/>
      <c r="Q176" s="417"/>
      <c r="R176" s="420"/>
      <c r="S176" s="419"/>
      <c r="T176" s="420"/>
      <c r="U176" s="419"/>
      <c r="V176" s="421"/>
      <c r="W176" s="144" t="n">
        <f aca="false">SUM(G176:V177)</f>
        <v>0</v>
      </c>
      <c r="X176" s="211" t="n">
        <f aca="false">IF(ISERROR(VLOOKUP(D176,[35]일용직명단!$A$3:$K$1185,8,FALSE())),0,VLOOKUP(D176,[35]일용직명단!$A$3:$K$1185,8,FALSE()))</f>
        <v>0</v>
      </c>
      <c r="Y176" s="156" t="n">
        <f aca="false">IFERROR(IF(AH176&gt;=65,0,ROUNDDOWN(X177*$AA$4,-1)),0)</f>
        <v>0</v>
      </c>
      <c r="Z176" s="156" t="n">
        <f aca="false">IF(AF176&gt;=8,ROUNDDOWN(X177*$N$4,-1),0)</f>
        <v>0</v>
      </c>
      <c r="AA176" s="156" t="n">
        <f aca="false">IFERROR(IF(AND(COUNT(G176:V177)&gt;=8,$AH176&lt;60,X177&lt;=5530000),ROUNDDOWN(ROUNDDOWN(X177,-3)*4.5%,-1),IF(AND(COUNT(G176:V177)&gt;=8,AH176&lt;60,X177&gt;5530000),248850,0)),0)</f>
        <v>0</v>
      </c>
      <c r="AB176" s="145" t="n">
        <f aca="false">+Y176+Z176+Y177+Z177+AA176+AA177</f>
        <v>0</v>
      </c>
      <c r="AC176" s="146" t="n">
        <f aca="false">X177-AB176</f>
        <v>0</v>
      </c>
      <c r="AD176" s="422" t="n">
        <f aca="false">IF(ISERROR(VLOOKUP(D176,[35]일용직명단!$A$3:$I$1165,5,FALSE())),0,VLOOKUP(D176,[35]일용직명단!$A$3:$I$1165,5,FALSE()))</f>
        <v>0</v>
      </c>
      <c r="AE176" s="423" t="n">
        <f aca="false">IF(ISERROR(VLOOKUP(D176,[35]일용직명단!$A$3:$I$1165,6,FALSE())),0,VLOOKUP(D176,[35]일용직명단!$A$3:$I$1165,6,FALSE()))</f>
        <v>0</v>
      </c>
      <c r="AF176" s="141" t="n">
        <f aca="false">COUNT(G176:V177)</f>
        <v>0</v>
      </c>
      <c r="AG176" s="129" t="str">
        <f aca="false">IF(OR(MID(E176,8,1)="1",MID(E176,8,1)="2"),19&amp;LEFT(E176,2),20&amp;LEFT(E176,2))&amp;"-"&amp;MID(E176,3,2)&amp;"-"&amp;MID(E176,5,2)</f>
        <v>200--</v>
      </c>
      <c r="AH176" s="129" t="e">
        <f aca="true">INT((TODAY()-AG176)/365.25)</f>
        <v>#VALUE!</v>
      </c>
      <c r="AI176" s="130" t="n">
        <f aca="false">ROUNDDOWN(SUM(AJ176:AY177),-1)</f>
        <v>0</v>
      </c>
      <c r="AJ176" s="130" t="n">
        <f aca="false">IF($X176*G176&gt;150000,($X176*G176-150000)*6%*45%,0)</f>
        <v>0</v>
      </c>
      <c r="AK176" s="130" t="n">
        <f aca="false">IF($X176*H176&gt;150000,($X176*H176-150000)*6%*45%,0)</f>
        <v>0</v>
      </c>
      <c r="AL176" s="130" t="n">
        <f aca="false">IF($X176*I176&gt;150000,($X176*I176-150000)*6%*45%,0)</f>
        <v>0</v>
      </c>
      <c r="AM176" s="130" t="n">
        <f aca="false">IF($X176*J176&gt;150000,($X176*J176-150000)*6%*45%,0)</f>
        <v>0</v>
      </c>
      <c r="AN176" s="130" t="n">
        <f aca="false">IF($X176*K176&gt;150000,($X176*K176-150000)*6%*45%,0)</f>
        <v>0</v>
      </c>
      <c r="AO176" s="130" t="n">
        <f aca="false">IF($X176*L176&gt;150000,($X176*L176-150000)*6%*45%,0)</f>
        <v>0</v>
      </c>
      <c r="AP176" s="130" t="n">
        <f aca="false">IF($X176*M176&gt;150000,($X176*M176-150000)*6%*45%,0)</f>
        <v>0</v>
      </c>
      <c r="AQ176" s="130" t="n">
        <f aca="false">IF($X176*N176&gt;150000,($X176*N176-150000)*6%*45%,0)</f>
        <v>0</v>
      </c>
      <c r="AR176" s="130" t="n">
        <f aca="false">IF($X176*O176&gt;150000,($X176*O176-150000)*6%*45%,0)</f>
        <v>0</v>
      </c>
      <c r="AS176" s="130" t="n">
        <f aca="false">IF($X176*P176&gt;150000,($X176*P176-150000)*6%*45%,0)</f>
        <v>0</v>
      </c>
      <c r="AT176" s="130" t="n">
        <f aca="false">IF($X176*Q176&gt;150000,($X176*Q176-150000)*6%*45%,0)</f>
        <v>0</v>
      </c>
      <c r="AU176" s="130" t="n">
        <f aca="false">IF($X176*R176&gt;150000,($X176*R176-150000)*6%*45%,0)</f>
        <v>0</v>
      </c>
      <c r="AV176" s="130" t="n">
        <f aca="false">IF($X176*S176&gt;150000,($X176*S176-150000)*6%*45%,0)</f>
        <v>0</v>
      </c>
      <c r="AW176" s="130" t="n">
        <f aca="false">IF($X176*T176&gt;150000,($X176*T176-150000)*6%*45%,0)</f>
        <v>0</v>
      </c>
      <c r="AX176" s="130" t="n">
        <f aca="false">IF($X176*U176&gt;150000,($X176*U176-150000)*6%*45%,0)</f>
        <v>0</v>
      </c>
      <c r="AY176" s="130"/>
      <c r="AZ176" s="131" t="n">
        <f aca="false">IF(ISERROR(VLOOKUP(D176,[32]일용직명단!$A$3:$M$1151,11,FALSE())),0,VLOOKUP(D176,[32]일용직명단!$A$3:$M$1151,11,FALSE()))</f>
        <v>0</v>
      </c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11"/>
      <c r="FP176" s="11"/>
      <c r="FQ176" s="11"/>
      <c r="FR176" s="11"/>
      <c r="FS176" s="11"/>
      <c r="FT176" s="11"/>
      <c r="FU176" s="11"/>
      <c r="FV176" s="11"/>
      <c r="FW176" s="11"/>
      <c r="FX176" s="11"/>
      <c r="FY176" s="11"/>
      <c r="FZ176" s="11"/>
      <c r="GA176" s="11"/>
      <c r="GB176" s="11"/>
      <c r="GC176" s="11"/>
      <c r="GD176" s="11"/>
      <c r="GE176" s="11"/>
      <c r="GF176" s="11"/>
      <c r="GG176" s="11"/>
      <c r="GH176" s="11"/>
      <c r="GI176" s="11"/>
      <c r="GJ176" s="11"/>
      <c r="GK176" s="11"/>
      <c r="GL176" s="11"/>
      <c r="GM176" s="11"/>
      <c r="GN176" s="11"/>
      <c r="GO176" s="11"/>
      <c r="GP176" s="11"/>
      <c r="GQ176" s="11"/>
      <c r="GR176" s="11"/>
      <c r="GS176" s="11"/>
      <c r="GT176" s="11"/>
      <c r="GU176" s="11"/>
      <c r="GV176" s="11"/>
      <c r="GW176" s="11"/>
      <c r="GX176" s="11"/>
      <c r="GY176" s="11"/>
      <c r="GZ176" s="11"/>
      <c r="HA176" s="11"/>
      <c r="HB176" s="11"/>
      <c r="HC176" s="11"/>
      <c r="HD176" s="11"/>
      <c r="HE176" s="11"/>
      <c r="HF176" s="11"/>
      <c r="HG176" s="11"/>
      <c r="HH176" s="11"/>
      <c r="HI176" s="11"/>
      <c r="HJ176" s="11"/>
      <c r="HK176" s="11"/>
      <c r="HL176" s="11"/>
      <c r="HM176" s="11"/>
      <c r="HN176" s="11"/>
      <c r="HO176" s="11"/>
      <c r="HP176" s="11"/>
      <c r="HQ176" s="11"/>
      <c r="HR176" s="11"/>
      <c r="HS176" s="11"/>
      <c r="HT176" s="11"/>
      <c r="HU176" s="11"/>
      <c r="HV176" s="11"/>
      <c r="HW176" s="11"/>
      <c r="HX176" s="11"/>
      <c r="HY176" s="11"/>
      <c r="HZ176" s="11"/>
      <c r="IA176" s="11"/>
      <c r="IB176" s="11"/>
      <c r="IC176" s="11"/>
      <c r="ID176" s="11"/>
      <c r="IE176" s="11"/>
      <c r="IF176" s="11"/>
      <c r="IG176" s="11"/>
      <c r="IH176" s="11"/>
      <c r="II176" s="11"/>
      <c r="IJ176" s="11"/>
      <c r="IK176" s="11"/>
      <c r="IL176" s="11"/>
      <c r="IM176" s="11"/>
      <c r="IN176" s="11"/>
      <c r="IO176" s="11"/>
      <c r="IP176" s="11"/>
      <c r="IQ176" s="11"/>
      <c r="IR176" s="11"/>
      <c r="IS176" s="11"/>
      <c r="IT176" s="11"/>
      <c r="IU176" s="11"/>
      <c r="IV176" s="11"/>
      <c r="IW176" s="11"/>
    </row>
    <row r="177" customFormat="false" ht="13.5" hidden="true" customHeight="true" outlineLevel="0" collapsed="false">
      <c r="A177" s="108"/>
      <c r="B177" s="404"/>
      <c r="C177" s="159"/>
      <c r="D177" s="203"/>
      <c r="E177" s="311"/>
      <c r="F177" s="160" t="n">
        <f aca="false">IF(ISERROR(VLOOKUP(D176,[35]일용직명단!$A$3:$K$1185,9,FALSE())),0,VLOOKUP(D176,[35]일용직명단!$A$3:$K$1185,9,FALSE()))</f>
        <v>0</v>
      </c>
      <c r="G177" s="417"/>
      <c r="H177" s="420"/>
      <c r="I177" s="419"/>
      <c r="J177" s="420"/>
      <c r="K177" s="419"/>
      <c r="L177" s="420"/>
      <c r="M177" s="420"/>
      <c r="N177" s="419"/>
      <c r="O177" s="420"/>
      <c r="P177" s="419"/>
      <c r="Q177" s="420"/>
      <c r="R177" s="420"/>
      <c r="S177" s="417"/>
      <c r="T177" s="417"/>
      <c r="U177" s="417"/>
      <c r="V177" s="417"/>
      <c r="W177" s="144"/>
      <c r="X177" s="138" t="n">
        <f aca="false">X176*W176</f>
        <v>0</v>
      </c>
      <c r="Y177" s="156" t="n">
        <f aca="false">IF(AI176&lt;1000,0,AI176)</f>
        <v>0</v>
      </c>
      <c r="Z177" s="156" t="n">
        <f aca="false">ROUNDDOWN(Y177*10%,-1)</f>
        <v>0</v>
      </c>
      <c r="AA177" s="156" t="n">
        <f aca="false">IF(AF176&gt;=8,ROUNDDOWN(Z176*$R$4,-1),0)</f>
        <v>0</v>
      </c>
      <c r="AB177" s="145"/>
      <c r="AC177" s="146"/>
      <c r="AD177" s="423" t="n">
        <f aca="false">IF(ISERROR(VLOOKUP(D176,[35]일용직명단!$A$3:$I$1165,7,FALSE())),0,VLOOKUP(D176,[35]일용직명단!$A$3:$I$1165,7,FALSE()))</f>
        <v>0</v>
      </c>
      <c r="AE177" s="423"/>
      <c r="AF177" s="141"/>
      <c r="AG177" s="129"/>
      <c r="AH177" s="129"/>
      <c r="AI177" s="130"/>
      <c r="AJ177" s="130" t="n">
        <f aca="false">IF($X176*G177&gt;150000,($X176*G177-150000)*6%*45%,0)</f>
        <v>0</v>
      </c>
      <c r="AK177" s="130" t="n">
        <f aca="false">IF($X176*H177&gt;150000,($X176*H177-150000)*6%*45%,0)</f>
        <v>0</v>
      </c>
      <c r="AL177" s="130" t="n">
        <f aca="false">IF($X176*I177&gt;150000,($X176*I177-150000)*6%*45%,0)</f>
        <v>0</v>
      </c>
      <c r="AM177" s="130" t="n">
        <f aca="false">IF($X176*J177&gt;150000,($X176*J177-150000)*6%*45%,0)</f>
        <v>0</v>
      </c>
      <c r="AN177" s="130" t="n">
        <f aca="false">IF($X176*K177&gt;150000,($X176*K177-150000)*6%*45%,0)</f>
        <v>0</v>
      </c>
      <c r="AO177" s="130" t="n">
        <f aca="false">IF($X176*L177&gt;150000,($X176*L177-150000)*6%*45%,0)</f>
        <v>0</v>
      </c>
      <c r="AP177" s="130" t="n">
        <f aca="false">IF($X176*M177&gt;150000,($X176*M177-150000)*6%*45%,0)</f>
        <v>0</v>
      </c>
      <c r="AQ177" s="130" t="n">
        <f aca="false">IF($X176*N177&gt;150000,($X176*N177-150000)*6%*45%,0)</f>
        <v>0</v>
      </c>
      <c r="AR177" s="130" t="n">
        <f aca="false">IF($X176*O177&gt;150000,($X176*O177-150000)*6%*45%,0)</f>
        <v>0</v>
      </c>
      <c r="AS177" s="130" t="n">
        <f aca="false">IF($X176*P177&gt;150000,($X176*P177-150000)*6%*45%,0)</f>
        <v>0</v>
      </c>
      <c r="AT177" s="130" t="n">
        <f aca="false">IF($X176*Q177&gt;150000,($X176*Q177-150000)*6%*45%,0)</f>
        <v>0</v>
      </c>
      <c r="AU177" s="130" t="n">
        <f aca="false">IF($X176*R177&gt;150000,($X176*R177-150000)*6%*45%,0)</f>
        <v>0</v>
      </c>
      <c r="AV177" s="130" t="n">
        <f aca="false">IF($X176*S177&gt;150000,($X176*S177-150000)*6%*45%,0)</f>
        <v>0</v>
      </c>
      <c r="AW177" s="130" t="n">
        <f aca="false">IF($X176*T177&gt;150000,($X176*T177-150000)*6%*45%,0)</f>
        <v>0</v>
      </c>
      <c r="AX177" s="130" t="n">
        <f aca="false">IF($X176*U177&gt;150000,($X176*U177-150000)*6%*45%,0)</f>
        <v>0</v>
      </c>
      <c r="AY177" s="130" t="n">
        <f aca="false">IF($X176*V177&gt;150000,($X176*V177-150000)*6%*45%,0)</f>
        <v>0</v>
      </c>
      <c r="AZ177" s="13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1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1"/>
      <c r="FW177" s="11"/>
      <c r="FX177" s="11"/>
      <c r="FY177" s="11"/>
      <c r="FZ177" s="11"/>
      <c r="GA177" s="11"/>
      <c r="GB177" s="11"/>
      <c r="GC177" s="11"/>
      <c r="GD177" s="11"/>
      <c r="GE177" s="11"/>
      <c r="GF177" s="11"/>
      <c r="GG177" s="11"/>
      <c r="GH177" s="11"/>
      <c r="GI177" s="11"/>
      <c r="GJ177" s="11"/>
      <c r="GK177" s="11"/>
      <c r="GL177" s="11"/>
      <c r="GM177" s="11"/>
      <c r="GN177" s="11"/>
      <c r="GO177" s="11"/>
      <c r="GP177" s="11"/>
      <c r="GQ177" s="11"/>
      <c r="GR177" s="11"/>
      <c r="GS177" s="11"/>
      <c r="GT177" s="11"/>
      <c r="GU177" s="11"/>
      <c r="GV177" s="11"/>
      <c r="GW177" s="11"/>
      <c r="GX177" s="11"/>
      <c r="GY177" s="11"/>
      <c r="GZ177" s="11"/>
      <c r="HA177" s="11"/>
      <c r="HB177" s="11"/>
      <c r="HC177" s="11"/>
      <c r="HD177" s="11"/>
      <c r="HE177" s="11"/>
      <c r="HF177" s="11"/>
      <c r="HG177" s="11"/>
      <c r="HH177" s="11"/>
      <c r="HI177" s="11"/>
      <c r="HJ177" s="11"/>
      <c r="HK177" s="11"/>
      <c r="HL177" s="11"/>
      <c r="HM177" s="11"/>
      <c r="HN177" s="11"/>
      <c r="HO177" s="11"/>
      <c r="HP177" s="11"/>
      <c r="HQ177" s="11"/>
      <c r="HR177" s="11"/>
      <c r="HS177" s="11"/>
      <c r="HT177" s="11"/>
      <c r="HU177" s="11"/>
      <c r="HV177" s="11"/>
      <c r="HW177" s="11"/>
      <c r="HX177" s="11"/>
      <c r="HY177" s="11"/>
      <c r="HZ177" s="11"/>
      <c r="IA177" s="11"/>
      <c r="IB177" s="11"/>
      <c r="IC177" s="11"/>
      <c r="ID177" s="11"/>
      <c r="IE177" s="11"/>
      <c r="IF177" s="11"/>
      <c r="IG177" s="11"/>
      <c r="IH177" s="11"/>
      <c r="II177" s="11"/>
      <c r="IJ177" s="11"/>
      <c r="IK177" s="11"/>
      <c r="IL177" s="11"/>
      <c r="IM177" s="11"/>
      <c r="IN177" s="11"/>
      <c r="IO177" s="11"/>
      <c r="IP177" s="11"/>
      <c r="IQ177" s="11"/>
      <c r="IR177" s="11"/>
      <c r="IS177" s="11"/>
      <c r="IT177" s="11"/>
      <c r="IU177" s="11"/>
      <c r="IV177" s="11"/>
      <c r="IW177" s="11"/>
    </row>
    <row r="178" customFormat="false" ht="13.5" hidden="true" customHeight="true" outlineLevel="0" collapsed="false">
      <c r="A178" s="108" t="n">
        <f aca="false">A176+1</f>
        <v>33</v>
      </c>
      <c r="B178" s="404"/>
      <c r="C178" s="159" t="n">
        <f aca="false">IF(ISERROR(VLOOKUP(D178,[31]일용직명단!$A$3:$I$105,2,FALSE())),0,VLOOKUP(D178,[31]일용직명단!$A$3:$I$105,2,FALSE()))</f>
        <v>0</v>
      </c>
      <c r="D178" s="207"/>
      <c r="E178" s="311" t="n">
        <f aca="false">IF(ISERROR(VLOOKUP(D178,[35]일용직명단!$A$3:$K$1182,3,FALSE())),0,VLOOKUP(D178,[35]일용직명단!$A$3:$K$1182,3,FALSE()))</f>
        <v>0</v>
      </c>
      <c r="F178" s="160" t="n">
        <f aca="false">IF(ISERROR(VLOOKUP(D178,[35]일용직명단!$A$3:$K$1185,4,FALSE())),0,VLOOKUP(D178,[35]일용직명단!$A$3:$K$1185,4,FALSE()))</f>
        <v>0</v>
      </c>
      <c r="G178" s="417"/>
      <c r="H178" s="417"/>
      <c r="I178" s="417"/>
      <c r="J178" s="419"/>
      <c r="K178" s="417"/>
      <c r="L178" s="419"/>
      <c r="M178" s="417"/>
      <c r="N178" s="417"/>
      <c r="O178" s="420"/>
      <c r="P178" s="420"/>
      <c r="Q178" s="417"/>
      <c r="R178" s="420"/>
      <c r="S178" s="419"/>
      <c r="T178" s="420"/>
      <c r="U178" s="419"/>
      <c r="V178" s="421"/>
      <c r="W178" s="144" t="n">
        <f aca="false">SUM(G178:V179)</f>
        <v>0</v>
      </c>
      <c r="X178" s="211" t="n">
        <f aca="false">IF(ISERROR(VLOOKUP(D178,[35]일용직명단!$A$3:$K$1185,8,FALSE())),0,VLOOKUP(D178,[35]일용직명단!$A$3:$K$1185,8,FALSE()))</f>
        <v>0</v>
      </c>
      <c r="Y178" s="156" t="n">
        <f aca="false">IFERROR(IF(AH178&gt;=65,0,ROUNDDOWN(X179*$AA$4,-1)),0)</f>
        <v>0</v>
      </c>
      <c r="Z178" s="156" t="n">
        <f aca="false">IF(AF178&gt;=8,ROUNDDOWN(X179*$N$4,-1),0)</f>
        <v>0</v>
      </c>
      <c r="AA178" s="156" t="n">
        <f aca="false">IFERROR(IF(AND(COUNT(G178:V179)&gt;=8,$AH178&lt;60,X179&lt;=5530000),ROUNDDOWN(ROUNDDOWN(X179,-3)*4.5%,-1),IF(AND(COUNT(G178:V179)&gt;=8,AH178&lt;60,X179&gt;5530000),248850,0)),0)</f>
        <v>0</v>
      </c>
      <c r="AB178" s="145" t="n">
        <f aca="false">+Y178+Z178+Y179+Z179+AA178+AA179</f>
        <v>0</v>
      </c>
      <c r="AC178" s="146" t="n">
        <f aca="false">X179-AB178</f>
        <v>0</v>
      </c>
      <c r="AD178" s="422" t="n">
        <f aca="false">IF(ISERROR(VLOOKUP(D178,[35]일용직명단!$A$3:$I$1165,5,FALSE())),0,VLOOKUP(D178,[35]일용직명단!$A$3:$I$1165,5,FALSE()))</f>
        <v>0</v>
      </c>
      <c r="AE178" s="423" t="n">
        <f aca="false">IF(ISERROR(VLOOKUP(D178,[35]일용직명단!$A$3:$I$1165,6,FALSE())),0,VLOOKUP(D178,[35]일용직명단!$A$3:$I$1165,6,FALSE()))</f>
        <v>0</v>
      </c>
      <c r="AF178" s="149" t="n">
        <f aca="false">COUNT(G178:V179)</f>
        <v>0</v>
      </c>
      <c r="AG178" s="129" t="str">
        <f aca="false">IF(OR(MID(E178,8,1)="1",MID(E178,8,1)="2"),19&amp;LEFT(E178,2),20&amp;LEFT(E178,2))&amp;"-"&amp;MID(E178,3,2)&amp;"-"&amp;MID(E178,5,2)</f>
        <v>200--</v>
      </c>
      <c r="AH178" s="129" t="e">
        <f aca="true">INT((TODAY()-AG178)/365.25)</f>
        <v>#VALUE!</v>
      </c>
      <c r="AI178" s="130" t="n">
        <f aca="false">ROUNDDOWN(SUM(AJ178:AY179),-1)</f>
        <v>0</v>
      </c>
      <c r="AJ178" s="130" t="n">
        <f aca="false">IF($X178*G178&gt;150000,($X178*G178-150000)*6%*45%,0)</f>
        <v>0</v>
      </c>
      <c r="AK178" s="130" t="n">
        <f aca="false">IF($X178*H178&gt;150000,($X178*H178-150000)*6%*45%,0)</f>
        <v>0</v>
      </c>
      <c r="AL178" s="130" t="n">
        <f aca="false">IF($X178*I178&gt;150000,($X178*I178-150000)*6%*45%,0)</f>
        <v>0</v>
      </c>
      <c r="AM178" s="130" t="n">
        <f aca="false">IF($X178*J178&gt;150000,($X178*J178-150000)*6%*45%,0)</f>
        <v>0</v>
      </c>
      <c r="AN178" s="130" t="n">
        <f aca="false">IF($X178*K178&gt;150000,($X178*K178-150000)*6%*45%,0)</f>
        <v>0</v>
      </c>
      <c r="AO178" s="130" t="n">
        <f aca="false">IF($X178*L178&gt;150000,($X178*L178-150000)*6%*45%,0)</f>
        <v>0</v>
      </c>
      <c r="AP178" s="130" t="n">
        <f aca="false">IF($X178*M178&gt;150000,($X178*M178-150000)*6%*45%,0)</f>
        <v>0</v>
      </c>
      <c r="AQ178" s="130" t="n">
        <f aca="false">IF($X178*N178&gt;150000,($X178*N178-150000)*6%*45%,0)</f>
        <v>0</v>
      </c>
      <c r="AR178" s="130" t="n">
        <f aca="false">IF($X178*O178&gt;150000,($X178*O178-150000)*6%*45%,0)</f>
        <v>0</v>
      </c>
      <c r="AS178" s="130" t="n">
        <f aca="false">IF($X178*P178&gt;150000,($X178*P178-150000)*6%*45%,0)</f>
        <v>0</v>
      </c>
      <c r="AT178" s="130" t="n">
        <f aca="false">IF($X178*Q178&gt;150000,($X178*Q178-150000)*6%*45%,0)</f>
        <v>0</v>
      </c>
      <c r="AU178" s="130" t="n">
        <f aca="false">IF($X178*R178&gt;150000,($X178*R178-150000)*6%*45%,0)</f>
        <v>0</v>
      </c>
      <c r="AV178" s="130" t="n">
        <f aca="false">IF($X178*S178&gt;150000,($X178*S178-150000)*6%*45%,0)</f>
        <v>0</v>
      </c>
      <c r="AW178" s="130" t="n">
        <f aca="false">IF($X178*T178&gt;150000,($X178*T178-150000)*6%*45%,0)</f>
        <v>0</v>
      </c>
      <c r="AX178" s="130" t="n">
        <f aca="false">IF($X178*U178&gt;150000,($X178*U178-150000)*6%*45%,0)</f>
        <v>0</v>
      </c>
      <c r="AY178" s="130"/>
      <c r="AZ178" s="131" t="n">
        <f aca="false">IF(ISERROR(VLOOKUP(D178,[32]일용직명단!$A$3:$M$1151,11,FALSE())),0,VLOOKUP(D178,[32]일용직명단!$A$3:$M$1151,11,FALSE()))</f>
        <v>0</v>
      </c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/>
      <c r="DI178" s="11"/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  <c r="DT178" s="11"/>
      <c r="DU178" s="11"/>
      <c r="DV178" s="11"/>
      <c r="DW178" s="11"/>
      <c r="DX178" s="11"/>
      <c r="DY178" s="11"/>
      <c r="DZ178" s="11"/>
      <c r="EA178" s="11"/>
      <c r="EB178" s="11"/>
      <c r="EC178" s="11"/>
      <c r="ED178" s="11"/>
      <c r="EE178" s="11"/>
      <c r="EF178" s="11"/>
      <c r="EG178" s="11"/>
      <c r="EH178" s="11"/>
      <c r="EI178" s="11"/>
      <c r="EJ178" s="11"/>
      <c r="EK178" s="11"/>
      <c r="EL178" s="11"/>
      <c r="EM178" s="11"/>
      <c r="EN178" s="11"/>
      <c r="EO178" s="11"/>
      <c r="EP178" s="11"/>
      <c r="EQ178" s="11"/>
      <c r="ER178" s="11"/>
      <c r="ES178" s="11"/>
      <c r="ET178" s="11"/>
      <c r="EU178" s="11"/>
      <c r="EV178" s="11"/>
      <c r="EW178" s="11"/>
      <c r="EX178" s="11"/>
      <c r="EY178" s="11"/>
      <c r="EZ178" s="11"/>
      <c r="FA178" s="11"/>
      <c r="FB178" s="11"/>
      <c r="FC178" s="11"/>
      <c r="FD178" s="11"/>
      <c r="FE178" s="11"/>
      <c r="FF178" s="11"/>
      <c r="FG178" s="11"/>
      <c r="FH178" s="11"/>
      <c r="FI178" s="11"/>
      <c r="FJ178" s="11"/>
      <c r="FK178" s="11"/>
      <c r="FL178" s="11"/>
      <c r="FM178" s="11"/>
      <c r="FN178" s="11"/>
      <c r="FO178" s="11"/>
      <c r="FP178" s="11"/>
      <c r="FQ178" s="11"/>
      <c r="FR178" s="11"/>
      <c r="FS178" s="11"/>
      <c r="FT178" s="11"/>
      <c r="FU178" s="11"/>
      <c r="FV178" s="11"/>
      <c r="FW178" s="11"/>
      <c r="FX178" s="11"/>
      <c r="FY178" s="11"/>
      <c r="FZ178" s="11"/>
      <c r="GA178" s="11"/>
      <c r="GB178" s="11"/>
      <c r="GC178" s="11"/>
      <c r="GD178" s="11"/>
      <c r="GE178" s="11"/>
      <c r="GF178" s="11"/>
      <c r="GG178" s="11"/>
      <c r="GH178" s="11"/>
      <c r="GI178" s="11"/>
      <c r="GJ178" s="11"/>
      <c r="GK178" s="11"/>
      <c r="GL178" s="11"/>
      <c r="GM178" s="11"/>
      <c r="GN178" s="11"/>
      <c r="GO178" s="11"/>
      <c r="GP178" s="11"/>
      <c r="GQ178" s="11"/>
      <c r="GR178" s="11"/>
      <c r="GS178" s="11"/>
      <c r="GT178" s="11"/>
      <c r="GU178" s="11"/>
      <c r="GV178" s="11"/>
      <c r="GW178" s="11"/>
      <c r="GX178" s="11"/>
      <c r="GY178" s="11"/>
      <c r="GZ178" s="11"/>
      <c r="HA178" s="11"/>
      <c r="HB178" s="11"/>
      <c r="HC178" s="11"/>
      <c r="HD178" s="11"/>
      <c r="HE178" s="11"/>
      <c r="HF178" s="11"/>
      <c r="HG178" s="11"/>
      <c r="HH178" s="11"/>
      <c r="HI178" s="11"/>
      <c r="HJ178" s="11"/>
      <c r="HK178" s="11"/>
      <c r="HL178" s="11"/>
      <c r="HM178" s="11"/>
      <c r="HN178" s="11"/>
      <c r="HO178" s="11"/>
      <c r="HP178" s="11"/>
      <c r="HQ178" s="11"/>
      <c r="HR178" s="11"/>
      <c r="HS178" s="11"/>
      <c r="HT178" s="11"/>
      <c r="HU178" s="11"/>
      <c r="HV178" s="11"/>
      <c r="HW178" s="11"/>
      <c r="HX178" s="11"/>
      <c r="HY178" s="11"/>
      <c r="HZ178" s="11"/>
      <c r="IA178" s="11"/>
      <c r="IB178" s="11"/>
      <c r="IC178" s="11"/>
      <c r="ID178" s="11"/>
      <c r="IE178" s="11"/>
      <c r="IF178" s="11"/>
      <c r="IG178" s="11"/>
      <c r="IH178" s="11"/>
      <c r="II178" s="11"/>
      <c r="IJ178" s="11"/>
      <c r="IK178" s="11"/>
      <c r="IL178" s="11"/>
      <c r="IM178" s="11"/>
      <c r="IN178" s="11"/>
      <c r="IO178" s="11"/>
      <c r="IP178" s="11"/>
      <c r="IQ178" s="11"/>
      <c r="IR178" s="11"/>
      <c r="IS178" s="11"/>
      <c r="IT178" s="11"/>
      <c r="IU178" s="11"/>
      <c r="IV178" s="11"/>
      <c r="IW178" s="11"/>
    </row>
    <row r="179" customFormat="false" ht="13.5" hidden="true" customHeight="true" outlineLevel="0" collapsed="false">
      <c r="A179" s="108"/>
      <c r="B179" s="404"/>
      <c r="C179" s="159"/>
      <c r="D179" s="207"/>
      <c r="E179" s="311"/>
      <c r="F179" s="160" t="n">
        <f aca="false">IF(ISERROR(VLOOKUP(D178,[35]일용직명단!$A$3:$K$1185,9,FALSE())),0,VLOOKUP(D178,[35]일용직명단!$A$3:$K$1185,9,FALSE()))</f>
        <v>0</v>
      </c>
      <c r="G179" s="417"/>
      <c r="H179" s="420"/>
      <c r="I179" s="419"/>
      <c r="J179" s="420"/>
      <c r="K179" s="419"/>
      <c r="L179" s="420"/>
      <c r="M179" s="420"/>
      <c r="N179" s="419"/>
      <c r="O179" s="420"/>
      <c r="P179" s="419"/>
      <c r="Q179" s="420"/>
      <c r="R179" s="420"/>
      <c r="S179" s="417"/>
      <c r="T179" s="417"/>
      <c r="U179" s="417"/>
      <c r="V179" s="417"/>
      <c r="W179" s="144"/>
      <c r="X179" s="138" t="n">
        <f aca="false">X178*W178</f>
        <v>0</v>
      </c>
      <c r="Y179" s="156" t="n">
        <f aca="false">IF(AI178&lt;1000,0,AI178)</f>
        <v>0</v>
      </c>
      <c r="Z179" s="156" t="n">
        <f aca="false">ROUNDDOWN(Y179*10%,-1)</f>
        <v>0</v>
      </c>
      <c r="AA179" s="156" t="n">
        <f aca="false">IF(AF178&gt;=8,ROUNDDOWN(Z178*$R$4,-1),0)</f>
        <v>0</v>
      </c>
      <c r="AB179" s="145"/>
      <c r="AC179" s="146"/>
      <c r="AD179" s="423" t="n">
        <f aca="false">IF(ISERROR(VLOOKUP(D178,[35]일용직명단!$A$3:$I$1165,7,FALSE())),0,VLOOKUP(D178,[35]일용직명단!$A$3:$I$1165,7,FALSE()))</f>
        <v>0</v>
      </c>
      <c r="AE179" s="423"/>
      <c r="AF179" s="149"/>
      <c r="AG179" s="129"/>
      <c r="AH179" s="129"/>
      <c r="AI179" s="130"/>
      <c r="AJ179" s="130" t="n">
        <f aca="false">IF($X178*G179&gt;150000,($X178*G179-150000)*6%*45%,0)</f>
        <v>0</v>
      </c>
      <c r="AK179" s="130" t="n">
        <f aca="false">IF($X178*H179&gt;150000,($X178*H179-150000)*6%*45%,0)</f>
        <v>0</v>
      </c>
      <c r="AL179" s="130" t="n">
        <f aca="false">IF($X178*I179&gt;150000,($X178*I179-150000)*6%*45%,0)</f>
        <v>0</v>
      </c>
      <c r="AM179" s="130" t="n">
        <f aca="false">IF($X178*J179&gt;150000,($X178*J179-150000)*6%*45%,0)</f>
        <v>0</v>
      </c>
      <c r="AN179" s="130" t="n">
        <f aca="false">IF($X178*K179&gt;150000,($X178*K179-150000)*6%*45%,0)</f>
        <v>0</v>
      </c>
      <c r="AO179" s="130" t="n">
        <f aca="false">IF($X178*L179&gt;150000,($X178*L179-150000)*6%*45%,0)</f>
        <v>0</v>
      </c>
      <c r="AP179" s="130" t="n">
        <f aca="false">IF($X178*M179&gt;150000,($X178*M179-150000)*6%*45%,0)</f>
        <v>0</v>
      </c>
      <c r="AQ179" s="130" t="n">
        <f aca="false">IF($X178*N179&gt;150000,($X178*N179-150000)*6%*45%,0)</f>
        <v>0</v>
      </c>
      <c r="AR179" s="130" t="n">
        <f aca="false">IF($X178*O179&gt;150000,($X178*O179-150000)*6%*45%,0)</f>
        <v>0</v>
      </c>
      <c r="AS179" s="130" t="n">
        <f aca="false">IF($X178*P179&gt;150000,($X178*P179-150000)*6%*45%,0)</f>
        <v>0</v>
      </c>
      <c r="AT179" s="130" t="n">
        <f aca="false">IF($X178*Q179&gt;150000,($X178*Q179-150000)*6%*45%,0)</f>
        <v>0</v>
      </c>
      <c r="AU179" s="130" t="n">
        <f aca="false">IF($X178*R179&gt;150000,($X178*R179-150000)*6%*45%,0)</f>
        <v>0</v>
      </c>
      <c r="AV179" s="130" t="n">
        <f aca="false">IF($X178*S179&gt;150000,($X178*S179-150000)*6%*45%,0)</f>
        <v>0</v>
      </c>
      <c r="AW179" s="130" t="n">
        <f aca="false">IF($X178*T179&gt;150000,($X178*T179-150000)*6%*45%,0)</f>
        <v>0</v>
      </c>
      <c r="AX179" s="130" t="n">
        <f aca="false">IF($X178*U179&gt;150000,($X178*U179-150000)*6%*45%,0)</f>
        <v>0</v>
      </c>
      <c r="AY179" s="130" t="n">
        <f aca="false">IF($X178*V179&gt;150000,($X178*V179-150000)*6%*45%,0)</f>
        <v>0</v>
      </c>
      <c r="AZ179" s="13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  <c r="DT179" s="11"/>
      <c r="DU179" s="11"/>
      <c r="DV179" s="11"/>
      <c r="DW179" s="11"/>
      <c r="DX179" s="11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1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1"/>
      <c r="FW179" s="11"/>
      <c r="FX179" s="11"/>
      <c r="FY179" s="11"/>
      <c r="FZ179" s="11"/>
      <c r="GA179" s="11"/>
      <c r="GB179" s="11"/>
      <c r="GC179" s="11"/>
      <c r="GD179" s="11"/>
      <c r="GE179" s="11"/>
      <c r="GF179" s="11"/>
      <c r="GG179" s="11"/>
      <c r="GH179" s="11"/>
      <c r="GI179" s="11"/>
      <c r="GJ179" s="11"/>
      <c r="GK179" s="11"/>
      <c r="GL179" s="11"/>
      <c r="GM179" s="11"/>
      <c r="GN179" s="11"/>
      <c r="GO179" s="11"/>
      <c r="GP179" s="11"/>
      <c r="GQ179" s="11"/>
      <c r="GR179" s="11"/>
      <c r="GS179" s="11"/>
      <c r="GT179" s="11"/>
      <c r="GU179" s="11"/>
      <c r="GV179" s="11"/>
      <c r="GW179" s="11"/>
      <c r="GX179" s="11"/>
      <c r="GY179" s="11"/>
      <c r="GZ179" s="11"/>
      <c r="HA179" s="11"/>
      <c r="HB179" s="11"/>
      <c r="HC179" s="11"/>
      <c r="HD179" s="11"/>
      <c r="HE179" s="11"/>
      <c r="HF179" s="11"/>
      <c r="HG179" s="11"/>
      <c r="HH179" s="11"/>
      <c r="HI179" s="11"/>
      <c r="HJ179" s="11"/>
      <c r="HK179" s="11"/>
      <c r="HL179" s="11"/>
      <c r="HM179" s="11"/>
      <c r="HN179" s="11"/>
      <c r="HO179" s="11"/>
      <c r="HP179" s="11"/>
      <c r="HQ179" s="11"/>
      <c r="HR179" s="11"/>
      <c r="HS179" s="11"/>
      <c r="HT179" s="11"/>
      <c r="HU179" s="11"/>
      <c r="HV179" s="11"/>
      <c r="HW179" s="11"/>
      <c r="HX179" s="11"/>
      <c r="HY179" s="11"/>
      <c r="HZ179" s="11"/>
      <c r="IA179" s="11"/>
      <c r="IB179" s="11"/>
      <c r="IC179" s="11"/>
      <c r="ID179" s="11"/>
      <c r="IE179" s="11"/>
      <c r="IF179" s="11"/>
      <c r="IG179" s="11"/>
      <c r="IH179" s="11"/>
      <c r="II179" s="11"/>
      <c r="IJ179" s="11"/>
      <c r="IK179" s="11"/>
      <c r="IL179" s="11"/>
      <c r="IM179" s="11"/>
      <c r="IN179" s="11"/>
      <c r="IO179" s="11"/>
      <c r="IP179" s="11"/>
      <c r="IQ179" s="11"/>
      <c r="IR179" s="11"/>
      <c r="IS179" s="11"/>
      <c r="IT179" s="11"/>
      <c r="IU179" s="11"/>
      <c r="IV179" s="11"/>
      <c r="IW179" s="11"/>
    </row>
    <row r="180" customFormat="false" ht="13.5" hidden="true" customHeight="true" outlineLevel="0" collapsed="false">
      <c r="A180" s="108" t="n">
        <f aca="false">A178+1</f>
        <v>34</v>
      </c>
      <c r="B180" s="404"/>
      <c r="C180" s="159" t="n">
        <f aca="false">IF(ISERROR(VLOOKUP(D180,[31]일용직명단!$A$3:$I$105,2,FALSE())),0,VLOOKUP(D180,[31]일용직명단!$A$3:$I$105,2,FALSE()))</f>
        <v>0</v>
      </c>
      <c r="D180" s="203"/>
      <c r="E180" s="311" t="n">
        <f aca="false">IF(ISERROR(VLOOKUP(D180,[35]일용직명단!$A$3:$K$1182,3,FALSE())),0,VLOOKUP(D180,[35]일용직명단!$A$3:$K$1182,3,FALSE()))</f>
        <v>0</v>
      </c>
      <c r="F180" s="160" t="n">
        <f aca="false">IF(ISERROR(VLOOKUP(D180,[35]일용직명단!$A$3:$K$1185,4,FALSE())),0,VLOOKUP(D180,[35]일용직명단!$A$3:$K$1185,4,FALSE()))</f>
        <v>0</v>
      </c>
      <c r="G180" s="417"/>
      <c r="H180" s="417"/>
      <c r="I180" s="417"/>
      <c r="J180" s="419"/>
      <c r="K180" s="417"/>
      <c r="L180" s="419"/>
      <c r="M180" s="417"/>
      <c r="N180" s="417"/>
      <c r="O180" s="420"/>
      <c r="P180" s="420"/>
      <c r="Q180" s="417"/>
      <c r="R180" s="420"/>
      <c r="S180" s="419"/>
      <c r="T180" s="420"/>
      <c r="U180" s="419"/>
      <c r="V180" s="421"/>
      <c r="W180" s="144" t="n">
        <f aca="false">SUM(G180:V181)</f>
        <v>0</v>
      </c>
      <c r="X180" s="211" t="n">
        <f aca="false">IF(ISERROR(VLOOKUP(D180,[35]일용직명단!$A$3:$K$1185,8,FALSE())),0,VLOOKUP(D180,[35]일용직명단!$A$3:$K$1185,8,FALSE()))</f>
        <v>0</v>
      </c>
      <c r="Y180" s="156" t="n">
        <f aca="false">IFERROR(IF(AH180&gt;=65,0,ROUNDDOWN(X181*$AA$4,-1)),0)</f>
        <v>0</v>
      </c>
      <c r="Z180" s="156" t="n">
        <f aca="false">IF(AF180&gt;=8,ROUNDDOWN(X181*$N$4,-1),0)</f>
        <v>0</v>
      </c>
      <c r="AA180" s="156" t="n">
        <f aca="false">IFERROR(IF(AND(COUNT(G180:V181)&gt;=8,$AH180&lt;60,X181&lt;=5530000),ROUNDDOWN(ROUNDDOWN(X181,-3)*4.5%,-1),IF(AND(COUNT(G180:V181)&gt;=8,AH180&lt;60,X181&gt;5530000),248850,0)),0)</f>
        <v>0</v>
      </c>
      <c r="AB180" s="145" t="n">
        <f aca="false">+Y180+Z180+Y181+Z181+AA180+AA181</f>
        <v>0</v>
      </c>
      <c r="AC180" s="146" t="n">
        <f aca="false">X181-AB180</f>
        <v>0</v>
      </c>
      <c r="AD180" s="422" t="n">
        <f aca="false">IF(ISERROR(VLOOKUP(D180,[35]일용직명단!$A$3:$I$1165,5,FALSE())),0,VLOOKUP(D180,[35]일용직명단!$A$3:$I$1165,5,FALSE()))</f>
        <v>0</v>
      </c>
      <c r="AE180" s="423" t="n">
        <f aca="false">IF(ISERROR(VLOOKUP(D180,[35]일용직명단!$A$3:$I$1165,6,FALSE())),0,VLOOKUP(D180,[35]일용직명단!$A$3:$I$1165,6,FALSE()))</f>
        <v>0</v>
      </c>
      <c r="AF180" s="141" t="n">
        <f aca="false">COUNT(G180:V181)</f>
        <v>0</v>
      </c>
      <c r="AG180" s="129" t="str">
        <f aca="false">IF(OR(MID(E180,8,1)="1",MID(E180,8,1)="2"),19&amp;LEFT(E180,2),20&amp;LEFT(E180,2))&amp;"-"&amp;MID(E180,3,2)&amp;"-"&amp;MID(E180,5,2)</f>
        <v>200--</v>
      </c>
      <c r="AH180" s="129" t="e">
        <f aca="true">INT((TODAY()-AG180)/365.25)</f>
        <v>#VALUE!</v>
      </c>
      <c r="AI180" s="130" t="n">
        <f aca="false">ROUNDDOWN(SUM(AJ180:AY181),-1)</f>
        <v>0</v>
      </c>
      <c r="AJ180" s="130" t="n">
        <f aca="false">IF($X180*G180&gt;150000,($X180*G180-150000)*6%*45%,0)</f>
        <v>0</v>
      </c>
      <c r="AK180" s="130" t="n">
        <f aca="false">IF($X180*H180&gt;150000,($X180*H180-150000)*6%*45%,0)</f>
        <v>0</v>
      </c>
      <c r="AL180" s="130" t="n">
        <f aca="false">IF($X180*I180&gt;150000,($X180*I180-150000)*6%*45%,0)</f>
        <v>0</v>
      </c>
      <c r="AM180" s="130" t="n">
        <f aca="false">IF($X180*J180&gt;150000,($X180*J180-150000)*6%*45%,0)</f>
        <v>0</v>
      </c>
      <c r="AN180" s="130" t="n">
        <f aca="false">IF($X180*K180&gt;150000,($X180*K180-150000)*6%*45%,0)</f>
        <v>0</v>
      </c>
      <c r="AO180" s="130" t="n">
        <f aca="false">IF($X180*L180&gt;150000,($X180*L180-150000)*6%*45%,0)</f>
        <v>0</v>
      </c>
      <c r="AP180" s="130" t="n">
        <f aca="false">IF($X180*M180&gt;150000,($X180*M180-150000)*6%*45%,0)</f>
        <v>0</v>
      </c>
      <c r="AQ180" s="130" t="n">
        <f aca="false">IF($X180*N180&gt;150000,($X180*N180-150000)*6%*45%,0)</f>
        <v>0</v>
      </c>
      <c r="AR180" s="130" t="n">
        <f aca="false">IF($X180*O180&gt;150000,($X180*O180-150000)*6%*45%,0)</f>
        <v>0</v>
      </c>
      <c r="AS180" s="130" t="n">
        <f aca="false">IF($X180*P180&gt;150000,($X180*P180-150000)*6%*45%,0)</f>
        <v>0</v>
      </c>
      <c r="AT180" s="130" t="n">
        <f aca="false">IF($X180*Q180&gt;150000,($X180*Q180-150000)*6%*45%,0)</f>
        <v>0</v>
      </c>
      <c r="AU180" s="130" t="n">
        <f aca="false">IF($X180*R180&gt;150000,($X180*R180-150000)*6%*45%,0)</f>
        <v>0</v>
      </c>
      <c r="AV180" s="130" t="n">
        <f aca="false">IF($X180*S180&gt;150000,($X180*S180-150000)*6%*45%,0)</f>
        <v>0</v>
      </c>
      <c r="AW180" s="130" t="n">
        <f aca="false">IF($X180*T180&gt;150000,($X180*T180-150000)*6%*45%,0)</f>
        <v>0</v>
      </c>
      <c r="AX180" s="130" t="n">
        <f aca="false">IF($X180*U180&gt;150000,($X180*U180-150000)*6%*45%,0)</f>
        <v>0</v>
      </c>
      <c r="AY180" s="130"/>
      <c r="AZ180" s="131" t="n">
        <f aca="false">IF(ISERROR(VLOOKUP(D180,[32]일용직명단!$A$3:$M$1151,11,FALSE())),0,VLOOKUP(D180,[32]일용직명단!$A$3:$M$1151,11,FALSE()))</f>
        <v>0</v>
      </c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1"/>
      <c r="EC180" s="11"/>
      <c r="ED180" s="11"/>
      <c r="EE180" s="11"/>
      <c r="EF180" s="11"/>
      <c r="EG180" s="11"/>
      <c r="EH180" s="11"/>
      <c r="EI180" s="11"/>
      <c r="EJ180" s="11"/>
      <c r="EK180" s="11"/>
      <c r="EL180" s="11"/>
      <c r="EM180" s="11"/>
      <c r="EN180" s="11"/>
      <c r="EO180" s="11"/>
      <c r="EP180" s="11"/>
      <c r="EQ180" s="11"/>
      <c r="ER180" s="11"/>
      <c r="ES180" s="11"/>
      <c r="ET180" s="11"/>
      <c r="EU180" s="11"/>
      <c r="EV180" s="11"/>
      <c r="EW180" s="11"/>
      <c r="EX180" s="11"/>
      <c r="EY180" s="11"/>
      <c r="EZ180" s="11"/>
      <c r="FA180" s="11"/>
      <c r="FB180" s="11"/>
      <c r="FC180" s="11"/>
      <c r="FD180" s="11"/>
      <c r="FE180" s="11"/>
      <c r="FF180" s="11"/>
      <c r="FG180" s="11"/>
      <c r="FH180" s="11"/>
      <c r="FI180" s="11"/>
      <c r="FJ180" s="11"/>
      <c r="FK180" s="11"/>
      <c r="FL180" s="11"/>
      <c r="FM180" s="11"/>
      <c r="FN180" s="11"/>
      <c r="FO180" s="11"/>
      <c r="FP180" s="11"/>
      <c r="FQ180" s="11"/>
      <c r="FR180" s="11"/>
      <c r="FS180" s="11"/>
      <c r="FT180" s="11"/>
      <c r="FU180" s="11"/>
      <c r="FV180" s="11"/>
      <c r="FW180" s="11"/>
      <c r="FX180" s="11"/>
      <c r="FY180" s="11"/>
      <c r="FZ180" s="11"/>
      <c r="GA180" s="11"/>
      <c r="GB180" s="11"/>
      <c r="GC180" s="11"/>
      <c r="GD180" s="11"/>
      <c r="GE180" s="11"/>
      <c r="GF180" s="11"/>
      <c r="GG180" s="11"/>
      <c r="GH180" s="11"/>
      <c r="GI180" s="11"/>
      <c r="GJ180" s="11"/>
      <c r="GK180" s="11"/>
      <c r="GL180" s="11"/>
      <c r="GM180" s="11"/>
      <c r="GN180" s="11"/>
      <c r="GO180" s="11"/>
      <c r="GP180" s="11"/>
      <c r="GQ180" s="11"/>
      <c r="GR180" s="11"/>
      <c r="GS180" s="11"/>
      <c r="GT180" s="11"/>
      <c r="GU180" s="11"/>
      <c r="GV180" s="11"/>
      <c r="GW180" s="11"/>
      <c r="GX180" s="11"/>
      <c r="GY180" s="11"/>
      <c r="GZ180" s="11"/>
      <c r="HA180" s="11"/>
      <c r="HB180" s="11"/>
      <c r="HC180" s="11"/>
      <c r="HD180" s="11"/>
      <c r="HE180" s="11"/>
      <c r="HF180" s="11"/>
      <c r="HG180" s="11"/>
      <c r="HH180" s="11"/>
      <c r="HI180" s="11"/>
      <c r="HJ180" s="11"/>
      <c r="HK180" s="11"/>
      <c r="HL180" s="11"/>
      <c r="HM180" s="11"/>
      <c r="HN180" s="11"/>
      <c r="HO180" s="11"/>
      <c r="HP180" s="11"/>
      <c r="HQ180" s="11"/>
      <c r="HR180" s="11"/>
      <c r="HS180" s="11"/>
      <c r="HT180" s="11"/>
      <c r="HU180" s="11"/>
      <c r="HV180" s="11"/>
      <c r="HW180" s="11"/>
      <c r="HX180" s="11"/>
      <c r="HY180" s="11"/>
      <c r="HZ180" s="11"/>
      <c r="IA180" s="11"/>
      <c r="IB180" s="11"/>
      <c r="IC180" s="11"/>
      <c r="ID180" s="11"/>
      <c r="IE180" s="11"/>
      <c r="IF180" s="11"/>
      <c r="IG180" s="11"/>
      <c r="IH180" s="11"/>
      <c r="II180" s="11"/>
      <c r="IJ180" s="11"/>
      <c r="IK180" s="11"/>
      <c r="IL180" s="11"/>
      <c r="IM180" s="11"/>
      <c r="IN180" s="11"/>
      <c r="IO180" s="11"/>
      <c r="IP180" s="11"/>
      <c r="IQ180" s="11"/>
      <c r="IR180" s="11"/>
      <c r="IS180" s="11"/>
      <c r="IT180" s="11"/>
      <c r="IU180" s="11"/>
      <c r="IV180" s="11"/>
      <c r="IW180" s="11"/>
    </row>
    <row r="181" customFormat="false" ht="13.5" hidden="true" customHeight="true" outlineLevel="0" collapsed="false">
      <c r="A181" s="108"/>
      <c r="B181" s="404"/>
      <c r="C181" s="159"/>
      <c r="D181" s="203"/>
      <c r="E181" s="311"/>
      <c r="F181" s="160" t="n">
        <f aca="false">IF(ISERROR(VLOOKUP(D180,[35]일용직명단!$A$3:$K$1185,9,FALSE())),0,VLOOKUP(D180,[35]일용직명단!$A$3:$K$1185,9,FALSE()))</f>
        <v>0</v>
      </c>
      <c r="G181" s="417"/>
      <c r="H181" s="420"/>
      <c r="I181" s="419"/>
      <c r="J181" s="420"/>
      <c r="K181" s="419"/>
      <c r="L181" s="420"/>
      <c r="M181" s="420"/>
      <c r="N181" s="419"/>
      <c r="O181" s="420"/>
      <c r="P181" s="419"/>
      <c r="Q181" s="420"/>
      <c r="R181" s="420"/>
      <c r="S181" s="417"/>
      <c r="T181" s="417"/>
      <c r="U181" s="417"/>
      <c r="V181" s="417"/>
      <c r="W181" s="144"/>
      <c r="X181" s="138" t="n">
        <f aca="false">X180*W180</f>
        <v>0</v>
      </c>
      <c r="Y181" s="156" t="n">
        <f aca="false">IF(AI180&lt;1000,0,AI180)</f>
        <v>0</v>
      </c>
      <c r="Z181" s="156" t="n">
        <f aca="false">ROUNDDOWN(Y181*10%,-1)</f>
        <v>0</v>
      </c>
      <c r="AA181" s="156" t="n">
        <f aca="false">IF(AF180&gt;=8,ROUNDDOWN(Z180*$R$4,-1),0)</f>
        <v>0</v>
      </c>
      <c r="AB181" s="145"/>
      <c r="AC181" s="146"/>
      <c r="AD181" s="423" t="n">
        <f aca="false">IF(ISERROR(VLOOKUP(D180,[35]일용직명단!$A$3:$I$1165,7,FALSE())),0,VLOOKUP(D180,[35]일용직명단!$A$3:$I$1165,7,FALSE()))</f>
        <v>0</v>
      </c>
      <c r="AE181" s="423"/>
      <c r="AF181" s="141"/>
      <c r="AG181" s="129"/>
      <c r="AH181" s="129"/>
      <c r="AI181" s="130"/>
      <c r="AJ181" s="130" t="n">
        <f aca="false">IF($X180*G181&gt;150000,($X180*G181-150000)*6%*45%,0)</f>
        <v>0</v>
      </c>
      <c r="AK181" s="130" t="n">
        <f aca="false">IF($X180*H181&gt;150000,($X180*H181-150000)*6%*45%,0)</f>
        <v>0</v>
      </c>
      <c r="AL181" s="130" t="n">
        <f aca="false">IF($X180*I181&gt;150000,($X180*I181-150000)*6%*45%,0)</f>
        <v>0</v>
      </c>
      <c r="AM181" s="130" t="n">
        <f aca="false">IF($X180*J181&gt;150000,($X180*J181-150000)*6%*45%,0)</f>
        <v>0</v>
      </c>
      <c r="AN181" s="130" t="n">
        <f aca="false">IF($X180*K181&gt;150000,($X180*K181-150000)*6%*45%,0)</f>
        <v>0</v>
      </c>
      <c r="AO181" s="130" t="n">
        <f aca="false">IF($X180*L181&gt;150000,($X180*L181-150000)*6%*45%,0)</f>
        <v>0</v>
      </c>
      <c r="AP181" s="130" t="n">
        <f aca="false">IF($X180*M181&gt;150000,($X180*M181-150000)*6%*45%,0)</f>
        <v>0</v>
      </c>
      <c r="AQ181" s="130" t="n">
        <f aca="false">IF($X180*N181&gt;150000,($X180*N181-150000)*6%*45%,0)</f>
        <v>0</v>
      </c>
      <c r="AR181" s="130" t="n">
        <f aca="false">IF($X180*O181&gt;150000,($X180*O181-150000)*6%*45%,0)</f>
        <v>0</v>
      </c>
      <c r="AS181" s="130" t="n">
        <f aca="false">IF($X180*P181&gt;150000,($X180*P181-150000)*6%*45%,0)</f>
        <v>0</v>
      </c>
      <c r="AT181" s="130" t="n">
        <f aca="false">IF($X180*Q181&gt;150000,($X180*Q181-150000)*6%*45%,0)</f>
        <v>0</v>
      </c>
      <c r="AU181" s="130" t="n">
        <f aca="false">IF($X180*R181&gt;150000,($X180*R181-150000)*6%*45%,0)</f>
        <v>0</v>
      </c>
      <c r="AV181" s="130" t="n">
        <f aca="false">IF($X180*S181&gt;150000,($X180*S181-150000)*6%*45%,0)</f>
        <v>0</v>
      </c>
      <c r="AW181" s="130" t="n">
        <f aca="false">IF($X180*T181&gt;150000,($X180*T181-150000)*6%*45%,0)</f>
        <v>0</v>
      </c>
      <c r="AX181" s="130" t="n">
        <f aca="false">IF($X180*U181&gt;150000,($X180*U181-150000)*6%*45%,0)</f>
        <v>0</v>
      </c>
      <c r="AY181" s="130" t="n">
        <f aca="false">IF($X180*V181&gt;150000,($X180*V181-150000)*6%*45%,0)</f>
        <v>0</v>
      </c>
      <c r="AZ181" s="13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  <c r="DT181" s="11"/>
      <c r="DU181" s="11"/>
      <c r="DV181" s="11"/>
      <c r="DW181" s="11"/>
      <c r="DX181" s="11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1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1"/>
      <c r="FW181" s="11"/>
      <c r="FX181" s="11"/>
      <c r="FY181" s="11"/>
      <c r="FZ181" s="11"/>
      <c r="GA181" s="11"/>
      <c r="GB181" s="11"/>
      <c r="GC181" s="11"/>
      <c r="GD181" s="11"/>
      <c r="GE181" s="11"/>
      <c r="GF181" s="11"/>
      <c r="GG181" s="11"/>
      <c r="GH181" s="11"/>
      <c r="GI181" s="11"/>
      <c r="GJ181" s="11"/>
      <c r="GK181" s="11"/>
      <c r="GL181" s="11"/>
      <c r="GM181" s="11"/>
      <c r="GN181" s="11"/>
      <c r="GO181" s="11"/>
      <c r="GP181" s="11"/>
      <c r="GQ181" s="11"/>
      <c r="GR181" s="11"/>
      <c r="GS181" s="11"/>
      <c r="GT181" s="11"/>
      <c r="GU181" s="11"/>
      <c r="GV181" s="11"/>
      <c r="GW181" s="11"/>
      <c r="GX181" s="11"/>
      <c r="GY181" s="11"/>
      <c r="GZ181" s="11"/>
      <c r="HA181" s="11"/>
      <c r="HB181" s="11"/>
      <c r="HC181" s="11"/>
      <c r="HD181" s="11"/>
      <c r="HE181" s="11"/>
      <c r="HF181" s="11"/>
      <c r="HG181" s="11"/>
      <c r="HH181" s="11"/>
      <c r="HI181" s="11"/>
      <c r="HJ181" s="11"/>
      <c r="HK181" s="11"/>
      <c r="HL181" s="11"/>
      <c r="HM181" s="11"/>
      <c r="HN181" s="11"/>
      <c r="HO181" s="11"/>
      <c r="HP181" s="11"/>
      <c r="HQ181" s="11"/>
      <c r="HR181" s="11"/>
      <c r="HS181" s="11"/>
      <c r="HT181" s="11"/>
      <c r="HU181" s="11"/>
      <c r="HV181" s="11"/>
      <c r="HW181" s="11"/>
      <c r="HX181" s="11"/>
      <c r="HY181" s="11"/>
      <c r="HZ181" s="11"/>
      <c r="IA181" s="11"/>
      <c r="IB181" s="11"/>
      <c r="IC181" s="11"/>
      <c r="ID181" s="11"/>
      <c r="IE181" s="11"/>
      <c r="IF181" s="11"/>
      <c r="IG181" s="11"/>
      <c r="IH181" s="11"/>
      <c r="II181" s="11"/>
      <c r="IJ181" s="11"/>
      <c r="IK181" s="11"/>
      <c r="IL181" s="11"/>
      <c r="IM181" s="11"/>
      <c r="IN181" s="11"/>
      <c r="IO181" s="11"/>
      <c r="IP181" s="11"/>
      <c r="IQ181" s="11"/>
      <c r="IR181" s="11"/>
      <c r="IS181" s="11"/>
      <c r="IT181" s="11"/>
      <c r="IU181" s="11"/>
      <c r="IV181" s="11"/>
      <c r="IW181" s="11"/>
    </row>
    <row r="182" customFormat="false" ht="13.5" hidden="true" customHeight="true" outlineLevel="0" collapsed="false">
      <c r="A182" s="108" t="n">
        <f aca="false">A180+1</f>
        <v>35</v>
      </c>
      <c r="B182" s="393"/>
      <c r="C182" s="159" t="n">
        <f aca="false">IF(ISERROR(VLOOKUP(D182,[31]일용직명단!$A$3:$I$105,2,FALSE())),0,VLOOKUP(D182,[31]일용직명단!$A$3:$I$105,2,FALSE()))</f>
        <v>0</v>
      </c>
      <c r="D182" s="203"/>
      <c r="E182" s="311" t="n">
        <f aca="false">IF(ISERROR(VLOOKUP(D182,[35]일용직명단!$A$3:$K$1182,3,FALSE())),0,VLOOKUP(D182,[35]일용직명단!$A$3:$K$1182,3,FALSE()))</f>
        <v>0</v>
      </c>
      <c r="F182" s="160" t="n">
        <f aca="false">IF(ISERROR(VLOOKUP(D182,[35]일용직명단!$A$3:$K$1185,4,FALSE())),0,VLOOKUP(D182,[35]일용직명단!$A$3:$K$1185,4,FALSE()))</f>
        <v>0</v>
      </c>
      <c r="G182" s="417"/>
      <c r="H182" s="417"/>
      <c r="I182" s="417"/>
      <c r="J182" s="419"/>
      <c r="K182" s="417"/>
      <c r="L182" s="419"/>
      <c r="M182" s="417"/>
      <c r="N182" s="417"/>
      <c r="O182" s="420"/>
      <c r="P182" s="420"/>
      <c r="Q182" s="417"/>
      <c r="R182" s="420"/>
      <c r="S182" s="419"/>
      <c r="T182" s="420"/>
      <c r="U182" s="419"/>
      <c r="V182" s="421"/>
      <c r="W182" s="144" t="n">
        <f aca="false">SUM(G182:V183)</f>
        <v>0</v>
      </c>
      <c r="X182" s="211" t="n">
        <f aca="false">IF(ISERROR(VLOOKUP(D182,[35]일용직명단!$A$3:$K$1185,8,FALSE())),0,VLOOKUP(D182,[35]일용직명단!$A$3:$K$1185,8,FALSE()))</f>
        <v>0</v>
      </c>
      <c r="Y182" s="156" t="n">
        <f aca="false">IFERROR(IF(AH182&gt;=65,0,ROUNDDOWN(X183*$AA$4,-1)),0)</f>
        <v>0</v>
      </c>
      <c r="Z182" s="156" t="n">
        <f aca="false">IF(AF182&gt;=8,ROUNDDOWN(X183*$N$4,-1),0)</f>
        <v>0</v>
      </c>
      <c r="AA182" s="156" t="n">
        <f aca="false">IFERROR(IF(AND(COUNT(G182:V183)&gt;=8,$AH182&lt;60,X183&lt;=5530000),ROUNDDOWN(ROUNDDOWN(X183,-3)*4.5%,-1),IF(AND(COUNT(G182:V183)&gt;=8,AH182&lt;60,X183&gt;5530000),248850,0)),0)</f>
        <v>0</v>
      </c>
      <c r="AB182" s="145" t="n">
        <f aca="false">+Y182+Z182+Y183+Z183+AA182+AA183</f>
        <v>0</v>
      </c>
      <c r="AC182" s="146" t="n">
        <f aca="false">X183-AB182</f>
        <v>0</v>
      </c>
      <c r="AD182" s="422" t="n">
        <f aca="false">IF(ISERROR(VLOOKUP(D182,[35]일용직명단!$A$3:$I$1165,5,FALSE())),0,VLOOKUP(D182,[35]일용직명단!$A$3:$I$1165,5,FALSE()))</f>
        <v>0</v>
      </c>
      <c r="AE182" s="423" t="n">
        <f aca="false">IF(ISERROR(VLOOKUP(D182,[35]일용직명단!$A$3:$I$1165,6,FALSE())),0,VLOOKUP(D182,[35]일용직명단!$A$3:$I$1165,6,FALSE()))</f>
        <v>0</v>
      </c>
      <c r="AF182" s="141" t="n">
        <f aca="false">COUNT(G182:V183)</f>
        <v>0</v>
      </c>
      <c r="AG182" s="129" t="str">
        <f aca="false">IF(OR(MID(E182,8,1)="1",MID(E182,8,1)="2"),19&amp;LEFT(E182,2),20&amp;LEFT(E182,2))&amp;"-"&amp;MID(E182,3,2)&amp;"-"&amp;MID(E182,5,2)</f>
        <v>200--</v>
      </c>
      <c r="AH182" s="129" t="e">
        <f aca="true">INT((TODAY()-AG182)/365.25)</f>
        <v>#VALUE!</v>
      </c>
      <c r="AI182" s="130" t="n">
        <f aca="false">ROUNDDOWN(SUM(AJ182:AY183),-1)</f>
        <v>0</v>
      </c>
      <c r="AJ182" s="130" t="n">
        <f aca="false">IF($X182*G182&gt;150000,($X182*G182-150000)*6%*45%,0)</f>
        <v>0</v>
      </c>
      <c r="AK182" s="130" t="n">
        <f aca="false">IF($X182*H182&gt;150000,($X182*H182-150000)*6%*45%,0)</f>
        <v>0</v>
      </c>
      <c r="AL182" s="130" t="n">
        <f aca="false">IF($X182*I182&gt;150000,($X182*I182-150000)*6%*45%,0)</f>
        <v>0</v>
      </c>
      <c r="AM182" s="130" t="n">
        <f aca="false">IF($X182*J182&gt;150000,($X182*J182-150000)*6%*45%,0)</f>
        <v>0</v>
      </c>
      <c r="AN182" s="130" t="n">
        <f aca="false">IF($X182*K182&gt;150000,($X182*K182-150000)*6%*45%,0)</f>
        <v>0</v>
      </c>
      <c r="AO182" s="130" t="n">
        <f aca="false">IF($X182*L182&gt;150000,($X182*L182-150000)*6%*45%,0)</f>
        <v>0</v>
      </c>
      <c r="AP182" s="130" t="n">
        <f aca="false">IF($X182*M182&gt;150000,($X182*M182-150000)*6%*45%,0)</f>
        <v>0</v>
      </c>
      <c r="AQ182" s="130" t="n">
        <f aca="false">IF($X182*N182&gt;150000,($X182*N182-150000)*6%*45%,0)</f>
        <v>0</v>
      </c>
      <c r="AR182" s="130" t="n">
        <f aca="false">IF($X182*O182&gt;150000,($X182*O182-150000)*6%*45%,0)</f>
        <v>0</v>
      </c>
      <c r="AS182" s="130" t="n">
        <f aca="false">IF($X182*P182&gt;150000,($X182*P182-150000)*6%*45%,0)</f>
        <v>0</v>
      </c>
      <c r="AT182" s="130" t="n">
        <f aca="false">IF($X182*Q182&gt;150000,($X182*Q182-150000)*6%*45%,0)</f>
        <v>0</v>
      </c>
      <c r="AU182" s="130" t="n">
        <f aca="false">IF($X182*R182&gt;150000,($X182*R182-150000)*6%*45%,0)</f>
        <v>0</v>
      </c>
      <c r="AV182" s="130" t="n">
        <f aca="false">IF($X182*S182&gt;150000,($X182*S182-150000)*6%*45%,0)</f>
        <v>0</v>
      </c>
      <c r="AW182" s="130" t="n">
        <f aca="false">IF($X182*T182&gt;150000,($X182*T182-150000)*6%*45%,0)</f>
        <v>0</v>
      </c>
      <c r="AX182" s="130" t="n">
        <f aca="false">IF($X182*U182&gt;150000,($X182*U182-150000)*6%*45%,0)</f>
        <v>0</v>
      </c>
      <c r="AY182" s="130"/>
      <c r="AZ182" s="131" t="n">
        <f aca="false">IF(ISERROR(VLOOKUP(D182,[32]일용직명단!$A$3:$M$1151,11,FALSE())),0,VLOOKUP(D182,[32]일용직명단!$A$3:$M$1151,11,FALSE()))</f>
        <v>0</v>
      </c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/>
      <c r="DV182" s="11"/>
      <c r="DW182" s="11"/>
      <c r="DX182" s="11"/>
      <c r="DY182" s="11"/>
      <c r="DZ182" s="11"/>
      <c r="EA182" s="11"/>
      <c r="EB182" s="11"/>
      <c r="EC182" s="11"/>
      <c r="ED182" s="11"/>
      <c r="EE182" s="11"/>
      <c r="EF182" s="11"/>
      <c r="EG182" s="11"/>
      <c r="EH182" s="11"/>
      <c r="EI182" s="11"/>
      <c r="EJ182" s="11"/>
      <c r="EK182" s="11"/>
      <c r="EL182" s="11"/>
      <c r="EM182" s="11"/>
      <c r="EN182" s="11"/>
      <c r="EO182" s="11"/>
      <c r="EP182" s="11"/>
      <c r="EQ182" s="11"/>
      <c r="ER182" s="11"/>
      <c r="ES182" s="11"/>
      <c r="ET182" s="11"/>
      <c r="EU182" s="11"/>
      <c r="EV182" s="11"/>
      <c r="EW182" s="11"/>
      <c r="EX182" s="11"/>
      <c r="EY182" s="11"/>
      <c r="EZ182" s="11"/>
      <c r="FA182" s="11"/>
      <c r="FB182" s="11"/>
      <c r="FC182" s="11"/>
      <c r="FD182" s="11"/>
      <c r="FE182" s="11"/>
      <c r="FF182" s="11"/>
      <c r="FG182" s="11"/>
      <c r="FH182" s="11"/>
      <c r="FI182" s="11"/>
      <c r="FJ182" s="11"/>
      <c r="FK182" s="11"/>
      <c r="FL182" s="11"/>
      <c r="FM182" s="11"/>
      <c r="FN182" s="11"/>
      <c r="FO182" s="11"/>
      <c r="FP182" s="11"/>
      <c r="FQ182" s="11"/>
      <c r="FR182" s="11"/>
      <c r="FS182" s="11"/>
      <c r="FT182" s="11"/>
      <c r="FU182" s="11"/>
      <c r="FV182" s="11"/>
      <c r="FW182" s="11"/>
      <c r="FX182" s="11"/>
      <c r="FY182" s="11"/>
      <c r="FZ182" s="11"/>
      <c r="GA182" s="11"/>
      <c r="GB182" s="11"/>
      <c r="GC182" s="11"/>
      <c r="GD182" s="11"/>
      <c r="GE182" s="11"/>
      <c r="GF182" s="11"/>
      <c r="GG182" s="11"/>
      <c r="GH182" s="11"/>
      <c r="GI182" s="11"/>
      <c r="GJ182" s="11"/>
      <c r="GK182" s="11"/>
      <c r="GL182" s="11"/>
      <c r="GM182" s="11"/>
      <c r="GN182" s="11"/>
      <c r="GO182" s="11"/>
      <c r="GP182" s="11"/>
      <c r="GQ182" s="11"/>
      <c r="GR182" s="11"/>
      <c r="GS182" s="11"/>
      <c r="GT182" s="11"/>
      <c r="GU182" s="11"/>
      <c r="GV182" s="11"/>
      <c r="GW182" s="11"/>
      <c r="GX182" s="11"/>
      <c r="GY182" s="11"/>
      <c r="GZ182" s="11"/>
      <c r="HA182" s="11"/>
      <c r="HB182" s="11"/>
      <c r="HC182" s="11"/>
      <c r="HD182" s="11"/>
      <c r="HE182" s="11"/>
      <c r="HF182" s="11"/>
      <c r="HG182" s="11"/>
      <c r="HH182" s="11"/>
      <c r="HI182" s="11"/>
      <c r="HJ182" s="11"/>
      <c r="HK182" s="11"/>
      <c r="HL182" s="11"/>
      <c r="HM182" s="11"/>
      <c r="HN182" s="11"/>
      <c r="HO182" s="11"/>
      <c r="HP182" s="11"/>
      <c r="HQ182" s="11"/>
      <c r="HR182" s="11"/>
      <c r="HS182" s="11"/>
      <c r="HT182" s="11"/>
      <c r="HU182" s="11"/>
      <c r="HV182" s="11"/>
      <c r="HW182" s="11"/>
      <c r="HX182" s="11"/>
      <c r="HY182" s="11"/>
      <c r="HZ182" s="11"/>
      <c r="IA182" s="11"/>
      <c r="IB182" s="11"/>
      <c r="IC182" s="11"/>
      <c r="ID182" s="11"/>
      <c r="IE182" s="11"/>
      <c r="IF182" s="11"/>
      <c r="IG182" s="11"/>
      <c r="IH182" s="11"/>
      <c r="II182" s="11"/>
      <c r="IJ182" s="11"/>
      <c r="IK182" s="11"/>
      <c r="IL182" s="11"/>
      <c r="IM182" s="11"/>
      <c r="IN182" s="11"/>
      <c r="IO182" s="11"/>
      <c r="IP182" s="11"/>
      <c r="IQ182" s="11"/>
      <c r="IR182" s="11"/>
      <c r="IS182" s="11"/>
      <c r="IT182" s="11"/>
      <c r="IU182" s="11"/>
      <c r="IV182" s="11"/>
      <c r="IW182" s="11"/>
    </row>
    <row r="183" customFormat="false" ht="13.5" hidden="true" customHeight="true" outlineLevel="0" collapsed="false">
      <c r="A183" s="108"/>
      <c r="B183" s="393"/>
      <c r="C183" s="159"/>
      <c r="D183" s="203"/>
      <c r="E183" s="311"/>
      <c r="F183" s="160" t="n">
        <f aca="false">IF(ISERROR(VLOOKUP(D182,[35]일용직명단!$A$3:$K$1185,9,FALSE())),0,VLOOKUP(D182,[35]일용직명단!$A$3:$K$1185,9,FALSE()))</f>
        <v>0</v>
      </c>
      <c r="G183" s="417"/>
      <c r="H183" s="420"/>
      <c r="I183" s="419"/>
      <c r="J183" s="420"/>
      <c r="K183" s="419"/>
      <c r="L183" s="420"/>
      <c r="M183" s="417"/>
      <c r="N183" s="417"/>
      <c r="O183" s="420"/>
      <c r="P183" s="419"/>
      <c r="Q183" s="420"/>
      <c r="R183" s="420"/>
      <c r="S183" s="417"/>
      <c r="T183" s="417"/>
      <c r="U183" s="417"/>
      <c r="V183" s="417"/>
      <c r="W183" s="144"/>
      <c r="X183" s="138" t="n">
        <f aca="false">X182*W182</f>
        <v>0</v>
      </c>
      <c r="Y183" s="156" t="n">
        <f aca="false">IF(AI182&lt;1000,0,AI182)</f>
        <v>0</v>
      </c>
      <c r="Z183" s="156" t="n">
        <f aca="false">ROUNDDOWN(Y183*10%,-1)</f>
        <v>0</v>
      </c>
      <c r="AA183" s="156" t="n">
        <f aca="false">IF(AF182&gt;=8,ROUNDDOWN(Z182*$R$4,-1),0)</f>
        <v>0</v>
      </c>
      <c r="AB183" s="145"/>
      <c r="AC183" s="146"/>
      <c r="AD183" s="423" t="n">
        <f aca="false">IF(ISERROR(VLOOKUP(D182,[35]일용직명단!$A$3:$I$1165,7,FALSE())),0,VLOOKUP(D182,[35]일용직명단!$A$3:$I$1165,7,FALSE()))</f>
        <v>0</v>
      </c>
      <c r="AE183" s="423"/>
      <c r="AF183" s="141"/>
      <c r="AG183" s="129"/>
      <c r="AH183" s="129"/>
      <c r="AI183" s="130"/>
      <c r="AJ183" s="130" t="n">
        <f aca="false">IF($X182*G183&gt;150000,($X182*G183-150000)*6%*45%,0)</f>
        <v>0</v>
      </c>
      <c r="AK183" s="130" t="n">
        <f aca="false">IF($X182*H183&gt;150000,($X182*H183-150000)*6%*45%,0)</f>
        <v>0</v>
      </c>
      <c r="AL183" s="130" t="n">
        <f aca="false">IF($X182*I183&gt;150000,($X182*I183-150000)*6%*45%,0)</f>
        <v>0</v>
      </c>
      <c r="AM183" s="130" t="n">
        <f aca="false">IF($X182*J183&gt;150000,($X182*J183-150000)*6%*45%,0)</f>
        <v>0</v>
      </c>
      <c r="AN183" s="130" t="n">
        <f aca="false">IF($X182*K183&gt;150000,($X182*K183-150000)*6%*45%,0)</f>
        <v>0</v>
      </c>
      <c r="AO183" s="130" t="n">
        <f aca="false">IF($X182*L183&gt;150000,($X182*L183-150000)*6%*45%,0)</f>
        <v>0</v>
      </c>
      <c r="AP183" s="130" t="n">
        <f aca="false">IF($X182*M183&gt;150000,($X182*M183-150000)*6%*45%,0)</f>
        <v>0</v>
      </c>
      <c r="AQ183" s="130" t="n">
        <f aca="false">IF($X182*N183&gt;150000,($X182*N183-150000)*6%*45%,0)</f>
        <v>0</v>
      </c>
      <c r="AR183" s="130" t="n">
        <f aca="false">IF($X182*O183&gt;150000,($X182*O183-150000)*6%*45%,0)</f>
        <v>0</v>
      </c>
      <c r="AS183" s="130" t="n">
        <f aca="false">IF($X182*P183&gt;150000,($X182*P183-150000)*6%*45%,0)</f>
        <v>0</v>
      </c>
      <c r="AT183" s="130" t="n">
        <f aca="false">IF($X182*Q183&gt;150000,($X182*Q183-150000)*6%*45%,0)</f>
        <v>0</v>
      </c>
      <c r="AU183" s="130" t="n">
        <f aca="false">IF($X182*R183&gt;150000,($X182*R183-150000)*6%*45%,0)</f>
        <v>0</v>
      </c>
      <c r="AV183" s="130" t="n">
        <f aca="false">IF($X182*S183&gt;150000,($X182*S183-150000)*6%*45%,0)</f>
        <v>0</v>
      </c>
      <c r="AW183" s="130" t="n">
        <f aca="false">IF($X182*T183&gt;150000,($X182*T183-150000)*6%*45%,0)</f>
        <v>0</v>
      </c>
      <c r="AX183" s="130" t="n">
        <f aca="false">IF($X182*U183&gt;150000,($X182*U183-150000)*6%*45%,0)</f>
        <v>0</v>
      </c>
      <c r="AY183" s="130" t="n">
        <f aca="false">IF($X182*V183&gt;150000,($X182*V183-150000)*6%*45%,0)</f>
        <v>0</v>
      </c>
      <c r="AZ183" s="13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1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1"/>
      <c r="FW183" s="11"/>
      <c r="FX183" s="11"/>
      <c r="FY183" s="11"/>
      <c r="FZ183" s="11"/>
      <c r="GA183" s="11"/>
      <c r="GB183" s="11"/>
      <c r="GC183" s="11"/>
      <c r="GD183" s="11"/>
      <c r="GE183" s="11"/>
      <c r="GF183" s="11"/>
      <c r="GG183" s="11"/>
      <c r="GH183" s="11"/>
      <c r="GI183" s="11"/>
      <c r="GJ183" s="11"/>
      <c r="GK183" s="11"/>
      <c r="GL183" s="11"/>
      <c r="GM183" s="11"/>
      <c r="GN183" s="11"/>
      <c r="GO183" s="11"/>
      <c r="GP183" s="11"/>
      <c r="GQ183" s="11"/>
      <c r="GR183" s="11"/>
      <c r="GS183" s="11"/>
      <c r="GT183" s="11"/>
      <c r="GU183" s="11"/>
      <c r="GV183" s="11"/>
      <c r="GW183" s="11"/>
      <c r="GX183" s="11"/>
      <c r="GY183" s="11"/>
      <c r="GZ183" s="11"/>
      <c r="HA183" s="11"/>
      <c r="HB183" s="11"/>
      <c r="HC183" s="11"/>
      <c r="HD183" s="11"/>
      <c r="HE183" s="11"/>
      <c r="HF183" s="11"/>
      <c r="HG183" s="11"/>
      <c r="HH183" s="11"/>
      <c r="HI183" s="11"/>
      <c r="HJ183" s="11"/>
      <c r="HK183" s="11"/>
      <c r="HL183" s="11"/>
      <c r="HM183" s="11"/>
      <c r="HN183" s="11"/>
      <c r="HO183" s="11"/>
      <c r="HP183" s="11"/>
      <c r="HQ183" s="11"/>
      <c r="HR183" s="11"/>
      <c r="HS183" s="11"/>
      <c r="HT183" s="11"/>
      <c r="HU183" s="11"/>
      <c r="HV183" s="11"/>
      <c r="HW183" s="11"/>
      <c r="HX183" s="11"/>
      <c r="HY183" s="11"/>
      <c r="HZ183" s="11"/>
      <c r="IA183" s="11"/>
      <c r="IB183" s="11"/>
      <c r="IC183" s="11"/>
      <c r="ID183" s="11"/>
      <c r="IE183" s="11"/>
      <c r="IF183" s="11"/>
      <c r="IG183" s="11"/>
      <c r="IH183" s="11"/>
      <c r="II183" s="11"/>
      <c r="IJ183" s="11"/>
      <c r="IK183" s="11"/>
      <c r="IL183" s="11"/>
      <c r="IM183" s="11"/>
      <c r="IN183" s="11"/>
      <c r="IO183" s="11"/>
      <c r="IP183" s="11"/>
      <c r="IQ183" s="11"/>
      <c r="IR183" s="11"/>
      <c r="IS183" s="11"/>
      <c r="IT183" s="11"/>
      <c r="IU183" s="11"/>
      <c r="IV183" s="11"/>
      <c r="IW183" s="11"/>
    </row>
    <row r="184" customFormat="false" ht="13.5" hidden="true" customHeight="true" outlineLevel="0" collapsed="false">
      <c r="A184" s="108" t="n">
        <f aca="false">A182+1</f>
        <v>36</v>
      </c>
      <c r="B184" s="404"/>
      <c r="C184" s="159" t="n">
        <f aca="false">IF(ISERROR(VLOOKUP(D184,[31]일용직명단!$A$3:$I$105,2,FALSE())),0,VLOOKUP(D184,[31]일용직명단!$A$3:$I$105,2,FALSE()))</f>
        <v>0</v>
      </c>
      <c r="D184" s="203"/>
      <c r="E184" s="311" t="n">
        <f aca="false">IF(ISERROR(VLOOKUP(D184,[35]일용직명단!$A$3:$K$1182,3,FALSE())),0,VLOOKUP(D184,[35]일용직명단!$A$3:$K$1182,3,FALSE()))</f>
        <v>0</v>
      </c>
      <c r="F184" s="160" t="n">
        <f aca="false">IF(ISERROR(VLOOKUP(D184,[35]일용직명단!$A$3:$K$1185,4,FALSE())),0,VLOOKUP(D184,[35]일용직명단!$A$3:$K$1185,4,FALSE()))</f>
        <v>0</v>
      </c>
      <c r="G184" s="417"/>
      <c r="H184" s="417"/>
      <c r="I184" s="417"/>
      <c r="J184" s="419"/>
      <c r="K184" s="417"/>
      <c r="L184" s="419"/>
      <c r="M184" s="417"/>
      <c r="N184" s="417"/>
      <c r="O184" s="420"/>
      <c r="P184" s="420"/>
      <c r="Q184" s="417"/>
      <c r="R184" s="420"/>
      <c r="S184" s="419"/>
      <c r="T184" s="420"/>
      <c r="U184" s="419"/>
      <c r="V184" s="421"/>
      <c r="W184" s="144" t="n">
        <f aca="false">SUM(G184:V185)</f>
        <v>0</v>
      </c>
      <c r="X184" s="211" t="n">
        <f aca="false">IF(ISERROR(VLOOKUP(D184,[35]일용직명단!$A$3:$K$1185,8,FALSE())),0,VLOOKUP(D184,[35]일용직명단!$A$3:$K$1185,8,FALSE()))</f>
        <v>0</v>
      </c>
      <c r="Y184" s="156" t="n">
        <f aca="false">IFERROR(IF(AH184&gt;=65,0,ROUNDDOWN(X185*$AA$4,-1)),0)</f>
        <v>0</v>
      </c>
      <c r="Z184" s="156" t="n">
        <f aca="false">IF(AF184&gt;=8,ROUNDDOWN(X185*$N$4,-1),0)</f>
        <v>0</v>
      </c>
      <c r="AA184" s="156" t="n">
        <f aca="false">IFERROR(IF(AND(COUNT(G184:V185)&gt;=8,$AH184&lt;60,X185&lt;=5530000),ROUNDDOWN(ROUNDDOWN(X185,-3)*4.5%,-1),IF(AND(COUNT(G184:V185)&gt;=8,AH184&lt;60,X185&gt;5530000),248850,0)),0)</f>
        <v>0</v>
      </c>
      <c r="AB184" s="145" t="n">
        <f aca="false">+Y184+Z184+Y185+Z185+AA184+AA185</f>
        <v>0</v>
      </c>
      <c r="AC184" s="146" t="n">
        <f aca="false">X185-AB184</f>
        <v>0</v>
      </c>
      <c r="AD184" s="422" t="n">
        <f aca="false">IF(ISERROR(VLOOKUP(D184,[35]일용직명단!$A$3:$I$1165,5,FALSE())),0,VLOOKUP(D184,[35]일용직명단!$A$3:$I$1165,5,FALSE()))</f>
        <v>0</v>
      </c>
      <c r="AE184" s="423" t="n">
        <f aca="false">IF(ISERROR(VLOOKUP(D184,[35]일용직명단!$A$3:$I$1165,6,FALSE())),0,VLOOKUP(D184,[35]일용직명단!$A$3:$I$1165,6,FALSE()))</f>
        <v>0</v>
      </c>
      <c r="AF184" s="141" t="n">
        <f aca="false">COUNT(G184:V185)</f>
        <v>0</v>
      </c>
      <c r="AG184" s="129" t="str">
        <f aca="false">IF(OR(MID(E184,8,1)="1",MID(E184,8,1)="2"),19&amp;LEFT(E184,2),20&amp;LEFT(E184,2))&amp;"-"&amp;MID(E184,3,2)&amp;"-"&amp;MID(E184,5,2)</f>
        <v>200--</v>
      </c>
      <c r="AH184" s="129" t="e">
        <f aca="true">INT((TODAY()-AG184)/365.25)</f>
        <v>#VALUE!</v>
      </c>
      <c r="AI184" s="130" t="n">
        <f aca="false">ROUNDDOWN(SUM(AJ184:AY185),-1)</f>
        <v>0</v>
      </c>
      <c r="AJ184" s="130" t="n">
        <f aca="false">IF($X184*G184&gt;150000,($X184*G184-150000)*6%*45%,0)</f>
        <v>0</v>
      </c>
      <c r="AK184" s="130" t="n">
        <f aca="false">IF($X184*H184&gt;150000,($X184*H184-150000)*6%*45%,0)</f>
        <v>0</v>
      </c>
      <c r="AL184" s="130" t="n">
        <f aca="false">IF($X184*I184&gt;150000,($X184*I184-150000)*6%*45%,0)</f>
        <v>0</v>
      </c>
      <c r="AM184" s="130" t="n">
        <f aca="false">IF($X184*J184&gt;150000,($X184*J184-150000)*6%*45%,0)</f>
        <v>0</v>
      </c>
      <c r="AN184" s="130" t="n">
        <f aca="false">IF($X184*K184&gt;150000,($X184*K184-150000)*6%*45%,0)</f>
        <v>0</v>
      </c>
      <c r="AO184" s="130" t="n">
        <f aca="false">IF($X184*L184&gt;150000,($X184*L184-150000)*6%*45%,0)</f>
        <v>0</v>
      </c>
      <c r="AP184" s="130" t="n">
        <f aca="false">IF($X184*M184&gt;150000,($X184*M184-150000)*6%*45%,0)</f>
        <v>0</v>
      </c>
      <c r="AQ184" s="130" t="n">
        <f aca="false">IF($X184*N184&gt;150000,($X184*N184-150000)*6%*45%,0)</f>
        <v>0</v>
      </c>
      <c r="AR184" s="130" t="n">
        <f aca="false">IF($X184*O184&gt;150000,($X184*O184-150000)*6%*45%,0)</f>
        <v>0</v>
      </c>
      <c r="AS184" s="130" t="n">
        <f aca="false">IF($X184*P184&gt;150000,($X184*P184-150000)*6%*45%,0)</f>
        <v>0</v>
      </c>
      <c r="AT184" s="130" t="n">
        <f aca="false">IF($X184*Q184&gt;150000,($X184*Q184-150000)*6%*45%,0)</f>
        <v>0</v>
      </c>
      <c r="AU184" s="130" t="n">
        <f aca="false">IF($X184*R184&gt;150000,($X184*R184-150000)*6%*45%,0)</f>
        <v>0</v>
      </c>
      <c r="AV184" s="130" t="n">
        <f aca="false">IF($X184*S184&gt;150000,($X184*S184-150000)*6%*45%,0)</f>
        <v>0</v>
      </c>
      <c r="AW184" s="130" t="n">
        <f aca="false">IF($X184*T184&gt;150000,($X184*T184-150000)*6%*45%,0)</f>
        <v>0</v>
      </c>
      <c r="AX184" s="130" t="n">
        <f aca="false">IF($X184*U184&gt;150000,($X184*U184-150000)*6%*45%,0)</f>
        <v>0</v>
      </c>
      <c r="AY184" s="130"/>
      <c r="AZ184" s="131" t="n">
        <f aca="false">IF(ISERROR(VLOOKUP(D184,[32]일용직명단!$A$3:$M$1151,11,FALSE())),0,VLOOKUP(D184,[32]일용직명단!$A$3:$M$1151,11,FALSE()))</f>
        <v>0</v>
      </c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1"/>
      <c r="FC184" s="11"/>
      <c r="FD184" s="11"/>
      <c r="FE184" s="11"/>
      <c r="FF184" s="11"/>
      <c r="FG184" s="11"/>
      <c r="FH184" s="11"/>
      <c r="FI184" s="11"/>
      <c r="FJ184" s="11"/>
      <c r="FK184" s="11"/>
      <c r="FL184" s="11"/>
      <c r="FM184" s="11"/>
      <c r="FN184" s="11"/>
      <c r="FO184" s="11"/>
      <c r="FP184" s="11"/>
      <c r="FQ184" s="11"/>
      <c r="FR184" s="11"/>
      <c r="FS184" s="11"/>
      <c r="FT184" s="11"/>
      <c r="FU184" s="11"/>
      <c r="FV184" s="11"/>
      <c r="FW184" s="11"/>
      <c r="FX184" s="11"/>
      <c r="FY184" s="11"/>
      <c r="FZ184" s="11"/>
      <c r="GA184" s="11"/>
      <c r="GB184" s="11"/>
      <c r="GC184" s="11"/>
      <c r="GD184" s="11"/>
      <c r="GE184" s="11"/>
      <c r="GF184" s="11"/>
      <c r="GG184" s="11"/>
      <c r="GH184" s="11"/>
      <c r="GI184" s="11"/>
      <c r="GJ184" s="11"/>
      <c r="GK184" s="11"/>
      <c r="GL184" s="11"/>
      <c r="GM184" s="11"/>
      <c r="GN184" s="11"/>
      <c r="GO184" s="11"/>
      <c r="GP184" s="11"/>
      <c r="GQ184" s="11"/>
      <c r="GR184" s="11"/>
      <c r="GS184" s="11"/>
      <c r="GT184" s="11"/>
      <c r="GU184" s="11"/>
      <c r="GV184" s="11"/>
      <c r="GW184" s="11"/>
      <c r="GX184" s="11"/>
      <c r="GY184" s="11"/>
      <c r="GZ184" s="11"/>
      <c r="HA184" s="11"/>
      <c r="HB184" s="11"/>
      <c r="HC184" s="11"/>
      <c r="HD184" s="11"/>
      <c r="HE184" s="11"/>
      <c r="HF184" s="11"/>
      <c r="HG184" s="11"/>
      <c r="HH184" s="11"/>
      <c r="HI184" s="11"/>
      <c r="HJ184" s="11"/>
      <c r="HK184" s="11"/>
      <c r="HL184" s="11"/>
      <c r="HM184" s="11"/>
      <c r="HN184" s="11"/>
      <c r="HO184" s="11"/>
      <c r="HP184" s="11"/>
      <c r="HQ184" s="11"/>
      <c r="HR184" s="11"/>
      <c r="HS184" s="11"/>
      <c r="HT184" s="11"/>
      <c r="HU184" s="11"/>
      <c r="HV184" s="11"/>
      <c r="HW184" s="11"/>
      <c r="HX184" s="11"/>
      <c r="HY184" s="11"/>
      <c r="HZ184" s="11"/>
      <c r="IA184" s="11"/>
      <c r="IB184" s="11"/>
      <c r="IC184" s="11"/>
      <c r="ID184" s="11"/>
      <c r="IE184" s="11"/>
      <c r="IF184" s="11"/>
      <c r="IG184" s="11"/>
      <c r="IH184" s="11"/>
      <c r="II184" s="11"/>
      <c r="IJ184" s="11"/>
      <c r="IK184" s="11"/>
      <c r="IL184" s="11"/>
      <c r="IM184" s="11"/>
      <c r="IN184" s="11"/>
      <c r="IO184" s="11"/>
      <c r="IP184" s="11"/>
      <c r="IQ184" s="11"/>
      <c r="IR184" s="11"/>
      <c r="IS184" s="11"/>
      <c r="IT184" s="11"/>
      <c r="IU184" s="11"/>
      <c r="IV184" s="11"/>
      <c r="IW184" s="11"/>
    </row>
    <row r="185" customFormat="false" ht="13.5" hidden="true" customHeight="true" outlineLevel="0" collapsed="false">
      <c r="A185" s="108"/>
      <c r="B185" s="404"/>
      <c r="C185" s="159"/>
      <c r="D185" s="203"/>
      <c r="E185" s="311"/>
      <c r="F185" s="160" t="n">
        <f aca="false">IF(ISERROR(VLOOKUP(D184,[35]일용직명단!$A$3:$K$1185,9,FALSE())),0,VLOOKUP(D184,[35]일용직명단!$A$3:$K$1185,9,FALSE()))</f>
        <v>0</v>
      </c>
      <c r="G185" s="417"/>
      <c r="H185" s="420"/>
      <c r="I185" s="419"/>
      <c r="J185" s="420"/>
      <c r="K185" s="419"/>
      <c r="L185" s="420"/>
      <c r="M185" s="417"/>
      <c r="N185" s="417"/>
      <c r="O185" s="420"/>
      <c r="P185" s="419"/>
      <c r="Q185" s="420"/>
      <c r="R185" s="420"/>
      <c r="S185" s="417"/>
      <c r="T185" s="417"/>
      <c r="U185" s="417"/>
      <c r="V185" s="417"/>
      <c r="W185" s="144"/>
      <c r="X185" s="138" t="n">
        <f aca="false">X184*W184</f>
        <v>0</v>
      </c>
      <c r="Y185" s="156" t="n">
        <f aca="false">IF(AI184&lt;1000,0,AI184)</f>
        <v>0</v>
      </c>
      <c r="Z185" s="156" t="n">
        <f aca="false">ROUNDDOWN(Y185*10%,-1)</f>
        <v>0</v>
      </c>
      <c r="AA185" s="156" t="n">
        <f aca="false">IF(AF184&gt;=8,ROUNDDOWN(Z184*$R$4,-1),0)</f>
        <v>0</v>
      </c>
      <c r="AB185" s="145"/>
      <c r="AC185" s="146"/>
      <c r="AD185" s="423" t="n">
        <f aca="false">IF(ISERROR(VLOOKUP(D184,[35]일용직명단!$A$3:$I$1165,7,FALSE())),0,VLOOKUP(D184,[35]일용직명단!$A$3:$I$1165,7,FALSE()))</f>
        <v>0</v>
      </c>
      <c r="AE185" s="423"/>
      <c r="AF185" s="141"/>
      <c r="AG185" s="129"/>
      <c r="AH185" s="129"/>
      <c r="AI185" s="130"/>
      <c r="AJ185" s="130" t="n">
        <f aca="false">IF($X184*G185&gt;150000,($X184*G185-150000)*6%*45%,0)</f>
        <v>0</v>
      </c>
      <c r="AK185" s="130" t="n">
        <f aca="false">IF($X184*H185&gt;150000,($X184*H185-150000)*6%*45%,0)</f>
        <v>0</v>
      </c>
      <c r="AL185" s="130" t="n">
        <f aca="false">IF($X184*I185&gt;150000,($X184*I185-150000)*6%*45%,0)</f>
        <v>0</v>
      </c>
      <c r="AM185" s="130" t="n">
        <f aca="false">IF($X184*J185&gt;150000,($X184*J185-150000)*6%*45%,0)</f>
        <v>0</v>
      </c>
      <c r="AN185" s="130" t="n">
        <f aca="false">IF($X184*K185&gt;150000,($X184*K185-150000)*6%*45%,0)</f>
        <v>0</v>
      </c>
      <c r="AO185" s="130" t="n">
        <f aca="false">IF($X184*L185&gt;150000,($X184*L185-150000)*6%*45%,0)</f>
        <v>0</v>
      </c>
      <c r="AP185" s="130" t="n">
        <f aca="false">IF($X184*M185&gt;150000,($X184*M185-150000)*6%*45%,0)</f>
        <v>0</v>
      </c>
      <c r="AQ185" s="130" t="n">
        <f aca="false">IF($X184*N185&gt;150000,($X184*N185-150000)*6%*45%,0)</f>
        <v>0</v>
      </c>
      <c r="AR185" s="130" t="n">
        <f aca="false">IF($X184*O185&gt;150000,($X184*O185-150000)*6%*45%,0)</f>
        <v>0</v>
      </c>
      <c r="AS185" s="130" t="n">
        <f aca="false">IF($X184*P185&gt;150000,($X184*P185-150000)*6%*45%,0)</f>
        <v>0</v>
      </c>
      <c r="AT185" s="130" t="n">
        <f aca="false">IF($X184*Q185&gt;150000,($X184*Q185-150000)*6%*45%,0)</f>
        <v>0</v>
      </c>
      <c r="AU185" s="130" t="n">
        <f aca="false">IF($X184*R185&gt;150000,($X184*R185-150000)*6%*45%,0)</f>
        <v>0</v>
      </c>
      <c r="AV185" s="130" t="n">
        <f aca="false">IF($X184*S185&gt;150000,($X184*S185-150000)*6%*45%,0)</f>
        <v>0</v>
      </c>
      <c r="AW185" s="130" t="n">
        <f aca="false">IF($X184*T185&gt;150000,($X184*T185-150000)*6%*45%,0)</f>
        <v>0</v>
      </c>
      <c r="AX185" s="130" t="n">
        <f aca="false">IF($X184*U185&gt;150000,($X184*U185-150000)*6%*45%,0)</f>
        <v>0</v>
      </c>
      <c r="AY185" s="130" t="n">
        <f aca="false">IF($X184*V185&gt;150000,($X184*V185-150000)*6%*45%,0)</f>
        <v>0</v>
      </c>
      <c r="AZ185" s="13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1"/>
      <c r="FW185" s="11"/>
      <c r="FX185" s="11"/>
      <c r="FY185" s="11"/>
      <c r="FZ185" s="11"/>
      <c r="GA185" s="11"/>
      <c r="GB185" s="11"/>
      <c r="GC185" s="11"/>
      <c r="GD185" s="11"/>
      <c r="GE185" s="11"/>
      <c r="GF185" s="11"/>
      <c r="GG185" s="11"/>
      <c r="GH185" s="11"/>
      <c r="GI185" s="11"/>
      <c r="GJ185" s="11"/>
      <c r="GK185" s="11"/>
      <c r="GL185" s="11"/>
      <c r="GM185" s="11"/>
      <c r="GN185" s="11"/>
      <c r="GO185" s="11"/>
      <c r="GP185" s="11"/>
      <c r="GQ185" s="11"/>
      <c r="GR185" s="11"/>
      <c r="GS185" s="11"/>
      <c r="GT185" s="11"/>
      <c r="GU185" s="11"/>
      <c r="GV185" s="11"/>
      <c r="GW185" s="11"/>
      <c r="GX185" s="11"/>
      <c r="GY185" s="11"/>
      <c r="GZ185" s="11"/>
      <c r="HA185" s="11"/>
      <c r="HB185" s="11"/>
      <c r="HC185" s="11"/>
      <c r="HD185" s="11"/>
      <c r="HE185" s="11"/>
      <c r="HF185" s="11"/>
      <c r="HG185" s="11"/>
      <c r="HH185" s="11"/>
      <c r="HI185" s="11"/>
      <c r="HJ185" s="11"/>
      <c r="HK185" s="11"/>
      <c r="HL185" s="11"/>
      <c r="HM185" s="11"/>
      <c r="HN185" s="11"/>
      <c r="HO185" s="11"/>
      <c r="HP185" s="11"/>
      <c r="HQ185" s="11"/>
      <c r="HR185" s="11"/>
      <c r="HS185" s="11"/>
      <c r="HT185" s="11"/>
      <c r="HU185" s="11"/>
      <c r="HV185" s="11"/>
      <c r="HW185" s="11"/>
      <c r="HX185" s="11"/>
      <c r="HY185" s="11"/>
      <c r="HZ185" s="11"/>
      <c r="IA185" s="11"/>
      <c r="IB185" s="11"/>
      <c r="IC185" s="11"/>
      <c r="ID185" s="11"/>
      <c r="IE185" s="11"/>
      <c r="IF185" s="11"/>
      <c r="IG185" s="11"/>
      <c r="IH185" s="11"/>
      <c r="II185" s="11"/>
      <c r="IJ185" s="11"/>
      <c r="IK185" s="11"/>
      <c r="IL185" s="11"/>
      <c r="IM185" s="11"/>
      <c r="IN185" s="11"/>
      <c r="IO185" s="11"/>
      <c r="IP185" s="11"/>
      <c r="IQ185" s="11"/>
      <c r="IR185" s="11"/>
      <c r="IS185" s="11"/>
      <c r="IT185" s="11"/>
      <c r="IU185" s="11"/>
      <c r="IV185" s="11"/>
      <c r="IW185" s="11"/>
    </row>
    <row r="186" customFormat="false" ht="13.5" hidden="true" customHeight="true" outlineLevel="0" collapsed="false">
      <c r="A186" s="108" t="n">
        <f aca="false">A184+1</f>
        <v>37</v>
      </c>
      <c r="B186" s="393"/>
      <c r="C186" s="159" t="n">
        <f aca="false">IF(ISERROR(VLOOKUP(D186,[31]일용직명단!$A$3:$I$105,2,FALSE())),0,VLOOKUP(D186,[31]일용직명단!$A$3:$I$105,2,FALSE()))</f>
        <v>0</v>
      </c>
      <c r="D186" s="203"/>
      <c r="E186" s="311" t="n">
        <f aca="false">IF(ISERROR(VLOOKUP(D186,[35]일용직명단!$A$3:$K$1182,3,FALSE())),0,VLOOKUP(D186,[35]일용직명단!$A$3:$K$1182,3,FALSE()))</f>
        <v>0</v>
      </c>
      <c r="F186" s="160" t="n">
        <f aca="false">IF(ISERROR(VLOOKUP(D186,[35]일용직명단!$A$3:$K$1185,4,FALSE())),0,VLOOKUP(D186,[35]일용직명단!$A$3:$K$1185,4,FALSE()))</f>
        <v>0</v>
      </c>
      <c r="G186" s="417"/>
      <c r="H186" s="417"/>
      <c r="I186" s="417"/>
      <c r="J186" s="419"/>
      <c r="K186" s="417"/>
      <c r="L186" s="419"/>
      <c r="M186" s="417"/>
      <c r="N186" s="417"/>
      <c r="O186" s="420"/>
      <c r="P186" s="420"/>
      <c r="Q186" s="417"/>
      <c r="R186" s="420"/>
      <c r="S186" s="419"/>
      <c r="T186" s="420"/>
      <c r="U186" s="419"/>
      <c r="V186" s="421"/>
      <c r="W186" s="144" t="n">
        <f aca="false">SUM(G186:V187)</f>
        <v>0</v>
      </c>
      <c r="X186" s="211" t="n">
        <f aca="false">IF(ISERROR(VLOOKUP(D186,[31]일용직명단!$A$3:$K$1220,8,FALSE())),0,VLOOKUP(D186,[31]일용직명단!$A$3:$K$1220,8,FALSE()))</f>
        <v>0</v>
      </c>
      <c r="Y186" s="156" t="n">
        <f aca="false">IFERROR(IF(AH186&gt;=65,0,ROUNDDOWN(X187*$AA$4,-1)),0)</f>
        <v>0</v>
      </c>
      <c r="Z186" s="156" t="n">
        <f aca="false">IF(AF186&gt;=8,ROUNDDOWN(X187*$N$4,-1),0)</f>
        <v>0</v>
      </c>
      <c r="AA186" s="156" t="n">
        <f aca="false">IFERROR(IF(AND(COUNT(G186:V187)&gt;=8,$AH186&lt;60,X187&lt;=5530000),ROUNDDOWN(ROUNDDOWN(X187,-3)*4.5%,-1),IF(AND(COUNT(G186:V187)&gt;=8,AH186&lt;60,X187&gt;5530000),248850,0)),0)</f>
        <v>0</v>
      </c>
      <c r="AB186" s="145" t="n">
        <f aca="false">+Y186+Z186+Y187+Z187+AA186+AA187</f>
        <v>0</v>
      </c>
      <c r="AC186" s="146" t="n">
        <f aca="false">X187-AB186</f>
        <v>0</v>
      </c>
      <c r="AD186" s="422" t="n">
        <f aca="false">IF(ISERROR(VLOOKUP(D186,[35]일용직명단!$A$3:$I$1165,5,FALSE())),0,VLOOKUP(D186,[35]일용직명단!$A$3:$I$1165,5,FALSE()))</f>
        <v>0</v>
      </c>
      <c r="AE186" s="423" t="n">
        <f aca="false">IF(ISERROR(VLOOKUP(D186,[35]일용직명단!$A$3:$I$1165,6,FALSE())),0,VLOOKUP(D186,[35]일용직명단!$A$3:$I$1165,6,FALSE()))</f>
        <v>0</v>
      </c>
      <c r="AF186" s="141" t="n">
        <f aca="false">COUNT(G186:V187)</f>
        <v>0</v>
      </c>
      <c r="AG186" s="129" t="str">
        <f aca="false">IF(OR(MID(E186,8,1)="1",MID(E186,8,1)="2"),19&amp;LEFT(E186,2),20&amp;LEFT(E186,2))&amp;"-"&amp;MID(E186,3,2)&amp;"-"&amp;MID(E186,5,2)</f>
        <v>200--</v>
      </c>
      <c r="AH186" s="129" t="e">
        <f aca="true">INT((TODAY()-AG186)/365.25)</f>
        <v>#VALUE!</v>
      </c>
      <c r="AI186" s="130" t="n">
        <f aca="false">ROUNDDOWN(SUM(AJ186:AY187),-1)</f>
        <v>0</v>
      </c>
      <c r="AJ186" s="130" t="n">
        <f aca="false">IF($X186*G186&gt;150000,($X186*G186-150000)*6%*45%,0)</f>
        <v>0</v>
      </c>
      <c r="AK186" s="130" t="n">
        <f aca="false">IF($X186*H186&gt;150000,($X186*H186-150000)*6%*45%,0)</f>
        <v>0</v>
      </c>
      <c r="AL186" s="130" t="n">
        <f aca="false">IF($X186*I186&gt;150000,($X186*I186-150000)*6%*45%,0)</f>
        <v>0</v>
      </c>
      <c r="AM186" s="130" t="n">
        <f aca="false">IF($X186*J186&gt;150000,($X186*J186-150000)*6%*45%,0)</f>
        <v>0</v>
      </c>
      <c r="AN186" s="130" t="n">
        <f aca="false">IF($X186*K186&gt;150000,($X186*K186-150000)*6%*45%,0)</f>
        <v>0</v>
      </c>
      <c r="AO186" s="130" t="n">
        <f aca="false">IF($X186*L186&gt;150000,($X186*L186-150000)*6%*45%,0)</f>
        <v>0</v>
      </c>
      <c r="AP186" s="130" t="n">
        <f aca="false">IF($X186*M186&gt;150000,($X186*M186-150000)*6%*45%,0)</f>
        <v>0</v>
      </c>
      <c r="AQ186" s="130" t="n">
        <f aca="false">IF($X186*N186&gt;150000,($X186*N186-150000)*6%*45%,0)</f>
        <v>0</v>
      </c>
      <c r="AR186" s="130" t="n">
        <f aca="false">IF($X186*O186&gt;150000,($X186*O186-150000)*6%*45%,0)</f>
        <v>0</v>
      </c>
      <c r="AS186" s="130" t="n">
        <f aca="false">IF($X186*P186&gt;150000,($X186*P186-150000)*6%*45%,0)</f>
        <v>0</v>
      </c>
      <c r="AT186" s="130" t="n">
        <f aca="false">IF($X186*Q186&gt;150000,($X186*Q186-150000)*6%*45%,0)</f>
        <v>0</v>
      </c>
      <c r="AU186" s="130" t="n">
        <f aca="false">IF($X186*R186&gt;150000,($X186*R186-150000)*6%*45%,0)</f>
        <v>0</v>
      </c>
      <c r="AV186" s="130" t="n">
        <f aca="false">IF($X186*S186&gt;150000,($X186*S186-150000)*6%*45%,0)</f>
        <v>0</v>
      </c>
      <c r="AW186" s="130" t="n">
        <f aca="false">IF($X186*T186&gt;150000,($X186*T186-150000)*6%*45%,0)</f>
        <v>0</v>
      </c>
      <c r="AX186" s="130" t="n">
        <f aca="false">IF($X186*U186&gt;150000,($X186*U186-150000)*6%*45%,0)</f>
        <v>0</v>
      </c>
      <c r="AY186" s="130"/>
      <c r="AZ186" s="131" t="n">
        <f aca="false">IF(ISERROR(VLOOKUP(D186,[32]일용직명단!$A$3:$M$1151,11,FALSE())),0,VLOOKUP(D186,[32]일용직명단!$A$3:$M$1151,11,FALSE()))</f>
        <v>0</v>
      </c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/>
      <c r="EB186" s="11"/>
      <c r="EC186" s="11"/>
      <c r="ED186" s="11"/>
      <c r="EE186" s="11"/>
      <c r="EF186" s="11"/>
      <c r="EG186" s="11"/>
      <c r="EH186" s="11"/>
      <c r="EI186" s="11"/>
      <c r="EJ186" s="11"/>
      <c r="EK186" s="11"/>
      <c r="EL186" s="11"/>
      <c r="EM186" s="11"/>
      <c r="EN186" s="11"/>
      <c r="EO186" s="11"/>
      <c r="EP186" s="11"/>
      <c r="EQ186" s="11"/>
      <c r="ER186" s="11"/>
      <c r="ES186" s="11"/>
      <c r="ET186" s="11"/>
      <c r="EU186" s="11"/>
      <c r="EV186" s="11"/>
      <c r="EW186" s="11"/>
      <c r="EX186" s="11"/>
      <c r="EY186" s="11"/>
      <c r="EZ186" s="11"/>
      <c r="FA186" s="11"/>
      <c r="FB186" s="11"/>
      <c r="FC186" s="11"/>
      <c r="FD186" s="11"/>
      <c r="FE186" s="11"/>
      <c r="FF186" s="11"/>
      <c r="FG186" s="11"/>
      <c r="FH186" s="11"/>
      <c r="FI186" s="11"/>
      <c r="FJ186" s="11"/>
      <c r="FK186" s="11"/>
      <c r="FL186" s="11"/>
      <c r="FM186" s="11"/>
      <c r="FN186" s="11"/>
      <c r="FO186" s="11"/>
      <c r="FP186" s="11"/>
      <c r="FQ186" s="11"/>
      <c r="FR186" s="11"/>
      <c r="FS186" s="11"/>
      <c r="FT186" s="11"/>
      <c r="FU186" s="11"/>
      <c r="FV186" s="11"/>
      <c r="FW186" s="11"/>
      <c r="FX186" s="11"/>
      <c r="FY186" s="11"/>
      <c r="FZ186" s="11"/>
      <c r="GA186" s="11"/>
      <c r="GB186" s="11"/>
      <c r="GC186" s="11"/>
      <c r="GD186" s="11"/>
      <c r="GE186" s="11"/>
      <c r="GF186" s="11"/>
      <c r="GG186" s="11"/>
      <c r="GH186" s="11"/>
      <c r="GI186" s="11"/>
      <c r="GJ186" s="11"/>
      <c r="GK186" s="11"/>
      <c r="GL186" s="11"/>
      <c r="GM186" s="11"/>
      <c r="GN186" s="11"/>
      <c r="GO186" s="11"/>
      <c r="GP186" s="11"/>
      <c r="GQ186" s="11"/>
      <c r="GR186" s="11"/>
      <c r="GS186" s="11"/>
      <c r="GT186" s="11"/>
      <c r="GU186" s="11"/>
      <c r="GV186" s="11"/>
      <c r="GW186" s="11"/>
      <c r="GX186" s="11"/>
      <c r="GY186" s="11"/>
      <c r="GZ186" s="11"/>
      <c r="HA186" s="11"/>
      <c r="HB186" s="11"/>
      <c r="HC186" s="11"/>
      <c r="HD186" s="11"/>
      <c r="HE186" s="11"/>
      <c r="HF186" s="11"/>
      <c r="HG186" s="11"/>
      <c r="HH186" s="11"/>
      <c r="HI186" s="11"/>
      <c r="HJ186" s="11"/>
      <c r="HK186" s="11"/>
      <c r="HL186" s="11"/>
      <c r="HM186" s="11"/>
      <c r="HN186" s="11"/>
      <c r="HO186" s="11"/>
      <c r="HP186" s="11"/>
      <c r="HQ186" s="11"/>
      <c r="HR186" s="11"/>
      <c r="HS186" s="11"/>
      <c r="HT186" s="11"/>
      <c r="HU186" s="11"/>
      <c r="HV186" s="11"/>
      <c r="HW186" s="11"/>
      <c r="HX186" s="11"/>
      <c r="HY186" s="11"/>
      <c r="HZ186" s="11"/>
      <c r="IA186" s="11"/>
      <c r="IB186" s="11"/>
      <c r="IC186" s="11"/>
      <c r="ID186" s="11"/>
      <c r="IE186" s="11"/>
      <c r="IF186" s="11"/>
      <c r="IG186" s="11"/>
      <c r="IH186" s="11"/>
      <c r="II186" s="11"/>
      <c r="IJ186" s="11"/>
      <c r="IK186" s="11"/>
      <c r="IL186" s="11"/>
      <c r="IM186" s="11"/>
      <c r="IN186" s="11"/>
      <c r="IO186" s="11"/>
      <c r="IP186" s="11"/>
      <c r="IQ186" s="11"/>
      <c r="IR186" s="11"/>
      <c r="IS186" s="11"/>
      <c r="IT186" s="11"/>
      <c r="IU186" s="11"/>
      <c r="IV186" s="11"/>
      <c r="IW186" s="11"/>
    </row>
    <row r="187" customFormat="false" ht="13.5" hidden="true" customHeight="true" outlineLevel="0" collapsed="false">
      <c r="A187" s="108"/>
      <c r="B187" s="393"/>
      <c r="C187" s="159"/>
      <c r="D187" s="203"/>
      <c r="E187" s="311"/>
      <c r="F187" s="160" t="n">
        <f aca="false">IF(ISERROR(VLOOKUP(D186,[35]일용직명단!$A$3:$K$1185,9,FALSE())),0,VLOOKUP(D186,[35]일용직명단!$A$3:$K$1185,9,FALSE()))</f>
        <v>0</v>
      </c>
      <c r="G187" s="417"/>
      <c r="H187" s="420"/>
      <c r="I187" s="419"/>
      <c r="J187" s="420"/>
      <c r="K187" s="419"/>
      <c r="L187" s="420"/>
      <c r="M187" s="417"/>
      <c r="N187" s="417"/>
      <c r="O187" s="420"/>
      <c r="P187" s="419"/>
      <c r="Q187" s="420"/>
      <c r="R187" s="420"/>
      <c r="S187" s="417"/>
      <c r="T187" s="417"/>
      <c r="U187" s="417"/>
      <c r="V187" s="417"/>
      <c r="W187" s="144"/>
      <c r="X187" s="138" t="n">
        <f aca="false">X186*W186</f>
        <v>0</v>
      </c>
      <c r="Y187" s="156" t="n">
        <f aca="false">IF(AI186&lt;1000,0,AI186)</f>
        <v>0</v>
      </c>
      <c r="Z187" s="156" t="n">
        <f aca="false">ROUNDDOWN(Y187*10%,-1)</f>
        <v>0</v>
      </c>
      <c r="AA187" s="156" t="n">
        <f aca="false">IF(AF186&gt;=8,ROUNDDOWN(Z186*$R$4,-1),0)</f>
        <v>0</v>
      </c>
      <c r="AB187" s="145"/>
      <c r="AC187" s="146"/>
      <c r="AD187" s="423" t="n">
        <f aca="false">IF(ISERROR(VLOOKUP(D186,[35]일용직명단!$A$3:$I$1165,7,FALSE())),0,VLOOKUP(D186,[35]일용직명단!$A$3:$I$1165,7,FALSE()))</f>
        <v>0</v>
      </c>
      <c r="AE187" s="423"/>
      <c r="AF187" s="141"/>
      <c r="AG187" s="129"/>
      <c r="AH187" s="129"/>
      <c r="AI187" s="130"/>
      <c r="AJ187" s="130" t="n">
        <f aca="false">IF($X186*G187&gt;150000,($X186*G187-150000)*6%*45%,0)</f>
        <v>0</v>
      </c>
      <c r="AK187" s="130" t="n">
        <f aca="false">IF($X186*H187&gt;150000,($X186*H187-150000)*6%*45%,0)</f>
        <v>0</v>
      </c>
      <c r="AL187" s="130" t="n">
        <f aca="false">IF($X186*I187&gt;150000,($X186*I187-150000)*6%*45%,0)</f>
        <v>0</v>
      </c>
      <c r="AM187" s="130" t="n">
        <f aca="false">IF($X186*J187&gt;150000,($X186*J187-150000)*6%*45%,0)</f>
        <v>0</v>
      </c>
      <c r="AN187" s="130" t="n">
        <f aca="false">IF($X186*K187&gt;150000,($X186*K187-150000)*6%*45%,0)</f>
        <v>0</v>
      </c>
      <c r="AO187" s="130" t="n">
        <f aca="false">IF($X186*L187&gt;150000,($X186*L187-150000)*6%*45%,0)</f>
        <v>0</v>
      </c>
      <c r="AP187" s="130" t="n">
        <f aca="false">IF($X186*M187&gt;150000,($X186*M187-150000)*6%*45%,0)</f>
        <v>0</v>
      </c>
      <c r="AQ187" s="130" t="n">
        <f aca="false">IF($X186*N187&gt;150000,($X186*N187-150000)*6%*45%,0)</f>
        <v>0</v>
      </c>
      <c r="AR187" s="130" t="n">
        <f aca="false">IF($X186*O187&gt;150000,($X186*O187-150000)*6%*45%,0)</f>
        <v>0</v>
      </c>
      <c r="AS187" s="130" t="n">
        <f aca="false">IF($X186*P187&gt;150000,($X186*P187-150000)*6%*45%,0)</f>
        <v>0</v>
      </c>
      <c r="AT187" s="130" t="n">
        <f aca="false">IF($X186*Q187&gt;150000,($X186*Q187-150000)*6%*45%,0)</f>
        <v>0</v>
      </c>
      <c r="AU187" s="130" t="n">
        <f aca="false">IF($X186*R187&gt;150000,($X186*R187-150000)*6%*45%,0)</f>
        <v>0</v>
      </c>
      <c r="AV187" s="130" t="n">
        <f aca="false">IF($X186*S187&gt;150000,($X186*S187-150000)*6%*45%,0)</f>
        <v>0</v>
      </c>
      <c r="AW187" s="130" t="n">
        <f aca="false">IF($X186*T187&gt;150000,($X186*T187-150000)*6%*45%,0)</f>
        <v>0</v>
      </c>
      <c r="AX187" s="130" t="n">
        <f aca="false">IF($X186*U187&gt;150000,($X186*U187-150000)*6%*45%,0)</f>
        <v>0</v>
      </c>
      <c r="AY187" s="130" t="n">
        <f aca="false">IF($X186*V187&gt;150000,($X186*V187-150000)*6%*45%,0)</f>
        <v>0</v>
      </c>
      <c r="AZ187" s="13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1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1"/>
      <c r="FW187" s="11"/>
      <c r="FX187" s="11"/>
      <c r="FY187" s="11"/>
      <c r="FZ187" s="11"/>
      <c r="GA187" s="11"/>
      <c r="GB187" s="11"/>
      <c r="GC187" s="11"/>
      <c r="GD187" s="11"/>
      <c r="GE187" s="11"/>
      <c r="GF187" s="11"/>
      <c r="GG187" s="11"/>
      <c r="GH187" s="11"/>
      <c r="GI187" s="11"/>
      <c r="GJ187" s="11"/>
      <c r="GK187" s="11"/>
      <c r="GL187" s="11"/>
      <c r="GM187" s="11"/>
      <c r="GN187" s="11"/>
      <c r="GO187" s="11"/>
      <c r="GP187" s="11"/>
      <c r="GQ187" s="11"/>
      <c r="GR187" s="11"/>
      <c r="GS187" s="11"/>
      <c r="GT187" s="11"/>
      <c r="GU187" s="11"/>
      <c r="GV187" s="11"/>
      <c r="GW187" s="11"/>
      <c r="GX187" s="11"/>
      <c r="GY187" s="11"/>
      <c r="GZ187" s="11"/>
      <c r="HA187" s="11"/>
      <c r="HB187" s="11"/>
      <c r="HC187" s="11"/>
      <c r="HD187" s="11"/>
      <c r="HE187" s="11"/>
      <c r="HF187" s="11"/>
      <c r="HG187" s="11"/>
      <c r="HH187" s="11"/>
      <c r="HI187" s="11"/>
      <c r="HJ187" s="11"/>
      <c r="HK187" s="11"/>
      <c r="HL187" s="11"/>
      <c r="HM187" s="11"/>
      <c r="HN187" s="11"/>
      <c r="HO187" s="11"/>
      <c r="HP187" s="11"/>
      <c r="HQ187" s="11"/>
      <c r="HR187" s="11"/>
      <c r="HS187" s="11"/>
      <c r="HT187" s="11"/>
      <c r="HU187" s="11"/>
      <c r="HV187" s="11"/>
      <c r="HW187" s="11"/>
      <c r="HX187" s="11"/>
      <c r="HY187" s="11"/>
      <c r="HZ187" s="11"/>
      <c r="IA187" s="11"/>
      <c r="IB187" s="11"/>
      <c r="IC187" s="11"/>
      <c r="ID187" s="11"/>
      <c r="IE187" s="11"/>
      <c r="IF187" s="11"/>
      <c r="IG187" s="11"/>
      <c r="IH187" s="11"/>
      <c r="II187" s="11"/>
      <c r="IJ187" s="11"/>
      <c r="IK187" s="11"/>
      <c r="IL187" s="11"/>
      <c r="IM187" s="11"/>
      <c r="IN187" s="11"/>
      <c r="IO187" s="11"/>
      <c r="IP187" s="11"/>
      <c r="IQ187" s="11"/>
      <c r="IR187" s="11"/>
      <c r="IS187" s="11"/>
      <c r="IT187" s="11"/>
      <c r="IU187" s="11"/>
      <c r="IV187" s="11"/>
      <c r="IW187" s="11"/>
    </row>
    <row r="188" customFormat="false" ht="13.5" hidden="true" customHeight="true" outlineLevel="0" collapsed="false">
      <c r="A188" s="108" t="n">
        <f aca="false">A186+1</f>
        <v>38</v>
      </c>
      <c r="B188" s="404"/>
      <c r="C188" s="159" t="n">
        <f aca="false">IF(ISERROR(VLOOKUP(D188,[31]일용직명단!$A$3:$I$105,2,FALSE())),0,VLOOKUP(D188,[31]일용직명단!$A$3:$I$105,2,FALSE()))</f>
        <v>0</v>
      </c>
      <c r="D188" s="422"/>
      <c r="E188" s="311" t="n">
        <f aca="false">IF(ISERROR(VLOOKUP(D188,[35]일용직명단!$A$3:$K$1182,3,FALSE())),0,VLOOKUP(D188,[35]일용직명단!$A$3:$K$1182,3,FALSE()))</f>
        <v>0</v>
      </c>
      <c r="F188" s="160" t="n">
        <f aca="false">IF(ISERROR(VLOOKUP(D188,[35]일용직명단!$A$3:$K$1185,4,FALSE())),0,VLOOKUP(D188,[35]일용직명단!$A$3:$K$1185,4,FALSE()))</f>
        <v>0</v>
      </c>
      <c r="G188" s="417"/>
      <c r="H188" s="417"/>
      <c r="I188" s="417"/>
      <c r="J188" s="419"/>
      <c r="K188" s="417"/>
      <c r="L188" s="419"/>
      <c r="M188" s="417"/>
      <c r="N188" s="417"/>
      <c r="O188" s="420"/>
      <c r="P188" s="420"/>
      <c r="Q188" s="417"/>
      <c r="R188" s="420"/>
      <c r="S188" s="419"/>
      <c r="T188" s="420"/>
      <c r="U188" s="419"/>
      <c r="V188" s="421"/>
      <c r="W188" s="144" t="n">
        <f aca="false">SUM(G188:V189)</f>
        <v>0</v>
      </c>
      <c r="X188" s="211" t="n">
        <f aca="false">IF(ISERROR(VLOOKUP(D188,[35]일용직명단!$A$3:$K$1185,8,FALSE())),0,VLOOKUP(D188,[35]일용직명단!$A$3:$K$1185,8,FALSE()))</f>
        <v>0</v>
      </c>
      <c r="Y188" s="156" t="n">
        <f aca="false">IFERROR(IF(AH188&gt;=65,0,ROUNDDOWN(X189*$AA$4,-1)),0)</f>
        <v>0</v>
      </c>
      <c r="Z188" s="156" t="n">
        <f aca="false">IF(AF188&gt;=8,ROUNDDOWN(X189*$N$4,-1),0)</f>
        <v>0</v>
      </c>
      <c r="AA188" s="156" t="n">
        <f aca="false">IFERROR(IF(AND(COUNT(G188:V189)&gt;=8,$AH188&lt;60,X189&lt;=5530000),ROUNDDOWN(ROUNDDOWN(X189,-3)*4.5%,-1),IF(AND(COUNT(G188:V189)&gt;=8,AH188&lt;60,X189&gt;5530000),248850,0)),0)</f>
        <v>0</v>
      </c>
      <c r="AB188" s="145" t="n">
        <f aca="false">+Y188+Z188+Y189+Z189+AA188+AA189</f>
        <v>0</v>
      </c>
      <c r="AC188" s="146" t="n">
        <f aca="false">X189-AB188</f>
        <v>0</v>
      </c>
      <c r="AD188" s="422" t="n">
        <f aca="false">IF(ISERROR(VLOOKUP(D188,[35]일용직명단!$A$3:$I$1165,5,FALSE())),0,VLOOKUP(D188,[35]일용직명단!$A$3:$I$1165,5,FALSE()))</f>
        <v>0</v>
      </c>
      <c r="AE188" s="423" t="n">
        <f aca="false">IF(ISERROR(VLOOKUP(D188,[35]일용직명단!$A$3:$I$1165,6,FALSE())),0,VLOOKUP(D188,[35]일용직명단!$A$3:$I$1165,6,FALSE()))</f>
        <v>0</v>
      </c>
      <c r="AF188" s="141" t="n">
        <f aca="false">COUNT(G188:V189)</f>
        <v>0</v>
      </c>
      <c r="AG188" s="129" t="str">
        <f aca="false">IF(OR(MID(E188,8,1)="1",MID(E188,8,1)="2"),19&amp;LEFT(E188,2),20&amp;LEFT(E188,2))&amp;"-"&amp;MID(E188,3,2)&amp;"-"&amp;MID(E188,5,2)</f>
        <v>200--</v>
      </c>
      <c r="AH188" s="129" t="e">
        <f aca="true">INT((TODAY()-AG188)/365.25)</f>
        <v>#VALUE!</v>
      </c>
      <c r="AI188" s="130" t="n">
        <f aca="false">ROUNDDOWN(SUM(AJ188:AY189),-1)</f>
        <v>0</v>
      </c>
      <c r="AJ188" s="130" t="n">
        <f aca="false">IF($X188*G188&gt;150000,($X188*G188-150000)*6%*45%,0)</f>
        <v>0</v>
      </c>
      <c r="AK188" s="130" t="n">
        <f aca="false">IF($X188*H188&gt;150000,($X188*H188-150000)*6%*45%,0)</f>
        <v>0</v>
      </c>
      <c r="AL188" s="130" t="n">
        <f aca="false">IF($X188*I188&gt;150000,($X188*I188-150000)*6%*45%,0)</f>
        <v>0</v>
      </c>
      <c r="AM188" s="130" t="n">
        <f aca="false">IF($X188*J188&gt;150000,($X188*J188-150000)*6%*45%,0)</f>
        <v>0</v>
      </c>
      <c r="AN188" s="130" t="n">
        <f aca="false">IF($X188*K188&gt;150000,($X188*K188-150000)*6%*45%,0)</f>
        <v>0</v>
      </c>
      <c r="AO188" s="130" t="n">
        <f aca="false">IF($X188*L188&gt;150000,($X188*L188-150000)*6%*45%,0)</f>
        <v>0</v>
      </c>
      <c r="AP188" s="130" t="n">
        <f aca="false">IF($X188*M188&gt;150000,($X188*M188-150000)*6%*45%,0)</f>
        <v>0</v>
      </c>
      <c r="AQ188" s="130" t="n">
        <f aca="false">IF($X188*N188&gt;150000,($X188*N188-150000)*6%*45%,0)</f>
        <v>0</v>
      </c>
      <c r="AR188" s="130" t="n">
        <f aca="false">IF($X188*O188&gt;150000,($X188*O188-150000)*6%*45%,0)</f>
        <v>0</v>
      </c>
      <c r="AS188" s="130" t="n">
        <f aca="false">IF($X188*P188&gt;150000,($X188*P188-150000)*6%*45%,0)</f>
        <v>0</v>
      </c>
      <c r="AT188" s="130" t="n">
        <f aca="false">IF($X188*Q188&gt;150000,($X188*Q188-150000)*6%*45%,0)</f>
        <v>0</v>
      </c>
      <c r="AU188" s="130" t="n">
        <f aca="false">IF($X188*R188&gt;150000,($X188*R188-150000)*6%*45%,0)</f>
        <v>0</v>
      </c>
      <c r="AV188" s="130" t="n">
        <f aca="false">IF($X188*S188&gt;150000,($X188*S188-150000)*6%*45%,0)</f>
        <v>0</v>
      </c>
      <c r="AW188" s="130" t="n">
        <f aca="false">IF($X188*T188&gt;150000,($X188*T188-150000)*6%*45%,0)</f>
        <v>0</v>
      </c>
      <c r="AX188" s="130" t="n">
        <f aca="false">IF($X188*U188&gt;150000,($X188*U188-150000)*6%*45%,0)</f>
        <v>0</v>
      </c>
      <c r="AY188" s="130"/>
      <c r="AZ188" s="131" t="n">
        <f aca="false">IF(ISERROR(VLOOKUP(D188,[32]일용직명단!$A$3:$M$1151,11,FALSE())),0,VLOOKUP(D188,[32]일용직명단!$A$3:$M$1151,11,FALSE()))</f>
        <v>0</v>
      </c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  <c r="ED188" s="11"/>
      <c r="EE188" s="11"/>
      <c r="EF188" s="11"/>
      <c r="EG188" s="11"/>
      <c r="EH188" s="11"/>
      <c r="EI188" s="11"/>
      <c r="EJ188" s="11"/>
      <c r="EK188" s="11"/>
      <c r="EL188" s="11"/>
      <c r="EM188" s="11"/>
      <c r="EN188" s="11"/>
      <c r="EO188" s="11"/>
      <c r="EP188" s="11"/>
      <c r="EQ188" s="11"/>
      <c r="ER188" s="11"/>
      <c r="ES188" s="11"/>
      <c r="ET188" s="11"/>
      <c r="EU188" s="11"/>
      <c r="EV188" s="11"/>
      <c r="EW188" s="11"/>
      <c r="EX188" s="11"/>
      <c r="EY188" s="11"/>
      <c r="EZ188" s="11"/>
      <c r="FA188" s="11"/>
      <c r="FB188" s="11"/>
      <c r="FC188" s="11"/>
      <c r="FD188" s="11"/>
      <c r="FE188" s="11"/>
      <c r="FF188" s="11"/>
      <c r="FG188" s="11"/>
      <c r="FH188" s="11"/>
      <c r="FI188" s="11"/>
      <c r="FJ188" s="11"/>
      <c r="FK188" s="11"/>
      <c r="FL188" s="11"/>
      <c r="FM188" s="11"/>
      <c r="FN188" s="11"/>
      <c r="FO188" s="11"/>
      <c r="FP188" s="11"/>
      <c r="FQ188" s="11"/>
      <c r="FR188" s="11"/>
      <c r="FS188" s="11"/>
      <c r="FT188" s="11"/>
      <c r="FU188" s="11"/>
      <c r="FV188" s="11"/>
      <c r="FW188" s="11"/>
      <c r="FX188" s="11"/>
      <c r="FY188" s="11"/>
      <c r="FZ188" s="11"/>
      <c r="GA188" s="11"/>
      <c r="GB188" s="11"/>
      <c r="GC188" s="11"/>
      <c r="GD188" s="11"/>
      <c r="GE188" s="11"/>
      <c r="GF188" s="11"/>
      <c r="GG188" s="11"/>
      <c r="GH188" s="11"/>
      <c r="GI188" s="11"/>
      <c r="GJ188" s="11"/>
      <c r="GK188" s="11"/>
      <c r="GL188" s="11"/>
      <c r="GM188" s="11"/>
      <c r="GN188" s="11"/>
      <c r="GO188" s="11"/>
      <c r="GP188" s="11"/>
      <c r="GQ188" s="11"/>
      <c r="GR188" s="11"/>
      <c r="GS188" s="11"/>
      <c r="GT188" s="11"/>
      <c r="GU188" s="11"/>
      <c r="GV188" s="11"/>
      <c r="GW188" s="11"/>
      <c r="GX188" s="11"/>
      <c r="GY188" s="11"/>
      <c r="GZ188" s="11"/>
      <c r="HA188" s="11"/>
      <c r="HB188" s="11"/>
      <c r="HC188" s="11"/>
      <c r="HD188" s="11"/>
      <c r="HE188" s="11"/>
      <c r="HF188" s="11"/>
      <c r="HG188" s="11"/>
      <c r="HH188" s="11"/>
      <c r="HI188" s="11"/>
      <c r="HJ188" s="11"/>
      <c r="HK188" s="11"/>
      <c r="HL188" s="11"/>
      <c r="HM188" s="11"/>
      <c r="HN188" s="11"/>
      <c r="HO188" s="11"/>
      <c r="HP188" s="11"/>
      <c r="HQ188" s="11"/>
      <c r="HR188" s="11"/>
      <c r="HS188" s="11"/>
      <c r="HT188" s="11"/>
      <c r="HU188" s="11"/>
      <c r="HV188" s="11"/>
      <c r="HW188" s="11"/>
      <c r="HX188" s="11"/>
      <c r="HY188" s="11"/>
      <c r="HZ188" s="11"/>
      <c r="IA188" s="11"/>
      <c r="IB188" s="11"/>
      <c r="IC188" s="11"/>
      <c r="ID188" s="11"/>
      <c r="IE188" s="11"/>
      <c r="IF188" s="11"/>
      <c r="IG188" s="11"/>
      <c r="IH188" s="11"/>
      <c r="II188" s="11"/>
      <c r="IJ188" s="11"/>
      <c r="IK188" s="11"/>
      <c r="IL188" s="11"/>
      <c r="IM188" s="11"/>
      <c r="IN188" s="11"/>
      <c r="IO188" s="11"/>
      <c r="IP188" s="11"/>
      <c r="IQ188" s="11"/>
      <c r="IR188" s="11"/>
      <c r="IS188" s="11"/>
      <c r="IT188" s="11"/>
      <c r="IU188" s="11"/>
      <c r="IV188" s="11"/>
      <c r="IW188" s="11"/>
    </row>
    <row r="189" customFormat="false" ht="13.5" hidden="true" customHeight="true" outlineLevel="0" collapsed="false">
      <c r="A189" s="108"/>
      <c r="B189" s="404"/>
      <c r="C189" s="159"/>
      <c r="D189" s="422"/>
      <c r="E189" s="311"/>
      <c r="F189" s="160" t="n">
        <f aca="false">IF(ISERROR(VLOOKUP(D188,[35]일용직명단!$A$3:$K$1185,9,FALSE())),0,VLOOKUP(D188,[35]일용직명단!$A$3:$K$1185,9,FALSE()))</f>
        <v>0</v>
      </c>
      <c r="G189" s="417"/>
      <c r="H189" s="420"/>
      <c r="I189" s="419"/>
      <c r="J189" s="420"/>
      <c r="K189" s="419"/>
      <c r="L189" s="420"/>
      <c r="M189" s="417"/>
      <c r="N189" s="417"/>
      <c r="O189" s="420"/>
      <c r="P189" s="419"/>
      <c r="Q189" s="420"/>
      <c r="R189" s="420"/>
      <c r="S189" s="417"/>
      <c r="T189" s="417"/>
      <c r="U189" s="417"/>
      <c r="V189" s="417"/>
      <c r="W189" s="144"/>
      <c r="X189" s="138" t="n">
        <f aca="false">X188*W188</f>
        <v>0</v>
      </c>
      <c r="Y189" s="156" t="n">
        <f aca="false">IF(AI188&lt;1000,0,AI188)</f>
        <v>0</v>
      </c>
      <c r="Z189" s="156" t="n">
        <f aca="false">ROUNDDOWN(Y189*10%,-1)</f>
        <v>0</v>
      </c>
      <c r="AA189" s="156" t="n">
        <f aca="false">IF(AF188&gt;=8,ROUNDDOWN(Z188*$R$4,-1),0)</f>
        <v>0</v>
      </c>
      <c r="AB189" s="145"/>
      <c r="AC189" s="146"/>
      <c r="AD189" s="423" t="n">
        <f aca="false">IF(ISERROR(VLOOKUP(D188,[35]일용직명단!$A$3:$I$1165,7,FALSE())),0,VLOOKUP(D188,[35]일용직명단!$A$3:$I$1165,7,FALSE()))</f>
        <v>0</v>
      </c>
      <c r="AE189" s="423"/>
      <c r="AF189" s="141"/>
      <c r="AG189" s="129"/>
      <c r="AH189" s="129"/>
      <c r="AI189" s="130"/>
      <c r="AJ189" s="130" t="n">
        <f aca="false">IF($X188*G189&gt;150000,($X188*G189-150000)*6%*45%,0)</f>
        <v>0</v>
      </c>
      <c r="AK189" s="130" t="n">
        <f aca="false">IF($X188*H189&gt;150000,($X188*H189-150000)*6%*45%,0)</f>
        <v>0</v>
      </c>
      <c r="AL189" s="130" t="n">
        <f aca="false">IF($X188*I189&gt;150000,($X188*I189-150000)*6%*45%,0)</f>
        <v>0</v>
      </c>
      <c r="AM189" s="130" t="n">
        <f aca="false">IF($X188*J189&gt;150000,($X188*J189-150000)*6%*45%,0)</f>
        <v>0</v>
      </c>
      <c r="AN189" s="130" t="n">
        <f aca="false">IF($X188*K189&gt;150000,($X188*K189-150000)*6%*45%,0)</f>
        <v>0</v>
      </c>
      <c r="AO189" s="130" t="n">
        <f aca="false">IF($X188*L189&gt;150000,($X188*L189-150000)*6%*45%,0)</f>
        <v>0</v>
      </c>
      <c r="AP189" s="130" t="n">
        <f aca="false">IF($X188*M189&gt;150000,($X188*M189-150000)*6%*45%,0)</f>
        <v>0</v>
      </c>
      <c r="AQ189" s="130" t="n">
        <f aca="false">IF($X188*N189&gt;150000,($X188*N189-150000)*6%*45%,0)</f>
        <v>0</v>
      </c>
      <c r="AR189" s="130" t="n">
        <f aca="false">IF($X188*O189&gt;150000,($X188*O189-150000)*6%*45%,0)</f>
        <v>0</v>
      </c>
      <c r="AS189" s="130" t="n">
        <f aca="false">IF($X188*P189&gt;150000,($X188*P189-150000)*6%*45%,0)</f>
        <v>0</v>
      </c>
      <c r="AT189" s="130" t="n">
        <f aca="false">IF($X188*Q189&gt;150000,($X188*Q189-150000)*6%*45%,0)</f>
        <v>0</v>
      </c>
      <c r="AU189" s="130" t="n">
        <f aca="false">IF($X188*R189&gt;150000,($X188*R189-150000)*6%*45%,0)</f>
        <v>0</v>
      </c>
      <c r="AV189" s="130" t="n">
        <f aca="false">IF($X188*S189&gt;150000,($X188*S189-150000)*6%*45%,0)</f>
        <v>0</v>
      </c>
      <c r="AW189" s="130" t="n">
        <f aca="false">IF($X188*T189&gt;150000,($X188*T189-150000)*6%*45%,0)</f>
        <v>0</v>
      </c>
      <c r="AX189" s="130" t="n">
        <f aca="false">IF($X188*U189&gt;150000,($X188*U189-150000)*6%*45%,0)</f>
        <v>0</v>
      </c>
      <c r="AY189" s="130" t="n">
        <f aca="false">IF($X188*V189&gt;150000,($X188*V189-150000)*6%*45%,0)</f>
        <v>0</v>
      </c>
      <c r="AZ189" s="13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1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1"/>
      <c r="FW189" s="11"/>
      <c r="FX189" s="11"/>
      <c r="FY189" s="11"/>
      <c r="FZ189" s="11"/>
      <c r="GA189" s="11"/>
      <c r="GB189" s="11"/>
      <c r="GC189" s="11"/>
      <c r="GD189" s="11"/>
      <c r="GE189" s="11"/>
      <c r="GF189" s="11"/>
      <c r="GG189" s="11"/>
      <c r="GH189" s="11"/>
      <c r="GI189" s="11"/>
      <c r="GJ189" s="11"/>
      <c r="GK189" s="11"/>
      <c r="GL189" s="11"/>
      <c r="GM189" s="11"/>
      <c r="GN189" s="11"/>
      <c r="GO189" s="11"/>
      <c r="GP189" s="11"/>
      <c r="GQ189" s="11"/>
      <c r="GR189" s="11"/>
      <c r="GS189" s="11"/>
      <c r="GT189" s="11"/>
      <c r="GU189" s="11"/>
      <c r="GV189" s="11"/>
      <c r="GW189" s="11"/>
      <c r="GX189" s="11"/>
      <c r="GY189" s="11"/>
      <c r="GZ189" s="11"/>
      <c r="HA189" s="11"/>
      <c r="HB189" s="11"/>
      <c r="HC189" s="11"/>
      <c r="HD189" s="11"/>
      <c r="HE189" s="11"/>
      <c r="HF189" s="11"/>
      <c r="HG189" s="11"/>
      <c r="HH189" s="11"/>
      <c r="HI189" s="11"/>
      <c r="HJ189" s="11"/>
      <c r="HK189" s="11"/>
      <c r="HL189" s="11"/>
      <c r="HM189" s="11"/>
      <c r="HN189" s="11"/>
      <c r="HO189" s="11"/>
      <c r="HP189" s="11"/>
      <c r="HQ189" s="11"/>
      <c r="HR189" s="11"/>
      <c r="HS189" s="11"/>
      <c r="HT189" s="11"/>
      <c r="HU189" s="11"/>
      <c r="HV189" s="11"/>
      <c r="HW189" s="11"/>
      <c r="HX189" s="11"/>
      <c r="HY189" s="11"/>
      <c r="HZ189" s="11"/>
      <c r="IA189" s="11"/>
      <c r="IB189" s="11"/>
      <c r="IC189" s="11"/>
      <c r="ID189" s="11"/>
      <c r="IE189" s="11"/>
      <c r="IF189" s="11"/>
      <c r="IG189" s="11"/>
      <c r="IH189" s="11"/>
      <c r="II189" s="11"/>
      <c r="IJ189" s="11"/>
      <c r="IK189" s="11"/>
      <c r="IL189" s="11"/>
      <c r="IM189" s="11"/>
      <c r="IN189" s="11"/>
      <c r="IO189" s="11"/>
      <c r="IP189" s="11"/>
      <c r="IQ189" s="11"/>
      <c r="IR189" s="11"/>
      <c r="IS189" s="11"/>
      <c r="IT189" s="11"/>
      <c r="IU189" s="11"/>
      <c r="IV189" s="11"/>
      <c r="IW189" s="11"/>
    </row>
    <row r="190" customFormat="false" ht="13.5" hidden="true" customHeight="true" outlineLevel="0" collapsed="false">
      <c r="A190" s="108" t="n">
        <f aca="false">A188+1</f>
        <v>39</v>
      </c>
      <c r="B190" s="402"/>
      <c r="C190" s="403"/>
      <c r="D190" s="110"/>
      <c r="E190" s="311" t="n">
        <f aca="false">IF(ISERROR(VLOOKUP(D190,[31]일용직명단!$A$3:$K$1220,3,FALSE())),0,VLOOKUP(D190,[31]일용직명단!$A$3:$K$1220,3,FALSE()))</f>
        <v>0</v>
      </c>
      <c r="F190" s="140" t="n">
        <f aca="false">IF(ISERROR(VLOOKUP(D190,[31]일용직명단!$A$3:$K$1220,4,FALSE())),0,VLOOKUP(D190,[31]일용직명단!$A$3:$K$1220,4,FALSE()))</f>
        <v>0</v>
      </c>
      <c r="G190" s="417"/>
      <c r="H190" s="417"/>
      <c r="I190" s="417"/>
      <c r="J190" s="419"/>
      <c r="K190" s="417"/>
      <c r="L190" s="419"/>
      <c r="M190" s="417"/>
      <c r="N190" s="417"/>
      <c r="O190" s="424"/>
      <c r="P190" s="424"/>
      <c r="Q190" s="424"/>
      <c r="R190" s="424"/>
      <c r="S190" s="419"/>
      <c r="T190" s="424"/>
      <c r="U190" s="419"/>
      <c r="V190" s="416"/>
      <c r="W190" s="168" t="n">
        <f aca="false">SUM(G190:V191)</f>
        <v>0</v>
      </c>
      <c r="X190" s="211" t="n">
        <f aca="false">IF(ISERROR(VLOOKUP(D190,[35]일용직명단!$A$3:$K$1185,8,FALSE())),0,VLOOKUP(D190,[35]일용직명단!$A$3:$K$1185,8,FALSE()))</f>
        <v>0</v>
      </c>
      <c r="Y190" s="123" t="n">
        <f aca="false">IFERROR(IF(AH190&gt;=65,0,ROUNDDOWN(X191*$AA$4,-1)),0)</f>
        <v>0</v>
      </c>
      <c r="Z190" s="123" t="n">
        <f aca="false">IF(AF190&gt;=8,ROUNDDOWN(X191*$N$4,-1),0)</f>
        <v>0</v>
      </c>
      <c r="AA190" s="123" t="n">
        <f aca="false">IFERROR(IF(AND(COUNT(G190:V191)&gt;=8,$AH190&lt;60,X191&lt;=5530000),ROUNDDOWN(ROUNDDOWN(X191,-3)*4.5%,-1),IF(AND(COUNT(G190:V191)&gt;=8,AH190&lt;60,X191&gt;5530000),248850,0)),0)</f>
        <v>0</v>
      </c>
      <c r="AB190" s="145" t="n">
        <f aca="false">+Y190+Z190+Y191+Z191+AA190+AA191</f>
        <v>0</v>
      </c>
      <c r="AC190" s="146" t="n">
        <f aca="false">X191-AB190</f>
        <v>0</v>
      </c>
      <c r="AD190" s="413" t="n">
        <f aca="false">IF(ISERROR(VLOOKUP(D190,[31]일용직명단!$A$3:$I$1200,5,FALSE())),0,VLOOKUP(D190,[31]일용직명단!$A$3:$I$1200,5,FALSE()))</f>
        <v>0</v>
      </c>
      <c r="AE190" s="414" t="n">
        <f aca="false">IF(ISERROR(VLOOKUP(D190,[31]일용직명단!$A$3:$I$1200,6,FALSE())),0,VLOOKUP(D190,[31]일용직명단!$A$3:$I$1200,6,FALSE()))</f>
        <v>0</v>
      </c>
      <c r="AF190" s="141" t="n">
        <f aca="false">COUNT(G190:V191)</f>
        <v>0</v>
      </c>
      <c r="AG190" s="169" t="str">
        <f aca="false">IF(OR(MID(E190,8,1)="1",MID(E190,8,1)="2"),19&amp;LEFT(E190,2),20&amp;LEFT(E190,2))&amp;"-"&amp;MID(E190,3,2)&amp;"-"&amp;MID(E190,5,2)</f>
        <v>200--</v>
      </c>
      <c r="AH190" s="169" t="e">
        <f aca="true">INT((TODAY()-AG190)/365.25)</f>
        <v>#VALUE!</v>
      </c>
      <c r="AI190" s="130" t="n">
        <f aca="false">ROUNDDOWN(SUM(AJ190:AY191),-1)</f>
        <v>0</v>
      </c>
      <c r="AJ190" s="130" t="n">
        <f aca="false">IF($X190*G190&gt;150000,($X190*G190-150000)*6%*45%,0)</f>
        <v>0</v>
      </c>
      <c r="AK190" s="130" t="n">
        <f aca="false">IF($X190*H190&gt;150000,($X190*H190-150000)*6%*45%,0)</f>
        <v>0</v>
      </c>
      <c r="AL190" s="130" t="n">
        <f aca="false">IF($X190*I190&gt;150000,($X190*I190-150000)*6%*45%,0)</f>
        <v>0</v>
      </c>
      <c r="AM190" s="130" t="n">
        <f aca="false">IF($X190*J190&gt;150000,($X190*J190-150000)*6%*45%,0)</f>
        <v>0</v>
      </c>
      <c r="AN190" s="130" t="n">
        <f aca="false">IF($X190*K190&gt;150000,($X190*K190-150000)*6%*45%,0)</f>
        <v>0</v>
      </c>
      <c r="AO190" s="130" t="n">
        <f aca="false">IF($X190*L190&gt;150000,($X190*L190-150000)*6%*45%,0)</f>
        <v>0</v>
      </c>
      <c r="AP190" s="130" t="n">
        <f aca="false">IF($X190*M190&gt;150000,($X190*M190-150000)*6%*45%,0)</f>
        <v>0</v>
      </c>
      <c r="AQ190" s="130" t="n">
        <f aca="false">IF($X190*N190&gt;150000,($X190*N190-150000)*6%*45%,0)</f>
        <v>0</v>
      </c>
      <c r="AR190" s="130" t="n">
        <f aca="false">IF($X190*O190&gt;150000,($X190*O190-150000)*6%*45%,0)</f>
        <v>0</v>
      </c>
      <c r="AS190" s="130" t="n">
        <f aca="false">IF($X190*P190&gt;150000,($X190*P190-150000)*6%*45%,0)</f>
        <v>0</v>
      </c>
      <c r="AT190" s="130" t="n">
        <f aca="false">IF($X190*Q190&gt;150000,($X190*Q190-150000)*6%*45%,0)</f>
        <v>0</v>
      </c>
      <c r="AU190" s="130" t="n">
        <f aca="false">IF($X190*R190&gt;150000,($X190*R190-150000)*6%*45%,0)</f>
        <v>0</v>
      </c>
      <c r="AV190" s="130" t="n">
        <f aca="false">IF($X190*S190&gt;150000,($X190*S190-150000)*6%*45%,0)</f>
        <v>0</v>
      </c>
      <c r="AW190" s="130" t="n">
        <f aca="false">IF($X190*T190&gt;150000,($X190*T190-150000)*6%*45%,0)</f>
        <v>0</v>
      </c>
      <c r="AX190" s="130" t="n">
        <f aca="false">IF($X190*U190&gt;150000,($X190*U190-150000)*6%*45%,0)</f>
        <v>0</v>
      </c>
      <c r="AY190" s="130"/>
      <c r="AZ190" s="131" t="n">
        <f aca="false">IF(ISERROR(VLOOKUP(D190,[32]일용직명단!$A$3:$M$1151,11,FALSE())),0,VLOOKUP(D190,[32]일용직명단!$A$3:$M$1151,11,FALSE()))</f>
        <v>0</v>
      </c>
      <c r="BA190" s="11"/>
      <c r="BC190" s="358"/>
      <c r="BD190" s="358"/>
      <c r="BE190" s="358"/>
      <c r="BF190" s="358"/>
      <c r="BG190" s="358"/>
      <c r="BH190" s="358"/>
      <c r="BI190" s="358"/>
      <c r="BJ190" s="358"/>
      <c r="BK190" s="358"/>
      <c r="BL190" s="358"/>
      <c r="BM190" s="358"/>
      <c r="BN190" s="358"/>
      <c r="BO190" s="358"/>
      <c r="BP190" s="358"/>
      <c r="BQ190" s="358"/>
      <c r="BR190" s="358"/>
      <c r="BS190" s="358"/>
      <c r="BT190" s="358"/>
      <c r="BU190" s="358"/>
      <c r="BV190" s="358"/>
      <c r="BW190" s="358"/>
      <c r="BX190" s="358"/>
      <c r="BY190" s="358"/>
      <c r="BZ190" s="358"/>
      <c r="CA190" s="358"/>
      <c r="CB190" s="358"/>
      <c r="CC190" s="358"/>
      <c r="CD190" s="358"/>
      <c r="CE190" s="358"/>
      <c r="CF190" s="358"/>
      <c r="CG190" s="358"/>
      <c r="CH190" s="358"/>
      <c r="CI190" s="358"/>
      <c r="CJ190" s="358"/>
      <c r="CK190" s="358"/>
      <c r="CL190" s="358"/>
      <c r="CM190" s="358"/>
      <c r="CN190" s="358"/>
      <c r="CO190" s="358"/>
      <c r="CP190" s="358"/>
      <c r="CQ190" s="358"/>
      <c r="CR190" s="358"/>
      <c r="CS190" s="358"/>
      <c r="CT190" s="358"/>
      <c r="CU190" s="358"/>
      <c r="CV190" s="358"/>
      <c r="CW190" s="358"/>
      <c r="CX190" s="358"/>
      <c r="CY190" s="358"/>
      <c r="CZ190" s="358"/>
      <c r="DA190" s="358"/>
      <c r="DB190" s="358"/>
      <c r="DC190" s="358"/>
      <c r="DD190" s="358"/>
      <c r="DE190" s="358"/>
      <c r="DF190" s="358"/>
      <c r="DG190" s="358"/>
      <c r="DH190" s="358"/>
      <c r="DI190" s="358"/>
      <c r="DJ190" s="358"/>
      <c r="DK190" s="358"/>
      <c r="DL190" s="358"/>
      <c r="DM190" s="358"/>
      <c r="DN190" s="358"/>
      <c r="DO190" s="358"/>
      <c r="DP190" s="358"/>
      <c r="DQ190" s="358"/>
      <c r="DR190" s="358"/>
      <c r="DS190" s="358"/>
      <c r="DT190" s="358"/>
      <c r="DU190" s="358"/>
      <c r="DV190" s="358"/>
      <c r="DW190" s="358"/>
      <c r="DX190" s="358"/>
      <c r="DY190" s="358"/>
      <c r="DZ190" s="358"/>
      <c r="EA190" s="358"/>
      <c r="EB190" s="358"/>
      <c r="EC190" s="358"/>
      <c r="ED190" s="358"/>
      <c r="EE190" s="358"/>
      <c r="EF190" s="358"/>
      <c r="EG190" s="358"/>
      <c r="EH190" s="358"/>
      <c r="EI190" s="358"/>
      <c r="EJ190" s="358"/>
      <c r="EK190" s="358"/>
      <c r="EL190" s="358"/>
      <c r="EM190" s="358"/>
      <c r="EN190" s="358"/>
      <c r="EO190" s="358"/>
      <c r="EP190" s="358"/>
      <c r="EQ190" s="358"/>
      <c r="ER190" s="358"/>
      <c r="ES190" s="358"/>
      <c r="ET190" s="358"/>
      <c r="EU190" s="358"/>
      <c r="EV190" s="358"/>
      <c r="EW190" s="358"/>
      <c r="EX190" s="358"/>
      <c r="EY190" s="358"/>
      <c r="EZ190" s="358"/>
      <c r="FA190" s="358"/>
      <c r="FB190" s="358"/>
      <c r="FC190" s="358"/>
      <c r="FD190" s="358"/>
      <c r="FE190" s="358"/>
      <c r="FF190" s="358"/>
      <c r="FG190" s="358"/>
      <c r="FH190" s="358"/>
      <c r="FI190" s="358"/>
      <c r="FJ190" s="358"/>
      <c r="FK190" s="358"/>
      <c r="FL190" s="358"/>
      <c r="FM190" s="358"/>
      <c r="FN190" s="358"/>
      <c r="FO190" s="358"/>
      <c r="FP190" s="358"/>
      <c r="FQ190" s="358"/>
      <c r="FR190" s="358"/>
      <c r="FS190" s="358"/>
      <c r="FT190" s="358"/>
      <c r="FU190" s="358"/>
      <c r="FV190" s="358"/>
      <c r="FW190" s="358"/>
      <c r="FX190" s="358"/>
      <c r="FY190" s="358"/>
      <c r="FZ190" s="358"/>
      <c r="GA190" s="358"/>
      <c r="GB190" s="358"/>
      <c r="GC190" s="358"/>
      <c r="GD190" s="358"/>
      <c r="GE190" s="358"/>
      <c r="GF190" s="358"/>
      <c r="GG190" s="358"/>
      <c r="GH190" s="358"/>
      <c r="GI190" s="358"/>
      <c r="GJ190" s="358"/>
      <c r="GK190" s="358"/>
      <c r="GL190" s="358"/>
      <c r="GM190" s="358"/>
      <c r="GN190" s="358"/>
      <c r="GO190" s="358"/>
      <c r="GP190" s="358"/>
      <c r="GQ190" s="358"/>
      <c r="GR190" s="358"/>
      <c r="GS190" s="358"/>
      <c r="GT190" s="358"/>
      <c r="GU190" s="358"/>
      <c r="GV190" s="358"/>
      <c r="GW190" s="358"/>
      <c r="GX190" s="358"/>
      <c r="GY190" s="358"/>
      <c r="GZ190" s="358"/>
      <c r="HA190" s="358"/>
      <c r="HB190" s="358"/>
      <c r="HC190" s="358"/>
      <c r="HD190" s="358"/>
      <c r="HE190" s="358"/>
      <c r="HF190" s="358"/>
      <c r="HG190" s="358"/>
      <c r="HH190" s="358"/>
      <c r="HI190" s="358"/>
      <c r="HJ190" s="358"/>
      <c r="HK190" s="358"/>
      <c r="HL190" s="358"/>
      <c r="HM190" s="358"/>
      <c r="HN190" s="358"/>
      <c r="HO190" s="358"/>
      <c r="HP190" s="358"/>
      <c r="HQ190" s="358"/>
      <c r="HR190" s="358"/>
      <c r="HS190" s="358"/>
      <c r="HT190" s="358"/>
      <c r="HU190" s="358"/>
      <c r="HV190" s="358"/>
      <c r="HW190" s="358"/>
      <c r="HX190" s="358"/>
      <c r="HY190" s="358"/>
      <c r="HZ190" s="358"/>
      <c r="IA190" s="358"/>
      <c r="IB190" s="358"/>
      <c r="IC190" s="358"/>
      <c r="ID190" s="358"/>
      <c r="IE190" s="358"/>
      <c r="IF190" s="358"/>
      <c r="IG190" s="358"/>
      <c r="IH190" s="358"/>
      <c r="II190" s="358"/>
      <c r="IJ190" s="358"/>
      <c r="IK190" s="358"/>
      <c r="IL190" s="358"/>
      <c r="IM190" s="358"/>
      <c r="IN190" s="358"/>
      <c r="IO190" s="358"/>
      <c r="IP190" s="358"/>
      <c r="IQ190" s="358"/>
    </row>
    <row r="191" customFormat="false" ht="13.5" hidden="true" customHeight="true" outlineLevel="0" collapsed="false">
      <c r="A191" s="108"/>
      <c r="B191" s="402"/>
      <c r="C191" s="403"/>
      <c r="D191" s="110"/>
      <c r="E191" s="311"/>
      <c r="F191" s="140" t="n">
        <f aca="false">IF(ISERROR(VLOOKUP(D190,[31]일용직명단!$A$3:$K$1220,9,FALSE())),0,VLOOKUP(D190,[31]일용직명단!$A$3:$K$1220,9,FALSE()))</f>
        <v>0</v>
      </c>
      <c r="G191" s="417"/>
      <c r="H191" s="424"/>
      <c r="I191" s="419"/>
      <c r="J191" s="424"/>
      <c r="K191" s="419"/>
      <c r="L191" s="424"/>
      <c r="M191" s="424"/>
      <c r="N191" s="419"/>
      <c r="O191" s="424"/>
      <c r="P191" s="419"/>
      <c r="Q191" s="424"/>
      <c r="R191" s="424"/>
      <c r="S191" s="417"/>
      <c r="T191" s="417"/>
      <c r="U191" s="417"/>
      <c r="V191" s="417"/>
      <c r="W191" s="168"/>
      <c r="X191" s="138" t="n">
        <f aca="false">X190*W190</f>
        <v>0</v>
      </c>
      <c r="Y191" s="123" t="n">
        <f aca="false">IF(AI190&lt;1000,0,AI190)</f>
        <v>0</v>
      </c>
      <c r="Z191" s="123" t="n">
        <f aca="false">ROUNDDOWN(Y191*10%,-1)</f>
        <v>0</v>
      </c>
      <c r="AA191" s="123" t="n">
        <f aca="false">IF(AF190&gt;=8,ROUNDDOWN(Z190*$R$4,-1),0)</f>
        <v>0</v>
      </c>
      <c r="AB191" s="145"/>
      <c r="AC191" s="146"/>
      <c r="AD191" s="414" t="n">
        <f aca="false">IF(ISERROR(VLOOKUP(D190,[31]일용직명단!$A$3:$I$1200,7,FALSE())),0,VLOOKUP(D190,[31]일용직명단!$A$3:$I$1200,7,FALSE()))</f>
        <v>0</v>
      </c>
      <c r="AE191" s="414"/>
      <c r="AF191" s="141"/>
      <c r="AG191" s="169"/>
      <c r="AH191" s="169"/>
      <c r="AI191" s="130"/>
      <c r="AJ191" s="130" t="n">
        <f aca="false">IF($X190*G191&gt;150000,($X190*G191-150000)*6%*45%,0)</f>
        <v>0</v>
      </c>
      <c r="AK191" s="130" t="n">
        <f aca="false">IF($X190*H191&gt;150000,($X190*H191-150000)*6%*45%,0)</f>
        <v>0</v>
      </c>
      <c r="AL191" s="130" t="n">
        <f aca="false">IF($X190*I191&gt;150000,($X190*I191-150000)*6%*45%,0)</f>
        <v>0</v>
      </c>
      <c r="AM191" s="130" t="n">
        <f aca="false">IF($X190*J191&gt;150000,($X190*J191-150000)*6%*45%,0)</f>
        <v>0</v>
      </c>
      <c r="AN191" s="130" t="n">
        <f aca="false">IF($X190*K191&gt;150000,($X190*K191-150000)*6%*45%,0)</f>
        <v>0</v>
      </c>
      <c r="AO191" s="130" t="n">
        <f aca="false">IF($X190*L191&gt;150000,($X190*L191-150000)*6%*45%,0)</f>
        <v>0</v>
      </c>
      <c r="AP191" s="130" t="n">
        <f aca="false">IF($X190*M191&gt;150000,($X190*M191-150000)*6%*45%,0)</f>
        <v>0</v>
      </c>
      <c r="AQ191" s="130" t="n">
        <f aca="false">IF($X190*N191&gt;150000,($X190*N191-150000)*6%*45%,0)</f>
        <v>0</v>
      </c>
      <c r="AR191" s="130" t="n">
        <f aca="false">IF($X190*O191&gt;150000,($X190*O191-150000)*6%*45%,0)</f>
        <v>0</v>
      </c>
      <c r="AS191" s="130" t="n">
        <f aca="false">IF($X190*P191&gt;150000,($X190*P191-150000)*6%*45%,0)</f>
        <v>0</v>
      </c>
      <c r="AT191" s="130" t="n">
        <f aca="false">IF($X190*Q191&gt;150000,($X190*Q191-150000)*6%*45%,0)</f>
        <v>0</v>
      </c>
      <c r="AU191" s="130" t="n">
        <f aca="false">IF($X190*R191&gt;150000,($X190*R191-150000)*6%*45%,0)</f>
        <v>0</v>
      </c>
      <c r="AV191" s="130" t="n">
        <f aca="false">IF($X190*S191&gt;150000,($X190*S191-150000)*6%*45%,0)</f>
        <v>0</v>
      </c>
      <c r="AW191" s="130" t="n">
        <f aca="false">IF($X190*T191&gt;150000,($X190*T191-150000)*6%*45%,0)</f>
        <v>0</v>
      </c>
      <c r="AX191" s="130" t="n">
        <f aca="false">IF($X190*U191&gt;150000,($X190*U191-150000)*6%*45%,0)</f>
        <v>0</v>
      </c>
      <c r="AY191" s="130" t="n">
        <f aca="false">IF($X190*V191&gt;150000,($X190*V191-150000)*6%*45%,0)</f>
        <v>0</v>
      </c>
      <c r="AZ191" s="131"/>
      <c r="BA191" s="11"/>
      <c r="BC191" s="358"/>
      <c r="BD191" s="358"/>
      <c r="BE191" s="358"/>
      <c r="BF191" s="358"/>
      <c r="BG191" s="358"/>
      <c r="BH191" s="358"/>
      <c r="BI191" s="358"/>
      <c r="BJ191" s="358"/>
      <c r="BK191" s="358"/>
      <c r="BL191" s="358"/>
      <c r="BM191" s="358"/>
      <c r="BN191" s="358"/>
      <c r="BO191" s="358"/>
      <c r="BP191" s="358"/>
      <c r="BQ191" s="358"/>
      <c r="BR191" s="358"/>
      <c r="BS191" s="358"/>
      <c r="BT191" s="358"/>
      <c r="BU191" s="358"/>
      <c r="BV191" s="358"/>
      <c r="BW191" s="358"/>
      <c r="BX191" s="358"/>
      <c r="BY191" s="358"/>
      <c r="BZ191" s="358"/>
      <c r="CA191" s="358"/>
      <c r="CB191" s="358"/>
      <c r="CC191" s="358"/>
      <c r="CD191" s="358"/>
      <c r="CE191" s="358"/>
      <c r="CF191" s="358"/>
      <c r="CG191" s="358"/>
      <c r="CH191" s="358"/>
      <c r="CI191" s="358"/>
      <c r="CJ191" s="358"/>
      <c r="CK191" s="358"/>
      <c r="CL191" s="358"/>
      <c r="CM191" s="358"/>
      <c r="CN191" s="358"/>
      <c r="CO191" s="358"/>
      <c r="CP191" s="358"/>
      <c r="CQ191" s="358"/>
      <c r="CR191" s="358"/>
      <c r="CS191" s="358"/>
      <c r="CT191" s="358"/>
      <c r="CU191" s="358"/>
      <c r="CV191" s="358"/>
      <c r="CW191" s="358"/>
      <c r="CX191" s="358"/>
      <c r="CY191" s="358"/>
      <c r="CZ191" s="358"/>
      <c r="DA191" s="358"/>
      <c r="DB191" s="358"/>
      <c r="DC191" s="358"/>
      <c r="DD191" s="358"/>
      <c r="DE191" s="358"/>
      <c r="DF191" s="358"/>
      <c r="DG191" s="358"/>
      <c r="DH191" s="358"/>
      <c r="DI191" s="358"/>
      <c r="DJ191" s="358"/>
      <c r="DK191" s="358"/>
      <c r="DL191" s="358"/>
      <c r="DM191" s="358"/>
      <c r="DN191" s="358"/>
      <c r="DO191" s="358"/>
      <c r="DP191" s="358"/>
      <c r="DQ191" s="358"/>
      <c r="DR191" s="358"/>
      <c r="DS191" s="358"/>
      <c r="DT191" s="358"/>
      <c r="DU191" s="358"/>
      <c r="DV191" s="358"/>
      <c r="DW191" s="358"/>
      <c r="DX191" s="358"/>
      <c r="DY191" s="358"/>
      <c r="DZ191" s="358"/>
      <c r="EA191" s="358"/>
      <c r="EB191" s="358"/>
      <c r="EC191" s="358"/>
      <c r="ED191" s="358"/>
      <c r="EE191" s="358"/>
      <c r="EF191" s="358"/>
      <c r="EG191" s="358"/>
      <c r="EH191" s="358"/>
      <c r="EI191" s="358"/>
      <c r="EJ191" s="358"/>
      <c r="EK191" s="358"/>
      <c r="EL191" s="358"/>
      <c r="EM191" s="358"/>
      <c r="EN191" s="358"/>
      <c r="EO191" s="358"/>
      <c r="EP191" s="358"/>
      <c r="EQ191" s="358"/>
      <c r="ER191" s="358"/>
      <c r="ES191" s="358"/>
      <c r="ET191" s="358"/>
      <c r="EU191" s="358"/>
      <c r="EV191" s="358"/>
      <c r="EW191" s="358"/>
      <c r="EX191" s="358"/>
      <c r="EY191" s="358"/>
      <c r="EZ191" s="358"/>
      <c r="FA191" s="358"/>
      <c r="FB191" s="358"/>
      <c r="FC191" s="358"/>
      <c r="FD191" s="358"/>
      <c r="FE191" s="358"/>
      <c r="FF191" s="358"/>
      <c r="FG191" s="358"/>
      <c r="FH191" s="358"/>
      <c r="FI191" s="358"/>
      <c r="FJ191" s="358"/>
      <c r="FK191" s="358"/>
      <c r="FL191" s="358"/>
      <c r="FM191" s="358"/>
      <c r="FN191" s="358"/>
      <c r="FO191" s="358"/>
      <c r="FP191" s="358"/>
      <c r="FQ191" s="358"/>
      <c r="FR191" s="358"/>
      <c r="FS191" s="358"/>
      <c r="FT191" s="358"/>
      <c r="FU191" s="358"/>
      <c r="FV191" s="358"/>
      <c r="FW191" s="358"/>
      <c r="FX191" s="358"/>
      <c r="FY191" s="358"/>
      <c r="FZ191" s="358"/>
      <c r="GA191" s="358"/>
      <c r="GB191" s="358"/>
      <c r="GC191" s="358"/>
      <c r="GD191" s="358"/>
      <c r="GE191" s="358"/>
      <c r="GF191" s="358"/>
      <c r="GG191" s="358"/>
      <c r="GH191" s="358"/>
      <c r="GI191" s="358"/>
      <c r="GJ191" s="358"/>
      <c r="GK191" s="358"/>
      <c r="GL191" s="358"/>
      <c r="GM191" s="358"/>
      <c r="GN191" s="358"/>
      <c r="GO191" s="358"/>
      <c r="GP191" s="358"/>
      <c r="GQ191" s="358"/>
      <c r="GR191" s="358"/>
      <c r="GS191" s="358"/>
      <c r="GT191" s="358"/>
      <c r="GU191" s="358"/>
      <c r="GV191" s="358"/>
      <c r="GW191" s="358"/>
      <c r="GX191" s="358"/>
      <c r="GY191" s="358"/>
      <c r="GZ191" s="358"/>
      <c r="HA191" s="358"/>
      <c r="HB191" s="358"/>
      <c r="HC191" s="358"/>
      <c r="HD191" s="358"/>
      <c r="HE191" s="358"/>
      <c r="HF191" s="358"/>
      <c r="HG191" s="358"/>
      <c r="HH191" s="358"/>
      <c r="HI191" s="358"/>
      <c r="HJ191" s="358"/>
      <c r="HK191" s="358"/>
      <c r="HL191" s="358"/>
      <c r="HM191" s="358"/>
      <c r="HN191" s="358"/>
      <c r="HO191" s="358"/>
      <c r="HP191" s="358"/>
      <c r="HQ191" s="358"/>
      <c r="HR191" s="358"/>
      <c r="HS191" s="358"/>
      <c r="HT191" s="358"/>
      <c r="HU191" s="358"/>
      <c r="HV191" s="358"/>
      <c r="HW191" s="358"/>
      <c r="HX191" s="358"/>
      <c r="HY191" s="358"/>
      <c r="HZ191" s="358"/>
      <c r="IA191" s="358"/>
      <c r="IB191" s="358"/>
      <c r="IC191" s="358"/>
      <c r="ID191" s="358"/>
      <c r="IE191" s="358"/>
      <c r="IF191" s="358"/>
      <c r="IG191" s="358"/>
      <c r="IH191" s="358"/>
      <c r="II191" s="358"/>
      <c r="IJ191" s="358"/>
      <c r="IK191" s="358"/>
      <c r="IL191" s="358"/>
      <c r="IM191" s="358"/>
      <c r="IN191" s="358"/>
      <c r="IO191" s="358"/>
      <c r="IP191" s="358"/>
      <c r="IQ191" s="358"/>
    </row>
    <row r="192" customFormat="false" ht="13.5" hidden="true" customHeight="true" outlineLevel="0" collapsed="false">
      <c r="A192" s="108" t="n">
        <f aca="false">A190+1</f>
        <v>40</v>
      </c>
      <c r="B192" s="402"/>
      <c r="C192" s="403"/>
      <c r="D192" s="110"/>
      <c r="E192" s="311" t="n">
        <f aca="false">IF(ISERROR(VLOOKUP(D192,[31]일용직명단!$A$3:$K$1220,3,FALSE())),0,VLOOKUP(D192,[31]일용직명단!$A$3:$K$1220,3,FALSE()))</f>
        <v>0</v>
      </c>
      <c r="F192" s="140" t="n">
        <f aca="false">IF(ISERROR(VLOOKUP(D192,[31]일용직명단!$A$3:$K$1220,4,FALSE())),0,VLOOKUP(D192,[31]일용직명단!$A$3:$K$1220,4,FALSE()))</f>
        <v>0</v>
      </c>
      <c r="G192" s="417"/>
      <c r="H192" s="417"/>
      <c r="I192" s="417"/>
      <c r="J192" s="419"/>
      <c r="K192" s="417"/>
      <c r="L192" s="419"/>
      <c r="M192" s="417"/>
      <c r="N192" s="417"/>
      <c r="O192" s="424"/>
      <c r="P192" s="424"/>
      <c r="Q192" s="424"/>
      <c r="R192" s="424"/>
      <c r="S192" s="419"/>
      <c r="T192" s="424"/>
      <c r="U192" s="419"/>
      <c r="V192" s="416"/>
      <c r="W192" s="168" t="n">
        <f aca="false">SUM(G192:V193)</f>
        <v>0</v>
      </c>
      <c r="X192" s="211" t="n">
        <f aca="false">IF(ISERROR(VLOOKUP(D192,[35]일용직명단!$A$3:$K$1185,8,FALSE())),0,VLOOKUP(D192,[35]일용직명단!$A$3:$K$1185,8,FALSE()))</f>
        <v>0</v>
      </c>
      <c r="Y192" s="123" t="n">
        <f aca="false">IFERROR(IF(AH192&gt;=65,0,ROUNDDOWN(X193*$AA$4,-1)),0)</f>
        <v>0</v>
      </c>
      <c r="Z192" s="123" t="n">
        <f aca="false">IF(AF192&gt;=8,ROUNDDOWN(X193*$N$4,-1),0)</f>
        <v>0</v>
      </c>
      <c r="AA192" s="123" t="n">
        <f aca="false">IFERROR(IF(AND(COUNT(G192:V193)&gt;=8,$AH192&lt;60,X193&lt;=5530000),ROUNDDOWN(ROUNDDOWN(X193,-3)*4.5%,-1),IF(AND(COUNT(G192:V193)&gt;=8,AH192&lt;60,X193&gt;5530000),248850,0)),0)</f>
        <v>0</v>
      </c>
      <c r="AB192" s="145" t="n">
        <f aca="false">+Y192+Z192+Y193+Z193+AA192+AA193</f>
        <v>0</v>
      </c>
      <c r="AC192" s="146" t="n">
        <f aca="false">X193-AB192</f>
        <v>0</v>
      </c>
      <c r="AD192" s="413" t="n">
        <f aca="false">IF(ISERROR(VLOOKUP(D192,[31]일용직명단!$A$3:$I$1200,5,FALSE())),0,VLOOKUP(D192,[31]일용직명단!$A$3:$I$1200,5,FALSE()))</f>
        <v>0</v>
      </c>
      <c r="AE192" s="414" t="n">
        <f aca="false">IF(ISERROR(VLOOKUP(D192,[31]일용직명단!$A$3:$I$1200,6,FALSE())),0,VLOOKUP(D192,[31]일용직명단!$A$3:$I$1200,6,FALSE()))</f>
        <v>0</v>
      </c>
      <c r="AF192" s="141" t="n">
        <f aca="false">COUNT(G192:V193)</f>
        <v>0</v>
      </c>
      <c r="AG192" s="169" t="str">
        <f aca="false">IF(OR(MID(E192,8,1)="1",MID(E192,8,1)="2"),19&amp;LEFT(E192,2),20&amp;LEFT(E192,2))&amp;"-"&amp;MID(E192,3,2)&amp;"-"&amp;MID(E192,5,2)</f>
        <v>200--</v>
      </c>
      <c r="AH192" s="169" t="e">
        <f aca="true">INT((TODAY()-AG192)/365.25)</f>
        <v>#VALUE!</v>
      </c>
      <c r="AI192" s="130" t="n">
        <f aca="false">ROUNDDOWN(SUM(AJ192:AY193),-1)</f>
        <v>0</v>
      </c>
      <c r="AJ192" s="130" t="n">
        <f aca="false">IF($X192*G192&gt;150000,($X192*G192-150000)*6%*45%,0)</f>
        <v>0</v>
      </c>
      <c r="AK192" s="130" t="n">
        <f aca="false">IF($X192*H192&gt;150000,($X192*H192-150000)*6%*45%,0)</f>
        <v>0</v>
      </c>
      <c r="AL192" s="130" t="n">
        <f aca="false">IF($X192*I192&gt;150000,($X192*I192-150000)*6%*45%,0)</f>
        <v>0</v>
      </c>
      <c r="AM192" s="130" t="n">
        <f aca="false">IF($X192*J192&gt;150000,($X192*J192-150000)*6%*45%,0)</f>
        <v>0</v>
      </c>
      <c r="AN192" s="130" t="n">
        <f aca="false">IF($X192*K192&gt;150000,($X192*K192-150000)*6%*45%,0)</f>
        <v>0</v>
      </c>
      <c r="AO192" s="130" t="n">
        <f aca="false">IF($X192*L192&gt;150000,($X192*L192-150000)*6%*45%,0)</f>
        <v>0</v>
      </c>
      <c r="AP192" s="130" t="n">
        <f aca="false">IF($X192*M192&gt;150000,($X192*M192-150000)*6%*45%,0)</f>
        <v>0</v>
      </c>
      <c r="AQ192" s="130" t="n">
        <f aca="false">IF($X192*N192&gt;150000,($X192*N192-150000)*6%*45%,0)</f>
        <v>0</v>
      </c>
      <c r="AR192" s="130" t="n">
        <f aca="false">IF($X192*O192&gt;150000,($X192*O192-150000)*6%*45%,0)</f>
        <v>0</v>
      </c>
      <c r="AS192" s="130" t="n">
        <f aca="false">IF($X192*P192&gt;150000,($X192*P192-150000)*6%*45%,0)</f>
        <v>0</v>
      </c>
      <c r="AT192" s="130" t="n">
        <f aca="false">IF($X192*Q192&gt;150000,($X192*Q192-150000)*6%*45%,0)</f>
        <v>0</v>
      </c>
      <c r="AU192" s="130" t="n">
        <f aca="false">IF($X192*R192&gt;150000,($X192*R192-150000)*6%*45%,0)</f>
        <v>0</v>
      </c>
      <c r="AV192" s="130" t="n">
        <f aca="false">IF($X192*S192&gt;150000,($X192*S192-150000)*6%*45%,0)</f>
        <v>0</v>
      </c>
      <c r="AW192" s="130" t="n">
        <f aca="false">IF($X192*T192&gt;150000,($X192*T192-150000)*6%*45%,0)</f>
        <v>0</v>
      </c>
      <c r="AX192" s="130" t="n">
        <f aca="false">IF($X192*U192&gt;150000,($X192*U192-150000)*6%*45%,0)</f>
        <v>0</v>
      </c>
      <c r="AY192" s="130"/>
      <c r="AZ192" s="131" t="n">
        <f aca="false">IF(ISERROR(VLOOKUP(D192,[32]일용직명단!$A$3:$M$1151,11,FALSE())),0,VLOOKUP(D192,[32]일용직명단!$A$3:$M$1151,11,FALSE()))</f>
        <v>0</v>
      </c>
      <c r="BA192" s="11"/>
      <c r="BC192" s="358"/>
      <c r="BD192" s="358"/>
      <c r="BE192" s="358"/>
      <c r="BF192" s="358"/>
      <c r="BG192" s="358"/>
      <c r="BH192" s="358"/>
      <c r="BI192" s="358"/>
      <c r="BJ192" s="358"/>
      <c r="BK192" s="358"/>
      <c r="BL192" s="358"/>
      <c r="BM192" s="358"/>
      <c r="BN192" s="358"/>
      <c r="BO192" s="358"/>
      <c r="BP192" s="358"/>
      <c r="BQ192" s="358"/>
      <c r="BR192" s="358"/>
      <c r="BS192" s="358"/>
      <c r="BT192" s="358"/>
      <c r="BU192" s="358"/>
      <c r="BV192" s="358"/>
      <c r="BW192" s="358"/>
      <c r="BX192" s="358"/>
      <c r="BY192" s="358"/>
      <c r="BZ192" s="358"/>
      <c r="CA192" s="358"/>
      <c r="CB192" s="358"/>
      <c r="CC192" s="358"/>
      <c r="CD192" s="358"/>
      <c r="CE192" s="358"/>
      <c r="CF192" s="358"/>
      <c r="CG192" s="358"/>
      <c r="CH192" s="358"/>
      <c r="CI192" s="358"/>
      <c r="CJ192" s="358"/>
      <c r="CK192" s="358"/>
      <c r="CL192" s="358"/>
      <c r="CM192" s="358"/>
      <c r="CN192" s="358"/>
      <c r="CO192" s="358"/>
      <c r="CP192" s="358"/>
      <c r="CQ192" s="358"/>
      <c r="CR192" s="358"/>
      <c r="CS192" s="358"/>
      <c r="CT192" s="358"/>
      <c r="CU192" s="358"/>
      <c r="CV192" s="358"/>
      <c r="CW192" s="358"/>
      <c r="CX192" s="358"/>
      <c r="CY192" s="358"/>
      <c r="CZ192" s="358"/>
      <c r="DA192" s="358"/>
      <c r="DB192" s="358"/>
      <c r="DC192" s="358"/>
      <c r="DD192" s="358"/>
      <c r="DE192" s="358"/>
      <c r="DF192" s="358"/>
      <c r="DG192" s="358"/>
      <c r="DH192" s="358"/>
      <c r="DI192" s="358"/>
      <c r="DJ192" s="358"/>
      <c r="DK192" s="358"/>
      <c r="DL192" s="358"/>
      <c r="DM192" s="358"/>
      <c r="DN192" s="358"/>
      <c r="DO192" s="358"/>
      <c r="DP192" s="358"/>
      <c r="DQ192" s="358"/>
      <c r="DR192" s="358"/>
      <c r="DS192" s="358"/>
      <c r="DT192" s="358"/>
      <c r="DU192" s="358"/>
      <c r="DV192" s="358"/>
      <c r="DW192" s="358"/>
      <c r="DX192" s="358"/>
      <c r="DY192" s="358"/>
      <c r="DZ192" s="358"/>
      <c r="EA192" s="358"/>
      <c r="EB192" s="358"/>
      <c r="EC192" s="358"/>
      <c r="ED192" s="358"/>
      <c r="EE192" s="358"/>
      <c r="EF192" s="358"/>
      <c r="EG192" s="358"/>
      <c r="EH192" s="358"/>
      <c r="EI192" s="358"/>
      <c r="EJ192" s="358"/>
      <c r="EK192" s="358"/>
      <c r="EL192" s="358"/>
      <c r="EM192" s="358"/>
      <c r="EN192" s="358"/>
      <c r="EO192" s="358"/>
      <c r="EP192" s="358"/>
      <c r="EQ192" s="358"/>
      <c r="ER192" s="358"/>
      <c r="ES192" s="358"/>
      <c r="ET192" s="358"/>
      <c r="EU192" s="358"/>
      <c r="EV192" s="358"/>
      <c r="EW192" s="358"/>
      <c r="EX192" s="358"/>
      <c r="EY192" s="358"/>
      <c r="EZ192" s="358"/>
      <c r="FA192" s="358"/>
      <c r="FB192" s="358"/>
      <c r="FC192" s="358"/>
      <c r="FD192" s="358"/>
      <c r="FE192" s="358"/>
      <c r="FF192" s="358"/>
      <c r="FG192" s="358"/>
      <c r="FH192" s="358"/>
      <c r="FI192" s="358"/>
      <c r="FJ192" s="358"/>
      <c r="FK192" s="358"/>
      <c r="FL192" s="358"/>
      <c r="FM192" s="358"/>
      <c r="FN192" s="358"/>
      <c r="FO192" s="358"/>
      <c r="FP192" s="358"/>
      <c r="FQ192" s="358"/>
      <c r="FR192" s="358"/>
      <c r="FS192" s="358"/>
      <c r="FT192" s="358"/>
      <c r="FU192" s="358"/>
      <c r="FV192" s="358"/>
      <c r="FW192" s="358"/>
      <c r="FX192" s="358"/>
      <c r="FY192" s="358"/>
      <c r="FZ192" s="358"/>
      <c r="GA192" s="358"/>
      <c r="GB192" s="358"/>
      <c r="GC192" s="358"/>
      <c r="GD192" s="358"/>
      <c r="GE192" s="358"/>
      <c r="GF192" s="358"/>
      <c r="GG192" s="358"/>
      <c r="GH192" s="358"/>
      <c r="GI192" s="358"/>
      <c r="GJ192" s="358"/>
      <c r="GK192" s="358"/>
      <c r="GL192" s="358"/>
      <c r="GM192" s="358"/>
      <c r="GN192" s="358"/>
      <c r="GO192" s="358"/>
      <c r="GP192" s="358"/>
      <c r="GQ192" s="358"/>
      <c r="GR192" s="358"/>
      <c r="GS192" s="358"/>
      <c r="GT192" s="358"/>
      <c r="GU192" s="358"/>
      <c r="GV192" s="358"/>
      <c r="GW192" s="358"/>
      <c r="GX192" s="358"/>
      <c r="GY192" s="358"/>
      <c r="GZ192" s="358"/>
      <c r="HA192" s="358"/>
      <c r="HB192" s="358"/>
      <c r="HC192" s="358"/>
      <c r="HD192" s="358"/>
      <c r="HE192" s="358"/>
      <c r="HF192" s="358"/>
      <c r="HG192" s="358"/>
      <c r="HH192" s="358"/>
      <c r="HI192" s="358"/>
      <c r="HJ192" s="358"/>
      <c r="HK192" s="358"/>
      <c r="HL192" s="358"/>
      <c r="HM192" s="358"/>
      <c r="HN192" s="358"/>
      <c r="HO192" s="358"/>
      <c r="HP192" s="358"/>
      <c r="HQ192" s="358"/>
      <c r="HR192" s="358"/>
      <c r="HS192" s="358"/>
      <c r="HT192" s="358"/>
      <c r="HU192" s="358"/>
      <c r="HV192" s="358"/>
      <c r="HW192" s="358"/>
      <c r="HX192" s="358"/>
      <c r="HY192" s="358"/>
      <c r="HZ192" s="358"/>
      <c r="IA192" s="358"/>
      <c r="IB192" s="358"/>
      <c r="IC192" s="358"/>
      <c r="ID192" s="358"/>
      <c r="IE192" s="358"/>
      <c r="IF192" s="358"/>
      <c r="IG192" s="358"/>
      <c r="IH192" s="358"/>
      <c r="II192" s="358"/>
      <c r="IJ192" s="358"/>
      <c r="IK192" s="358"/>
      <c r="IL192" s="358"/>
      <c r="IM192" s="358"/>
      <c r="IN192" s="358"/>
      <c r="IO192" s="358"/>
      <c r="IP192" s="358"/>
      <c r="IQ192" s="358"/>
    </row>
    <row r="193" customFormat="false" ht="13.5" hidden="true" customHeight="true" outlineLevel="0" collapsed="false">
      <c r="A193" s="108"/>
      <c r="B193" s="402"/>
      <c r="C193" s="403"/>
      <c r="D193" s="110"/>
      <c r="E193" s="311"/>
      <c r="F193" s="140" t="n">
        <f aca="false">IF(ISERROR(VLOOKUP(D192,[31]일용직명단!$A$3:$K$1220,9,FALSE())),0,VLOOKUP(D192,[31]일용직명단!$A$3:$K$1220,9,FALSE()))</f>
        <v>0</v>
      </c>
      <c r="G193" s="417"/>
      <c r="H193" s="424"/>
      <c r="I193" s="419"/>
      <c r="J193" s="424"/>
      <c r="K193" s="419"/>
      <c r="L193" s="424"/>
      <c r="M193" s="424"/>
      <c r="N193" s="419"/>
      <c r="O193" s="424"/>
      <c r="P193" s="419"/>
      <c r="Q193" s="424"/>
      <c r="R193" s="424"/>
      <c r="S193" s="417"/>
      <c r="T193" s="417"/>
      <c r="U193" s="417"/>
      <c r="V193" s="417"/>
      <c r="W193" s="168"/>
      <c r="X193" s="138" t="n">
        <f aca="false">X192*W192</f>
        <v>0</v>
      </c>
      <c r="Y193" s="123" t="n">
        <f aca="false">IF(AI192&lt;1000,0,AI192)</f>
        <v>0</v>
      </c>
      <c r="Z193" s="123" t="n">
        <f aca="false">ROUNDDOWN(Y193*10%,-1)</f>
        <v>0</v>
      </c>
      <c r="AA193" s="123" t="n">
        <f aca="false">IF(AF192&gt;=8,ROUNDDOWN(Z192*$R$4,-1),0)</f>
        <v>0</v>
      </c>
      <c r="AB193" s="145"/>
      <c r="AC193" s="146"/>
      <c r="AD193" s="414" t="n">
        <f aca="false">IF(ISERROR(VLOOKUP(D192,[31]일용직명단!$A$3:$I$1200,7,FALSE())),0,VLOOKUP(D192,[31]일용직명단!$A$3:$I$1200,7,FALSE()))</f>
        <v>0</v>
      </c>
      <c r="AE193" s="414"/>
      <c r="AF193" s="141"/>
      <c r="AG193" s="169"/>
      <c r="AH193" s="169"/>
      <c r="AI193" s="130"/>
      <c r="AJ193" s="130" t="n">
        <f aca="false">IF($X192*G193&gt;150000,($X192*G193-150000)*6%*45%,0)</f>
        <v>0</v>
      </c>
      <c r="AK193" s="130" t="n">
        <f aca="false">IF($X192*H193&gt;150000,($X192*H193-150000)*6%*45%,0)</f>
        <v>0</v>
      </c>
      <c r="AL193" s="130" t="n">
        <f aca="false">IF($X192*I193&gt;150000,($X192*I193-150000)*6%*45%,0)</f>
        <v>0</v>
      </c>
      <c r="AM193" s="130" t="n">
        <f aca="false">IF($X192*J193&gt;150000,($X192*J193-150000)*6%*45%,0)</f>
        <v>0</v>
      </c>
      <c r="AN193" s="130" t="n">
        <f aca="false">IF($X192*K193&gt;150000,($X192*K193-150000)*6%*45%,0)</f>
        <v>0</v>
      </c>
      <c r="AO193" s="130" t="n">
        <f aca="false">IF($X192*L193&gt;150000,($X192*L193-150000)*6%*45%,0)</f>
        <v>0</v>
      </c>
      <c r="AP193" s="130" t="n">
        <f aca="false">IF($X192*M193&gt;150000,($X192*M193-150000)*6%*45%,0)</f>
        <v>0</v>
      </c>
      <c r="AQ193" s="130" t="n">
        <f aca="false">IF($X192*N193&gt;150000,($X192*N193-150000)*6%*45%,0)</f>
        <v>0</v>
      </c>
      <c r="AR193" s="130" t="n">
        <f aca="false">IF($X192*O193&gt;150000,($X192*O193-150000)*6%*45%,0)</f>
        <v>0</v>
      </c>
      <c r="AS193" s="130" t="n">
        <f aca="false">IF($X192*P193&gt;150000,($X192*P193-150000)*6%*45%,0)</f>
        <v>0</v>
      </c>
      <c r="AT193" s="130" t="n">
        <f aca="false">IF($X192*Q193&gt;150000,($X192*Q193-150000)*6%*45%,0)</f>
        <v>0</v>
      </c>
      <c r="AU193" s="130" t="n">
        <f aca="false">IF($X192*R193&gt;150000,($X192*R193-150000)*6%*45%,0)</f>
        <v>0</v>
      </c>
      <c r="AV193" s="130" t="n">
        <f aca="false">IF($X192*S193&gt;150000,($X192*S193-150000)*6%*45%,0)</f>
        <v>0</v>
      </c>
      <c r="AW193" s="130" t="n">
        <f aca="false">IF($X192*T193&gt;150000,($X192*T193-150000)*6%*45%,0)</f>
        <v>0</v>
      </c>
      <c r="AX193" s="130" t="n">
        <f aca="false">IF($X192*U193&gt;150000,($X192*U193-150000)*6%*45%,0)</f>
        <v>0</v>
      </c>
      <c r="AY193" s="130" t="n">
        <f aca="false">IF($X192*V193&gt;150000,($X192*V193-150000)*6%*45%,0)</f>
        <v>0</v>
      </c>
      <c r="AZ193" s="131"/>
      <c r="BA193" s="11"/>
      <c r="BC193" s="358"/>
      <c r="BD193" s="358"/>
      <c r="BE193" s="358"/>
      <c r="BF193" s="358"/>
      <c r="BG193" s="358"/>
      <c r="BH193" s="358"/>
      <c r="BI193" s="358"/>
      <c r="BJ193" s="358"/>
      <c r="BK193" s="358"/>
      <c r="BL193" s="358"/>
      <c r="BM193" s="358"/>
      <c r="BN193" s="358"/>
      <c r="BO193" s="358"/>
      <c r="BP193" s="358"/>
      <c r="BQ193" s="358"/>
      <c r="BR193" s="358"/>
      <c r="BS193" s="358"/>
      <c r="BT193" s="358"/>
      <c r="BU193" s="358"/>
      <c r="BV193" s="358"/>
      <c r="BW193" s="358"/>
      <c r="BX193" s="358"/>
      <c r="BY193" s="358"/>
      <c r="BZ193" s="358"/>
      <c r="CA193" s="358"/>
      <c r="CB193" s="358"/>
      <c r="CC193" s="358"/>
      <c r="CD193" s="358"/>
      <c r="CE193" s="358"/>
      <c r="CF193" s="358"/>
      <c r="CG193" s="358"/>
      <c r="CH193" s="358"/>
      <c r="CI193" s="358"/>
      <c r="CJ193" s="358"/>
      <c r="CK193" s="358"/>
      <c r="CL193" s="358"/>
      <c r="CM193" s="358"/>
      <c r="CN193" s="358"/>
      <c r="CO193" s="358"/>
      <c r="CP193" s="358"/>
      <c r="CQ193" s="358"/>
      <c r="CR193" s="358"/>
      <c r="CS193" s="358"/>
      <c r="CT193" s="358"/>
      <c r="CU193" s="358"/>
      <c r="CV193" s="358"/>
      <c r="CW193" s="358"/>
      <c r="CX193" s="358"/>
      <c r="CY193" s="358"/>
      <c r="CZ193" s="358"/>
      <c r="DA193" s="358"/>
      <c r="DB193" s="358"/>
      <c r="DC193" s="358"/>
      <c r="DD193" s="358"/>
      <c r="DE193" s="358"/>
      <c r="DF193" s="358"/>
      <c r="DG193" s="358"/>
      <c r="DH193" s="358"/>
      <c r="DI193" s="358"/>
      <c r="DJ193" s="358"/>
      <c r="DK193" s="358"/>
      <c r="DL193" s="358"/>
      <c r="DM193" s="358"/>
      <c r="DN193" s="358"/>
      <c r="DO193" s="358"/>
      <c r="DP193" s="358"/>
      <c r="DQ193" s="358"/>
      <c r="DR193" s="358"/>
      <c r="DS193" s="358"/>
      <c r="DT193" s="358"/>
      <c r="DU193" s="358"/>
      <c r="DV193" s="358"/>
      <c r="DW193" s="358"/>
      <c r="DX193" s="358"/>
      <c r="DY193" s="358"/>
      <c r="DZ193" s="358"/>
      <c r="EA193" s="358"/>
      <c r="EB193" s="358"/>
      <c r="EC193" s="358"/>
      <c r="ED193" s="358"/>
      <c r="EE193" s="358"/>
      <c r="EF193" s="358"/>
      <c r="EG193" s="358"/>
      <c r="EH193" s="358"/>
      <c r="EI193" s="358"/>
      <c r="EJ193" s="358"/>
      <c r="EK193" s="358"/>
      <c r="EL193" s="358"/>
      <c r="EM193" s="358"/>
      <c r="EN193" s="358"/>
      <c r="EO193" s="358"/>
      <c r="EP193" s="358"/>
      <c r="EQ193" s="358"/>
      <c r="ER193" s="358"/>
      <c r="ES193" s="358"/>
      <c r="ET193" s="358"/>
      <c r="EU193" s="358"/>
      <c r="EV193" s="358"/>
      <c r="EW193" s="358"/>
      <c r="EX193" s="358"/>
      <c r="EY193" s="358"/>
      <c r="EZ193" s="358"/>
      <c r="FA193" s="358"/>
      <c r="FB193" s="358"/>
      <c r="FC193" s="358"/>
      <c r="FD193" s="358"/>
      <c r="FE193" s="358"/>
      <c r="FF193" s="358"/>
      <c r="FG193" s="358"/>
      <c r="FH193" s="358"/>
      <c r="FI193" s="358"/>
      <c r="FJ193" s="358"/>
      <c r="FK193" s="358"/>
      <c r="FL193" s="358"/>
      <c r="FM193" s="358"/>
      <c r="FN193" s="358"/>
      <c r="FO193" s="358"/>
      <c r="FP193" s="358"/>
      <c r="FQ193" s="358"/>
      <c r="FR193" s="358"/>
      <c r="FS193" s="358"/>
      <c r="FT193" s="358"/>
      <c r="FU193" s="358"/>
      <c r="FV193" s="358"/>
      <c r="FW193" s="358"/>
      <c r="FX193" s="358"/>
      <c r="FY193" s="358"/>
      <c r="FZ193" s="358"/>
      <c r="GA193" s="358"/>
      <c r="GB193" s="358"/>
      <c r="GC193" s="358"/>
      <c r="GD193" s="358"/>
      <c r="GE193" s="358"/>
      <c r="GF193" s="358"/>
      <c r="GG193" s="358"/>
      <c r="GH193" s="358"/>
      <c r="GI193" s="358"/>
      <c r="GJ193" s="358"/>
      <c r="GK193" s="358"/>
      <c r="GL193" s="358"/>
      <c r="GM193" s="358"/>
      <c r="GN193" s="358"/>
      <c r="GO193" s="358"/>
      <c r="GP193" s="358"/>
      <c r="GQ193" s="358"/>
      <c r="GR193" s="358"/>
      <c r="GS193" s="358"/>
      <c r="GT193" s="358"/>
      <c r="GU193" s="358"/>
      <c r="GV193" s="358"/>
      <c r="GW193" s="358"/>
      <c r="GX193" s="358"/>
      <c r="GY193" s="358"/>
      <c r="GZ193" s="358"/>
      <c r="HA193" s="358"/>
      <c r="HB193" s="358"/>
      <c r="HC193" s="358"/>
      <c r="HD193" s="358"/>
      <c r="HE193" s="358"/>
      <c r="HF193" s="358"/>
      <c r="HG193" s="358"/>
      <c r="HH193" s="358"/>
      <c r="HI193" s="358"/>
      <c r="HJ193" s="358"/>
      <c r="HK193" s="358"/>
      <c r="HL193" s="358"/>
      <c r="HM193" s="358"/>
      <c r="HN193" s="358"/>
      <c r="HO193" s="358"/>
      <c r="HP193" s="358"/>
      <c r="HQ193" s="358"/>
      <c r="HR193" s="358"/>
      <c r="HS193" s="358"/>
      <c r="HT193" s="358"/>
      <c r="HU193" s="358"/>
      <c r="HV193" s="358"/>
      <c r="HW193" s="358"/>
      <c r="HX193" s="358"/>
      <c r="HY193" s="358"/>
      <c r="HZ193" s="358"/>
      <c r="IA193" s="358"/>
      <c r="IB193" s="358"/>
      <c r="IC193" s="358"/>
      <c r="ID193" s="358"/>
      <c r="IE193" s="358"/>
      <c r="IF193" s="358"/>
      <c r="IG193" s="358"/>
      <c r="IH193" s="358"/>
      <c r="II193" s="358"/>
      <c r="IJ193" s="358"/>
      <c r="IK193" s="358"/>
      <c r="IL193" s="358"/>
      <c r="IM193" s="358"/>
      <c r="IN193" s="358"/>
      <c r="IO193" s="358"/>
      <c r="IP193" s="358"/>
      <c r="IQ193" s="358"/>
    </row>
    <row r="194" customFormat="false" ht="13.5" hidden="true" customHeight="true" outlineLevel="0" collapsed="false">
      <c r="A194" s="108" t="n">
        <f aca="false">A192+1</f>
        <v>41</v>
      </c>
      <c r="B194" s="402"/>
      <c r="C194" s="403"/>
      <c r="D194" s="110"/>
      <c r="E194" s="311" t="n">
        <f aca="false">IF(ISERROR(VLOOKUP(D194,[31]일용직명단!$A$3:$K$1220,3,FALSE())),0,VLOOKUP(D194,[31]일용직명단!$A$3:$K$1220,3,FALSE()))</f>
        <v>0</v>
      </c>
      <c r="F194" s="140" t="n">
        <f aca="false">IF(ISERROR(VLOOKUP(D194,[31]일용직명단!$A$3:$K$1220,4,FALSE())),0,VLOOKUP(D194,[31]일용직명단!$A$3:$K$1220,4,FALSE()))</f>
        <v>0</v>
      </c>
      <c r="G194" s="417"/>
      <c r="H194" s="417"/>
      <c r="I194" s="417"/>
      <c r="J194" s="419"/>
      <c r="K194" s="417"/>
      <c r="L194" s="419"/>
      <c r="M194" s="417"/>
      <c r="N194" s="417"/>
      <c r="O194" s="424"/>
      <c r="P194" s="424"/>
      <c r="Q194" s="424"/>
      <c r="R194" s="424"/>
      <c r="S194" s="419"/>
      <c r="T194" s="424"/>
      <c r="U194" s="419"/>
      <c r="V194" s="416"/>
      <c r="W194" s="168" t="n">
        <f aca="false">SUM(G194:V195)</f>
        <v>0</v>
      </c>
      <c r="X194" s="211" t="n">
        <f aca="false">IF(ISERROR(VLOOKUP(D194,[35]일용직명단!$A$3:$K$1185,8,FALSE())),0,VLOOKUP(D194,[35]일용직명단!$A$3:$K$1185,8,FALSE()))</f>
        <v>0</v>
      </c>
      <c r="Y194" s="123" t="n">
        <f aca="false">IFERROR(IF(AH194&gt;=65,0,ROUNDDOWN(X195*$AA$4,-1)),0)</f>
        <v>0</v>
      </c>
      <c r="Z194" s="123" t="n">
        <f aca="false">IF(AF194&gt;=8,ROUNDDOWN(X195*$N$4,-1),0)</f>
        <v>0</v>
      </c>
      <c r="AA194" s="123" t="n">
        <f aca="false">IFERROR(IF(AND(COUNT(G194:V195)&gt;=8,$AH194&lt;60,X195&lt;=5530000),ROUNDDOWN(ROUNDDOWN(X195,-3)*4.5%,-1),IF(AND(COUNT(G194:V195)&gt;=8,AH194&lt;60,X195&gt;5530000),248850,0)),0)</f>
        <v>0</v>
      </c>
      <c r="AB194" s="145" t="n">
        <f aca="false">+Y194+Z194+Y195+Z195+AA194+AA195</f>
        <v>0</v>
      </c>
      <c r="AC194" s="146" t="n">
        <f aca="false">X195-AB194</f>
        <v>0</v>
      </c>
      <c r="AD194" s="413" t="n">
        <f aca="false">IF(ISERROR(VLOOKUP(D194,[31]일용직명단!$A$3:$I$1200,5,FALSE())),0,VLOOKUP(D194,[31]일용직명단!$A$3:$I$1200,5,FALSE()))</f>
        <v>0</v>
      </c>
      <c r="AE194" s="414" t="n">
        <f aca="false">IF(ISERROR(VLOOKUP(D194,[31]일용직명단!$A$3:$I$1200,6,FALSE())),0,VLOOKUP(D194,[31]일용직명단!$A$3:$I$1200,6,FALSE()))</f>
        <v>0</v>
      </c>
      <c r="AF194" s="141" t="n">
        <f aca="false">COUNT(G194:V195)</f>
        <v>0</v>
      </c>
      <c r="AG194" s="169" t="str">
        <f aca="false">IF(OR(MID(E194,8,1)="1",MID(E194,8,1)="2"),19&amp;LEFT(E194,2),20&amp;LEFT(E194,2))&amp;"-"&amp;MID(E194,3,2)&amp;"-"&amp;MID(E194,5,2)</f>
        <v>200--</v>
      </c>
      <c r="AH194" s="169" t="e">
        <f aca="true">INT((TODAY()-AG194)/365.25)</f>
        <v>#VALUE!</v>
      </c>
      <c r="AI194" s="130" t="n">
        <f aca="false">ROUNDDOWN(SUM(AJ194:AY195),-1)</f>
        <v>0</v>
      </c>
      <c r="AJ194" s="130" t="n">
        <f aca="false">IF($X194*G194&gt;150000,($X194*G194-150000)*6%*45%,0)</f>
        <v>0</v>
      </c>
      <c r="AK194" s="130" t="n">
        <f aca="false">IF($X194*H194&gt;150000,($X194*H194-150000)*6%*45%,0)</f>
        <v>0</v>
      </c>
      <c r="AL194" s="130" t="n">
        <f aca="false">IF($X194*I194&gt;150000,($X194*I194-150000)*6%*45%,0)</f>
        <v>0</v>
      </c>
      <c r="AM194" s="130" t="n">
        <f aca="false">IF($X194*J194&gt;150000,($X194*J194-150000)*6%*45%,0)</f>
        <v>0</v>
      </c>
      <c r="AN194" s="130" t="n">
        <f aca="false">IF($X194*K194&gt;150000,($X194*K194-150000)*6%*45%,0)</f>
        <v>0</v>
      </c>
      <c r="AO194" s="130" t="n">
        <f aca="false">IF($X194*L194&gt;150000,($X194*L194-150000)*6%*45%,0)</f>
        <v>0</v>
      </c>
      <c r="AP194" s="130" t="n">
        <f aca="false">IF($X194*M194&gt;150000,($X194*M194-150000)*6%*45%,0)</f>
        <v>0</v>
      </c>
      <c r="AQ194" s="130" t="n">
        <f aca="false">IF($X194*N194&gt;150000,($X194*N194-150000)*6%*45%,0)</f>
        <v>0</v>
      </c>
      <c r="AR194" s="130" t="n">
        <f aca="false">IF($X194*O194&gt;150000,($X194*O194-150000)*6%*45%,0)</f>
        <v>0</v>
      </c>
      <c r="AS194" s="130" t="n">
        <f aca="false">IF($X194*P194&gt;150000,($X194*P194-150000)*6%*45%,0)</f>
        <v>0</v>
      </c>
      <c r="AT194" s="130" t="n">
        <f aca="false">IF($X194*Q194&gt;150000,($X194*Q194-150000)*6%*45%,0)</f>
        <v>0</v>
      </c>
      <c r="AU194" s="130" t="n">
        <f aca="false">IF($X194*R194&gt;150000,($X194*R194-150000)*6%*45%,0)</f>
        <v>0</v>
      </c>
      <c r="AV194" s="130" t="n">
        <f aca="false">IF($X194*S194&gt;150000,($X194*S194-150000)*6%*45%,0)</f>
        <v>0</v>
      </c>
      <c r="AW194" s="130" t="n">
        <f aca="false">IF($X194*T194&gt;150000,($X194*T194-150000)*6%*45%,0)</f>
        <v>0</v>
      </c>
      <c r="AX194" s="130" t="n">
        <f aca="false">IF($X194*U194&gt;150000,($X194*U194-150000)*6%*45%,0)</f>
        <v>0</v>
      </c>
      <c r="AY194" s="130"/>
      <c r="AZ194" s="131" t="n">
        <f aca="false">IF(ISERROR(VLOOKUP(D194,[32]일용직명단!$A$3:$M$1151,11,FALSE())),0,VLOOKUP(D194,[32]일용직명단!$A$3:$M$1151,11,FALSE()))</f>
        <v>0</v>
      </c>
      <c r="BA194" s="11"/>
      <c r="BC194" s="358"/>
      <c r="BD194" s="358"/>
      <c r="BE194" s="358"/>
      <c r="BF194" s="358"/>
      <c r="BG194" s="358"/>
      <c r="BH194" s="358"/>
      <c r="BI194" s="358"/>
      <c r="BJ194" s="358"/>
      <c r="BK194" s="358"/>
      <c r="BL194" s="358"/>
      <c r="BM194" s="358"/>
      <c r="BN194" s="358"/>
      <c r="BO194" s="358"/>
      <c r="BP194" s="358"/>
      <c r="BQ194" s="358"/>
      <c r="BR194" s="358"/>
      <c r="BS194" s="358"/>
      <c r="BT194" s="358"/>
      <c r="BU194" s="358"/>
      <c r="BV194" s="358"/>
      <c r="BW194" s="358"/>
      <c r="BX194" s="358"/>
      <c r="BY194" s="358"/>
      <c r="BZ194" s="358"/>
      <c r="CA194" s="358"/>
      <c r="CB194" s="358"/>
      <c r="CC194" s="358"/>
      <c r="CD194" s="358"/>
      <c r="CE194" s="358"/>
      <c r="CF194" s="358"/>
      <c r="CG194" s="358"/>
      <c r="CH194" s="358"/>
      <c r="CI194" s="358"/>
      <c r="CJ194" s="358"/>
      <c r="CK194" s="358"/>
      <c r="CL194" s="358"/>
      <c r="CM194" s="358"/>
      <c r="CN194" s="358"/>
      <c r="CO194" s="358"/>
      <c r="CP194" s="358"/>
      <c r="CQ194" s="358"/>
      <c r="CR194" s="358"/>
      <c r="CS194" s="358"/>
      <c r="CT194" s="358"/>
      <c r="CU194" s="358"/>
      <c r="CV194" s="358"/>
      <c r="CW194" s="358"/>
      <c r="CX194" s="358"/>
      <c r="CY194" s="358"/>
      <c r="CZ194" s="358"/>
      <c r="DA194" s="358"/>
      <c r="DB194" s="358"/>
      <c r="DC194" s="358"/>
      <c r="DD194" s="358"/>
      <c r="DE194" s="358"/>
      <c r="DF194" s="358"/>
      <c r="DG194" s="358"/>
      <c r="DH194" s="358"/>
      <c r="DI194" s="358"/>
      <c r="DJ194" s="358"/>
      <c r="DK194" s="358"/>
      <c r="DL194" s="358"/>
      <c r="DM194" s="358"/>
      <c r="DN194" s="358"/>
      <c r="DO194" s="358"/>
      <c r="DP194" s="358"/>
      <c r="DQ194" s="358"/>
      <c r="DR194" s="358"/>
      <c r="DS194" s="358"/>
      <c r="DT194" s="358"/>
      <c r="DU194" s="358"/>
      <c r="DV194" s="358"/>
      <c r="DW194" s="358"/>
      <c r="DX194" s="358"/>
      <c r="DY194" s="358"/>
      <c r="DZ194" s="358"/>
      <c r="EA194" s="358"/>
      <c r="EB194" s="358"/>
      <c r="EC194" s="358"/>
      <c r="ED194" s="358"/>
      <c r="EE194" s="358"/>
      <c r="EF194" s="358"/>
      <c r="EG194" s="358"/>
      <c r="EH194" s="358"/>
      <c r="EI194" s="358"/>
      <c r="EJ194" s="358"/>
      <c r="EK194" s="358"/>
      <c r="EL194" s="358"/>
      <c r="EM194" s="358"/>
      <c r="EN194" s="358"/>
      <c r="EO194" s="358"/>
      <c r="EP194" s="358"/>
      <c r="EQ194" s="358"/>
      <c r="ER194" s="358"/>
      <c r="ES194" s="358"/>
      <c r="ET194" s="358"/>
      <c r="EU194" s="358"/>
      <c r="EV194" s="358"/>
      <c r="EW194" s="358"/>
      <c r="EX194" s="358"/>
      <c r="EY194" s="358"/>
      <c r="EZ194" s="358"/>
      <c r="FA194" s="358"/>
      <c r="FB194" s="358"/>
      <c r="FC194" s="358"/>
      <c r="FD194" s="358"/>
      <c r="FE194" s="358"/>
      <c r="FF194" s="358"/>
      <c r="FG194" s="358"/>
      <c r="FH194" s="358"/>
      <c r="FI194" s="358"/>
      <c r="FJ194" s="358"/>
      <c r="FK194" s="358"/>
      <c r="FL194" s="358"/>
      <c r="FM194" s="358"/>
      <c r="FN194" s="358"/>
      <c r="FO194" s="358"/>
      <c r="FP194" s="358"/>
      <c r="FQ194" s="358"/>
      <c r="FR194" s="358"/>
      <c r="FS194" s="358"/>
      <c r="FT194" s="358"/>
      <c r="FU194" s="358"/>
      <c r="FV194" s="358"/>
      <c r="FW194" s="358"/>
      <c r="FX194" s="358"/>
      <c r="FY194" s="358"/>
      <c r="FZ194" s="358"/>
      <c r="GA194" s="358"/>
      <c r="GB194" s="358"/>
      <c r="GC194" s="358"/>
      <c r="GD194" s="358"/>
      <c r="GE194" s="358"/>
      <c r="GF194" s="358"/>
      <c r="GG194" s="358"/>
      <c r="GH194" s="358"/>
      <c r="GI194" s="358"/>
      <c r="GJ194" s="358"/>
      <c r="GK194" s="358"/>
      <c r="GL194" s="358"/>
      <c r="GM194" s="358"/>
      <c r="GN194" s="358"/>
      <c r="GO194" s="358"/>
      <c r="GP194" s="358"/>
      <c r="GQ194" s="358"/>
      <c r="GR194" s="358"/>
      <c r="GS194" s="358"/>
      <c r="GT194" s="358"/>
      <c r="GU194" s="358"/>
      <c r="GV194" s="358"/>
      <c r="GW194" s="358"/>
      <c r="GX194" s="358"/>
      <c r="GY194" s="358"/>
      <c r="GZ194" s="358"/>
      <c r="HA194" s="358"/>
      <c r="HB194" s="358"/>
      <c r="HC194" s="358"/>
      <c r="HD194" s="358"/>
      <c r="HE194" s="358"/>
      <c r="HF194" s="358"/>
      <c r="HG194" s="358"/>
      <c r="HH194" s="358"/>
      <c r="HI194" s="358"/>
      <c r="HJ194" s="358"/>
      <c r="HK194" s="358"/>
      <c r="HL194" s="358"/>
      <c r="HM194" s="358"/>
      <c r="HN194" s="358"/>
      <c r="HO194" s="358"/>
      <c r="HP194" s="358"/>
      <c r="HQ194" s="358"/>
      <c r="HR194" s="358"/>
      <c r="HS194" s="358"/>
      <c r="HT194" s="358"/>
      <c r="HU194" s="358"/>
      <c r="HV194" s="358"/>
      <c r="HW194" s="358"/>
      <c r="HX194" s="358"/>
      <c r="HY194" s="358"/>
      <c r="HZ194" s="358"/>
      <c r="IA194" s="358"/>
      <c r="IB194" s="358"/>
      <c r="IC194" s="358"/>
      <c r="ID194" s="358"/>
      <c r="IE194" s="358"/>
      <c r="IF194" s="358"/>
      <c r="IG194" s="358"/>
      <c r="IH194" s="358"/>
      <c r="II194" s="358"/>
      <c r="IJ194" s="358"/>
      <c r="IK194" s="358"/>
      <c r="IL194" s="358"/>
      <c r="IM194" s="358"/>
      <c r="IN194" s="358"/>
      <c r="IO194" s="358"/>
      <c r="IP194" s="358"/>
      <c r="IQ194" s="358"/>
    </row>
    <row r="195" customFormat="false" ht="13.5" hidden="true" customHeight="true" outlineLevel="0" collapsed="false">
      <c r="A195" s="108"/>
      <c r="B195" s="402"/>
      <c r="C195" s="403"/>
      <c r="D195" s="110"/>
      <c r="E195" s="311"/>
      <c r="F195" s="140" t="n">
        <f aca="false">IF(ISERROR(VLOOKUP(D194,[31]일용직명단!$A$3:$K$1220,9,FALSE())),0,VLOOKUP(D194,[31]일용직명단!$A$3:$K$1220,9,FALSE()))</f>
        <v>0</v>
      </c>
      <c r="G195" s="417"/>
      <c r="H195" s="424"/>
      <c r="I195" s="419"/>
      <c r="J195" s="424"/>
      <c r="K195" s="419"/>
      <c r="L195" s="424"/>
      <c r="M195" s="424"/>
      <c r="N195" s="419"/>
      <c r="O195" s="424"/>
      <c r="P195" s="419"/>
      <c r="Q195" s="424"/>
      <c r="R195" s="424"/>
      <c r="S195" s="417"/>
      <c r="T195" s="417"/>
      <c r="U195" s="417"/>
      <c r="V195" s="417"/>
      <c r="W195" s="168"/>
      <c r="X195" s="138" t="n">
        <f aca="false">X194*W194</f>
        <v>0</v>
      </c>
      <c r="Y195" s="123" t="n">
        <f aca="false">IF(AI194&lt;1000,0,AI194)</f>
        <v>0</v>
      </c>
      <c r="Z195" s="123" t="n">
        <f aca="false">ROUNDDOWN(Y195*10%,-1)</f>
        <v>0</v>
      </c>
      <c r="AA195" s="123" t="n">
        <f aca="false">IF(AF194&gt;=8,ROUNDDOWN(Z194*$R$4,-1),0)</f>
        <v>0</v>
      </c>
      <c r="AB195" s="145"/>
      <c r="AC195" s="146"/>
      <c r="AD195" s="414" t="n">
        <f aca="false">IF(ISERROR(VLOOKUP(D194,[31]일용직명단!$A$3:$I$1200,7,FALSE())),0,VLOOKUP(D194,[31]일용직명단!$A$3:$I$1200,7,FALSE()))</f>
        <v>0</v>
      </c>
      <c r="AE195" s="414"/>
      <c r="AF195" s="141"/>
      <c r="AG195" s="169"/>
      <c r="AH195" s="169"/>
      <c r="AI195" s="130"/>
      <c r="AJ195" s="130" t="n">
        <f aca="false">IF($X194*G195&gt;150000,($X194*G195-150000)*6%*45%,0)</f>
        <v>0</v>
      </c>
      <c r="AK195" s="130" t="n">
        <f aca="false">IF($X194*H195&gt;150000,($X194*H195-150000)*6%*45%,0)</f>
        <v>0</v>
      </c>
      <c r="AL195" s="130" t="n">
        <f aca="false">IF($X194*I195&gt;150000,($X194*I195-150000)*6%*45%,0)</f>
        <v>0</v>
      </c>
      <c r="AM195" s="130" t="n">
        <f aca="false">IF($X194*J195&gt;150000,($X194*J195-150000)*6%*45%,0)</f>
        <v>0</v>
      </c>
      <c r="AN195" s="130" t="n">
        <f aca="false">IF($X194*K195&gt;150000,($X194*K195-150000)*6%*45%,0)</f>
        <v>0</v>
      </c>
      <c r="AO195" s="130" t="n">
        <f aca="false">IF($X194*L195&gt;150000,($X194*L195-150000)*6%*45%,0)</f>
        <v>0</v>
      </c>
      <c r="AP195" s="130" t="n">
        <f aca="false">IF($X194*M195&gt;150000,($X194*M195-150000)*6%*45%,0)</f>
        <v>0</v>
      </c>
      <c r="AQ195" s="130" t="n">
        <f aca="false">IF($X194*N195&gt;150000,($X194*N195-150000)*6%*45%,0)</f>
        <v>0</v>
      </c>
      <c r="AR195" s="130" t="n">
        <f aca="false">IF($X194*O195&gt;150000,($X194*O195-150000)*6%*45%,0)</f>
        <v>0</v>
      </c>
      <c r="AS195" s="130" t="n">
        <f aca="false">IF($X194*P195&gt;150000,($X194*P195-150000)*6%*45%,0)</f>
        <v>0</v>
      </c>
      <c r="AT195" s="130" t="n">
        <f aca="false">IF($X194*Q195&gt;150000,($X194*Q195-150000)*6%*45%,0)</f>
        <v>0</v>
      </c>
      <c r="AU195" s="130" t="n">
        <f aca="false">IF($X194*R195&gt;150000,($X194*R195-150000)*6%*45%,0)</f>
        <v>0</v>
      </c>
      <c r="AV195" s="130" t="n">
        <f aca="false">IF($X194*S195&gt;150000,($X194*S195-150000)*6%*45%,0)</f>
        <v>0</v>
      </c>
      <c r="AW195" s="130" t="n">
        <f aca="false">IF($X194*T195&gt;150000,($X194*T195-150000)*6%*45%,0)</f>
        <v>0</v>
      </c>
      <c r="AX195" s="130" t="n">
        <f aca="false">IF($X194*U195&gt;150000,($X194*U195-150000)*6%*45%,0)</f>
        <v>0</v>
      </c>
      <c r="AY195" s="130" t="n">
        <f aca="false">IF($X194*V195&gt;150000,($X194*V195-150000)*6%*45%,0)</f>
        <v>0</v>
      </c>
      <c r="AZ195" s="131"/>
      <c r="BA195" s="11"/>
      <c r="BC195" s="358"/>
      <c r="BD195" s="358"/>
      <c r="BE195" s="358"/>
      <c r="BF195" s="358"/>
      <c r="BG195" s="358"/>
      <c r="BH195" s="358"/>
      <c r="BI195" s="358"/>
      <c r="BJ195" s="358"/>
      <c r="BK195" s="358"/>
      <c r="BL195" s="358"/>
      <c r="BM195" s="358"/>
      <c r="BN195" s="358"/>
      <c r="BO195" s="358"/>
      <c r="BP195" s="358"/>
      <c r="BQ195" s="358"/>
      <c r="BR195" s="358"/>
      <c r="BS195" s="358"/>
      <c r="BT195" s="358"/>
      <c r="BU195" s="358"/>
      <c r="BV195" s="358"/>
      <c r="BW195" s="358"/>
      <c r="BX195" s="358"/>
      <c r="BY195" s="358"/>
      <c r="BZ195" s="358"/>
      <c r="CA195" s="358"/>
      <c r="CB195" s="358"/>
      <c r="CC195" s="358"/>
      <c r="CD195" s="358"/>
      <c r="CE195" s="358"/>
      <c r="CF195" s="358"/>
      <c r="CG195" s="358"/>
      <c r="CH195" s="358"/>
      <c r="CI195" s="358"/>
      <c r="CJ195" s="358"/>
      <c r="CK195" s="358"/>
      <c r="CL195" s="358"/>
      <c r="CM195" s="358"/>
      <c r="CN195" s="358"/>
      <c r="CO195" s="358"/>
      <c r="CP195" s="358"/>
      <c r="CQ195" s="358"/>
      <c r="CR195" s="358"/>
      <c r="CS195" s="358"/>
      <c r="CT195" s="358"/>
      <c r="CU195" s="358"/>
      <c r="CV195" s="358"/>
      <c r="CW195" s="358"/>
      <c r="CX195" s="358"/>
      <c r="CY195" s="358"/>
      <c r="CZ195" s="358"/>
      <c r="DA195" s="358"/>
      <c r="DB195" s="358"/>
      <c r="DC195" s="358"/>
      <c r="DD195" s="358"/>
      <c r="DE195" s="358"/>
      <c r="DF195" s="358"/>
      <c r="DG195" s="358"/>
      <c r="DH195" s="358"/>
      <c r="DI195" s="358"/>
      <c r="DJ195" s="358"/>
      <c r="DK195" s="358"/>
      <c r="DL195" s="358"/>
      <c r="DM195" s="358"/>
      <c r="DN195" s="358"/>
      <c r="DO195" s="358"/>
      <c r="DP195" s="358"/>
      <c r="DQ195" s="358"/>
      <c r="DR195" s="358"/>
      <c r="DS195" s="358"/>
      <c r="DT195" s="358"/>
      <c r="DU195" s="358"/>
      <c r="DV195" s="358"/>
      <c r="DW195" s="358"/>
      <c r="DX195" s="358"/>
      <c r="DY195" s="358"/>
      <c r="DZ195" s="358"/>
      <c r="EA195" s="358"/>
      <c r="EB195" s="358"/>
      <c r="EC195" s="358"/>
      <c r="ED195" s="358"/>
      <c r="EE195" s="358"/>
      <c r="EF195" s="358"/>
      <c r="EG195" s="358"/>
      <c r="EH195" s="358"/>
      <c r="EI195" s="358"/>
      <c r="EJ195" s="358"/>
      <c r="EK195" s="358"/>
      <c r="EL195" s="358"/>
      <c r="EM195" s="358"/>
      <c r="EN195" s="358"/>
      <c r="EO195" s="358"/>
      <c r="EP195" s="358"/>
      <c r="EQ195" s="358"/>
      <c r="ER195" s="358"/>
      <c r="ES195" s="358"/>
      <c r="ET195" s="358"/>
      <c r="EU195" s="358"/>
      <c r="EV195" s="358"/>
      <c r="EW195" s="358"/>
      <c r="EX195" s="358"/>
      <c r="EY195" s="358"/>
      <c r="EZ195" s="358"/>
      <c r="FA195" s="358"/>
      <c r="FB195" s="358"/>
      <c r="FC195" s="358"/>
      <c r="FD195" s="358"/>
      <c r="FE195" s="358"/>
      <c r="FF195" s="358"/>
      <c r="FG195" s="358"/>
      <c r="FH195" s="358"/>
      <c r="FI195" s="358"/>
      <c r="FJ195" s="358"/>
      <c r="FK195" s="358"/>
      <c r="FL195" s="358"/>
      <c r="FM195" s="358"/>
      <c r="FN195" s="358"/>
      <c r="FO195" s="358"/>
      <c r="FP195" s="358"/>
      <c r="FQ195" s="358"/>
      <c r="FR195" s="358"/>
      <c r="FS195" s="358"/>
      <c r="FT195" s="358"/>
      <c r="FU195" s="358"/>
      <c r="FV195" s="358"/>
      <c r="FW195" s="358"/>
      <c r="FX195" s="358"/>
      <c r="FY195" s="358"/>
      <c r="FZ195" s="358"/>
      <c r="GA195" s="358"/>
      <c r="GB195" s="358"/>
      <c r="GC195" s="358"/>
      <c r="GD195" s="358"/>
      <c r="GE195" s="358"/>
      <c r="GF195" s="358"/>
      <c r="GG195" s="358"/>
      <c r="GH195" s="358"/>
      <c r="GI195" s="358"/>
      <c r="GJ195" s="358"/>
      <c r="GK195" s="358"/>
      <c r="GL195" s="358"/>
      <c r="GM195" s="358"/>
      <c r="GN195" s="358"/>
      <c r="GO195" s="358"/>
      <c r="GP195" s="358"/>
      <c r="GQ195" s="358"/>
      <c r="GR195" s="358"/>
      <c r="GS195" s="358"/>
      <c r="GT195" s="358"/>
      <c r="GU195" s="358"/>
      <c r="GV195" s="358"/>
      <c r="GW195" s="358"/>
      <c r="GX195" s="358"/>
      <c r="GY195" s="358"/>
      <c r="GZ195" s="358"/>
      <c r="HA195" s="358"/>
      <c r="HB195" s="358"/>
      <c r="HC195" s="358"/>
      <c r="HD195" s="358"/>
      <c r="HE195" s="358"/>
      <c r="HF195" s="358"/>
      <c r="HG195" s="358"/>
      <c r="HH195" s="358"/>
      <c r="HI195" s="358"/>
      <c r="HJ195" s="358"/>
      <c r="HK195" s="358"/>
      <c r="HL195" s="358"/>
      <c r="HM195" s="358"/>
      <c r="HN195" s="358"/>
      <c r="HO195" s="358"/>
      <c r="HP195" s="358"/>
      <c r="HQ195" s="358"/>
      <c r="HR195" s="358"/>
      <c r="HS195" s="358"/>
      <c r="HT195" s="358"/>
      <c r="HU195" s="358"/>
      <c r="HV195" s="358"/>
      <c r="HW195" s="358"/>
      <c r="HX195" s="358"/>
      <c r="HY195" s="358"/>
      <c r="HZ195" s="358"/>
      <c r="IA195" s="358"/>
      <c r="IB195" s="358"/>
      <c r="IC195" s="358"/>
      <c r="ID195" s="358"/>
      <c r="IE195" s="358"/>
      <c r="IF195" s="358"/>
      <c r="IG195" s="358"/>
      <c r="IH195" s="358"/>
      <c r="II195" s="358"/>
      <c r="IJ195" s="358"/>
      <c r="IK195" s="358"/>
      <c r="IL195" s="358"/>
      <c r="IM195" s="358"/>
      <c r="IN195" s="358"/>
      <c r="IO195" s="358"/>
      <c r="IP195" s="358"/>
      <c r="IQ195" s="358"/>
    </row>
    <row r="196" customFormat="false" ht="13.5" hidden="true" customHeight="true" outlineLevel="0" collapsed="false">
      <c r="A196" s="108" t="n">
        <f aca="false">A194+1</f>
        <v>42</v>
      </c>
      <c r="B196" s="404"/>
      <c r="C196" s="403" t="n">
        <f aca="false">IF(ISERROR(VLOOKUP(D196,[31]일용직명단!$A$3:$I$105,2,FALSE())),0,VLOOKUP(D196,[31]일용직명단!$A$3:$I$105,2,FALSE()))</f>
        <v>0</v>
      </c>
      <c r="D196" s="394"/>
      <c r="E196" s="311" t="n">
        <f aca="false">IF(ISERROR(VLOOKUP(D196,[31]일용직명단!$A$3:$K$1220,3,FALSE())),0,VLOOKUP(D196,[31]일용직명단!$A$3:$K$1220,3,FALSE()))</f>
        <v>0</v>
      </c>
      <c r="F196" s="140" t="n">
        <f aca="false">IF(ISERROR(VLOOKUP(D196,[31]일용직명단!$A$3:$K$1220,4,FALSE())),0,VLOOKUP(D196,[31]일용직명단!$A$3:$K$1220,4,FALSE()))</f>
        <v>0</v>
      </c>
      <c r="G196" s="417"/>
      <c r="H196" s="417"/>
      <c r="I196" s="417"/>
      <c r="J196" s="419"/>
      <c r="K196" s="417"/>
      <c r="L196" s="419"/>
      <c r="M196" s="417"/>
      <c r="N196" s="417"/>
      <c r="O196" s="424"/>
      <c r="P196" s="424"/>
      <c r="Q196" s="424"/>
      <c r="R196" s="424"/>
      <c r="S196" s="419"/>
      <c r="T196" s="424"/>
      <c r="U196" s="419"/>
      <c r="V196" s="416"/>
      <c r="W196" s="168" t="n">
        <f aca="false">SUM(G196:V197)</f>
        <v>0</v>
      </c>
      <c r="X196" s="211" t="n">
        <f aca="false">IF(ISERROR(VLOOKUP(D196,[35]일용직명단!$A$3:$K$1185,8,FALSE())),0,VLOOKUP(D196,[35]일용직명단!$A$3:$K$1185,8,FALSE()))</f>
        <v>0</v>
      </c>
      <c r="Y196" s="123" t="n">
        <f aca="false">IFERROR(IF(AH196&gt;=65,0,ROUNDDOWN(X197*$AA$4,-1)),0)</f>
        <v>0</v>
      </c>
      <c r="Z196" s="123" t="n">
        <f aca="false">IF(AF196&gt;=8,ROUNDDOWN(X197*$N$4,-1),0)</f>
        <v>0</v>
      </c>
      <c r="AA196" s="123" t="n">
        <f aca="false">IFERROR(IF(AND(COUNT(G196:V197)&gt;=8,$AH196&lt;60,X197&lt;=5530000),ROUNDDOWN(ROUNDDOWN(X197,-3)*4.5%,-1),IF(AND(COUNT(G196:V197)&gt;=8,AH196&lt;60,X197&gt;5530000),248850,0)),0)</f>
        <v>0</v>
      </c>
      <c r="AB196" s="145" t="n">
        <f aca="false">+Y196+Z196+Y197+Z197+AA196+AA197</f>
        <v>0</v>
      </c>
      <c r="AC196" s="146" t="n">
        <f aca="false">X197-AB196</f>
        <v>0</v>
      </c>
      <c r="AD196" s="411" t="n">
        <f aca="false">IF(ISERROR(VLOOKUP(D196,[31]일용직명단!$A$3:$I$1200,5,FALSE())),0,VLOOKUP(D196,[31]일용직명단!$A$3:$I$1200,5,FALSE()))</f>
        <v>0</v>
      </c>
      <c r="AE196" s="412" t="n">
        <f aca="false">IF(ISERROR(VLOOKUP(D196,[31]일용직명단!$A$3:$I$1200,6,FALSE())),0,VLOOKUP(D196,[31]일용직명단!$A$3:$I$1200,6,FALSE()))</f>
        <v>0</v>
      </c>
      <c r="AF196" s="141" t="n">
        <f aca="false">COUNT(G196:V197)</f>
        <v>0</v>
      </c>
      <c r="AG196" s="129" t="str">
        <f aca="false">IF(OR(MID(E196,8,1)="1",MID(E196,8,1)="2"),19&amp;LEFT(E196,2),20&amp;LEFT(E196,2))&amp;"-"&amp;MID(E196,3,2)&amp;"-"&amp;MID(E196,5,2)</f>
        <v>200--</v>
      </c>
      <c r="AH196" s="129" t="e">
        <f aca="true">INT((TODAY()-AG196)/365.25)</f>
        <v>#VALUE!</v>
      </c>
      <c r="AI196" s="130" t="n">
        <f aca="false">ROUNDDOWN(SUM(AJ196:AY197),-1)</f>
        <v>0</v>
      </c>
      <c r="AJ196" s="130" t="n">
        <f aca="false">IF($X196*G196&gt;150000,($X196*G196-150000)*6%*45%,0)</f>
        <v>0</v>
      </c>
      <c r="AK196" s="130" t="n">
        <f aca="false">IF($X196*H196&gt;150000,($X196*H196-150000)*6%*45%,0)</f>
        <v>0</v>
      </c>
      <c r="AL196" s="130" t="n">
        <f aca="false">IF($X196*I196&gt;150000,($X196*I196-150000)*6%*45%,0)</f>
        <v>0</v>
      </c>
      <c r="AM196" s="130" t="n">
        <f aca="false">IF($X196*J196&gt;150000,($X196*J196-150000)*6%*45%,0)</f>
        <v>0</v>
      </c>
      <c r="AN196" s="130" t="n">
        <f aca="false">IF($X196*K196&gt;150000,($X196*K196-150000)*6%*45%,0)</f>
        <v>0</v>
      </c>
      <c r="AO196" s="130" t="n">
        <f aca="false">IF($X196*L196&gt;150000,($X196*L196-150000)*6%*45%,0)</f>
        <v>0</v>
      </c>
      <c r="AP196" s="130" t="n">
        <f aca="false">IF($X196*M196&gt;150000,($X196*M196-150000)*6%*45%,0)</f>
        <v>0</v>
      </c>
      <c r="AQ196" s="130" t="n">
        <f aca="false">IF($X196*N196&gt;150000,($X196*N196-150000)*6%*45%,0)</f>
        <v>0</v>
      </c>
      <c r="AR196" s="130" t="n">
        <f aca="false">IF($X196*O196&gt;150000,($X196*O196-150000)*6%*45%,0)</f>
        <v>0</v>
      </c>
      <c r="AS196" s="130" t="n">
        <f aca="false">IF($X196*P196&gt;150000,($X196*P196-150000)*6%*45%,0)</f>
        <v>0</v>
      </c>
      <c r="AT196" s="130" t="n">
        <f aca="false">IF($X196*Q196&gt;150000,($X196*Q196-150000)*6%*45%,0)</f>
        <v>0</v>
      </c>
      <c r="AU196" s="130" t="n">
        <f aca="false">IF($X196*R196&gt;150000,($X196*R196-150000)*6%*45%,0)</f>
        <v>0</v>
      </c>
      <c r="AV196" s="130" t="n">
        <f aca="false">IF($X196*S196&gt;150000,($X196*S196-150000)*6%*45%,0)</f>
        <v>0</v>
      </c>
      <c r="AW196" s="130" t="n">
        <f aca="false">IF($X196*T196&gt;150000,($X196*T196-150000)*6%*45%,0)</f>
        <v>0</v>
      </c>
      <c r="AX196" s="130" t="n">
        <f aca="false">IF($X196*U196&gt;150000,($X196*U196-150000)*6%*45%,0)</f>
        <v>0</v>
      </c>
      <c r="AY196" s="130"/>
      <c r="AZ196" s="131" t="n">
        <f aca="false">IF(ISERROR(VLOOKUP(D196,[32]일용직명단!$A$3:$M$1151,11,FALSE())),0,VLOOKUP(D196,[32]일용직명단!$A$3:$M$1151,11,FALSE()))</f>
        <v>0</v>
      </c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1"/>
      <c r="FM196" s="11"/>
      <c r="FN196" s="11"/>
      <c r="FO196" s="11"/>
      <c r="FP196" s="11"/>
      <c r="FQ196" s="11"/>
      <c r="FR196" s="11"/>
      <c r="FS196" s="11"/>
      <c r="FT196" s="11"/>
      <c r="FU196" s="11"/>
      <c r="FV196" s="11"/>
      <c r="FW196" s="11"/>
      <c r="FX196" s="11"/>
      <c r="FY196" s="11"/>
      <c r="FZ196" s="11"/>
      <c r="GA196" s="11"/>
      <c r="GB196" s="11"/>
      <c r="GC196" s="11"/>
      <c r="GD196" s="11"/>
      <c r="GE196" s="11"/>
      <c r="GF196" s="11"/>
      <c r="GG196" s="11"/>
      <c r="GH196" s="11"/>
      <c r="GI196" s="11"/>
      <c r="GJ196" s="11"/>
      <c r="GK196" s="11"/>
      <c r="GL196" s="11"/>
      <c r="GM196" s="11"/>
      <c r="GN196" s="11"/>
      <c r="GO196" s="11"/>
      <c r="GP196" s="11"/>
      <c r="GQ196" s="11"/>
      <c r="GR196" s="11"/>
      <c r="GS196" s="11"/>
      <c r="GT196" s="11"/>
      <c r="GU196" s="11"/>
      <c r="GV196" s="11"/>
      <c r="GW196" s="11"/>
      <c r="GX196" s="11"/>
      <c r="GY196" s="11"/>
      <c r="GZ196" s="11"/>
      <c r="HA196" s="11"/>
      <c r="HB196" s="11"/>
      <c r="HC196" s="11"/>
      <c r="HD196" s="11"/>
      <c r="HE196" s="11"/>
      <c r="HF196" s="11"/>
      <c r="HG196" s="11"/>
      <c r="HH196" s="11"/>
      <c r="HI196" s="11"/>
      <c r="HJ196" s="11"/>
      <c r="HK196" s="11"/>
      <c r="HL196" s="11"/>
      <c r="HM196" s="11"/>
      <c r="HN196" s="11"/>
      <c r="HO196" s="11"/>
      <c r="HP196" s="11"/>
      <c r="HQ196" s="11"/>
      <c r="HR196" s="11"/>
      <c r="HS196" s="11"/>
      <c r="HT196" s="11"/>
      <c r="HU196" s="11"/>
      <c r="HV196" s="11"/>
      <c r="HW196" s="11"/>
      <c r="HX196" s="11"/>
      <c r="HY196" s="11"/>
      <c r="HZ196" s="11"/>
      <c r="IA196" s="11"/>
      <c r="IB196" s="11"/>
      <c r="IC196" s="11"/>
      <c r="ID196" s="11"/>
      <c r="IE196" s="11"/>
      <c r="IF196" s="11"/>
      <c r="IG196" s="11"/>
      <c r="IH196" s="11"/>
      <c r="II196" s="11"/>
      <c r="IJ196" s="11"/>
      <c r="IK196" s="11"/>
      <c r="IL196" s="11"/>
      <c r="IM196" s="11"/>
      <c r="IN196" s="11"/>
      <c r="IO196" s="11"/>
      <c r="IP196" s="11"/>
      <c r="IQ196" s="11"/>
      <c r="IR196" s="11"/>
      <c r="IS196" s="11"/>
      <c r="IT196" s="11"/>
      <c r="IU196" s="11"/>
      <c r="IV196" s="11"/>
      <c r="IW196" s="11"/>
    </row>
    <row r="197" customFormat="false" ht="13.5" hidden="true" customHeight="true" outlineLevel="0" collapsed="false">
      <c r="A197" s="108"/>
      <c r="B197" s="404"/>
      <c r="C197" s="403"/>
      <c r="D197" s="394"/>
      <c r="E197" s="311"/>
      <c r="F197" s="140" t="n">
        <f aca="false">IF(ISERROR(VLOOKUP(D196,[31]일용직명단!$A$3:$K$1220,9,FALSE())),0,VLOOKUP(D196,[31]일용직명단!$A$3:$K$1220,9,FALSE()))</f>
        <v>0</v>
      </c>
      <c r="G197" s="417"/>
      <c r="H197" s="424"/>
      <c r="I197" s="419"/>
      <c r="J197" s="424"/>
      <c r="K197" s="419"/>
      <c r="L197" s="424"/>
      <c r="M197" s="424"/>
      <c r="N197" s="419"/>
      <c r="O197" s="424"/>
      <c r="P197" s="419"/>
      <c r="Q197" s="424"/>
      <c r="R197" s="424"/>
      <c r="S197" s="417"/>
      <c r="T197" s="417"/>
      <c r="U197" s="417"/>
      <c r="V197" s="417"/>
      <c r="W197" s="168"/>
      <c r="X197" s="138" t="n">
        <f aca="false">X196*W196</f>
        <v>0</v>
      </c>
      <c r="Y197" s="123" t="n">
        <f aca="false">IF(AI196&lt;1000,0,AI196)</f>
        <v>0</v>
      </c>
      <c r="Z197" s="123" t="n">
        <f aca="false">ROUNDDOWN(Y197*10%,-1)</f>
        <v>0</v>
      </c>
      <c r="AA197" s="123" t="n">
        <f aca="false">IF(AF196&gt;=8,ROUNDDOWN(Z196*$R$4,-1),0)</f>
        <v>0</v>
      </c>
      <c r="AB197" s="145"/>
      <c r="AC197" s="146"/>
      <c r="AD197" s="412" t="n">
        <f aca="false">IF(ISERROR(VLOOKUP(D196,[31]일용직명단!$A$3:$I$1200,7,FALSE())),0,VLOOKUP(D196,[31]일용직명단!$A$3:$I$1200,7,FALSE()))</f>
        <v>0</v>
      </c>
      <c r="AE197" s="412"/>
      <c r="AF197" s="141"/>
      <c r="AG197" s="129"/>
      <c r="AH197" s="129"/>
      <c r="AI197" s="130"/>
      <c r="AJ197" s="130" t="n">
        <f aca="false">IF($X196*G197&gt;150000,($X196*G197-150000)*6%*45%,0)</f>
        <v>0</v>
      </c>
      <c r="AK197" s="130" t="n">
        <f aca="false">IF($X196*H197&gt;150000,($X196*H197-150000)*6%*45%,0)</f>
        <v>0</v>
      </c>
      <c r="AL197" s="130" t="n">
        <f aca="false">IF($X196*I197&gt;150000,($X196*I197-150000)*6%*45%,0)</f>
        <v>0</v>
      </c>
      <c r="AM197" s="130" t="n">
        <f aca="false">IF($X196*J197&gt;150000,($X196*J197-150000)*6%*45%,0)</f>
        <v>0</v>
      </c>
      <c r="AN197" s="130" t="n">
        <f aca="false">IF($X196*K197&gt;150000,($X196*K197-150000)*6%*45%,0)</f>
        <v>0</v>
      </c>
      <c r="AO197" s="130" t="n">
        <f aca="false">IF($X196*L197&gt;150000,($X196*L197-150000)*6%*45%,0)</f>
        <v>0</v>
      </c>
      <c r="AP197" s="130" t="n">
        <f aca="false">IF($X196*M197&gt;150000,($X196*M197-150000)*6%*45%,0)</f>
        <v>0</v>
      </c>
      <c r="AQ197" s="130" t="n">
        <f aca="false">IF($X196*N197&gt;150000,($X196*N197-150000)*6%*45%,0)</f>
        <v>0</v>
      </c>
      <c r="AR197" s="130" t="n">
        <f aca="false">IF($X196*O197&gt;150000,($X196*O197-150000)*6%*45%,0)</f>
        <v>0</v>
      </c>
      <c r="AS197" s="130" t="n">
        <f aca="false">IF($X196*P197&gt;150000,($X196*P197-150000)*6%*45%,0)</f>
        <v>0</v>
      </c>
      <c r="AT197" s="130" t="n">
        <f aca="false">IF($X196*Q197&gt;150000,($X196*Q197-150000)*6%*45%,0)</f>
        <v>0</v>
      </c>
      <c r="AU197" s="130" t="n">
        <f aca="false">IF($X196*R197&gt;150000,($X196*R197-150000)*6%*45%,0)</f>
        <v>0</v>
      </c>
      <c r="AV197" s="130" t="n">
        <f aca="false">IF($X196*S197&gt;150000,($X196*S197-150000)*6%*45%,0)</f>
        <v>0</v>
      </c>
      <c r="AW197" s="130" t="n">
        <f aca="false">IF($X196*T197&gt;150000,($X196*T197-150000)*6%*45%,0)</f>
        <v>0</v>
      </c>
      <c r="AX197" s="130" t="n">
        <f aca="false">IF($X196*U197&gt;150000,($X196*U197-150000)*6%*45%,0)</f>
        <v>0</v>
      </c>
      <c r="AY197" s="130" t="n">
        <f aca="false">IF($X196*V197&gt;150000,($X196*V197-150000)*6%*45%,0)</f>
        <v>0</v>
      </c>
      <c r="AZ197" s="13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1"/>
      <c r="FW197" s="11"/>
      <c r="FX197" s="11"/>
      <c r="FY197" s="11"/>
      <c r="FZ197" s="11"/>
      <c r="GA197" s="11"/>
      <c r="GB197" s="11"/>
      <c r="GC197" s="11"/>
      <c r="GD197" s="11"/>
      <c r="GE197" s="11"/>
      <c r="GF197" s="11"/>
      <c r="GG197" s="11"/>
      <c r="GH197" s="11"/>
      <c r="GI197" s="11"/>
      <c r="GJ197" s="11"/>
      <c r="GK197" s="11"/>
      <c r="GL197" s="11"/>
      <c r="GM197" s="11"/>
      <c r="GN197" s="11"/>
      <c r="GO197" s="11"/>
      <c r="GP197" s="11"/>
      <c r="GQ197" s="11"/>
      <c r="GR197" s="11"/>
      <c r="GS197" s="11"/>
      <c r="GT197" s="11"/>
      <c r="GU197" s="11"/>
      <c r="GV197" s="11"/>
      <c r="GW197" s="11"/>
      <c r="GX197" s="11"/>
      <c r="GY197" s="11"/>
      <c r="GZ197" s="11"/>
      <c r="HA197" s="11"/>
      <c r="HB197" s="11"/>
      <c r="HC197" s="11"/>
      <c r="HD197" s="11"/>
      <c r="HE197" s="11"/>
      <c r="HF197" s="11"/>
      <c r="HG197" s="11"/>
      <c r="HH197" s="11"/>
      <c r="HI197" s="11"/>
      <c r="HJ197" s="11"/>
      <c r="HK197" s="11"/>
      <c r="HL197" s="11"/>
      <c r="HM197" s="11"/>
      <c r="HN197" s="11"/>
      <c r="HO197" s="11"/>
      <c r="HP197" s="11"/>
      <c r="HQ197" s="11"/>
      <c r="HR197" s="11"/>
      <c r="HS197" s="11"/>
      <c r="HT197" s="11"/>
      <c r="HU197" s="11"/>
      <c r="HV197" s="11"/>
      <c r="HW197" s="11"/>
      <c r="HX197" s="11"/>
      <c r="HY197" s="11"/>
      <c r="HZ197" s="11"/>
      <c r="IA197" s="11"/>
      <c r="IB197" s="11"/>
      <c r="IC197" s="11"/>
      <c r="ID197" s="11"/>
      <c r="IE197" s="11"/>
      <c r="IF197" s="11"/>
      <c r="IG197" s="11"/>
      <c r="IH197" s="11"/>
      <c r="II197" s="11"/>
      <c r="IJ197" s="11"/>
      <c r="IK197" s="11"/>
      <c r="IL197" s="11"/>
      <c r="IM197" s="11"/>
      <c r="IN197" s="11"/>
      <c r="IO197" s="11"/>
      <c r="IP197" s="11"/>
      <c r="IQ197" s="11"/>
      <c r="IR197" s="11"/>
      <c r="IS197" s="11"/>
      <c r="IT197" s="11"/>
      <c r="IU197" s="11"/>
      <c r="IV197" s="11"/>
      <c r="IW197" s="11"/>
    </row>
    <row r="198" customFormat="false" ht="13.5" hidden="true" customHeight="true" outlineLevel="0" collapsed="false">
      <c r="A198" s="108" t="n">
        <f aca="false">A196+1</f>
        <v>43</v>
      </c>
      <c r="B198" s="404"/>
      <c r="C198" s="159" t="n">
        <f aca="false">IF(ISERROR(VLOOKUP(D198,[31]일용직명단!$A$3:$I$105,2,FALSE())),0,VLOOKUP(D198,[31]일용직명단!$A$3:$I$105,2,FALSE()))</f>
        <v>0</v>
      </c>
      <c r="D198" s="110"/>
      <c r="E198" s="311" t="n">
        <f aca="false">IF(ISERROR(VLOOKUP(D198,[31]일용직명단!$A$3:$K$1220,3,FALSE())),0,VLOOKUP(D198,[31]일용직명단!$A$3:$K$1220,3,FALSE()))</f>
        <v>0</v>
      </c>
      <c r="F198" s="140" t="n">
        <f aca="false">IF(ISERROR(VLOOKUP(D198,[31]일용직명단!$A$3:$K$1220,4,FALSE())),0,VLOOKUP(D198,[31]일용직명단!$A$3:$K$1220,4,FALSE()))</f>
        <v>0</v>
      </c>
      <c r="G198" s="417"/>
      <c r="H198" s="417"/>
      <c r="I198" s="417"/>
      <c r="J198" s="419"/>
      <c r="K198" s="417"/>
      <c r="L198" s="419"/>
      <c r="M198" s="417"/>
      <c r="N198" s="417"/>
      <c r="O198" s="424"/>
      <c r="P198" s="424"/>
      <c r="Q198" s="424"/>
      <c r="R198" s="424"/>
      <c r="S198" s="419"/>
      <c r="T198" s="424"/>
      <c r="U198" s="419"/>
      <c r="V198" s="416"/>
      <c r="W198" s="144" t="n">
        <f aca="false">SUM(G198:V199)</f>
        <v>0</v>
      </c>
      <c r="X198" s="211" t="n">
        <f aca="false">IF(ISERROR(VLOOKUP(D198,[35]일용직명단!$A$3:$K$1185,8,FALSE())),0,VLOOKUP(D198,[35]일용직명단!$A$3:$K$1185,8,FALSE()))</f>
        <v>0</v>
      </c>
      <c r="Y198" s="123" t="n">
        <f aca="false">IFERROR(IF(AH198&gt;=65,0,ROUNDDOWN(X199*$AA$4,-1)),0)</f>
        <v>0</v>
      </c>
      <c r="Z198" s="123" t="n">
        <f aca="false">IF(AF198&gt;=8,ROUNDDOWN(X199*$N$4,-1),0)</f>
        <v>0</v>
      </c>
      <c r="AA198" s="123" t="n">
        <f aca="false">IFERROR(IF(AND(COUNT(G198:V199)&gt;=8,$AH198&lt;60,X199&lt;=5530000),ROUNDDOWN(ROUNDDOWN(X199,-3)*4.5%,-1),IF(AND(COUNT(G198:V199)&gt;=8,AH198&lt;60,X199&gt;5530000),248850,0)),0)</f>
        <v>0</v>
      </c>
      <c r="AB198" s="145" t="n">
        <f aca="false">+Y198+Z198+Y199+Z199+AA198+AA199</f>
        <v>0</v>
      </c>
      <c r="AC198" s="146" t="n">
        <f aca="false">X199-AB198</f>
        <v>0</v>
      </c>
      <c r="AD198" s="411" t="n">
        <f aca="false">IF(ISERROR(VLOOKUP(D198,[31]일용직명단!$A$3:$I$1200,5,FALSE())),0,VLOOKUP(D198,[31]일용직명단!$A$3:$I$1200,5,FALSE()))</f>
        <v>0</v>
      </c>
      <c r="AE198" s="412" t="n">
        <f aca="false">IF(ISERROR(VLOOKUP(D198,[31]일용직명단!$A$3:$I$1200,6,FALSE())),0,VLOOKUP(D198,[31]일용직명단!$A$3:$I$1200,6,FALSE()))</f>
        <v>0</v>
      </c>
      <c r="AF198" s="141" t="n">
        <f aca="false">COUNT(G198:V199)</f>
        <v>0</v>
      </c>
      <c r="AG198" s="129" t="str">
        <f aca="false">IF(OR(MID(E198,8,1)="1",MID(E198,8,1)="2"),19&amp;LEFT(E198,2),20&amp;LEFT(E198,2))&amp;"-"&amp;MID(E198,3,2)&amp;"-"&amp;MID(E198,5,2)</f>
        <v>200--</v>
      </c>
      <c r="AH198" s="129" t="e">
        <f aca="true">INT((TODAY()-AG198)/365.25)</f>
        <v>#VALUE!</v>
      </c>
      <c r="AI198" s="130" t="n">
        <f aca="false">ROUNDDOWN(SUM(AJ198:AY199),-1)</f>
        <v>0</v>
      </c>
      <c r="AJ198" s="130" t="n">
        <f aca="false">IF($X198*G198&gt;150000,($X198*G198-150000)*6%*45%,0)</f>
        <v>0</v>
      </c>
      <c r="AK198" s="130" t="n">
        <f aca="false">IF($X198*H198&gt;150000,($X198*H198-150000)*6%*45%,0)</f>
        <v>0</v>
      </c>
      <c r="AL198" s="130" t="n">
        <f aca="false">IF($X198*I198&gt;150000,($X198*I198-150000)*6%*45%,0)</f>
        <v>0</v>
      </c>
      <c r="AM198" s="130" t="n">
        <f aca="false">IF($X198*J198&gt;150000,($X198*J198-150000)*6%*45%,0)</f>
        <v>0</v>
      </c>
      <c r="AN198" s="130" t="n">
        <f aca="false">IF($X198*K198&gt;150000,($X198*K198-150000)*6%*45%,0)</f>
        <v>0</v>
      </c>
      <c r="AO198" s="130" t="n">
        <f aca="false">IF($X198*L198&gt;150000,($X198*L198-150000)*6%*45%,0)</f>
        <v>0</v>
      </c>
      <c r="AP198" s="130" t="n">
        <f aca="false">IF($X198*M198&gt;150000,($X198*M198-150000)*6%*45%,0)</f>
        <v>0</v>
      </c>
      <c r="AQ198" s="130" t="n">
        <f aca="false">IF($X198*N198&gt;150000,($X198*N198-150000)*6%*45%,0)</f>
        <v>0</v>
      </c>
      <c r="AR198" s="130" t="n">
        <f aca="false">IF($X198*O198&gt;150000,($X198*O198-150000)*6%*45%,0)</f>
        <v>0</v>
      </c>
      <c r="AS198" s="130" t="n">
        <f aca="false">IF($X198*P198&gt;150000,($X198*P198-150000)*6%*45%,0)</f>
        <v>0</v>
      </c>
      <c r="AT198" s="130" t="n">
        <f aca="false">IF($X198*Q198&gt;150000,($X198*Q198-150000)*6%*45%,0)</f>
        <v>0</v>
      </c>
      <c r="AU198" s="130" t="n">
        <f aca="false">IF($X198*R198&gt;150000,($X198*R198-150000)*6%*45%,0)</f>
        <v>0</v>
      </c>
      <c r="AV198" s="130" t="n">
        <f aca="false">IF($X198*S198&gt;150000,($X198*S198-150000)*6%*45%,0)</f>
        <v>0</v>
      </c>
      <c r="AW198" s="130" t="n">
        <f aca="false">IF($X198*T198&gt;150000,($X198*T198-150000)*6%*45%,0)</f>
        <v>0</v>
      </c>
      <c r="AX198" s="130" t="n">
        <f aca="false">IF($X198*U198&gt;150000,($X198*U198-150000)*6%*45%,0)</f>
        <v>0</v>
      </c>
      <c r="AY198" s="130"/>
      <c r="AZ198" s="131" t="n">
        <f aca="false">IF(ISERROR(VLOOKUP(D198,[32]일용직명단!$A$3:$M$1151,11,FALSE())),0,VLOOKUP(D198,[32]일용직명단!$A$3:$M$1151,11,FALSE()))</f>
        <v>0</v>
      </c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1"/>
      <c r="FM198" s="11"/>
      <c r="FN198" s="11"/>
      <c r="FO198" s="11"/>
      <c r="FP198" s="11"/>
      <c r="FQ198" s="11"/>
      <c r="FR198" s="11"/>
      <c r="FS198" s="11"/>
      <c r="FT198" s="11"/>
      <c r="FU198" s="11"/>
      <c r="FV198" s="11"/>
      <c r="FW198" s="11"/>
      <c r="FX198" s="11"/>
      <c r="FY198" s="11"/>
      <c r="FZ198" s="11"/>
      <c r="GA198" s="11"/>
      <c r="GB198" s="11"/>
      <c r="GC198" s="11"/>
      <c r="GD198" s="11"/>
      <c r="GE198" s="11"/>
      <c r="GF198" s="11"/>
      <c r="GG198" s="11"/>
      <c r="GH198" s="11"/>
      <c r="GI198" s="11"/>
      <c r="GJ198" s="11"/>
      <c r="GK198" s="11"/>
      <c r="GL198" s="11"/>
      <c r="GM198" s="11"/>
      <c r="GN198" s="11"/>
      <c r="GO198" s="11"/>
      <c r="GP198" s="11"/>
      <c r="GQ198" s="11"/>
      <c r="GR198" s="11"/>
      <c r="GS198" s="11"/>
      <c r="GT198" s="11"/>
      <c r="GU198" s="11"/>
      <c r="GV198" s="11"/>
      <c r="GW198" s="11"/>
      <c r="GX198" s="11"/>
      <c r="GY198" s="11"/>
      <c r="GZ198" s="11"/>
      <c r="HA198" s="11"/>
      <c r="HB198" s="11"/>
      <c r="HC198" s="11"/>
      <c r="HD198" s="11"/>
      <c r="HE198" s="11"/>
      <c r="HF198" s="11"/>
      <c r="HG198" s="11"/>
      <c r="HH198" s="11"/>
      <c r="HI198" s="11"/>
      <c r="HJ198" s="11"/>
      <c r="HK198" s="11"/>
      <c r="HL198" s="11"/>
      <c r="HM198" s="11"/>
      <c r="HN198" s="11"/>
      <c r="HO198" s="11"/>
      <c r="HP198" s="11"/>
      <c r="HQ198" s="11"/>
      <c r="HR198" s="11"/>
      <c r="HS198" s="11"/>
      <c r="HT198" s="11"/>
      <c r="HU198" s="11"/>
      <c r="HV198" s="11"/>
      <c r="HW198" s="11"/>
      <c r="HX198" s="11"/>
      <c r="HY198" s="11"/>
      <c r="HZ198" s="11"/>
      <c r="IA198" s="11"/>
      <c r="IB198" s="11"/>
      <c r="IC198" s="11"/>
      <c r="ID198" s="11"/>
      <c r="IE198" s="11"/>
      <c r="IF198" s="11"/>
      <c r="IG198" s="11"/>
      <c r="IH198" s="11"/>
      <c r="II198" s="11"/>
      <c r="IJ198" s="11"/>
      <c r="IK198" s="11"/>
      <c r="IL198" s="11"/>
      <c r="IM198" s="11"/>
      <c r="IN198" s="11"/>
      <c r="IO198" s="11"/>
      <c r="IP198" s="11"/>
      <c r="IQ198" s="11"/>
      <c r="IR198" s="11"/>
      <c r="IS198" s="11"/>
      <c r="IT198" s="11"/>
      <c r="IU198" s="11"/>
      <c r="IV198" s="11"/>
      <c r="IW198" s="11"/>
    </row>
    <row r="199" customFormat="false" ht="13.5" hidden="true" customHeight="true" outlineLevel="0" collapsed="false">
      <c r="A199" s="108"/>
      <c r="B199" s="404"/>
      <c r="C199" s="159"/>
      <c r="D199" s="110"/>
      <c r="E199" s="311"/>
      <c r="F199" s="140" t="n">
        <f aca="false">IF(ISERROR(VLOOKUP(D198,[31]일용직명단!$A$3:$K$1220,9,FALSE())),0,VLOOKUP(D198,[31]일용직명단!$A$3:$K$1220,9,FALSE()))</f>
        <v>0</v>
      </c>
      <c r="G199" s="417"/>
      <c r="H199" s="424"/>
      <c r="I199" s="419"/>
      <c r="J199" s="424"/>
      <c r="K199" s="419"/>
      <c r="L199" s="424"/>
      <c r="M199" s="424"/>
      <c r="N199" s="419"/>
      <c r="O199" s="424"/>
      <c r="P199" s="419"/>
      <c r="Q199" s="424"/>
      <c r="R199" s="424"/>
      <c r="S199" s="417"/>
      <c r="T199" s="417"/>
      <c r="U199" s="417"/>
      <c r="V199" s="417"/>
      <c r="W199" s="144"/>
      <c r="X199" s="138" t="n">
        <f aca="false">X198*W198</f>
        <v>0</v>
      </c>
      <c r="Y199" s="123" t="n">
        <f aca="false">IF(AI198&lt;1000,0,AI198)</f>
        <v>0</v>
      </c>
      <c r="Z199" s="123" t="n">
        <f aca="false">ROUNDDOWN(Y199*10%,-1)</f>
        <v>0</v>
      </c>
      <c r="AA199" s="123" t="n">
        <f aca="false">IF(AF198&gt;=8,ROUNDDOWN(Z198*$R$4,-1),0)</f>
        <v>0</v>
      </c>
      <c r="AB199" s="145"/>
      <c r="AC199" s="146"/>
      <c r="AD199" s="412" t="n">
        <f aca="false">IF(ISERROR(VLOOKUP(D198,[31]일용직명단!$A$3:$I$1200,7,FALSE())),0,VLOOKUP(D198,[31]일용직명단!$A$3:$I$1200,7,FALSE()))</f>
        <v>0</v>
      </c>
      <c r="AE199" s="412"/>
      <c r="AF199" s="141"/>
      <c r="AG199" s="129"/>
      <c r="AH199" s="129"/>
      <c r="AI199" s="130"/>
      <c r="AJ199" s="130" t="n">
        <f aca="false">IF($X198*G199&gt;150000,($X198*G199-150000)*6%*45%,0)</f>
        <v>0</v>
      </c>
      <c r="AK199" s="130" t="n">
        <f aca="false">IF($X198*H199&gt;150000,($X198*H199-150000)*6%*45%,0)</f>
        <v>0</v>
      </c>
      <c r="AL199" s="130" t="n">
        <f aca="false">IF($X198*I199&gt;150000,($X198*I199-150000)*6%*45%,0)</f>
        <v>0</v>
      </c>
      <c r="AM199" s="130" t="n">
        <f aca="false">IF($X198*J199&gt;150000,($X198*J199-150000)*6%*45%,0)</f>
        <v>0</v>
      </c>
      <c r="AN199" s="130" t="n">
        <f aca="false">IF($X198*K199&gt;150000,($X198*K199-150000)*6%*45%,0)</f>
        <v>0</v>
      </c>
      <c r="AO199" s="130" t="n">
        <f aca="false">IF($X198*L199&gt;150000,($X198*L199-150000)*6%*45%,0)</f>
        <v>0</v>
      </c>
      <c r="AP199" s="130" t="n">
        <f aca="false">IF($X198*M199&gt;150000,($X198*M199-150000)*6%*45%,0)</f>
        <v>0</v>
      </c>
      <c r="AQ199" s="130" t="n">
        <f aca="false">IF($X198*N199&gt;150000,($X198*N199-150000)*6%*45%,0)</f>
        <v>0</v>
      </c>
      <c r="AR199" s="130" t="n">
        <f aca="false">IF($X198*O199&gt;150000,($X198*O199-150000)*6%*45%,0)</f>
        <v>0</v>
      </c>
      <c r="AS199" s="130" t="n">
        <f aca="false">IF($X198*P199&gt;150000,($X198*P199-150000)*6%*45%,0)</f>
        <v>0</v>
      </c>
      <c r="AT199" s="130" t="n">
        <f aca="false">IF($X198*Q199&gt;150000,($X198*Q199-150000)*6%*45%,0)</f>
        <v>0</v>
      </c>
      <c r="AU199" s="130" t="n">
        <f aca="false">IF($X198*R199&gt;150000,($X198*R199-150000)*6%*45%,0)</f>
        <v>0</v>
      </c>
      <c r="AV199" s="130" t="n">
        <f aca="false">IF($X198*S199&gt;150000,($X198*S199-150000)*6%*45%,0)</f>
        <v>0</v>
      </c>
      <c r="AW199" s="130" t="n">
        <f aca="false">IF($X198*T199&gt;150000,($X198*T199-150000)*6%*45%,0)</f>
        <v>0</v>
      </c>
      <c r="AX199" s="130" t="n">
        <f aca="false">IF($X198*U199&gt;150000,($X198*U199-150000)*6%*45%,0)</f>
        <v>0</v>
      </c>
      <c r="AY199" s="130" t="n">
        <f aca="false">IF($X198*V199&gt;150000,($X198*V199-150000)*6%*45%,0)</f>
        <v>0</v>
      </c>
      <c r="AZ199" s="13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1"/>
      <c r="FW199" s="11"/>
      <c r="FX199" s="11"/>
      <c r="FY199" s="11"/>
      <c r="FZ199" s="11"/>
      <c r="GA199" s="11"/>
      <c r="GB199" s="11"/>
      <c r="GC199" s="11"/>
      <c r="GD199" s="11"/>
      <c r="GE199" s="11"/>
      <c r="GF199" s="11"/>
      <c r="GG199" s="11"/>
      <c r="GH199" s="11"/>
      <c r="GI199" s="11"/>
      <c r="GJ199" s="11"/>
      <c r="GK199" s="11"/>
      <c r="GL199" s="11"/>
      <c r="GM199" s="11"/>
      <c r="GN199" s="11"/>
      <c r="GO199" s="11"/>
      <c r="GP199" s="11"/>
      <c r="GQ199" s="11"/>
      <c r="GR199" s="11"/>
      <c r="GS199" s="11"/>
      <c r="GT199" s="11"/>
      <c r="GU199" s="11"/>
      <c r="GV199" s="11"/>
      <c r="GW199" s="11"/>
      <c r="GX199" s="11"/>
      <c r="GY199" s="11"/>
      <c r="GZ199" s="11"/>
      <c r="HA199" s="11"/>
      <c r="HB199" s="11"/>
      <c r="HC199" s="11"/>
      <c r="HD199" s="11"/>
      <c r="HE199" s="11"/>
      <c r="HF199" s="11"/>
      <c r="HG199" s="11"/>
      <c r="HH199" s="11"/>
      <c r="HI199" s="11"/>
      <c r="HJ199" s="11"/>
      <c r="HK199" s="11"/>
      <c r="HL199" s="11"/>
      <c r="HM199" s="11"/>
      <c r="HN199" s="11"/>
      <c r="HO199" s="11"/>
      <c r="HP199" s="11"/>
      <c r="HQ199" s="11"/>
      <c r="HR199" s="11"/>
      <c r="HS199" s="11"/>
      <c r="HT199" s="11"/>
      <c r="HU199" s="11"/>
      <c r="HV199" s="11"/>
      <c r="HW199" s="11"/>
      <c r="HX199" s="11"/>
      <c r="HY199" s="11"/>
      <c r="HZ199" s="11"/>
      <c r="IA199" s="11"/>
      <c r="IB199" s="11"/>
      <c r="IC199" s="11"/>
      <c r="ID199" s="11"/>
      <c r="IE199" s="11"/>
      <c r="IF199" s="11"/>
      <c r="IG199" s="11"/>
      <c r="IH199" s="11"/>
      <c r="II199" s="11"/>
      <c r="IJ199" s="11"/>
      <c r="IK199" s="11"/>
      <c r="IL199" s="11"/>
      <c r="IM199" s="11"/>
      <c r="IN199" s="11"/>
      <c r="IO199" s="11"/>
      <c r="IP199" s="11"/>
      <c r="IQ199" s="11"/>
      <c r="IR199" s="11"/>
      <c r="IS199" s="11"/>
      <c r="IT199" s="11"/>
      <c r="IU199" s="11"/>
      <c r="IV199" s="11"/>
      <c r="IW199" s="11"/>
    </row>
    <row r="200" customFormat="false" ht="13.5" hidden="true" customHeight="true" outlineLevel="0" collapsed="false">
      <c r="A200" s="108" t="n">
        <f aca="false">A198+1</f>
        <v>44</v>
      </c>
      <c r="B200" s="404"/>
      <c r="C200" s="159" t="n">
        <f aca="false">IF(ISERROR(VLOOKUP(D200,[31]일용직명단!$A$3:$I$105,2,FALSE())),0,VLOOKUP(D200,[31]일용직명단!$A$3:$I$105,2,FALSE()))</f>
        <v>0</v>
      </c>
      <c r="D200" s="394"/>
      <c r="E200" s="311" t="n">
        <f aca="false">IF(ISERROR(VLOOKUP(D200,[31]일용직명단!$A$3:$K$1220,3,FALSE())),0,VLOOKUP(D200,[31]일용직명단!$A$3:$K$1220,3,FALSE()))</f>
        <v>0</v>
      </c>
      <c r="F200" s="140" t="n">
        <f aca="false">IF(ISERROR(VLOOKUP(D200,[31]일용직명단!$A$3:$K$1220,4,FALSE())),0,VLOOKUP(D200,[31]일용직명단!$A$3:$K$1220,4,FALSE()))</f>
        <v>0</v>
      </c>
      <c r="G200" s="425"/>
      <c r="H200" s="424"/>
      <c r="I200" s="424"/>
      <c r="J200" s="417"/>
      <c r="K200" s="419"/>
      <c r="L200" s="419"/>
      <c r="M200" s="419"/>
      <c r="N200" s="419"/>
      <c r="O200" s="417"/>
      <c r="P200" s="417"/>
      <c r="Q200" s="417"/>
      <c r="R200" s="417"/>
      <c r="S200" s="426"/>
      <c r="T200" s="426"/>
      <c r="U200" s="426"/>
      <c r="V200" s="416"/>
      <c r="W200" s="144" t="n">
        <f aca="false">SUM(G200:V201)</f>
        <v>0</v>
      </c>
      <c r="X200" s="121" t="n">
        <f aca="false">IF(ISERROR(VLOOKUP(D200,[31]일용직명단!$A$3:$K$1220,8,FALSE())),0,VLOOKUP(D200,[31]일용직명단!$A$3:$K$1220,8,FALSE()))</f>
        <v>0</v>
      </c>
      <c r="Y200" s="123" t="n">
        <f aca="false">IFERROR(IF(AH200&gt;=65,0,ROUNDDOWN(X201*$AA$4,-1)),0)</f>
        <v>0</v>
      </c>
      <c r="Z200" s="123" t="n">
        <f aca="false">IF(AF200&gt;=8,ROUNDDOWN(X201*$N$4,-1),0)</f>
        <v>0</v>
      </c>
      <c r="AA200" s="123" t="n">
        <f aca="false">IFERROR(IF(AND(COUNT(G200:V201)&gt;=8,$AH200&lt;60,X201&lt;=5530000),ROUNDDOWN(ROUNDDOWN(X201,-3)*4.5%,-1),IF(AND(COUNT(G200:V201)&gt;=8,AH200&lt;60,X201&gt;5530000),248850,0)),0)</f>
        <v>0</v>
      </c>
      <c r="AB200" s="145" t="n">
        <f aca="false">+Y200+Z200+Y201+Z201+AA200+AA201</f>
        <v>0</v>
      </c>
      <c r="AC200" s="146" t="n">
        <f aca="false">X201-AB200</f>
        <v>0</v>
      </c>
      <c r="AD200" s="411" t="n">
        <f aca="false">IF(ISERROR(VLOOKUP(D200,[31]일용직명단!$A$3:$I$1200,5,FALSE())),0,VLOOKUP(D200,[31]일용직명단!$A$3:$I$1200,5,FALSE()))</f>
        <v>0</v>
      </c>
      <c r="AE200" s="412" t="n">
        <f aca="false">IF(ISERROR(VLOOKUP(D200,[31]일용직명단!$A$3:$I$1200,6,FALSE())),0,VLOOKUP(D200,[31]일용직명단!$A$3:$I$1200,6,FALSE()))</f>
        <v>0</v>
      </c>
      <c r="AF200" s="141" t="n">
        <f aca="false">COUNT(G200:V201)</f>
        <v>0</v>
      </c>
      <c r="AG200" s="129" t="str">
        <f aca="false">IF(OR(MID(E200,8,1)="1",MID(E200,8,1)="2"),19&amp;LEFT(E200,2),20&amp;LEFT(E200,2))&amp;"-"&amp;MID(E200,3,2)&amp;"-"&amp;MID(E200,5,2)</f>
        <v>200--</v>
      </c>
      <c r="AH200" s="129" t="e">
        <f aca="true">INT((TODAY()-AG200)/365.25)</f>
        <v>#VALUE!</v>
      </c>
      <c r="AI200" s="130" t="n">
        <f aca="false">ROUNDDOWN(SUM(AJ200:AY201),-1)</f>
        <v>0</v>
      </c>
      <c r="AJ200" s="130" t="n">
        <f aca="false">IF($X200*G200&gt;150000,($X200*G200-150000)*6%*45%,0)</f>
        <v>0</v>
      </c>
      <c r="AK200" s="130" t="n">
        <f aca="false">IF($X200*H200&gt;150000,($X200*H200-150000)*6%*45%,0)</f>
        <v>0</v>
      </c>
      <c r="AL200" s="130" t="n">
        <f aca="false">IF($X200*I200&gt;150000,($X200*I200-150000)*6%*45%,0)</f>
        <v>0</v>
      </c>
      <c r="AM200" s="130" t="n">
        <f aca="false">IF($X200*J200&gt;150000,($X200*J200-150000)*6%*45%,0)</f>
        <v>0</v>
      </c>
      <c r="AN200" s="130" t="n">
        <f aca="false">IF($X200*K200&gt;150000,($X200*K200-150000)*6%*45%,0)</f>
        <v>0</v>
      </c>
      <c r="AO200" s="130" t="n">
        <f aca="false">IF($X200*L200&gt;150000,($X200*L200-150000)*6%*45%,0)</f>
        <v>0</v>
      </c>
      <c r="AP200" s="130" t="n">
        <f aca="false">IF($X200*M200&gt;150000,($X200*M200-150000)*6%*45%,0)</f>
        <v>0</v>
      </c>
      <c r="AQ200" s="130" t="n">
        <f aca="false">IF($X200*N200&gt;150000,($X200*N200-150000)*6%*45%,0)</f>
        <v>0</v>
      </c>
      <c r="AR200" s="130" t="n">
        <f aca="false">IF($X200*O200&gt;150000,($X200*O200-150000)*6%*45%,0)</f>
        <v>0</v>
      </c>
      <c r="AS200" s="130" t="n">
        <f aca="false">IF($X200*P200&gt;150000,($X200*P200-150000)*6%*45%,0)</f>
        <v>0</v>
      </c>
      <c r="AT200" s="130" t="n">
        <f aca="false">IF($X200*Q200&gt;150000,($X200*Q200-150000)*6%*45%,0)</f>
        <v>0</v>
      </c>
      <c r="AU200" s="130" t="n">
        <f aca="false">IF($X200*R200&gt;150000,($X200*R200-150000)*6%*45%,0)</f>
        <v>0</v>
      </c>
      <c r="AV200" s="130" t="n">
        <f aca="false">IF($X200*S200&gt;150000,($X200*S200-150000)*6%*45%,0)</f>
        <v>0</v>
      </c>
      <c r="AW200" s="130" t="n">
        <f aca="false">IF($X200*T200&gt;150000,($X200*T200-150000)*6%*45%,0)</f>
        <v>0</v>
      </c>
      <c r="AX200" s="130" t="n">
        <f aca="false">IF($X200*U200&gt;150000,($X200*U200-150000)*6%*45%,0)</f>
        <v>0</v>
      </c>
      <c r="AY200" s="130"/>
      <c r="AZ200" s="131" t="n">
        <f aca="false">IF(ISERROR(VLOOKUP(D200,[32]일용직명단!$A$3:$M$1151,11,FALSE())),0,VLOOKUP(D200,[32]일용직명단!$A$3:$M$1151,11,FALSE()))</f>
        <v>0</v>
      </c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11"/>
      <c r="FP200" s="11"/>
      <c r="FQ200" s="11"/>
      <c r="FR200" s="11"/>
      <c r="FS200" s="11"/>
      <c r="FT200" s="11"/>
      <c r="FU200" s="11"/>
      <c r="FV200" s="11"/>
      <c r="FW200" s="11"/>
      <c r="FX200" s="11"/>
      <c r="FY200" s="11"/>
      <c r="FZ200" s="11"/>
      <c r="GA200" s="11"/>
      <c r="GB200" s="11"/>
      <c r="GC200" s="11"/>
      <c r="GD200" s="11"/>
      <c r="GE200" s="11"/>
      <c r="GF200" s="11"/>
      <c r="GG200" s="11"/>
      <c r="GH200" s="11"/>
      <c r="GI200" s="11"/>
      <c r="GJ200" s="11"/>
      <c r="GK200" s="11"/>
      <c r="GL200" s="11"/>
      <c r="GM200" s="11"/>
      <c r="GN200" s="11"/>
      <c r="GO200" s="11"/>
      <c r="GP200" s="11"/>
      <c r="GQ200" s="11"/>
      <c r="GR200" s="11"/>
      <c r="GS200" s="11"/>
      <c r="GT200" s="11"/>
      <c r="GU200" s="11"/>
      <c r="GV200" s="11"/>
      <c r="GW200" s="11"/>
      <c r="GX200" s="11"/>
      <c r="GY200" s="11"/>
      <c r="GZ200" s="11"/>
      <c r="HA200" s="11"/>
      <c r="HB200" s="11"/>
      <c r="HC200" s="11"/>
      <c r="HD200" s="11"/>
      <c r="HE200" s="11"/>
      <c r="HF200" s="11"/>
      <c r="HG200" s="11"/>
      <c r="HH200" s="11"/>
      <c r="HI200" s="11"/>
      <c r="HJ200" s="11"/>
      <c r="HK200" s="11"/>
      <c r="HL200" s="11"/>
      <c r="HM200" s="11"/>
      <c r="HN200" s="11"/>
      <c r="HO200" s="11"/>
      <c r="HP200" s="11"/>
      <c r="HQ200" s="11"/>
      <c r="HR200" s="11"/>
      <c r="HS200" s="11"/>
      <c r="HT200" s="11"/>
      <c r="HU200" s="11"/>
      <c r="HV200" s="11"/>
      <c r="HW200" s="11"/>
      <c r="HX200" s="11"/>
      <c r="HY200" s="11"/>
      <c r="HZ200" s="11"/>
      <c r="IA200" s="11"/>
      <c r="IB200" s="11"/>
      <c r="IC200" s="11"/>
      <c r="ID200" s="11"/>
      <c r="IE200" s="11"/>
      <c r="IF200" s="11"/>
      <c r="IG200" s="11"/>
      <c r="IH200" s="11"/>
      <c r="II200" s="11"/>
      <c r="IJ200" s="11"/>
      <c r="IK200" s="11"/>
      <c r="IL200" s="11"/>
      <c r="IM200" s="11"/>
      <c r="IN200" s="11"/>
      <c r="IO200" s="11"/>
      <c r="IP200" s="11"/>
      <c r="IQ200" s="11"/>
      <c r="IR200" s="11"/>
      <c r="IS200" s="11"/>
      <c r="IT200" s="11"/>
      <c r="IU200" s="11"/>
      <c r="IV200" s="11"/>
      <c r="IW200" s="11"/>
    </row>
    <row r="201" customFormat="false" ht="13.5" hidden="true" customHeight="true" outlineLevel="0" collapsed="false">
      <c r="A201" s="108"/>
      <c r="B201" s="404"/>
      <c r="C201" s="159"/>
      <c r="D201" s="394"/>
      <c r="E201" s="311"/>
      <c r="F201" s="140" t="n">
        <f aca="false">IF(ISERROR(VLOOKUP(D200,[31]일용직명단!$A$3:$K$1220,9,FALSE())),0,VLOOKUP(D200,[31]일용직명단!$A$3:$K$1220,9,FALSE()))</f>
        <v>0</v>
      </c>
      <c r="G201" s="424"/>
      <c r="H201" s="424"/>
      <c r="I201" s="424"/>
      <c r="J201" s="417"/>
      <c r="K201" s="417"/>
      <c r="L201" s="419"/>
      <c r="M201" s="419"/>
      <c r="N201" s="419"/>
      <c r="O201" s="426"/>
      <c r="P201" s="426"/>
      <c r="Q201" s="417"/>
      <c r="R201" s="426"/>
      <c r="S201" s="426"/>
      <c r="T201" s="426"/>
      <c r="U201" s="426"/>
      <c r="V201" s="426"/>
      <c r="W201" s="144"/>
      <c r="X201" s="138" t="n">
        <f aca="false">X200*W200</f>
        <v>0</v>
      </c>
      <c r="Y201" s="123" t="n">
        <f aca="false">IF(AI200&lt;1000,0,AI200)</f>
        <v>0</v>
      </c>
      <c r="Z201" s="123" t="n">
        <f aca="false">ROUNDDOWN(Y201*10%,-1)</f>
        <v>0</v>
      </c>
      <c r="AA201" s="123" t="n">
        <f aca="false">IF(AF200&gt;=8,ROUNDDOWN(Z200*$R$4,-1),0)</f>
        <v>0</v>
      </c>
      <c r="AB201" s="145"/>
      <c r="AC201" s="146"/>
      <c r="AD201" s="412" t="n">
        <f aca="false">IF(ISERROR(VLOOKUP(D200,[31]일용직명단!$A$3:$I$1200,7,FALSE())),0,VLOOKUP(D200,[31]일용직명단!$A$3:$I$1200,7,FALSE()))</f>
        <v>0</v>
      </c>
      <c r="AE201" s="412"/>
      <c r="AF201" s="141"/>
      <c r="AG201" s="129"/>
      <c r="AH201" s="129"/>
      <c r="AI201" s="130"/>
      <c r="AJ201" s="130" t="n">
        <f aca="false">IF($X200*G201&gt;150000,($X200*G201-150000)*6%*45%,0)</f>
        <v>0</v>
      </c>
      <c r="AK201" s="130" t="n">
        <f aca="false">IF($X200*H201&gt;150000,($X200*H201-150000)*6%*45%,0)</f>
        <v>0</v>
      </c>
      <c r="AL201" s="130" t="n">
        <f aca="false">IF($X200*I201&gt;150000,($X200*I201-150000)*6%*45%,0)</f>
        <v>0</v>
      </c>
      <c r="AM201" s="130" t="n">
        <f aca="false">IF($X200*J201&gt;150000,($X200*J201-150000)*6%*45%,0)</f>
        <v>0</v>
      </c>
      <c r="AN201" s="130" t="n">
        <f aca="false">IF($X200*K201&gt;150000,($X200*K201-150000)*6%*45%,0)</f>
        <v>0</v>
      </c>
      <c r="AO201" s="130" t="n">
        <f aca="false">IF($X200*L201&gt;150000,($X200*L201-150000)*6%*45%,0)</f>
        <v>0</v>
      </c>
      <c r="AP201" s="130" t="n">
        <f aca="false">IF($X200*M201&gt;150000,($X200*M201-150000)*6%*45%,0)</f>
        <v>0</v>
      </c>
      <c r="AQ201" s="130" t="n">
        <f aca="false">IF($X200*N201&gt;150000,($X200*N201-150000)*6%*45%,0)</f>
        <v>0</v>
      </c>
      <c r="AR201" s="130" t="n">
        <f aca="false">IF($X200*O201&gt;150000,($X200*O201-150000)*6%*45%,0)</f>
        <v>0</v>
      </c>
      <c r="AS201" s="130" t="n">
        <f aca="false">IF($X200*P201&gt;150000,($X200*P201-150000)*6%*45%,0)</f>
        <v>0</v>
      </c>
      <c r="AT201" s="130" t="n">
        <f aca="false">IF($X200*Q201&gt;150000,($X200*Q201-150000)*6%*45%,0)</f>
        <v>0</v>
      </c>
      <c r="AU201" s="130" t="n">
        <f aca="false">IF($X200*R201&gt;150000,($X200*R201-150000)*6%*45%,0)</f>
        <v>0</v>
      </c>
      <c r="AV201" s="130" t="n">
        <f aca="false">IF($X200*S201&gt;150000,($X200*S201-150000)*6%*45%,0)</f>
        <v>0</v>
      </c>
      <c r="AW201" s="130" t="n">
        <f aca="false">IF($X200*T201&gt;150000,($X200*T201-150000)*6%*45%,0)</f>
        <v>0</v>
      </c>
      <c r="AX201" s="130" t="n">
        <f aca="false">IF($X200*U201&gt;150000,($X200*U201-150000)*6%*45%,0)</f>
        <v>0</v>
      </c>
      <c r="AY201" s="130" t="n">
        <f aca="false">IF($X200*V201&gt;150000,($X200*V201-150000)*6%*45%,0)</f>
        <v>0</v>
      </c>
      <c r="AZ201" s="13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1"/>
      <c r="FW201" s="11"/>
      <c r="FX201" s="11"/>
      <c r="FY201" s="11"/>
      <c r="FZ201" s="11"/>
      <c r="GA201" s="11"/>
      <c r="GB201" s="11"/>
      <c r="GC201" s="11"/>
      <c r="GD201" s="11"/>
      <c r="GE201" s="11"/>
      <c r="GF201" s="11"/>
      <c r="GG201" s="11"/>
      <c r="GH201" s="11"/>
      <c r="GI201" s="11"/>
      <c r="GJ201" s="11"/>
      <c r="GK201" s="11"/>
      <c r="GL201" s="11"/>
      <c r="GM201" s="11"/>
      <c r="GN201" s="11"/>
      <c r="GO201" s="11"/>
      <c r="GP201" s="11"/>
      <c r="GQ201" s="11"/>
      <c r="GR201" s="11"/>
      <c r="GS201" s="11"/>
      <c r="GT201" s="11"/>
      <c r="GU201" s="11"/>
      <c r="GV201" s="11"/>
      <c r="GW201" s="11"/>
      <c r="GX201" s="11"/>
      <c r="GY201" s="11"/>
      <c r="GZ201" s="11"/>
      <c r="HA201" s="11"/>
      <c r="HB201" s="11"/>
      <c r="HC201" s="11"/>
      <c r="HD201" s="11"/>
      <c r="HE201" s="11"/>
      <c r="HF201" s="11"/>
      <c r="HG201" s="11"/>
      <c r="HH201" s="11"/>
      <c r="HI201" s="11"/>
      <c r="HJ201" s="11"/>
      <c r="HK201" s="11"/>
      <c r="HL201" s="11"/>
      <c r="HM201" s="11"/>
      <c r="HN201" s="11"/>
      <c r="HO201" s="11"/>
      <c r="HP201" s="11"/>
      <c r="HQ201" s="11"/>
      <c r="HR201" s="11"/>
      <c r="HS201" s="11"/>
      <c r="HT201" s="11"/>
      <c r="HU201" s="11"/>
      <c r="HV201" s="11"/>
      <c r="HW201" s="11"/>
      <c r="HX201" s="11"/>
      <c r="HY201" s="11"/>
      <c r="HZ201" s="11"/>
      <c r="IA201" s="11"/>
      <c r="IB201" s="11"/>
      <c r="IC201" s="11"/>
      <c r="ID201" s="11"/>
      <c r="IE201" s="11"/>
      <c r="IF201" s="11"/>
      <c r="IG201" s="11"/>
      <c r="IH201" s="11"/>
      <c r="II201" s="11"/>
      <c r="IJ201" s="11"/>
      <c r="IK201" s="11"/>
      <c r="IL201" s="11"/>
      <c r="IM201" s="11"/>
      <c r="IN201" s="11"/>
      <c r="IO201" s="11"/>
      <c r="IP201" s="11"/>
      <c r="IQ201" s="11"/>
      <c r="IR201" s="11"/>
      <c r="IS201" s="11"/>
      <c r="IT201" s="11"/>
      <c r="IU201" s="11"/>
      <c r="IV201" s="11"/>
      <c r="IW201" s="11"/>
    </row>
    <row r="202" customFormat="false" ht="13.5" hidden="true" customHeight="true" outlineLevel="0" collapsed="false">
      <c r="A202" s="108" t="n">
        <f aca="false">A200+1</f>
        <v>45</v>
      </c>
      <c r="B202" s="404"/>
      <c r="C202" s="159" t="n">
        <f aca="false">IF(ISERROR(VLOOKUP(D202,[31]일용직명단!$A$3:$I$105,2,FALSE())),0,VLOOKUP(D202,[31]일용직명단!$A$3:$I$105,2,FALSE()))</f>
        <v>0</v>
      </c>
      <c r="D202" s="394"/>
      <c r="E202" s="311" t="n">
        <f aca="false">IF(ISERROR(VLOOKUP(D202,[31]일용직명단!$A$3:$K$1220,3,FALSE())),0,VLOOKUP(D202,[31]일용직명단!$A$3:$K$1220,3,FALSE()))</f>
        <v>0</v>
      </c>
      <c r="F202" s="140" t="n">
        <f aca="false">IF(ISERROR(VLOOKUP(D202,[31]일용직명단!$A$3:$K$1220,4,FALSE())),0,VLOOKUP(D202,[31]일용직명단!$A$3:$K$1220,4,FALSE()))</f>
        <v>0</v>
      </c>
      <c r="G202" s="425"/>
      <c r="H202" s="424"/>
      <c r="I202" s="424"/>
      <c r="J202" s="417"/>
      <c r="K202" s="419"/>
      <c r="L202" s="419"/>
      <c r="M202" s="419"/>
      <c r="N202" s="419"/>
      <c r="O202" s="417"/>
      <c r="P202" s="417"/>
      <c r="Q202" s="417"/>
      <c r="R202" s="417"/>
      <c r="S202" s="426"/>
      <c r="T202" s="426"/>
      <c r="U202" s="426"/>
      <c r="V202" s="416"/>
      <c r="W202" s="144" t="n">
        <f aca="false">SUM(G202:V203)</f>
        <v>0</v>
      </c>
      <c r="X202" s="121" t="n">
        <f aca="false">IF(ISERROR(VLOOKUP(D202,[31]일용직명단!$A$3:$K$1220,8,FALSE())),0,VLOOKUP(D202,[31]일용직명단!$A$3:$K$1220,8,FALSE()))</f>
        <v>0</v>
      </c>
      <c r="Y202" s="123" t="n">
        <f aca="false">IFERROR(IF(AH202&gt;=65,0,ROUNDDOWN(X203*$AA$4,-1)),0)</f>
        <v>0</v>
      </c>
      <c r="Z202" s="123" t="n">
        <f aca="false">IF(AF202&gt;=8,ROUNDDOWN(X203*$N$4,-1),0)</f>
        <v>0</v>
      </c>
      <c r="AA202" s="123" t="n">
        <f aca="false">IFERROR(IF(AND(COUNT(G202:V203)&gt;=8,$AH202&lt;60,X203&lt;=5530000),ROUNDDOWN(ROUNDDOWN(X203,-3)*4.5%,-1),IF(AND(COUNT(G202:V203)&gt;=8,AH202&lt;60,X203&gt;5530000),248850,0)),0)</f>
        <v>0</v>
      </c>
      <c r="AB202" s="145" t="n">
        <f aca="false">+Y202+Z202+Y203+Z203+AA202+AA203</f>
        <v>0</v>
      </c>
      <c r="AC202" s="146" t="n">
        <f aca="false">X203-AB202</f>
        <v>0</v>
      </c>
      <c r="AD202" s="411" t="n">
        <f aca="false">IF(ISERROR(VLOOKUP(D202,[31]일용직명단!$A$3:$I$1200,5,FALSE())),0,VLOOKUP(D202,[31]일용직명단!$A$3:$I$1200,5,FALSE()))</f>
        <v>0</v>
      </c>
      <c r="AE202" s="412" t="n">
        <f aca="false">IF(ISERROR(VLOOKUP(D202,[31]일용직명단!$A$3:$I$1200,6,FALSE())),0,VLOOKUP(D202,[31]일용직명단!$A$3:$I$1200,6,FALSE()))</f>
        <v>0</v>
      </c>
      <c r="AF202" s="141" t="n">
        <f aca="false">COUNT(G202:V203)</f>
        <v>0</v>
      </c>
      <c r="AG202" s="129" t="str">
        <f aca="false">IF(OR(MID(E202,8,1)="1",MID(E202,8,1)="2"),19&amp;LEFT(E202,2),20&amp;LEFT(E202,2))&amp;"-"&amp;MID(E202,3,2)&amp;"-"&amp;MID(E202,5,2)</f>
        <v>200--</v>
      </c>
      <c r="AH202" s="129" t="e">
        <f aca="true">INT((TODAY()-AG202)/365.25)</f>
        <v>#VALUE!</v>
      </c>
      <c r="AI202" s="130" t="n">
        <f aca="false">ROUNDDOWN(SUM(AJ202:AY203),-1)</f>
        <v>0</v>
      </c>
      <c r="AJ202" s="130" t="n">
        <f aca="false">IF($X202*G202&gt;150000,($X202*G202-150000)*6%*45%,0)</f>
        <v>0</v>
      </c>
      <c r="AK202" s="130" t="n">
        <f aca="false">IF($X202*H202&gt;150000,($X202*H202-150000)*6%*45%,0)</f>
        <v>0</v>
      </c>
      <c r="AL202" s="130" t="n">
        <f aca="false">IF($X202*I202&gt;150000,($X202*I202-150000)*6%*45%,0)</f>
        <v>0</v>
      </c>
      <c r="AM202" s="130" t="n">
        <f aca="false">IF($X202*J202&gt;150000,($X202*J202-150000)*6%*45%,0)</f>
        <v>0</v>
      </c>
      <c r="AN202" s="130" t="n">
        <f aca="false">IF($X202*K202&gt;150000,($X202*K202-150000)*6%*45%,0)</f>
        <v>0</v>
      </c>
      <c r="AO202" s="130" t="n">
        <f aca="false">IF($X202*L202&gt;150000,($X202*L202-150000)*6%*45%,0)</f>
        <v>0</v>
      </c>
      <c r="AP202" s="130" t="n">
        <f aca="false">IF($X202*M202&gt;150000,($X202*M202-150000)*6%*45%,0)</f>
        <v>0</v>
      </c>
      <c r="AQ202" s="130" t="n">
        <f aca="false">IF($X202*N202&gt;150000,($X202*N202-150000)*6%*45%,0)</f>
        <v>0</v>
      </c>
      <c r="AR202" s="130" t="n">
        <f aca="false">IF($X202*O202&gt;150000,($X202*O202-150000)*6%*45%,0)</f>
        <v>0</v>
      </c>
      <c r="AS202" s="130" t="n">
        <f aca="false">IF($X202*P202&gt;150000,($X202*P202-150000)*6%*45%,0)</f>
        <v>0</v>
      </c>
      <c r="AT202" s="130" t="n">
        <f aca="false">IF($X202*Q202&gt;150000,($X202*Q202-150000)*6%*45%,0)</f>
        <v>0</v>
      </c>
      <c r="AU202" s="130" t="n">
        <f aca="false">IF($X202*R202&gt;150000,($X202*R202-150000)*6%*45%,0)</f>
        <v>0</v>
      </c>
      <c r="AV202" s="130" t="n">
        <f aca="false">IF($X202*S202&gt;150000,($X202*S202-150000)*6%*45%,0)</f>
        <v>0</v>
      </c>
      <c r="AW202" s="130" t="n">
        <f aca="false">IF($X202*T202&gt;150000,($X202*T202-150000)*6%*45%,0)</f>
        <v>0</v>
      </c>
      <c r="AX202" s="130" t="n">
        <f aca="false">IF($X202*U202&gt;150000,($X202*U202-150000)*6%*45%,0)</f>
        <v>0</v>
      </c>
      <c r="AY202" s="130"/>
      <c r="AZ202" s="131" t="n">
        <f aca="false">IF(ISERROR(VLOOKUP(D202,[32]일용직명단!$A$3:$M$1151,11,FALSE())),0,VLOOKUP(D202,[32]일용직명단!$A$3:$M$1151,11,FALSE()))</f>
        <v>0</v>
      </c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  <c r="ED202" s="11"/>
      <c r="EE202" s="11"/>
      <c r="EF202" s="11"/>
      <c r="EG202" s="11"/>
      <c r="EH202" s="11"/>
      <c r="EI202" s="11"/>
      <c r="EJ202" s="11"/>
      <c r="EK202" s="11"/>
      <c r="EL202" s="11"/>
      <c r="EM202" s="11"/>
      <c r="EN202" s="11"/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1"/>
      <c r="FC202" s="11"/>
      <c r="FD202" s="11"/>
      <c r="FE202" s="11"/>
      <c r="FF202" s="11"/>
      <c r="FG202" s="11"/>
      <c r="FH202" s="11"/>
      <c r="FI202" s="11"/>
      <c r="FJ202" s="11"/>
      <c r="FK202" s="11"/>
      <c r="FL202" s="11"/>
      <c r="FM202" s="11"/>
      <c r="FN202" s="11"/>
      <c r="FO202" s="11"/>
      <c r="FP202" s="11"/>
      <c r="FQ202" s="11"/>
      <c r="FR202" s="11"/>
      <c r="FS202" s="11"/>
      <c r="FT202" s="11"/>
      <c r="FU202" s="11"/>
      <c r="FV202" s="11"/>
      <c r="FW202" s="11"/>
      <c r="FX202" s="11"/>
      <c r="FY202" s="11"/>
      <c r="FZ202" s="11"/>
      <c r="GA202" s="11"/>
      <c r="GB202" s="11"/>
      <c r="GC202" s="11"/>
      <c r="GD202" s="11"/>
      <c r="GE202" s="11"/>
      <c r="GF202" s="11"/>
      <c r="GG202" s="11"/>
      <c r="GH202" s="11"/>
      <c r="GI202" s="11"/>
      <c r="GJ202" s="11"/>
      <c r="GK202" s="11"/>
      <c r="GL202" s="11"/>
      <c r="GM202" s="11"/>
      <c r="GN202" s="11"/>
      <c r="GO202" s="11"/>
      <c r="GP202" s="11"/>
      <c r="GQ202" s="11"/>
      <c r="GR202" s="11"/>
      <c r="GS202" s="11"/>
      <c r="GT202" s="11"/>
      <c r="GU202" s="11"/>
      <c r="GV202" s="11"/>
      <c r="GW202" s="11"/>
      <c r="GX202" s="11"/>
      <c r="GY202" s="11"/>
      <c r="GZ202" s="11"/>
      <c r="HA202" s="11"/>
      <c r="HB202" s="11"/>
      <c r="HC202" s="11"/>
      <c r="HD202" s="11"/>
      <c r="HE202" s="11"/>
      <c r="HF202" s="11"/>
      <c r="HG202" s="11"/>
      <c r="HH202" s="11"/>
      <c r="HI202" s="11"/>
      <c r="HJ202" s="11"/>
      <c r="HK202" s="11"/>
      <c r="HL202" s="11"/>
      <c r="HM202" s="11"/>
      <c r="HN202" s="11"/>
      <c r="HO202" s="11"/>
      <c r="HP202" s="11"/>
      <c r="HQ202" s="11"/>
      <c r="HR202" s="11"/>
      <c r="HS202" s="11"/>
      <c r="HT202" s="11"/>
      <c r="HU202" s="11"/>
      <c r="HV202" s="11"/>
      <c r="HW202" s="11"/>
      <c r="HX202" s="11"/>
      <c r="HY202" s="11"/>
      <c r="HZ202" s="11"/>
      <c r="IA202" s="11"/>
      <c r="IB202" s="11"/>
      <c r="IC202" s="11"/>
      <c r="ID202" s="11"/>
      <c r="IE202" s="11"/>
      <c r="IF202" s="11"/>
      <c r="IG202" s="11"/>
      <c r="IH202" s="11"/>
      <c r="II202" s="11"/>
      <c r="IJ202" s="11"/>
      <c r="IK202" s="11"/>
      <c r="IL202" s="11"/>
      <c r="IM202" s="11"/>
      <c r="IN202" s="11"/>
      <c r="IO202" s="11"/>
      <c r="IP202" s="11"/>
      <c r="IQ202" s="11"/>
      <c r="IR202" s="11"/>
      <c r="IS202" s="11"/>
      <c r="IT202" s="11"/>
      <c r="IU202" s="11"/>
      <c r="IV202" s="11"/>
      <c r="IW202" s="11"/>
    </row>
    <row r="203" customFormat="false" ht="13.5" hidden="true" customHeight="true" outlineLevel="0" collapsed="false">
      <c r="A203" s="108"/>
      <c r="B203" s="404"/>
      <c r="C203" s="159"/>
      <c r="D203" s="394"/>
      <c r="E203" s="311"/>
      <c r="F203" s="140" t="n">
        <f aca="false">IF(ISERROR(VLOOKUP(D202,[31]일용직명단!$A$3:$K$1220,9,FALSE())),0,VLOOKUP(D202,[31]일용직명단!$A$3:$K$1220,9,FALSE()))</f>
        <v>0</v>
      </c>
      <c r="G203" s="424"/>
      <c r="H203" s="424"/>
      <c r="I203" s="424"/>
      <c r="J203" s="417"/>
      <c r="K203" s="417"/>
      <c r="L203" s="419"/>
      <c r="M203" s="419"/>
      <c r="N203" s="419"/>
      <c r="O203" s="426"/>
      <c r="P203" s="426"/>
      <c r="Q203" s="417"/>
      <c r="R203" s="426"/>
      <c r="S203" s="426"/>
      <c r="T203" s="426"/>
      <c r="U203" s="426"/>
      <c r="V203" s="426"/>
      <c r="W203" s="144"/>
      <c r="X203" s="138" t="n">
        <f aca="false">X202*W202</f>
        <v>0</v>
      </c>
      <c r="Y203" s="123" t="n">
        <f aca="false">IF(AI202&lt;1000,0,AI202)</f>
        <v>0</v>
      </c>
      <c r="Z203" s="123" t="n">
        <f aca="false">ROUNDDOWN(Y203*10%,-1)</f>
        <v>0</v>
      </c>
      <c r="AA203" s="123" t="n">
        <f aca="false">IF(AF202&gt;=8,ROUNDDOWN(Z202*$R$4,-1),0)</f>
        <v>0</v>
      </c>
      <c r="AB203" s="145"/>
      <c r="AC203" s="146"/>
      <c r="AD203" s="412" t="n">
        <f aca="false">IF(ISERROR(VLOOKUP(D202,[31]일용직명단!$A$3:$I$1200,7,FALSE())),0,VLOOKUP(D202,[31]일용직명단!$A$3:$I$1200,7,FALSE()))</f>
        <v>0</v>
      </c>
      <c r="AE203" s="412"/>
      <c r="AF203" s="141"/>
      <c r="AG203" s="129"/>
      <c r="AH203" s="129"/>
      <c r="AI203" s="130"/>
      <c r="AJ203" s="130" t="n">
        <f aca="false">IF($X202*G203&gt;150000,($X202*G203-150000)*6%*45%,0)</f>
        <v>0</v>
      </c>
      <c r="AK203" s="130" t="n">
        <f aca="false">IF($X202*H203&gt;150000,($X202*H203-150000)*6%*45%,0)</f>
        <v>0</v>
      </c>
      <c r="AL203" s="130" t="n">
        <f aca="false">IF($X202*I203&gt;150000,($X202*I203-150000)*6%*45%,0)</f>
        <v>0</v>
      </c>
      <c r="AM203" s="130" t="n">
        <f aca="false">IF($X202*J203&gt;150000,($X202*J203-150000)*6%*45%,0)</f>
        <v>0</v>
      </c>
      <c r="AN203" s="130" t="n">
        <f aca="false">IF($X202*K203&gt;150000,($X202*K203-150000)*6%*45%,0)</f>
        <v>0</v>
      </c>
      <c r="AO203" s="130" t="n">
        <f aca="false">IF($X202*L203&gt;150000,($X202*L203-150000)*6%*45%,0)</f>
        <v>0</v>
      </c>
      <c r="AP203" s="130" t="n">
        <f aca="false">IF($X202*M203&gt;150000,($X202*M203-150000)*6%*45%,0)</f>
        <v>0</v>
      </c>
      <c r="AQ203" s="130" t="n">
        <f aca="false">IF($X202*N203&gt;150000,($X202*N203-150000)*6%*45%,0)</f>
        <v>0</v>
      </c>
      <c r="AR203" s="130" t="n">
        <f aca="false">IF($X202*O203&gt;150000,($X202*O203-150000)*6%*45%,0)</f>
        <v>0</v>
      </c>
      <c r="AS203" s="130" t="n">
        <f aca="false">IF($X202*P203&gt;150000,($X202*P203-150000)*6%*45%,0)</f>
        <v>0</v>
      </c>
      <c r="AT203" s="130" t="n">
        <f aca="false">IF($X202*Q203&gt;150000,($X202*Q203-150000)*6%*45%,0)</f>
        <v>0</v>
      </c>
      <c r="AU203" s="130" t="n">
        <f aca="false">IF($X202*R203&gt;150000,($X202*R203-150000)*6%*45%,0)</f>
        <v>0</v>
      </c>
      <c r="AV203" s="130" t="n">
        <f aca="false">IF($X202*S203&gt;150000,($X202*S203-150000)*6%*45%,0)</f>
        <v>0</v>
      </c>
      <c r="AW203" s="130" t="n">
        <f aca="false">IF($X202*T203&gt;150000,($X202*T203-150000)*6%*45%,0)</f>
        <v>0</v>
      </c>
      <c r="AX203" s="130" t="n">
        <f aca="false">IF($X202*U203&gt;150000,($X202*U203-150000)*6%*45%,0)</f>
        <v>0</v>
      </c>
      <c r="AY203" s="130" t="n">
        <f aca="false">IF($X202*V203&gt;150000,($X202*V203-150000)*6%*45%,0)</f>
        <v>0</v>
      </c>
      <c r="AZ203" s="13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1"/>
      <c r="FW203" s="11"/>
      <c r="FX203" s="11"/>
      <c r="FY203" s="11"/>
      <c r="FZ203" s="11"/>
      <c r="GA203" s="11"/>
      <c r="GB203" s="11"/>
      <c r="GC203" s="11"/>
      <c r="GD203" s="11"/>
      <c r="GE203" s="11"/>
      <c r="GF203" s="11"/>
      <c r="GG203" s="11"/>
      <c r="GH203" s="11"/>
      <c r="GI203" s="11"/>
      <c r="GJ203" s="11"/>
      <c r="GK203" s="11"/>
      <c r="GL203" s="11"/>
      <c r="GM203" s="11"/>
      <c r="GN203" s="11"/>
      <c r="GO203" s="11"/>
      <c r="GP203" s="11"/>
      <c r="GQ203" s="11"/>
      <c r="GR203" s="11"/>
      <c r="GS203" s="11"/>
      <c r="GT203" s="11"/>
      <c r="GU203" s="11"/>
      <c r="GV203" s="11"/>
      <c r="GW203" s="11"/>
      <c r="GX203" s="11"/>
      <c r="GY203" s="11"/>
      <c r="GZ203" s="11"/>
      <c r="HA203" s="11"/>
      <c r="HB203" s="11"/>
      <c r="HC203" s="11"/>
      <c r="HD203" s="11"/>
      <c r="HE203" s="11"/>
      <c r="HF203" s="11"/>
      <c r="HG203" s="11"/>
      <c r="HH203" s="11"/>
      <c r="HI203" s="11"/>
      <c r="HJ203" s="11"/>
      <c r="HK203" s="11"/>
      <c r="HL203" s="11"/>
      <c r="HM203" s="11"/>
      <c r="HN203" s="11"/>
      <c r="HO203" s="11"/>
      <c r="HP203" s="11"/>
      <c r="HQ203" s="11"/>
      <c r="HR203" s="11"/>
      <c r="HS203" s="11"/>
      <c r="HT203" s="11"/>
      <c r="HU203" s="11"/>
      <c r="HV203" s="11"/>
      <c r="HW203" s="11"/>
      <c r="HX203" s="11"/>
      <c r="HY203" s="11"/>
      <c r="HZ203" s="11"/>
      <c r="IA203" s="11"/>
      <c r="IB203" s="11"/>
      <c r="IC203" s="11"/>
      <c r="ID203" s="11"/>
      <c r="IE203" s="11"/>
      <c r="IF203" s="11"/>
      <c r="IG203" s="11"/>
      <c r="IH203" s="11"/>
      <c r="II203" s="11"/>
      <c r="IJ203" s="11"/>
      <c r="IK203" s="11"/>
      <c r="IL203" s="11"/>
      <c r="IM203" s="11"/>
      <c r="IN203" s="11"/>
      <c r="IO203" s="11"/>
      <c r="IP203" s="11"/>
      <c r="IQ203" s="11"/>
      <c r="IR203" s="11"/>
      <c r="IS203" s="11"/>
      <c r="IT203" s="11"/>
      <c r="IU203" s="11"/>
      <c r="IV203" s="11"/>
      <c r="IW203" s="11"/>
    </row>
    <row r="204" customFormat="false" ht="13.5" hidden="true" customHeight="true" outlineLevel="0" collapsed="false">
      <c r="A204" s="427" t="n">
        <f aca="false">A202+1</f>
        <v>46</v>
      </c>
      <c r="B204" s="428"/>
      <c r="C204" s="429" t="n">
        <f aca="false">IF(ISERROR(VLOOKUP(D204,[31]일용직명단!$A$3:$I$105,2,FALSE())),0,VLOOKUP(D204,[31]일용직명단!$A$3:$I$105,2,FALSE()))</f>
        <v>0</v>
      </c>
      <c r="D204" s="430"/>
      <c r="E204" s="431" t="n">
        <f aca="false">IF(ISERROR(VLOOKUP(D204,[31]일용직명단!$A$3:$K$1220,3,FALSE())),0,VLOOKUP(D204,[31]일용직명단!$A$3:$K$1220,3,FALSE()))</f>
        <v>0</v>
      </c>
      <c r="F204" s="140" t="n">
        <f aca="false">IF(ISERROR(VLOOKUP(D204,[31]일용직명단!$A$3:$K$1220,4,FALSE())),0,VLOOKUP(D204,[31]일용직명단!$A$3:$K$1220,4,FALSE()))</f>
        <v>0</v>
      </c>
      <c r="G204" s="425"/>
      <c r="H204" s="424"/>
      <c r="I204" s="424"/>
      <c r="J204" s="417"/>
      <c r="K204" s="419"/>
      <c r="L204" s="419"/>
      <c r="M204" s="419"/>
      <c r="N204" s="419"/>
      <c r="O204" s="417"/>
      <c r="P204" s="417"/>
      <c r="Q204" s="417"/>
      <c r="R204" s="417"/>
      <c r="S204" s="426"/>
      <c r="T204" s="426"/>
      <c r="U204" s="426"/>
      <c r="V204" s="416"/>
      <c r="W204" s="432" t="n">
        <f aca="false">SUM(G204:V205)</f>
        <v>0</v>
      </c>
      <c r="X204" s="121" t="n">
        <f aca="false">IF(ISERROR(VLOOKUP(D204,[31]일용직명단!$A$3:$K$1220,8,FALSE())),0,VLOOKUP(D204,[31]일용직명단!$A$3:$K$1220,8,FALSE()))</f>
        <v>0</v>
      </c>
      <c r="Y204" s="123" t="n">
        <f aca="false">IFERROR(IF(AH204&gt;=65,0,ROUNDDOWN(X205*$AA$4,-1)),0)</f>
        <v>0</v>
      </c>
      <c r="Z204" s="123" t="n">
        <f aca="false">IF(AF204&gt;=8,ROUNDDOWN(X205*$N$4,-1),0)</f>
        <v>0</v>
      </c>
      <c r="AA204" s="123" t="n">
        <f aca="false">IFERROR(IF(AND(COUNT(G204:V205)&gt;=8,$AH204&lt;60,X205&lt;=5530000),ROUNDDOWN(ROUNDDOWN(X205,-3)*4.5%,-1),IF(AND(COUNT(G204:V205)&gt;=8,AH204&lt;60,X205&gt;5530000),248850,0)),0)</f>
        <v>0</v>
      </c>
      <c r="AB204" s="433" t="n">
        <f aca="false">+Y204+Z204+Y205+Z205+AA204+AA205</f>
        <v>0</v>
      </c>
      <c r="AC204" s="434" t="n">
        <f aca="false">X205-AB204</f>
        <v>0</v>
      </c>
      <c r="AD204" s="411" t="n">
        <f aca="false">IF(ISERROR(VLOOKUP(D204,[31]일용직명단!$A$3:$I$1200,5,FALSE())),0,VLOOKUP(D204,[31]일용직명단!$A$3:$I$1200,5,FALSE()))</f>
        <v>0</v>
      </c>
      <c r="AE204" s="412" t="n">
        <f aca="false">IF(ISERROR(VLOOKUP(D204,[31]일용직명단!$A$3:$I$1200,6,FALSE())),0,VLOOKUP(D204,[31]일용직명단!$A$3:$I$1200,6,FALSE()))</f>
        <v>0</v>
      </c>
      <c r="AF204" s="141" t="n">
        <f aca="false">COUNT(G204:V205)</f>
        <v>0</v>
      </c>
      <c r="AG204" s="129" t="str">
        <f aca="false">IF(OR(MID(E204,8,1)="1",MID(E204,8,1)="2"),19&amp;LEFT(E204,2),20&amp;LEFT(E204,2))&amp;"-"&amp;MID(E204,3,2)&amp;"-"&amp;MID(E204,5,2)</f>
        <v>200--</v>
      </c>
      <c r="AH204" s="129" t="e">
        <f aca="true">INT((TODAY()-AG204)/365.25)</f>
        <v>#VALUE!</v>
      </c>
      <c r="AI204" s="130" t="n">
        <f aca="false">ROUNDDOWN(SUM(AJ204:AY205),-1)</f>
        <v>0</v>
      </c>
      <c r="AJ204" s="130" t="n">
        <f aca="false">IF($X204*G204&gt;150000,($X204*G204-150000)*6%*45%,0)</f>
        <v>0</v>
      </c>
      <c r="AK204" s="130" t="n">
        <f aca="false">IF($X204*H204&gt;150000,($X204*H204-150000)*6%*45%,0)</f>
        <v>0</v>
      </c>
      <c r="AL204" s="130" t="n">
        <f aca="false">IF($X204*I204&gt;150000,($X204*I204-150000)*6%*45%,0)</f>
        <v>0</v>
      </c>
      <c r="AM204" s="130" t="n">
        <f aca="false">IF($X204*J204&gt;150000,($X204*J204-150000)*6%*45%,0)</f>
        <v>0</v>
      </c>
      <c r="AN204" s="130" t="n">
        <f aca="false">IF($X204*K204&gt;150000,($X204*K204-150000)*6%*45%,0)</f>
        <v>0</v>
      </c>
      <c r="AO204" s="130" t="n">
        <f aca="false">IF($X204*L204&gt;150000,($X204*L204-150000)*6%*45%,0)</f>
        <v>0</v>
      </c>
      <c r="AP204" s="130" t="n">
        <f aca="false">IF($X204*M204&gt;150000,($X204*M204-150000)*6%*45%,0)</f>
        <v>0</v>
      </c>
      <c r="AQ204" s="130" t="n">
        <f aca="false">IF($X204*N204&gt;150000,($X204*N204-150000)*6%*45%,0)</f>
        <v>0</v>
      </c>
      <c r="AR204" s="130" t="n">
        <f aca="false">IF($X204*O204&gt;150000,($X204*O204-150000)*6%*45%,0)</f>
        <v>0</v>
      </c>
      <c r="AS204" s="130" t="n">
        <f aca="false">IF($X204*P204&gt;150000,($X204*P204-150000)*6%*45%,0)</f>
        <v>0</v>
      </c>
      <c r="AT204" s="130" t="n">
        <f aca="false">IF($X204*Q204&gt;150000,($X204*Q204-150000)*6%*45%,0)</f>
        <v>0</v>
      </c>
      <c r="AU204" s="130" t="n">
        <f aca="false">IF($X204*R204&gt;150000,($X204*R204-150000)*6%*45%,0)</f>
        <v>0</v>
      </c>
      <c r="AV204" s="130" t="n">
        <f aca="false">IF($X204*S204&gt;150000,($X204*S204-150000)*6%*45%,0)</f>
        <v>0</v>
      </c>
      <c r="AW204" s="130" t="n">
        <f aca="false">IF($X204*T204&gt;150000,($X204*T204-150000)*6%*45%,0)</f>
        <v>0</v>
      </c>
      <c r="AX204" s="130" t="n">
        <f aca="false">IF($X204*U204&gt;150000,($X204*U204-150000)*6%*45%,0)</f>
        <v>0</v>
      </c>
      <c r="AY204" s="130"/>
      <c r="AZ204" s="131" t="n">
        <f aca="false">IF(ISERROR(VLOOKUP(D204,[32]일용직명단!$A$3:$M$1151,11,FALSE())),0,VLOOKUP(D204,[32]일용직명단!$A$3:$M$1151,11,FALSE()))</f>
        <v>0</v>
      </c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1"/>
      <c r="EC204" s="11"/>
      <c r="ED204" s="11"/>
      <c r="EE204" s="11"/>
      <c r="EF204" s="11"/>
      <c r="EG204" s="11"/>
      <c r="EH204" s="11"/>
      <c r="EI204" s="11"/>
      <c r="EJ204" s="11"/>
      <c r="EK204" s="11"/>
      <c r="EL204" s="11"/>
      <c r="EM204" s="11"/>
      <c r="EN204" s="11"/>
      <c r="EO204" s="11"/>
      <c r="EP204" s="11"/>
      <c r="EQ204" s="11"/>
      <c r="ER204" s="11"/>
      <c r="ES204" s="11"/>
      <c r="ET204" s="11"/>
      <c r="EU204" s="11"/>
      <c r="EV204" s="11"/>
      <c r="EW204" s="11"/>
      <c r="EX204" s="11"/>
      <c r="EY204" s="11"/>
      <c r="EZ204" s="11"/>
      <c r="FA204" s="11"/>
      <c r="FB204" s="11"/>
      <c r="FC204" s="11"/>
      <c r="FD204" s="11"/>
      <c r="FE204" s="11"/>
      <c r="FF204" s="11"/>
      <c r="FG204" s="11"/>
      <c r="FH204" s="11"/>
      <c r="FI204" s="11"/>
      <c r="FJ204" s="11"/>
      <c r="FK204" s="11"/>
      <c r="FL204" s="11"/>
      <c r="FM204" s="11"/>
      <c r="FN204" s="11"/>
      <c r="FO204" s="11"/>
      <c r="FP204" s="11"/>
      <c r="FQ204" s="11"/>
      <c r="FR204" s="11"/>
      <c r="FS204" s="11"/>
      <c r="FT204" s="11"/>
      <c r="FU204" s="11"/>
      <c r="FV204" s="11"/>
      <c r="FW204" s="11"/>
      <c r="FX204" s="11"/>
      <c r="FY204" s="11"/>
      <c r="FZ204" s="11"/>
      <c r="GA204" s="11"/>
      <c r="GB204" s="11"/>
      <c r="GC204" s="11"/>
      <c r="GD204" s="11"/>
      <c r="GE204" s="11"/>
      <c r="GF204" s="11"/>
      <c r="GG204" s="11"/>
      <c r="GH204" s="11"/>
      <c r="GI204" s="11"/>
      <c r="GJ204" s="11"/>
      <c r="GK204" s="11"/>
      <c r="GL204" s="11"/>
      <c r="GM204" s="11"/>
      <c r="GN204" s="11"/>
      <c r="GO204" s="11"/>
      <c r="GP204" s="11"/>
      <c r="GQ204" s="11"/>
      <c r="GR204" s="11"/>
      <c r="GS204" s="11"/>
      <c r="GT204" s="11"/>
      <c r="GU204" s="11"/>
      <c r="GV204" s="11"/>
      <c r="GW204" s="11"/>
      <c r="GX204" s="11"/>
      <c r="GY204" s="11"/>
      <c r="GZ204" s="11"/>
      <c r="HA204" s="11"/>
      <c r="HB204" s="11"/>
      <c r="HC204" s="11"/>
      <c r="HD204" s="11"/>
      <c r="HE204" s="11"/>
      <c r="HF204" s="11"/>
      <c r="HG204" s="11"/>
      <c r="HH204" s="11"/>
      <c r="HI204" s="11"/>
      <c r="HJ204" s="11"/>
      <c r="HK204" s="11"/>
      <c r="HL204" s="11"/>
      <c r="HM204" s="11"/>
      <c r="HN204" s="11"/>
      <c r="HO204" s="11"/>
      <c r="HP204" s="11"/>
      <c r="HQ204" s="11"/>
      <c r="HR204" s="11"/>
      <c r="HS204" s="11"/>
      <c r="HT204" s="11"/>
      <c r="HU204" s="11"/>
      <c r="HV204" s="11"/>
      <c r="HW204" s="11"/>
      <c r="HX204" s="11"/>
      <c r="HY204" s="11"/>
      <c r="HZ204" s="11"/>
      <c r="IA204" s="11"/>
      <c r="IB204" s="11"/>
      <c r="IC204" s="11"/>
      <c r="ID204" s="11"/>
      <c r="IE204" s="11"/>
      <c r="IF204" s="11"/>
      <c r="IG204" s="11"/>
      <c r="IH204" s="11"/>
      <c r="II204" s="11"/>
      <c r="IJ204" s="11"/>
      <c r="IK204" s="11"/>
      <c r="IL204" s="11"/>
      <c r="IM204" s="11"/>
      <c r="IN204" s="11"/>
      <c r="IO204" s="11"/>
      <c r="IP204" s="11"/>
      <c r="IQ204" s="11"/>
      <c r="IR204" s="11"/>
      <c r="IS204" s="11"/>
      <c r="IT204" s="11"/>
      <c r="IU204" s="11"/>
      <c r="IV204" s="11"/>
      <c r="IW204" s="11"/>
    </row>
    <row r="205" customFormat="false" ht="13.5" hidden="true" customHeight="true" outlineLevel="0" collapsed="false">
      <c r="A205" s="427"/>
      <c r="B205" s="428"/>
      <c r="C205" s="429"/>
      <c r="D205" s="430"/>
      <c r="E205" s="431"/>
      <c r="F205" s="447" t="n">
        <f aca="false">IF(ISERROR(VLOOKUP(D204,[31]일용직명단!$A$3:$K$1220,9,FALSE())),0,VLOOKUP(D204,[31]일용직명단!$A$3:$K$1220,9,FALSE()))</f>
        <v>0</v>
      </c>
      <c r="G205" s="435"/>
      <c r="H205" s="435"/>
      <c r="I205" s="435"/>
      <c r="J205" s="436"/>
      <c r="K205" s="436"/>
      <c r="L205" s="437"/>
      <c r="M205" s="437"/>
      <c r="N205" s="437"/>
      <c r="O205" s="438"/>
      <c r="P205" s="438"/>
      <c r="Q205" s="436"/>
      <c r="R205" s="438"/>
      <c r="S205" s="438"/>
      <c r="T205" s="438"/>
      <c r="U205" s="438"/>
      <c r="V205" s="438"/>
      <c r="W205" s="432"/>
      <c r="X205" s="448" t="n">
        <f aca="false">X204*W204</f>
        <v>0</v>
      </c>
      <c r="Y205" s="449" t="n">
        <f aca="false">IF(AI204&lt;1000,0,AI204)</f>
        <v>0</v>
      </c>
      <c r="Z205" s="449" t="n">
        <f aca="false">ROUNDDOWN(Y205*10%,-1)</f>
        <v>0</v>
      </c>
      <c r="AA205" s="449" t="n">
        <f aca="false">IF(AF204&gt;=8,ROUNDDOWN(Z204*$R$4,-1),0)</f>
        <v>0</v>
      </c>
      <c r="AB205" s="433"/>
      <c r="AC205" s="434"/>
      <c r="AD205" s="439" t="n">
        <f aca="false">IF(ISERROR(VLOOKUP(D204,[31]일용직명단!$A$3:$I$1200,7,FALSE())),0,VLOOKUP(D204,[31]일용직명단!$A$3:$I$1200,7,FALSE()))</f>
        <v>0</v>
      </c>
      <c r="AE205" s="439"/>
      <c r="AF205" s="141"/>
      <c r="AG205" s="129"/>
      <c r="AH205" s="129"/>
      <c r="AI205" s="130"/>
      <c r="AJ205" s="130" t="n">
        <f aca="false">IF($X204*G205&gt;150000,($X204*G205-150000)*6%*45%,0)</f>
        <v>0</v>
      </c>
      <c r="AK205" s="130" t="n">
        <f aca="false">IF($X204*H205&gt;150000,($X204*H205-150000)*6%*45%,0)</f>
        <v>0</v>
      </c>
      <c r="AL205" s="130" t="n">
        <f aca="false">IF($X204*I205&gt;150000,($X204*I205-150000)*6%*45%,0)</f>
        <v>0</v>
      </c>
      <c r="AM205" s="130" t="n">
        <f aca="false">IF($X204*J205&gt;150000,($X204*J205-150000)*6%*45%,0)</f>
        <v>0</v>
      </c>
      <c r="AN205" s="130" t="n">
        <f aca="false">IF($X204*K205&gt;150000,($X204*K205-150000)*6%*45%,0)</f>
        <v>0</v>
      </c>
      <c r="AO205" s="130" t="n">
        <f aca="false">IF($X204*L205&gt;150000,($X204*L205-150000)*6%*45%,0)</f>
        <v>0</v>
      </c>
      <c r="AP205" s="130" t="n">
        <f aca="false">IF($X204*M205&gt;150000,($X204*M205-150000)*6%*45%,0)</f>
        <v>0</v>
      </c>
      <c r="AQ205" s="130" t="n">
        <f aca="false">IF($X204*N205&gt;150000,($X204*N205-150000)*6%*45%,0)</f>
        <v>0</v>
      </c>
      <c r="AR205" s="130" t="n">
        <f aca="false">IF($X204*O205&gt;150000,($X204*O205-150000)*6%*45%,0)</f>
        <v>0</v>
      </c>
      <c r="AS205" s="130" t="n">
        <f aca="false">IF($X204*P205&gt;150000,($X204*P205-150000)*6%*45%,0)</f>
        <v>0</v>
      </c>
      <c r="AT205" s="130" t="n">
        <f aca="false">IF($X204*Q205&gt;150000,($X204*Q205-150000)*6%*45%,0)</f>
        <v>0</v>
      </c>
      <c r="AU205" s="130" t="n">
        <f aca="false">IF($X204*R205&gt;150000,($X204*R205-150000)*6%*45%,0)</f>
        <v>0</v>
      </c>
      <c r="AV205" s="130" t="n">
        <f aca="false">IF($X204*S205&gt;150000,($X204*S205-150000)*6%*45%,0)</f>
        <v>0</v>
      </c>
      <c r="AW205" s="130" t="n">
        <f aca="false">IF($X204*T205&gt;150000,($X204*T205-150000)*6%*45%,0)</f>
        <v>0</v>
      </c>
      <c r="AX205" s="130" t="n">
        <f aca="false">IF($X204*U205&gt;150000,($X204*U205-150000)*6%*45%,0)</f>
        <v>0</v>
      </c>
      <c r="AY205" s="130" t="n">
        <f aca="false">IF($X204*V205&gt;150000,($X204*V205-150000)*6%*45%,0)</f>
        <v>0</v>
      </c>
      <c r="AZ205" s="13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1"/>
      <c r="FW205" s="11"/>
      <c r="FX205" s="11"/>
      <c r="FY205" s="11"/>
      <c r="FZ205" s="11"/>
      <c r="GA205" s="11"/>
      <c r="GB205" s="11"/>
      <c r="GC205" s="11"/>
      <c r="GD205" s="11"/>
      <c r="GE205" s="11"/>
      <c r="GF205" s="11"/>
      <c r="GG205" s="11"/>
      <c r="GH205" s="11"/>
      <c r="GI205" s="11"/>
      <c r="GJ205" s="11"/>
      <c r="GK205" s="11"/>
      <c r="GL205" s="11"/>
      <c r="GM205" s="11"/>
      <c r="GN205" s="11"/>
      <c r="GO205" s="11"/>
      <c r="GP205" s="11"/>
      <c r="GQ205" s="11"/>
      <c r="GR205" s="11"/>
      <c r="GS205" s="11"/>
      <c r="GT205" s="11"/>
      <c r="GU205" s="11"/>
      <c r="GV205" s="11"/>
      <c r="GW205" s="11"/>
      <c r="GX205" s="11"/>
      <c r="GY205" s="11"/>
      <c r="GZ205" s="11"/>
      <c r="HA205" s="11"/>
      <c r="HB205" s="11"/>
      <c r="HC205" s="11"/>
      <c r="HD205" s="11"/>
      <c r="HE205" s="11"/>
      <c r="HF205" s="11"/>
      <c r="HG205" s="11"/>
      <c r="HH205" s="11"/>
      <c r="HI205" s="11"/>
      <c r="HJ205" s="11"/>
      <c r="HK205" s="11"/>
      <c r="HL205" s="11"/>
      <c r="HM205" s="11"/>
      <c r="HN205" s="11"/>
      <c r="HO205" s="11"/>
      <c r="HP205" s="11"/>
      <c r="HQ205" s="11"/>
      <c r="HR205" s="11"/>
      <c r="HS205" s="11"/>
      <c r="HT205" s="11"/>
      <c r="HU205" s="11"/>
      <c r="HV205" s="11"/>
      <c r="HW205" s="11"/>
      <c r="HX205" s="11"/>
      <c r="HY205" s="11"/>
      <c r="HZ205" s="11"/>
      <c r="IA205" s="11"/>
      <c r="IB205" s="11"/>
      <c r="IC205" s="11"/>
      <c r="ID205" s="11"/>
      <c r="IE205" s="11"/>
      <c r="IF205" s="11"/>
      <c r="IG205" s="11"/>
      <c r="IH205" s="11"/>
      <c r="II205" s="11"/>
      <c r="IJ205" s="11"/>
      <c r="IK205" s="11"/>
      <c r="IL205" s="11"/>
      <c r="IM205" s="11"/>
      <c r="IN205" s="11"/>
      <c r="IO205" s="11"/>
      <c r="IP205" s="11"/>
      <c r="IQ205" s="11"/>
      <c r="IR205" s="11"/>
      <c r="IS205" s="11"/>
      <c r="IT205" s="11"/>
      <c r="IU205" s="11"/>
      <c r="IV205" s="11"/>
      <c r="IW205" s="11"/>
    </row>
    <row r="206" customFormat="false" ht="13.5" hidden="false" customHeight="true" outlineLevel="0" collapsed="false">
      <c r="A206" s="218" t="s">
        <v>80</v>
      </c>
      <c r="B206" s="218"/>
      <c r="C206" s="218"/>
      <c r="D206" s="218"/>
      <c r="E206" s="218"/>
      <c r="F206" s="218"/>
      <c r="G206" s="219" t="n">
        <f aca="false" t="array" ref="G206:G206">SUMPRODUCT(N(MOD(ROW(G114:G205),2)=(MOD(ROW(G206),2))),G114:G205)</f>
        <v>1</v>
      </c>
      <c r="H206" s="219" t="n">
        <f aca="false" t="array" ref="H206:H206">SUMPRODUCT(N(MOD(ROW(H114:H205),2)=(MOD(ROW(H206),2))),H114:H205)</f>
        <v>1</v>
      </c>
      <c r="I206" s="219" t="n">
        <f aca="false" t="array" ref="I206:I206">SUMPRODUCT(N(MOD(ROW(I114:I205),2)=(MOD(ROW(I206),2))),I114:I205)</f>
        <v>0</v>
      </c>
      <c r="J206" s="219" t="n">
        <f aca="false" t="array" ref="J206:J206">SUMPRODUCT(N(MOD(ROW(J114:J205),2)=(MOD(ROW(J206),2))),J114:J205)</f>
        <v>1</v>
      </c>
      <c r="K206" s="219" t="n">
        <f aca="false" t="array" ref="K206:K206">SUMPRODUCT(N(MOD(ROW(K114:K205),2)=(MOD(ROW(K206),2))),K114:K205)</f>
        <v>0</v>
      </c>
      <c r="L206" s="219" t="n">
        <f aca="false" t="array" ref="L206:L206">SUMPRODUCT(N(MOD(ROW(L114:L205),2)=(MOD(ROW(L206),2))),L114:L205)</f>
        <v>0</v>
      </c>
      <c r="M206" s="219" t="n">
        <f aca="false" t="array" ref="M206:M206">SUMPRODUCT(N(MOD(ROW(M114:M205),2)=(MOD(ROW(M206),2))),M114:M205)</f>
        <v>0</v>
      </c>
      <c r="N206" s="219" t="n">
        <f aca="false" t="array" ref="N206:N206">SUMPRODUCT(N(MOD(ROW(N114:N205),2)=(MOD(ROW(N206),2))),N114:N205)</f>
        <v>0</v>
      </c>
      <c r="O206" s="219" t="n">
        <f aca="false" t="array" ref="O206:O206">SUMPRODUCT(N(MOD(ROW(O114:O205),2)=(MOD(ROW(O206),2))),O114:O205)</f>
        <v>0</v>
      </c>
      <c r="P206" s="219" t="n">
        <f aca="false" t="array" ref="P206:P206">SUMPRODUCT(N(MOD(ROW(P114:P205),2)=(MOD(ROW(P206),2))),P114:P205)</f>
        <v>1</v>
      </c>
      <c r="Q206" s="219" t="n">
        <f aca="false" t="array" ref="Q206:Q206">SUMPRODUCT(N(MOD(ROW(Q114:Q205),2)=(MOD(ROW(Q206),2))),Q114:Q205)</f>
        <v>1</v>
      </c>
      <c r="R206" s="219" t="n">
        <f aca="false" t="array" ref="R206:R206">SUMPRODUCT(N(MOD(ROW(R114:R205),2)=(MOD(ROW(R206),2))),R114:R205)</f>
        <v>0</v>
      </c>
      <c r="S206" s="219" t="n">
        <f aca="false" t="array" ref="S206:S206">SUMPRODUCT(N(MOD(ROW(S114:S205),2)=(MOD(ROW(S206),2))),S114:S205)</f>
        <v>1</v>
      </c>
      <c r="T206" s="219" t="n">
        <f aca="false" t="array" ref="T206:T206">SUMPRODUCT(N(MOD(ROW(T114:T205),2)=(MOD(ROW(T206),2))),T114:T205)</f>
        <v>1</v>
      </c>
      <c r="U206" s="219" t="n">
        <f aca="false" t="array" ref="U206:U206">SUMPRODUCT(N(MOD(ROW(U114:U205),2)=(MOD(ROW(U206),2))),U114:U205)</f>
        <v>0</v>
      </c>
      <c r="V206" s="219" t="n">
        <f aca="false" t="array" ref="V206:V206">SUMPRODUCT(N(MOD(ROW(V114:V205),2)=(MOD(ROW(V206),2))),V114:V205)</f>
        <v>0</v>
      </c>
      <c r="W206" s="220" t="n">
        <f aca="false">SUM(W114:W205)</f>
        <v>7</v>
      </c>
      <c r="X206" s="220" t="n">
        <f aca="false" t="array" ref="X206:X206">SUMPRODUCT((MOD(ROW(X$114:X$205),2)=1)*X$114:X$205)</f>
        <v>1190000</v>
      </c>
      <c r="Y206" s="221" t="n">
        <f aca="false" t="array" ref="Y206:Y206">SUMPRODUCT((MOD(ROW(Y$10:Y$101),2)=0)*Y$10:Y$101)</f>
        <v>0</v>
      </c>
      <c r="Z206" s="221" t="n">
        <f aca="false" t="array" ref="Z206:Z206">SUMPRODUCT((MOD(ROW(Z$10:Z$101),2)=0)*Z$10:Z$101)</f>
        <v>0</v>
      </c>
      <c r="AA206" s="221" t="n">
        <f aca="false" t="array" ref="AA206:AA206">SUMPRODUCT((MOD(ROW(AA$10:AA$101),2)=0)*AA$10:AA$101)</f>
        <v>0</v>
      </c>
      <c r="AB206" s="220" t="n">
        <f aca="false">SUM(AB114:AB205)</f>
        <v>0</v>
      </c>
      <c r="AC206" s="220" t="n">
        <f aca="false">SUM(AC114:AC205)</f>
        <v>1190000</v>
      </c>
      <c r="AD206" s="222"/>
      <c r="AE206" s="223"/>
      <c r="AF206" s="224"/>
      <c r="AG206" s="130"/>
      <c r="AH206" s="130"/>
      <c r="AI206" s="130"/>
      <c r="AJ206" s="130"/>
      <c r="AK206" s="130"/>
      <c r="AL206" s="130"/>
      <c r="AM206" s="130"/>
      <c r="AN206" s="130"/>
      <c r="AO206" s="130"/>
      <c r="AP206" s="130"/>
      <c r="AQ206" s="130"/>
      <c r="AR206" s="130"/>
      <c r="AS206" s="130"/>
      <c r="AT206" s="130"/>
      <c r="AU206" s="130"/>
      <c r="AV206" s="130"/>
      <c r="AW206" s="130"/>
      <c r="AX206" s="130"/>
      <c r="AY206" s="130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1"/>
      <c r="EY206" s="11"/>
      <c r="EZ206" s="11"/>
      <c r="FA206" s="11"/>
      <c r="FB206" s="11"/>
      <c r="FC206" s="11"/>
      <c r="FD206" s="11"/>
      <c r="FE206" s="11"/>
      <c r="FF206" s="11"/>
      <c r="FG206" s="11"/>
      <c r="FH206" s="11"/>
      <c r="FI206" s="11"/>
      <c r="FJ206" s="11"/>
      <c r="FK206" s="11"/>
      <c r="FL206" s="11"/>
      <c r="FM206" s="11"/>
      <c r="FN206" s="11"/>
      <c r="FO206" s="11"/>
      <c r="FP206" s="11"/>
      <c r="FQ206" s="11"/>
      <c r="FR206" s="11"/>
      <c r="FS206" s="11"/>
      <c r="FT206" s="11"/>
      <c r="FU206" s="11"/>
      <c r="FV206" s="11"/>
      <c r="FW206" s="11"/>
      <c r="FX206" s="11"/>
      <c r="FY206" s="11"/>
      <c r="FZ206" s="11"/>
      <c r="GA206" s="11"/>
      <c r="GB206" s="11"/>
      <c r="GC206" s="11"/>
      <c r="GD206" s="11"/>
      <c r="GE206" s="11"/>
      <c r="GF206" s="11"/>
      <c r="GG206" s="11"/>
      <c r="GH206" s="11"/>
      <c r="GI206" s="11"/>
      <c r="GJ206" s="11"/>
      <c r="GK206" s="11"/>
      <c r="GL206" s="11"/>
      <c r="GM206" s="11"/>
      <c r="GN206" s="11"/>
      <c r="GO206" s="11"/>
      <c r="GP206" s="11"/>
      <c r="GQ206" s="11"/>
      <c r="GR206" s="11"/>
      <c r="GS206" s="11"/>
      <c r="GT206" s="11"/>
      <c r="GU206" s="11"/>
      <c r="GV206" s="11"/>
      <c r="GW206" s="11"/>
      <c r="GX206" s="11"/>
      <c r="GY206" s="11"/>
      <c r="GZ206" s="11"/>
      <c r="HA206" s="11"/>
      <c r="HB206" s="11"/>
      <c r="HC206" s="11"/>
      <c r="HD206" s="11"/>
      <c r="HE206" s="11"/>
      <c r="HF206" s="11"/>
      <c r="HG206" s="11"/>
      <c r="HH206" s="11"/>
      <c r="HI206" s="11"/>
      <c r="HJ206" s="11"/>
      <c r="HK206" s="11"/>
      <c r="HL206" s="11"/>
      <c r="HM206" s="11"/>
      <c r="HN206" s="11"/>
      <c r="HO206" s="11"/>
      <c r="HP206" s="11"/>
      <c r="HQ206" s="11"/>
      <c r="HR206" s="11"/>
      <c r="HS206" s="11"/>
      <c r="HT206" s="11"/>
      <c r="HU206" s="11"/>
      <c r="HV206" s="11"/>
      <c r="HW206" s="11"/>
      <c r="HX206" s="11"/>
      <c r="HY206" s="11"/>
      <c r="HZ206" s="11"/>
      <c r="IA206" s="11"/>
      <c r="IB206" s="11"/>
      <c r="IC206" s="11"/>
      <c r="ID206" s="11"/>
      <c r="IE206" s="11"/>
      <c r="IF206" s="11"/>
      <c r="IG206" s="11"/>
      <c r="IH206" s="11"/>
      <c r="II206" s="11"/>
      <c r="IJ206" s="11"/>
      <c r="IK206" s="11"/>
      <c r="IL206" s="11"/>
      <c r="IM206" s="11"/>
      <c r="IN206" s="11"/>
      <c r="IO206" s="11"/>
      <c r="IP206" s="11"/>
      <c r="IQ206" s="11"/>
    </row>
    <row r="207" customFormat="false" ht="13.5" hidden="false" customHeight="true" outlineLevel="0" collapsed="false">
      <c r="A207" s="218"/>
      <c r="B207" s="218"/>
      <c r="C207" s="218"/>
      <c r="D207" s="218"/>
      <c r="E207" s="218"/>
      <c r="F207" s="218"/>
      <c r="G207" s="225" t="n">
        <f aca="false" t="array" ref="G207:G207">SUMPRODUCT(N(MOD(ROW(G114:G205),2)=(MOD(ROW(G207),2))),G114:G205)</f>
        <v>0</v>
      </c>
      <c r="H207" s="225" t="n">
        <f aca="false" t="array" ref="H207:H207">SUMPRODUCT(N(MOD(ROW(H114:H205),2)=(MOD(ROW(H207),2))),H114:H205)</f>
        <v>0</v>
      </c>
      <c r="I207" s="225" t="n">
        <f aca="false" t="array" ref="I207:I207">SUMPRODUCT(N(MOD(ROW(I114:I205),2)=(MOD(ROW(I207),2))),I114:I205)</f>
        <v>0</v>
      </c>
      <c r="J207" s="225" t="n">
        <f aca="false" t="array" ref="J207:J207">SUMPRODUCT(N(MOD(ROW(J114:J205),2)=(MOD(ROW(J207),2))),J114:J205)</f>
        <v>0</v>
      </c>
      <c r="K207" s="225" t="n">
        <f aca="false" t="array" ref="K207:K207">SUMPRODUCT(N(MOD(ROW(K114:K205),2)=(MOD(ROW(K207),2))),K114:K205)</f>
        <v>0</v>
      </c>
      <c r="L207" s="225" t="n">
        <f aca="false" t="array" ref="L207:L207">SUMPRODUCT(N(MOD(ROW(L114:L205),2)=(MOD(ROW(L207),2))),L114:L205)</f>
        <v>0</v>
      </c>
      <c r="M207" s="225" t="n">
        <f aca="false" t="array" ref="M207:M207">SUMPRODUCT(N(MOD(ROW(M114:M205),2)=(MOD(ROW(M207),2))),M114:M205)</f>
        <v>0</v>
      </c>
      <c r="N207" s="225" t="n">
        <f aca="false" t="array" ref="N207:N207">SUMPRODUCT(N(MOD(ROW(N114:N205),2)=(MOD(ROW(N207),2))),N114:N205)</f>
        <v>0</v>
      </c>
      <c r="O207" s="225" t="n">
        <f aca="false" t="array" ref="O207:O207">SUMPRODUCT(N(MOD(ROW(O114:O205),2)=(MOD(ROW(O207),2))),O114:O205)</f>
        <v>0</v>
      </c>
      <c r="P207" s="225" t="n">
        <f aca="false" t="array" ref="P207:P207">SUMPRODUCT(N(MOD(ROW(P114:P205),2)=(MOD(ROW(P207),2))),P114:P205)</f>
        <v>0</v>
      </c>
      <c r="Q207" s="225" t="n">
        <f aca="false" t="array" ref="Q207:Q207">SUMPRODUCT(N(MOD(ROW(Q114:Q205),2)=(MOD(ROW(Q207),2))),Q114:Q205)</f>
        <v>0</v>
      </c>
      <c r="R207" s="225" t="n">
        <f aca="false" t="array" ref="R207:R207">SUMPRODUCT(N(MOD(ROW(R114:R205),2)=(MOD(ROW(R207),2))),R114:R205)</f>
        <v>0</v>
      </c>
      <c r="S207" s="225" t="n">
        <f aca="false" t="array" ref="S207:S207">SUMPRODUCT(N(MOD(ROW(S114:S205),2)=(MOD(ROW(S207),2))),S114:S205)</f>
        <v>0</v>
      </c>
      <c r="T207" s="225" t="n">
        <f aca="false" t="array" ref="T207:T207">SUMPRODUCT(N(MOD(ROW(T114:T205),2)=(MOD(ROW(T207),2))),T114:T205)</f>
        <v>0</v>
      </c>
      <c r="U207" s="225" t="n">
        <f aca="false" t="array" ref="U207:U207">SUMPRODUCT(N(MOD(ROW(U114:U205),2)=(MOD(ROW(U207),2))),U114:U205)</f>
        <v>0</v>
      </c>
      <c r="V207" s="225" t="n">
        <f aca="false" t="array" ref="V207:V207">SUMPRODUCT(N(MOD(ROW(V114:V205),2)=(MOD(ROW(V207),2))),V114:V205)</f>
        <v>0</v>
      </c>
      <c r="W207" s="220"/>
      <c r="X207" s="220"/>
      <c r="Y207" s="226" t="n">
        <f aca="false" t="array" ref="Y207:Y207">SUMPRODUCT((MOD(ROW(Y$10:Y$101),2)=1)*Y$10:Y$101)</f>
        <v>0</v>
      </c>
      <c r="Z207" s="226" t="n">
        <f aca="false" t="array" ref="Z207:Z207">SUMPRODUCT((MOD(ROW(Z$10:Z$101),2)=1)*Z$10:Z$101)</f>
        <v>0</v>
      </c>
      <c r="AA207" s="226" t="n">
        <f aca="false" t="array" ref="AA207:AA207">SUMPRODUCT((MOD(ROW(AA$10:AA$101),2)=1)*AA$10:AA$101)</f>
        <v>0</v>
      </c>
      <c r="AB207" s="220"/>
      <c r="AC207" s="220"/>
      <c r="AD207" s="227"/>
      <c r="AE207" s="228"/>
      <c r="AF207" s="229"/>
      <c r="AG207" s="129"/>
      <c r="AH207" s="129"/>
      <c r="AJ207" s="130"/>
      <c r="AK207" s="130"/>
      <c r="AL207" s="130"/>
      <c r="AM207" s="130"/>
      <c r="AN207" s="130"/>
      <c r="AO207" s="130"/>
      <c r="AP207" s="130"/>
      <c r="AQ207" s="130"/>
      <c r="AR207" s="130"/>
      <c r="AS207" s="130"/>
      <c r="AT207" s="130"/>
      <c r="AU207" s="130"/>
      <c r="AV207" s="130"/>
      <c r="AW207" s="130"/>
      <c r="AX207" s="130"/>
      <c r="AY207" s="130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1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1"/>
      <c r="FW207" s="11"/>
      <c r="FX207" s="11"/>
      <c r="FY207" s="11"/>
      <c r="FZ207" s="11"/>
      <c r="GA207" s="11"/>
      <c r="GB207" s="11"/>
      <c r="GC207" s="11"/>
      <c r="GD207" s="11"/>
      <c r="GE207" s="11"/>
      <c r="GF207" s="11"/>
      <c r="GG207" s="11"/>
      <c r="GH207" s="11"/>
      <c r="GI207" s="11"/>
      <c r="GJ207" s="11"/>
      <c r="GK207" s="11"/>
      <c r="GL207" s="11"/>
      <c r="GM207" s="11"/>
      <c r="GN207" s="11"/>
      <c r="GO207" s="11"/>
      <c r="GP207" s="11"/>
      <c r="GQ207" s="11"/>
      <c r="GR207" s="11"/>
      <c r="GS207" s="11"/>
      <c r="GT207" s="11"/>
      <c r="GU207" s="11"/>
      <c r="GV207" s="11"/>
      <c r="GW207" s="11"/>
      <c r="GX207" s="11"/>
      <c r="GY207" s="11"/>
      <c r="GZ207" s="11"/>
      <c r="HA207" s="11"/>
      <c r="HB207" s="11"/>
      <c r="HC207" s="11"/>
      <c r="HD207" s="11"/>
      <c r="HE207" s="11"/>
      <c r="HF207" s="11"/>
      <c r="HG207" s="11"/>
      <c r="HH207" s="11"/>
      <c r="HI207" s="11"/>
      <c r="HJ207" s="11"/>
      <c r="HK207" s="11"/>
      <c r="HL207" s="11"/>
      <c r="HM207" s="11"/>
      <c r="HN207" s="11"/>
      <c r="HO207" s="11"/>
      <c r="HP207" s="11"/>
      <c r="HQ207" s="11"/>
      <c r="HR207" s="11"/>
      <c r="HS207" s="11"/>
      <c r="HT207" s="11"/>
      <c r="HU207" s="11"/>
      <c r="HV207" s="11"/>
      <c r="HW207" s="11"/>
      <c r="HX207" s="11"/>
      <c r="HY207" s="11"/>
      <c r="HZ207" s="11"/>
      <c r="IA207" s="11"/>
      <c r="IB207" s="11"/>
      <c r="IC207" s="11"/>
      <c r="ID207" s="11"/>
      <c r="IE207" s="11"/>
      <c r="IF207" s="11"/>
      <c r="IG207" s="11"/>
      <c r="IH207" s="11"/>
      <c r="II207" s="11"/>
      <c r="IJ207" s="11"/>
      <c r="IK207" s="11"/>
      <c r="IL207" s="11"/>
      <c r="IM207" s="11"/>
      <c r="IN207" s="11"/>
      <c r="IO207" s="11"/>
      <c r="IP207" s="11"/>
      <c r="IQ207" s="11"/>
    </row>
    <row r="208" customFormat="false" ht="39" hidden="false" customHeight="true" outlineLevel="0" collapsed="false">
      <c r="X208" s="450" t="n">
        <f aca="false">X206+X102</f>
        <v>2040000</v>
      </c>
    </row>
  </sheetData>
  <mergeCells count="1152">
    <mergeCell ref="A1:E1"/>
    <mergeCell ref="G1:K1"/>
    <mergeCell ref="L1:P1"/>
    <mergeCell ref="Q1:V1"/>
    <mergeCell ref="W1:Z1"/>
    <mergeCell ref="AA1:AC1"/>
    <mergeCell ref="AD1:AE1"/>
    <mergeCell ref="A2:E2"/>
    <mergeCell ref="G2:K2"/>
    <mergeCell ref="L2:P2"/>
    <mergeCell ref="Q2:V2"/>
    <mergeCell ref="W2:Z2"/>
    <mergeCell ref="AA2:AC2"/>
    <mergeCell ref="AD2:AE2"/>
    <mergeCell ref="AL2:AN2"/>
    <mergeCell ref="AV2:AY2"/>
    <mergeCell ref="A3:D4"/>
    <mergeCell ref="E3:H4"/>
    <mergeCell ref="I3:J4"/>
    <mergeCell ref="K3:M3"/>
    <mergeCell ref="N3:P3"/>
    <mergeCell ref="Q3:S3"/>
    <mergeCell ref="T3:V3"/>
    <mergeCell ref="W3:X3"/>
    <mergeCell ref="Y3:Z3"/>
    <mergeCell ref="AA3:AB3"/>
    <mergeCell ref="AC3:AE4"/>
    <mergeCell ref="AG3:AI6"/>
    <mergeCell ref="AL3:AN3"/>
    <mergeCell ref="AV3:AY3"/>
    <mergeCell ref="K4:M4"/>
    <mergeCell ref="N4:P4"/>
    <mergeCell ref="R4:S4"/>
    <mergeCell ref="T4:V4"/>
    <mergeCell ref="W4:X4"/>
    <mergeCell ref="Y4:Z4"/>
    <mergeCell ref="AA4:AB4"/>
    <mergeCell ref="AL4:AN4"/>
    <mergeCell ref="AV4:AY4"/>
    <mergeCell ref="A5:C6"/>
    <mergeCell ref="D5:F6"/>
    <mergeCell ref="G5:H6"/>
    <mergeCell ref="I5:O5"/>
    <mergeCell ref="P5:Q6"/>
    <mergeCell ref="R5:S6"/>
    <mergeCell ref="T5:W5"/>
    <mergeCell ref="X5:AE5"/>
    <mergeCell ref="AK5:AK6"/>
    <mergeCell ref="AL5:AN5"/>
    <mergeCell ref="I6:O6"/>
    <mergeCell ref="T6:W6"/>
    <mergeCell ref="X6:AE6"/>
    <mergeCell ref="AL6:AN6"/>
    <mergeCell ref="A7:A9"/>
    <mergeCell ref="B7:B9"/>
    <mergeCell ref="C7:C9"/>
    <mergeCell ref="D7:D9"/>
    <mergeCell ref="E7:E9"/>
    <mergeCell ref="F7:F8"/>
    <mergeCell ref="G7:V7"/>
    <mergeCell ref="W7:W9"/>
    <mergeCell ref="Y7:AA7"/>
    <mergeCell ref="AB7:AB9"/>
    <mergeCell ref="AC7:AC9"/>
    <mergeCell ref="AD7:AE7"/>
    <mergeCell ref="AF7:AF9"/>
    <mergeCell ref="AZ8:AZ9"/>
    <mergeCell ref="AD9:AE9"/>
    <mergeCell ref="A10:A11"/>
    <mergeCell ref="B10:B11"/>
    <mergeCell ref="C10:C11"/>
    <mergeCell ref="D10:D11"/>
    <mergeCell ref="E10:E11"/>
    <mergeCell ref="W10:W11"/>
    <mergeCell ref="AB10:AB11"/>
    <mergeCell ref="AC10:AC11"/>
    <mergeCell ref="AF10:AF11"/>
    <mergeCell ref="AZ10:AZ11"/>
    <mergeCell ref="AD11:AE11"/>
    <mergeCell ref="A12:A13"/>
    <mergeCell ref="B12:B13"/>
    <mergeCell ref="C12:C13"/>
    <mergeCell ref="D12:D13"/>
    <mergeCell ref="E12:E13"/>
    <mergeCell ref="W12:W13"/>
    <mergeCell ref="AB12:AB13"/>
    <mergeCell ref="AC12:AC13"/>
    <mergeCell ref="AF12:AF13"/>
    <mergeCell ref="AZ12:AZ13"/>
    <mergeCell ref="AD13:AE13"/>
    <mergeCell ref="A14:A15"/>
    <mergeCell ref="B14:B15"/>
    <mergeCell ref="C14:C15"/>
    <mergeCell ref="D14:D15"/>
    <mergeCell ref="E14:E15"/>
    <mergeCell ref="W14:W15"/>
    <mergeCell ref="AB14:AB15"/>
    <mergeCell ref="AC14:AC15"/>
    <mergeCell ref="AF14:AF15"/>
    <mergeCell ref="AZ14:AZ15"/>
    <mergeCell ref="AD15:AE15"/>
    <mergeCell ref="A16:A17"/>
    <mergeCell ref="B16:B17"/>
    <mergeCell ref="C16:C17"/>
    <mergeCell ref="D16:D17"/>
    <mergeCell ref="E16:E17"/>
    <mergeCell ref="W16:W17"/>
    <mergeCell ref="AB16:AB17"/>
    <mergeCell ref="AC16:AC17"/>
    <mergeCell ref="AF16:AF17"/>
    <mergeCell ref="AZ16:AZ17"/>
    <mergeCell ref="AD17:AE17"/>
    <mergeCell ref="A18:A19"/>
    <mergeCell ref="B18:B19"/>
    <mergeCell ref="C18:C19"/>
    <mergeCell ref="D18:D19"/>
    <mergeCell ref="E18:E19"/>
    <mergeCell ref="W18:W19"/>
    <mergeCell ref="AB18:AB19"/>
    <mergeCell ref="AC18:AC19"/>
    <mergeCell ref="AF18:AF19"/>
    <mergeCell ref="AZ18:AZ19"/>
    <mergeCell ref="AD19:AE19"/>
    <mergeCell ref="A20:A21"/>
    <mergeCell ref="B20:B21"/>
    <mergeCell ref="C20:C21"/>
    <mergeCell ref="D20:D21"/>
    <mergeCell ref="E20:E21"/>
    <mergeCell ref="W20:W21"/>
    <mergeCell ref="AB20:AB21"/>
    <mergeCell ref="AC20:AC21"/>
    <mergeCell ref="AF20:AF21"/>
    <mergeCell ref="AZ20:AZ21"/>
    <mergeCell ref="AD21:AE21"/>
    <mergeCell ref="A22:A23"/>
    <mergeCell ref="B22:B23"/>
    <mergeCell ref="C22:C23"/>
    <mergeCell ref="D22:D23"/>
    <mergeCell ref="E22:E23"/>
    <mergeCell ref="W22:W23"/>
    <mergeCell ref="AB22:AB23"/>
    <mergeCell ref="AC22:AC23"/>
    <mergeCell ref="AF22:AF23"/>
    <mergeCell ref="AZ22:AZ23"/>
    <mergeCell ref="AD23:AE23"/>
    <mergeCell ref="A24:A25"/>
    <mergeCell ref="B24:B25"/>
    <mergeCell ref="C24:C25"/>
    <mergeCell ref="D24:D25"/>
    <mergeCell ref="E24:E25"/>
    <mergeCell ref="W24:W25"/>
    <mergeCell ref="AB24:AB25"/>
    <mergeCell ref="AC24:AC25"/>
    <mergeCell ref="AF24:AF25"/>
    <mergeCell ref="AZ24:AZ25"/>
    <mergeCell ref="AD25:AE25"/>
    <mergeCell ref="A26:A27"/>
    <mergeCell ref="B26:B27"/>
    <mergeCell ref="C26:C27"/>
    <mergeCell ref="D26:D27"/>
    <mergeCell ref="E26:E27"/>
    <mergeCell ref="W26:W27"/>
    <mergeCell ref="AB26:AB27"/>
    <mergeCell ref="AC26:AC27"/>
    <mergeCell ref="AF26:AF27"/>
    <mergeCell ref="AZ26:AZ27"/>
    <mergeCell ref="AD27:AE27"/>
    <mergeCell ref="A28:A29"/>
    <mergeCell ref="B28:B29"/>
    <mergeCell ref="C28:C29"/>
    <mergeCell ref="D28:D29"/>
    <mergeCell ref="E28:E29"/>
    <mergeCell ref="W28:W29"/>
    <mergeCell ref="AB28:AB29"/>
    <mergeCell ref="AC28:AC29"/>
    <mergeCell ref="AF28:AF29"/>
    <mergeCell ref="AZ28:AZ29"/>
    <mergeCell ref="AD29:AE29"/>
    <mergeCell ref="A30:A31"/>
    <mergeCell ref="C30:C31"/>
    <mergeCell ref="D30:D31"/>
    <mergeCell ref="E30:E31"/>
    <mergeCell ref="W30:W31"/>
    <mergeCell ref="AB30:AB31"/>
    <mergeCell ref="AC30:AC31"/>
    <mergeCell ref="AD31:AE31"/>
    <mergeCell ref="A32:A33"/>
    <mergeCell ref="B32:B33"/>
    <mergeCell ref="C32:C33"/>
    <mergeCell ref="D32:D33"/>
    <mergeCell ref="E32:E33"/>
    <mergeCell ref="W32:W33"/>
    <mergeCell ref="AB32:AB33"/>
    <mergeCell ref="AC32:AC33"/>
    <mergeCell ref="AF32:AF33"/>
    <mergeCell ref="AZ32:AZ33"/>
    <mergeCell ref="AD33:AE33"/>
    <mergeCell ref="A34:A35"/>
    <mergeCell ref="B34:B35"/>
    <mergeCell ref="C34:C35"/>
    <mergeCell ref="D34:D35"/>
    <mergeCell ref="E34:E35"/>
    <mergeCell ref="W34:W35"/>
    <mergeCell ref="AB34:AB35"/>
    <mergeCell ref="AC34:AC35"/>
    <mergeCell ref="AF34:AF35"/>
    <mergeCell ref="AZ34:AZ35"/>
    <mergeCell ref="AD35:AE35"/>
    <mergeCell ref="A36:A37"/>
    <mergeCell ref="B36:B37"/>
    <mergeCell ref="C36:C37"/>
    <mergeCell ref="D36:D37"/>
    <mergeCell ref="E36:E37"/>
    <mergeCell ref="W36:W37"/>
    <mergeCell ref="AB36:AB37"/>
    <mergeCell ref="AC36:AC37"/>
    <mergeCell ref="AF36:AF37"/>
    <mergeCell ref="AZ36:AZ37"/>
    <mergeCell ref="AD37:AE37"/>
    <mergeCell ref="A38:A39"/>
    <mergeCell ref="B38:B39"/>
    <mergeCell ref="C38:C39"/>
    <mergeCell ref="D38:D39"/>
    <mergeCell ref="E38:E39"/>
    <mergeCell ref="W38:W39"/>
    <mergeCell ref="AB38:AB39"/>
    <mergeCell ref="AC38:AC39"/>
    <mergeCell ref="AF38:AF39"/>
    <mergeCell ref="AZ38:AZ39"/>
    <mergeCell ref="AD39:AE39"/>
    <mergeCell ref="A40:A41"/>
    <mergeCell ref="B40:B41"/>
    <mergeCell ref="C40:C41"/>
    <mergeCell ref="D40:D41"/>
    <mergeCell ref="E40:E41"/>
    <mergeCell ref="W40:W41"/>
    <mergeCell ref="AB40:AB41"/>
    <mergeCell ref="AC40:AC41"/>
    <mergeCell ref="AF40:AF41"/>
    <mergeCell ref="AZ40:AZ41"/>
    <mergeCell ref="AD41:AE41"/>
    <mergeCell ref="A42:A43"/>
    <mergeCell ref="B42:B43"/>
    <mergeCell ref="C42:C43"/>
    <mergeCell ref="D42:D43"/>
    <mergeCell ref="E42:E43"/>
    <mergeCell ref="W42:W43"/>
    <mergeCell ref="AB42:AB43"/>
    <mergeCell ref="AC42:AC43"/>
    <mergeCell ref="AF42:AF43"/>
    <mergeCell ref="AZ42:AZ43"/>
    <mergeCell ref="AD43:AE43"/>
    <mergeCell ref="A44:A45"/>
    <mergeCell ref="B44:B45"/>
    <mergeCell ref="C44:C45"/>
    <mergeCell ref="D44:D45"/>
    <mergeCell ref="E44:E45"/>
    <mergeCell ref="W44:W45"/>
    <mergeCell ref="AB44:AB45"/>
    <mergeCell ref="AC44:AC45"/>
    <mergeCell ref="AF44:AF45"/>
    <mergeCell ref="AZ44:AZ45"/>
    <mergeCell ref="AD45:AE45"/>
    <mergeCell ref="A46:A47"/>
    <mergeCell ref="B46:B47"/>
    <mergeCell ref="C46:C47"/>
    <mergeCell ref="D46:D47"/>
    <mergeCell ref="E46:E47"/>
    <mergeCell ref="W46:W47"/>
    <mergeCell ref="AB46:AB47"/>
    <mergeCell ref="AC46:AC47"/>
    <mergeCell ref="AF46:AF47"/>
    <mergeCell ref="AZ46:AZ47"/>
    <mergeCell ref="AD47:AE47"/>
    <mergeCell ref="A48:A49"/>
    <mergeCell ref="B48:B49"/>
    <mergeCell ref="C48:C49"/>
    <mergeCell ref="D48:D49"/>
    <mergeCell ref="E48:E49"/>
    <mergeCell ref="W48:W49"/>
    <mergeCell ref="AB48:AB49"/>
    <mergeCell ref="AC48:AC49"/>
    <mergeCell ref="AF48:AF49"/>
    <mergeCell ref="AZ48:AZ49"/>
    <mergeCell ref="AD49:AE49"/>
    <mergeCell ref="A50:A51"/>
    <mergeCell ref="B50:B51"/>
    <mergeCell ref="C50:C51"/>
    <mergeCell ref="D50:D51"/>
    <mergeCell ref="E50:E51"/>
    <mergeCell ref="W50:W51"/>
    <mergeCell ref="AB50:AB51"/>
    <mergeCell ref="AC50:AC51"/>
    <mergeCell ref="AF50:AF51"/>
    <mergeCell ref="AZ50:AZ51"/>
    <mergeCell ref="AD51:AE51"/>
    <mergeCell ref="A52:A53"/>
    <mergeCell ref="B52:B53"/>
    <mergeCell ref="C52:C53"/>
    <mergeCell ref="D52:D53"/>
    <mergeCell ref="E52:E53"/>
    <mergeCell ref="W52:W53"/>
    <mergeCell ref="AB52:AB53"/>
    <mergeCell ref="AC52:AC53"/>
    <mergeCell ref="AF52:AF53"/>
    <mergeCell ref="AZ52:AZ53"/>
    <mergeCell ref="AD53:AE53"/>
    <mergeCell ref="A54:A55"/>
    <mergeCell ref="B54:B55"/>
    <mergeCell ref="C54:C55"/>
    <mergeCell ref="D54:D55"/>
    <mergeCell ref="E54:E55"/>
    <mergeCell ref="W54:W55"/>
    <mergeCell ref="AB54:AB55"/>
    <mergeCell ref="AC54:AC55"/>
    <mergeCell ref="AF54:AF55"/>
    <mergeCell ref="AZ54:AZ55"/>
    <mergeCell ref="AD55:AE55"/>
    <mergeCell ref="A56:A57"/>
    <mergeCell ref="B56:B57"/>
    <mergeCell ref="C56:C57"/>
    <mergeCell ref="D56:D57"/>
    <mergeCell ref="E56:E57"/>
    <mergeCell ref="W56:W57"/>
    <mergeCell ref="AB56:AB57"/>
    <mergeCell ref="AC56:AC57"/>
    <mergeCell ref="AF56:AF57"/>
    <mergeCell ref="AZ56:AZ57"/>
    <mergeCell ref="AD57:AE57"/>
    <mergeCell ref="A58:A59"/>
    <mergeCell ref="B58:B59"/>
    <mergeCell ref="C58:C59"/>
    <mergeCell ref="D58:D59"/>
    <mergeCell ref="E58:E59"/>
    <mergeCell ref="W58:W59"/>
    <mergeCell ref="AB58:AB59"/>
    <mergeCell ref="AC58:AC59"/>
    <mergeCell ref="AF58:AF59"/>
    <mergeCell ref="AZ58:AZ59"/>
    <mergeCell ref="AD59:AE59"/>
    <mergeCell ref="A60:A61"/>
    <mergeCell ref="B60:B61"/>
    <mergeCell ref="C60:C61"/>
    <mergeCell ref="D60:D61"/>
    <mergeCell ref="E60:E61"/>
    <mergeCell ref="W60:W61"/>
    <mergeCell ref="AB60:AB61"/>
    <mergeCell ref="AC60:AC61"/>
    <mergeCell ref="AF60:AF61"/>
    <mergeCell ref="AZ60:AZ61"/>
    <mergeCell ref="AD61:AE61"/>
    <mergeCell ref="A62:A63"/>
    <mergeCell ref="B62:B63"/>
    <mergeCell ref="C62:C63"/>
    <mergeCell ref="D62:D63"/>
    <mergeCell ref="E62:E63"/>
    <mergeCell ref="W62:W63"/>
    <mergeCell ref="AB62:AB63"/>
    <mergeCell ref="AC62:AC63"/>
    <mergeCell ref="AF62:AF63"/>
    <mergeCell ref="AZ62:AZ63"/>
    <mergeCell ref="AD63:AE63"/>
    <mergeCell ref="A64:A65"/>
    <mergeCell ref="B64:B65"/>
    <mergeCell ref="C64:C65"/>
    <mergeCell ref="D64:D65"/>
    <mergeCell ref="E64:E65"/>
    <mergeCell ref="W64:W65"/>
    <mergeCell ref="AB64:AB65"/>
    <mergeCell ref="AC64:AC65"/>
    <mergeCell ref="AF64:AF65"/>
    <mergeCell ref="AZ64:AZ65"/>
    <mergeCell ref="AD65:AE65"/>
    <mergeCell ref="A66:A67"/>
    <mergeCell ref="B66:B67"/>
    <mergeCell ref="C66:C67"/>
    <mergeCell ref="D66:D67"/>
    <mergeCell ref="E66:E67"/>
    <mergeCell ref="W66:W67"/>
    <mergeCell ref="AB66:AB67"/>
    <mergeCell ref="AC66:AC67"/>
    <mergeCell ref="AF66:AF67"/>
    <mergeCell ref="AZ66:AZ67"/>
    <mergeCell ref="AD67:AE67"/>
    <mergeCell ref="A68:A69"/>
    <mergeCell ref="B68:B69"/>
    <mergeCell ref="C68:C69"/>
    <mergeCell ref="D68:D69"/>
    <mergeCell ref="E68:E69"/>
    <mergeCell ref="W68:W69"/>
    <mergeCell ref="AB68:AB69"/>
    <mergeCell ref="AC68:AC69"/>
    <mergeCell ref="AF68:AF69"/>
    <mergeCell ref="AZ68:AZ69"/>
    <mergeCell ref="AD69:AE69"/>
    <mergeCell ref="A70:A71"/>
    <mergeCell ref="B70:B71"/>
    <mergeCell ref="C70:C71"/>
    <mergeCell ref="D70:D71"/>
    <mergeCell ref="E70:E71"/>
    <mergeCell ref="W70:W71"/>
    <mergeCell ref="AB70:AB71"/>
    <mergeCell ref="AC70:AC71"/>
    <mergeCell ref="AF70:AF71"/>
    <mergeCell ref="AZ70:AZ71"/>
    <mergeCell ref="AD71:AE71"/>
    <mergeCell ref="A72:A73"/>
    <mergeCell ref="B72:B73"/>
    <mergeCell ref="C72:C73"/>
    <mergeCell ref="D72:D73"/>
    <mergeCell ref="E72:E73"/>
    <mergeCell ref="W72:W73"/>
    <mergeCell ref="AB72:AB73"/>
    <mergeCell ref="AC72:AC73"/>
    <mergeCell ref="AF72:AF73"/>
    <mergeCell ref="AZ72:AZ73"/>
    <mergeCell ref="AD73:AE73"/>
    <mergeCell ref="A74:A75"/>
    <mergeCell ref="B74:B75"/>
    <mergeCell ref="C74:C75"/>
    <mergeCell ref="D74:D75"/>
    <mergeCell ref="E74:E75"/>
    <mergeCell ref="W74:W75"/>
    <mergeCell ref="AB74:AB75"/>
    <mergeCell ref="AC74:AC75"/>
    <mergeCell ref="AF74:AF75"/>
    <mergeCell ref="AZ74:AZ75"/>
    <mergeCell ref="AD75:AE75"/>
    <mergeCell ref="A76:A77"/>
    <mergeCell ref="B76:B77"/>
    <mergeCell ref="C76:C77"/>
    <mergeCell ref="D76:D77"/>
    <mergeCell ref="E76:E77"/>
    <mergeCell ref="W76:W77"/>
    <mergeCell ref="AB76:AB77"/>
    <mergeCell ref="AC76:AC77"/>
    <mergeCell ref="AF76:AF77"/>
    <mergeCell ref="AZ76:AZ77"/>
    <mergeCell ref="AD77:AE77"/>
    <mergeCell ref="A78:A79"/>
    <mergeCell ref="B78:B79"/>
    <mergeCell ref="C78:C79"/>
    <mergeCell ref="D78:D79"/>
    <mergeCell ref="E78:E79"/>
    <mergeCell ref="W78:W79"/>
    <mergeCell ref="AB78:AB79"/>
    <mergeCell ref="AC78:AC79"/>
    <mergeCell ref="AF78:AF79"/>
    <mergeCell ref="AZ78:AZ79"/>
    <mergeCell ref="AD79:AE79"/>
    <mergeCell ref="A80:A81"/>
    <mergeCell ref="B80:B81"/>
    <mergeCell ref="C80:C81"/>
    <mergeCell ref="D80:D81"/>
    <mergeCell ref="E80:E81"/>
    <mergeCell ref="W80:W81"/>
    <mergeCell ref="AB80:AB81"/>
    <mergeCell ref="AC80:AC81"/>
    <mergeCell ref="AF80:AF81"/>
    <mergeCell ref="AZ80:AZ81"/>
    <mergeCell ref="AD81:AE81"/>
    <mergeCell ref="A82:A83"/>
    <mergeCell ref="B82:B83"/>
    <mergeCell ref="C82:C83"/>
    <mergeCell ref="D82:D83"/>
    <mergeCell ref="E82:E83"/>
    <mergeCell ref="W82:W83"/>
    <mergeCell ref="AB82:AB83"/>
    <mergeCell ref="AC82:AC83"/>
    <mergeCell ref="AF82:AF83"/>
    <mergeCell ref="AZ82:AZ83"/>
    <mergeCell ref="AD83:AE83"/>
    <mergeCell ref="A84:A85"/>
    <mergeCell ref="B84:B85"/>
    <mergeCell ref="C84:C85"/>
    <mergeCell ref="D84:D85"/>
    <mergeCell ref="E84:E85"/>
    <mergeCell ref="W84:W85"/>
    <mergeCell ref="AB84:AB85"/>
    <mergeCell ref="AC84:AC85"/>
    <mergeCell ref="AF84:AF85"/>
    <mergeCell ref="AZ84:AZ85"/>
    <mergeCell ref="AD85:AE85"/>
    <mergeCell ref="A86:A87"/>
    <mergeCell ref="B86:B87"/>
    <mergeCell ref="C86:C87"/>
    <mergeCell ref="D86:D87"/>
    <mergeCell ref="E86:E87"/>
    <mergeCell ref="W86:W87"/>
    <mergeCell ref="AB86:AB87"/>
    <mergeCell ref="AC86:AC87"/>
    <mergeCell ref="AF86:AF87"/>
    <mergeCell ref="AZ86:AZ87"/>
    <mergeCell ref="AD87:AE87"/>
    <mergeCell ref="A88:A89"/>
    <mergeCell ref="B88:B89"/>
    <mergeCell ref="C88:C89"/>
    <mergeCell ref="D88:D89"/>
    <mergeCell ref="E88:E89"/>
    <mergeCell ref="W88:W89"/>
    <mergeCell ref="AB88:AB89"/>
    <mergeCell ref="AC88:AC89"/>
    <mergeCell ref="AF88:AF89"/>
    <mergeCell ref="AZ88:AZ89"/>
    <mergeCell ref="AD89:AE89"/>
    <mergeCell ref="A90:A91"/>
    <mergeCell ref="B90:B91"/>
    <mergeCell ref="C90:C91"/>
    <mergeCell ref="D90:D91"/>
    <mergeCell ref="E90:E91"/>
    <mergeCell ref="W90:W91"/>
    <mergeCell ref="AB90:AB91"/>
    <mergeCell ref="AC90:AC91"/>
    <mergeCell ref="AF90:AF91"/>
    <mergeCell ref="AZ90:AZ91"/>
    <mergeCell ref="AD91:AE91"/>
    <mergeCell ref="A92:A93"/>
    <mergeCell ref="B92:B93"/>
    <mergeCell ref="C92:C93"/>
    <mergeCell ref="D92:D93"/>
    <mergeCell ref="E92:E93"/>
    <mergeCell ref="W92:W93"/>
    <mergeCell ref="AB92:AB93"/>
    <mergeCell ref="AC92:AC93"/>
    <mergeCell ref="AF92:AF93"/>
    <mergeCell ref="AZ92:AZ93"/>
    <mergeCell ref="AD93:AE93"/>
    <mergeCell ref="A94:A95"/>
    <mergeCell ref="B94:B95"/>
    <mergeCell ref="C94:C95"/>
    <mergeCell ref="D94:D95"/>
    <mergeCell ref="E94:E95"/>
    <mergeCell ref="W94:W95"/>
    <mergeCell ref="AB94:AB95"/>
    <mergeCell ref="AC94:AC95"/>
    <mergeCell ref="AF94:AF95"/>
    <mergeCell ref="AZ94:AZ95"/>
    <mergeCell ref="AD95:AE95"/>
    <mergeCell ref="A96:A97"/>
    <mergeCell ref="B96:B97"/>
    <mergeCell ref="C96:C97"/>
    <mergeCell ref="D96:D97"/>
    <mergeCell ref="E96:E97"/>
    <mergeCell ref="W96:W97"/>
    <mergeCell ref="AB96:AB97"/>
    <mergeCell ref="AC96:AC97"/>
    <mergeCell ref="AF96:AF97"/>
    <mergeCell ref="AZ96:AZ97"/>
    <mergeCell ref="AD97:AE97"/>
    <mergeCell ref="A98:A99"/>
    <mergeCell ref="B98:B99"/>
    <mergeCell ref="C98:C99"/>
    <mergeCell ref="D98:D99"/>
    <mergeCell ref="E98:E99"/>
    <mergeCell ref="W98:W99"/>
    <mergeCell ref="AB98:AB99"/>
    <mergeCell ref="AC98:AC99"/>
    <mergeCell ref="AF98:AF99"/>
    <mergeCell ref="AZ98:AZ99"/>
    <mergeCell ref="AD99:AE99"/>
    <mergeCell ref="A100:A101"/>
    <mergeCell ref="B100:B101"/>
    <mergeCell ref="C100:C101"/>
    <mergeCell ref="D100:D101"/>
    <mergeCell ref="E100:E101"/>
    <mergeCell ref="W100:W101"/>
    <mergeCell ref="AB100:AB101"/>
    <mergeCell ref="AC100:AC101"/>
    <mergeCell ref="AF100:AF101"/>
    <mergeCell ref="AZ100:AZ101"/>
    <mergeCell ref="AD101:AE101"/>
    <mergeCell ref="A102:F103"/>
    <mergeCell ref="W102:W103"/>
    <mergeCell ref="X102:X103"/>
    <mergeCell ref="AB102:AB103"/>
    <mergeCell ref="AC102:AC103"/>
    <mergeCell ref="A105:E105"/>
    <mergeCell ref="G105:K105"/>
    <mergeCell ref="L105:P105"/>
    <mergeCell ref="Q105:V105"/>
    <mergeCell ref="W105:Z105"/>
    <mergeCell ref="AA105:AC105"/>
    <mergeCell ref="AD105:AE105"/>
    <mergeCell ref="A106:E106"/>
    <mergeCell ref="G106:K106"/>
    <mergeCell ref="L106:P106"/>
    <mergeCell ref="Q106:V106"/>
    <mergeCell ref="W106:Z106"/>
    <mergeCell ref="AA106:AC106"/>
    <mergeCell ref="AD106:AE106"/>
    <mergeCell ref="AL106:AN106"/>
    <mergeCell ref="AV106:AY106"/>
    <mergeCell ref="A107:D108"/>
    <mergeCell ref="E107:H108"/>
    <mergeCell ref="I107:J108"/>
    <mergeCell ref="K107:M107"/>
    <mergeCell ref="N107:P107"/>
    <mergeCell ref="Q107:S107"/>
    <mergeCell ref="T107:V107"/>
    <mergeCell ref="W107:X107"/>
    <mergeCell ref="Y107:Z107"/>
    <mergeCell ref="AA107:AB107"/>
    <mergeCell ref="AC107:AE108"/>
    <mergeCell ref="AG107:AI110"/>
    <mergeCell ref="AL107:AN107"/>
    <mergeCell ref="AV107:AY107"/>
    <mergeCell ref="K108:M108"/>
    <mergeCell ref="N108:P108"/>
    <mergeCell ref="R108:S108"/>
    <mergeCell ref="T108:V108"/>
    <mergeCell ref="W108:X108"/>
    <mergeCell ref="Y108:Z108"/>
    <mergeCell ref="AA108:AB108"/>
    <mergeCell ref="AL108:AN108"/>
    <mergeCell ref="AV108:AY108"/>
    <mergeCell ref="A109:C110"/>
    <mergeCell ref="D109:F110"/>
    <mergeCell ref="G109:H110"/>
    <mergeCell ref="I109:O109"/>
    <mergeCell ref="P109:Q110"/>
    <mergeCell ref="R109:S110"/>
    <mergeCell ref="T109:W109"/>
    <mergeCell ref="X109:AE109"/>
    <mergeCell ref="AK109:AK110"/>
    <mergeCell ref="AL109:AN109"/>
    <mergeCell ref="I110:O110"/>
    <mergeCell ref="T110:W110"/>
    <mergeCell ref="X110:AE110"/>
    <mergeCell ref="AL110:AN110"/>
    <mergeCell ref="A111:A113"/>
    <mergeCell ref="B111:B113"/>
    <mergeCell ref="C111:C113"/>
    <mergeCell ref="D111:D113"/>
    <mergeCell ref="E111:E113"/>
    <mergeCell ref="F111:F112"/>
    <mergeCell ref="G111:V111"/>
    <mergeCell ref="W111:W113"/>
    <mergeCell ref="Y111:AA111"/>
    <mergeCell ref="AB111:AB113"/>
    <mergeCell ref="AC111:AC113"/>
    <mergeCell ref="AD111:AE111"/>
    <mergeCell ref="AF111:AF113"/>
    <mergeCell ref="AZ112:AZ113"/>
    <mergeCell ref="AD113:AE113"/>
    <mergeCell ref="A114:A115"/>
    <mergeCell ref="B114:B115"/>
    <mergeCell ref="C114:C115"/>
    <mergeCell ref="D114:D115"/>
    <mergeCell ref="E114:E115"/>
    <mergeCell ref="W114:W115"/>
    <mergeCell ref="AB114:AB115"/>
    <mergeCell ref="AC114:AC115"/>
    <mergeCell ref="AF114:AF115"/>
    <mergeCell ref="AZ114:AZ115"/>
    <mergeCell ref="AD115:AE115"/>
    <mergeCell ref="A116:A117"/>
    <mergeCell ref="B116:B117"/>
    <mergeCell ref="C116:C117"/>
    <mergeCell ref="D116:D117"/>
    <mergeCell ref="E116:E117"/>
    <mergeCell ref="W116:W117"/>
    <mergeCell ref="AB116:AB117"/>
    <mergeCell ref="AC116:AC117"/>
    <mergeCell ref="AF116:AF117"/>
    <mergeCell ref="AZ116:AZ117"/>
    <mergeCell ref="AD117:AE117"/>
    <mergeCell ref="A118:A119"/>
    <mergeCell ref="B118:B119"/>
    <mergeCell ref="C118:C119"/>
    <mergeCell ref="D118:D119"/>
    <mergeCell ref="E118:E119"/>
    <mergeCell ref="W118:W119"/>
    <mergeCell ref="AB118:AB119"/>
    <mergeCell ref="AC118:AC119"/>
    <mergeCell ref="AF118:AF119"/>
    <mergeCell ref="AZ118:AZ119"/>
    <mergeCell ref="AD119:AE119"/>
    <mergeCell ref="A120:A121"/>
    <mergeCell ref="B120:B121"/>
    <mergeCell ref="C120:C121"/>
    <mergeCell ref="D120:D121"/>
    <mergeCell ref="E120:E121"/>
    <mergeCell ref="W120:W121"/>
    <mergeCell ref="AB120:AB121"/>
    <mergeCell ref="AC120:AC121"/>
    <mergeCell ref="AF120:AF121"/>
    <mergeCell ref="AZ120:AZ121"/>
    <mergeCell ref="AD121:AE121"/>
    <mergeCell ref="A122:A123"/>
    <mergeCell ref="B122:B123"/>
    <mergeCell ref="C122:C123"/>
    <mergeCell ref="D122:D123"/>
    <mergeCell ref="E122:E123"/>
    <mergeCell ref="W122:W123"/>
    <mergeCell ref="AB122:AB123"/>
    <mergeCell ref="AC122:AC123"/>
    <mergeCell ref="AF122:AF123"/>
    <mergeCell ref="AZ122:AZ123"/>
    <mergeCell ref="AD123:AE123"/>
    <mergeCell ref="A124:A125"/>
    <mergeCell ref="B124:B125"/>
    <mergeCell ref="C124:C125"/>
    <mergeCell ref="D124:D125"/>
    <mergeCell ref="E124:E125"/>
    <mergeCell ref="W124:W125"/>
    <mergeCell ref="AB124:AB125"/>
    <mergeCell ref="AC124:AC125"/>
    <mergeCell ref="AF124:AF125"/>
    <mergeCell ref="AZ124:AZ125"/>
    <mergeCell ref="AD125:AE125"/>
    <mergeCell ref="A126:A127"/>
    <mergeCell ref="B126:B127"/>
    <mergeCell ref="C126:C127"/>
    <mergeCell ref="D126:D127"/>
    <mergeCell ref="E126:E127"/>
    <mergeCell ref="W126:W127"/>
    <mergeCell ref="AB126:AB127"/>
    <mergeCell ref="AC126:AC127"/>
    <mergeCell ref="AF126:AF127"/>
    <mergeCell ref="AZ126:AZ127"/>
    <mergeCell ref="AD127:AE127"/>
    <mergeCell ref="A128:A129"/>
    <mergeCell ref="B128:B129"/>
    <mergeCell ref="C128:C129"/>
    <mergeCell ref="D128:D129"/>
    <mergeCell ref="E128:E129"/>
    <mergeCell ref="W128:W129"/>
    <mergeCell ref="AB128:AB129"/>
    <mergeCell ref="AC128:AC129"/>
    <mergeCell ref="AF128:AF129"/>
    <mergeCell ref="AZ128:AZ129"/>
    <mergeCell ref="AD129:AE129"/>
    <mergeCell ref="A130:A131"/>
    <mergeCell ref="B130:B131"/>
    <mergeCell ref="C130:C131"/>
    <mergeCell ref="D130:D131"/>
    <mergeCell ref="E130:E131"/>
    <mergeCell ref="W130:W131"/>
    <mergeCell ref="AB130:AB131"/>
    <mergeCell ref="AC130:AC131"/>
    <mergeCell ref="AF130:AF131"/>
    <mergeCell ref="AZ130:AZ131"/>
    <mergeCell ref="AD131:AE131"/>
    <mergeCell ref="A132:A133"/>
    <mergeCell ref="B132:B133"/>
    <mergeCell ref="C132:C133"/>
    <mergeCell ref="D132:D133"/>
    <mergeCell ref="E132:E133"/>
    <mergeCell ref="W132:W133"/>
    <mergeCell ref="AB132:AB133"/>
    <mergeCell ref="AC132:AC133"/>
    <mergeCell ref="AF132:AF133"/>
    <mergeCell ref="AZ132:AZ133"/>
    <mergeCell ref="AD133:AE133"/>
    <mergeCell ref="A134:A135"/>
    <mergeCell ref="C134:C135"/>
    <mergeCell ref="D134:D135"/>
    <mergeCell ref="E134:E135"/>
    <mergeCell ref="W134:W135"/>
    <mergeCell ref="AB134:AB135"/>
    <mergeCell ref="AC134:AC135"/>
    <mergeCell ref="AD135:AE135"/>
    <mergeCell ref="A136:A137"/>
    <mergeCell ref="B136:B137"/>
    <mergeCell ref="C136:C137"/>
    <mergeCell ref="D136:D137"/>
    <mergeCell ref="E136:E137"/>
    <mergeCell ref="W136:W137"/>
    <mergeCell ref="AB136:AB137"/>
    <mergeCell ref="AC136:AC137"/>
    <mergeCell ref="AF136:AF137"/>
    <mergeCell ref="AZ136:AZ137"/>
    <mergeCell ref="AD137:AE137"/>
    <mergeCell ref="A138:A139"/>
    <mergeCell ref="B138:B139"/>
    <mergeCell ref="C138:C139"/>
    <mergeCell ref="D138:D139"/>
    <mergeCell ref="E138:E139"/>
    <mergeCell ref="W138:W139"/>
    <mergeCell ref="AB138:AB139"/>
    <mergeCell ref="AC138:AC139"/>
    <mergeCell ref="AF138:AF139"/>
    <mergeCell ref="AZ138:AZ139"/>
    <mergeCell ref="AD139:AE139"/>
    <mergeCell ref="A140:A141"/>
    <mergeCell ref="B140:B141"/>
    <mergeCell ref="C140:C141"/>
    <mergeCell ref="D140:D141"/>
    <mergeCell ref="E140:E141"/>
    <mergeCell ref="W140:W141"/>
    <mergeCell ref="AB140:AB141"/>
    <mergeCell ref="AC140:AC141"/>
    <mergeCell ref="AF140:AF141"/>
    <mergeCell ref="AZ140:AZ141"/>
    <mergeCell ref="AD141:AE141"/>
    <mergeCell ref="A142:A143"/>
    <mergeCell ref="B142:B143"/>
    <mergeCell ref="C142:C143"/>
    <mergeCell ref="D142:D143"/>
    <mergeCell ref="E142:E143"/>
    <mergeCell ref="W142:W143"/>
    <mergeCell ref="AB142:AB143"/>
    <mergeCell ref="AC142:AC143"/>
    <mergeCell ref="AF142:AF143"/>
    <mergeCell ref="AZ142:AZ143"/>
    <mergeCell ref="AD143:AE143"/>
    <mergeCell ref="A144:A145"/>
    <mergeCell ref="B144:B145"/>
    <mergeCell ref="C144:C145"/>
    <mergeCell ref="D144:D145"/>
    <mergeCell ref="E144:E145"/>
    <mergeCell ref="W144:W145"/>
    <mergeCell ref="AB144:AB145"/>
    <mergeCell ref="AC144:AC145"/>
    <mergeCell ref="AF144:AF145"/>
    <mergeCell ref="AZ144:AZ145"/>
    <mergeCell ref="AD145:AE145"/>
    <mergeCell ref="A146:A147"/>
    <mergeCell ref="B146:B147"/>
    <mergeCell ref="C146:C147"/>
    <mergeCell ref="D146:D147"/>
    <mergeCell ref="E146:E147"/>
    <mergeCell ref="W146:W147"/>
    <mergeCell ref="AB146:AB147"/>
    <mergeCell ref="AC146:AC147"/>
    <mergeCell ref="AF146:AF147"/>
    <mergeCell ref="AZ146:AZ147"/>
    <mergeCell ref="AD147:AE147"/>
    <mergeCell ref="A148:A149"/>
    <mergeCell ref="B148:B149"/>
    <mergeCell ref="C148:C149"/>
    <mergeCell ref="D148:D149"/>
    <mergeCell ref="E148:E149"/>
    <mergeCell ref="W148:W149"/>
    <mergeCell ref="AB148:AB149"/>
    <mergeCell ref="AC148:AC149"/>
    <mergeCell ref="AF148:AF149"/>
    <mergeCell ref="AZ148:AZ149"/>
    <mergeCell ref="AD149:AE149"/>
    <mergeCell ref="A150:A151"/>
    <mergeCell ref="B150:B151"/>
    <mergeCell ref="C150:C151"/>
    <mergeCell ref="D150:D151"/>
    <mergeCell ref="E150:E151"/>
    <mergeCell ref="W150:W151"/>
    <mergeCell ref="AB150:AB151"/>
    <mergeCell ref="AC150:AC151"/>
    <mergeCell ref="AF150:AF151"/>
    <mergeCell ref="AZ150:AZ151"/>
    <mergeCell ref="AD151:AE151"/>
    <mergeCell ref="A152:A153"/>
    <mergeCell ref="B152:B153"/>
    <mergeCell ref="C152:C153"/>
    <mergeCell ref="D152:D153"/>
    <mergeCell ref="E152:E153"/>
    <mergeCell ref="W152:W153"/>
    <mergeCell ref="AB152:AB153"/>
    <mergeCell ref="AC152:AC153"/>
    <mergeCell ref="AF152:AF153"/>
    <mergeCell ref="AZ152:AZ153"/>
    <mergeCell ref="AD153:AE153"/>
    <mergeCell ref="A154:A155"/>
    <mergeCell ref="B154:B155"/>
    <mergeCell ref="C154:C155"/>
    <mergeCell ref="D154:D155"/>
    <mergeCell ref="E154:E155"/>
    <mergeCell ref="W154:W155"/>
    <mergeCell ref="AB154:AB155"/>
    <mergeCell ref="AC154:AC155"/>
    <mergeCell ref="AF154:AF155"/>
    <mergeCell ref="AZ154:AZ155"/>
    <mergeCell ref="AD155:AE155"/>
    <mergeCell ref="A156:A157"/>
    <mergeCell ref="B156:B157"/>
    <mergeCell ref="C156:C157"/>
    <mergeCell ref="D156:D157"/>
    <mergeCell ref="E156:E157"/>
    <mergeCell ref="W156:W157"/>
    <mergeCell ref="AB156:AB157"/>
    <mergeCell ref="AC156:AC157"/>
    <mergeCell ref="AF156:AF157"/>
    <mergeCell ref="AZ156:AZ157"/>
    <mergeCell ref="AD157:AE157"/>
    <mergeCell ref="A158:A159"/>
    <mergeCell ref="B158:B159"/>
    <mergeCell ref="C158:C159"/>
    <mergeCell ref="D158:D159"/>
    <mergeCell ref="E158:E159"/>
    <mergeCell ref="W158:W159"/>
    <mergeCell ref="AB158:AB159"/>
    <mergeCell ref="AC158:AC159"/>
    <mergeCell ref="AF158:AF159"/>
    <mergeCell ref="AZ158:AZ159"/>
    <mergeCell ref="AD159:AE159"/>
    <mergeCell ref="A160:A161"/>
    <mergeCell ref="B160:B161"/>
    <mergeCell ref="C160:C161"/>
    <mergeCell ref="D160:D161"/>
    <mergeCell ref="E160:E161"/>
    <mergeCell ref="W160:W161"/>
    <mergeCell ref="AB160:AB161"/>
    <mergeCell ref="AC160:AC161"/>
    <mergeCell ref="AF160:AF161"/>
    <mergeCell ref="AZ160:AZ161"/>
    <mergeCell ref="AD161:AE161"/>
    <mergeCell ref="A162:A163"/>
    <mergeCell ref="B162:B163"/>
    <mergeCell ref="C162:C163"/>
    <mergeCell ref="D162:D163"/>
    <mergeCell ref="E162:E163"/>
    <mergeCell ref="W162:W163"/>
    <mergeCell ref="AB162:AB163"/>
    <mergeCell ref="AC162:AC163"/>
    <mergeCell ref="AF162:AF163"/>
    <mergeCell ref="AZ162:AZ163"/>
    <mergeCell ref="AD163:AE163"/>
    <mergeCell ref="A164:A165"/>
    <mergeCell ref="B164:B165"/>
    <mergeCell ref="C164:C165"/>
    <mergeCell ref="D164:D165"/>
    <mergeCell ref="E164:E165"/>
    <mergeCell ref="W164:W165"/>
    <mergeCell ref="AB164:AB165"/>
    <mergeCell ref="AC164:AC165"/>
    <mergeCell ref="AF164:AF165"/>
    <mergeCell ref="AZ164:AZ165"/>
    <mergeCell ref="AD165:AE165"/>
    <mergeCell ref="A166:A167"/>
    <mergeCell ref="B166:B167"/>
    <mergeCell ref="C166:C167"/>
    <mergeCell ref="D166:D167"/>
    <mergeCell ref="E166:E167"/>
    <mergeCell ref="W166:W167"/>
    <mergeCell ref="AB166:AB167"/>
    <mergeCell ref="AC166:AC167"/>
    <mergeCell ref="AF166:AF167"/>
    <mergeCell ref="AZ166:AZ167"/>
    <mergeCell ref="AD167:AE167"/>
    <mergeCell ref="A168:A169"/>
    <mergeCell ref="B168:B169"/>
    <mergeCell ref="C168:C169"/>
    <mergeCell ref="D168:D169"/>
    <mergeCell ref="E168:E169"/>
    <mergeCell ref="W168:W169"/>
    <mergeCell ref="AB168:AB169"/>
    <mergeCell ref="AC168:AC169"/>
    <mergeCell ref="AF168:AF169"/>
    <mergeCell ref="AZ168:AZ169"/>
    <mergeCell ref="AD169:AE169"/>
    <mergeCell ref="A170:A171"/>
    <mergeCell ref="B170:B171"/>
    <mergeCell ref="C170:C171"/>
    <mergeCell ref="D170:D171"/>
    <mergeCell ref="E170:E171"/>
    <mergeCell ref="W170:W171"/>
    <mergeCell ref="AB170:AB171"/>
    <mergeCell ref="AC170:AC171"/>
    <mergeCell ref="AF170:AF171"/>
    <mergeCell ref="AZ170:AZ171"/>
    <mergeCell ref="AD171:AE171"/>
    <mergeCell ref="A172:A173"/>
    <mergeCell ref="B172:B173"/>
    <mergeCell ref="C172:C173"/>
    <mergeCell ref="D172:D173"/>
    <mergeCell ref="E172:E173"/>
    <mergeCell ref="W172:W173"/>
    <mergeCell ref="AB172:AB173"/>
    <mergeCell ref="AC172:AC173"/>
    <mergeCell ref="AF172:AF173"/>
    <mergeCell ref="AZ172:AZ173"/>
    <mergeCell ref="AD173:AE173"/>
    <mergeCell ref="A174:A175"/>
    <mergeCell ref="B174:B175"/>
    <mergeCell ref="C174:C175"/>
    <mergeCell ref="D174:D175"/>
    <mergeCell ref="E174:E175"/>
    <mergeCell ref="W174:W175"/>
    <mergeCell ref="AB174:AB175"/>
    <mergeCell ref="AC174:AC175"/>
    <mergeCell ref="AF174:AF175"/>
    <mergeCell ref="AZ174:AZ175"/>
    <mergeCell ref="AD175:AE175"/>
    <mergeCell ref="A176:A177"/>
    <mergeCell ref="B176:B177"/>
    <mergeCell ref="C176:C177"/>
    <mergeCell ref="D176:D177"/>
    <mergeCell ref="E176:E177"/>
    <mergeCell ref="W176:W177"/>
    <mergeCell ref="AB176:AB177"/>
    <mergeCell ref="AC176:AC177"/>
    <mergeCell ref="AF176:AF177"/>
    <mergeCell ref="AZ176:AZ177"/>
    <mergeCell ref="AD177:AE177"/>
    <mergeCell ref="A178:A179"/>
    <mergeCell ref="B178:B179"/>
    <mergeCell ref="C178:C179"/>
    <mergeCell ref="D178:D179"/>
    <mergeCell ref="E178:E179"/>
    <mergeCell ref="W178:W179"/>
    <mergeCell ref="AB178:AB179"/>
    <mergeCell ref="AC178:AC179"/>
    <mergeCell ref="AF178:AF179"/>
    <mergeCell ref="AZ178:AZ179"/>
    <mergeCell ref="AD179:AE179"/>
    <mergeCell ref="A180:A181"/>
    <mergeCell ref="B180:B181"/>
    <mergeCell ref="C180:C181"/>
    <mergeCell ref="D180:D181"/>
    <mergeCell ref="E180:E181"/>
    <mergeCell ref="W180:W181"/>
    <mergeCell ref="AB180:AB181"/>
    <mergeCell ref="AC180:AC181"/>
    <mergeCell ref="AF180:AF181"/>
    <mergeCell ref="AZ180:AZ181"/>
    <mergeCell ref="AD181:AE181"/>
    <mergeCell ref="A182:A183"/>
    <mergeCell ref="B182:B183"/>
    <mergeCell ref="C182:C183"/>
    <mergeCell ref="D182:D183"/>
    <mergeCell ref="E182:E183"/>
    <mergeCell ref="W182:W183"/>
    <mergeCell ref="AB182:AB183"/>
    <mergeCell ref="AC182:AC183"/>
    <mergeCell ref="AF182:AF183"/>
    <mergeCell ref="AZ182:AZ183"/>
    <mergeCell ref="AD183:AE183"/>
    <mergeCell ref="A184:A185"/>
    <mergeCell ref="B184:B185"/>
    <mergeCell ref="C184:C185"/>
    <mergeCell ref="D184:D185"/>
    <mergeCell ref="E184:E185"/>
    <mergeCell ref="W184:W185"/>
    <mergeCell ref="AB184:AB185"/>
    <mergeCell ref="AC184:AC185"/>
    <mergeCell ref="AF184:AF185"/>
    <mergeCell ref="AZ184:AZ185"/>
    <mergeCell ref="AD185:AE185"/>
    <mergeCell ref="A186:A187"/>
    <mergeCell ref="B186:B187"/>
    <mergeCell ref="C186:C187"/>
    <mergeCell ref="D186:D187"/>
    <mergeCell ref="E186:E187"/>
    <mergeCell ref="W186:W187"/>
    <mergeCell ref="AB186:AB187"/>
    <mergeCell ref="AC186:AC187"/>
    <mergeCell ref="AF186:AF187"/>
    <mergeCell ref="AZ186:AZ187"/>
    <mergeCell ref="AD187:AE187"/>
    <mergeCell ref="A188:A189"/>
    <mergeCell ref="B188:B189"/>
    <mergeCell ref="C188:C189"/>
    <mergeCell ref="D188:D189"/>
    <mergeCell ref="E188:E189"/>
    <mergeCell ref="W188:W189"/>
    <mergeCell ref="AB188:AB189"/>
    <mergeCell ref="AC188:AC189"/>
    <mergeCell ref="AF188:AF189"/>
    <mergeCell ref="AZ188:AZ189"/>
    <mergeCell ref="AD189:AE189"/>
    <mergeCell ref="A190:A191"/>
    <mergeCell ref="B190:B191"/>
    <mergeCell ref="C190:C191"/>
    <mergeCell ref="D190:D191"/>
    <mergeCell ref="E190:E191"/>
    <mergeCell ref="W190:W191"/>
    <mergeCell ref="AB190:AB191"/>
    <mergeCell ref="AC190:AC191"/>
    <mergeCell ref="AF190:AF191"/>
    <mergeCell ref="AZ190:AZ191"/>
    <mergeCell ref="AD191:AE191"/>
    <mergeCell ref="A192:A193"/>
    <mergeCell ref="B192:B193"/>
    <mergeCell ref="C192:C193"/>
    <mergeCell ref="D192:D193"/>
    <mergeCell ref="E192:E193"/>
    <mergeCell ref="W192:W193"/>
    <mergeCell ref="AB192:AB193"/>
    <mergeCell ref="AC192:AC193"/>
    <mergeCell ref="AF192:AF193"/>
    <mergeCell ref="AZ192:AZ193"/>
    <mergeCell ref="AD193:AE193"/>
    <mergeCell ref="A194:A195"/>
    <mergeCell ref="B194:B195"/>
    <mergeCell ref="C194:C195"/>
    <mergeCell ref="D194:D195"/>
    <mergeCell ref="E194:E195"/>
    <mergeCell ref="W194:W195"/>
    <mergeCell ref="AB194:AB195"/>
    <mergeCell ref="AC194:AC195"/>
    <mergeCell ref="AF194:AF195"/>
    <mergeCell ref="AZ194:AZ195"/>
    <mergeCell ref="AD195:AE195"/>
    <mergeCell ref="A196:A197"/>
    <mergeCell ref="B196:B197"/>
    <mergeCell ref="C196:C197"/>
    <mergeCell ref="D196:D197"/>
    <mergeCell ref="E196:E197"/>
    <mergeCell ref="W196:W197"/>
    <mergeCell ref="AB196:AB197"/>
    <mergeCell ref="AC196:AC197"/>
    <mergeCell ref="AF196:AF197"/>
    <mergeCell ref="AZ196:AZ197"/>
    <mergeCell ref="AD197:AE197"/>
    <mergeCell ref="A198:A199"/>
    <mergeCell ref="B198:B199"/>
    <mergeCell ref="C198:C199"/>
    <mergeCell ref="D198:D199"/>
    <mergeCell ref="E198:E199"/>
    <mergeCell ref="W198:W199"/>
    <mergeCell ref="AB198:AB199"/>
    <mergeCell ref="AC198:AC199"/>
    <mergeCell ref="AF198:AF199"/>
    <mergeCell ref="AZ198:AZ199"/>
    <mergeCell ref="AD199:AE199"/>
    <mergeCell ref="A200:A201"/>
    <mergeCell ref="B200:B201"/>
    <mergeCell ref="C200:C201"/>
    <mergeCell ref="D200:D201"/>
    <mergeCell ref="E200:E201"/>
    <mergeCell ref="W200:W201"/>
    <mergeCell ref="AB200:AB201"/>
    <mergeCell ref="AC200:AC201"/>
    <mergeCell ref="AF200:AF201"/>
    <mergeCell ref="AZ200:AZ201"/>
    <mergeCell ref="AD201:AE201"/>
    <mergeCell ref="A202:A203"/>
    <mergeCell ref="B202:B203"/>
    <mergeCell ref="C202:C203"/>
    <mergeCell ref="D202:D203"/>
    <mergeCell ref="E202:E203"/>
    <mergeCell ref="W202:W203"/>
    <mergeCell ref="AB202:AB203"/>
    <mergeCell ref="AC202:AC203"/>
    <mergeCell ref="AF202:AF203"/>
    <mergeCell ref="AZ202:AZ203"/>
    <mergeCell ref="AD203:AE203"/>
    <mergeCell ref="A204:A205"/>
    <mergeCell ref="B204:B205"/>
    <mergeCell ref="C204:C205"/>
    <mergeCell ref="D204:D205"/>
    <mergeCell ref="E204:E205"/>
    <mergeCell ref="W204:W205"/>
    <mergeCell ref="AB204:AB205"/>
    <mergeCell ref="AC204:AC205"/>
    <mergeCell ref="AF204:AF205"/>
    <mergeCell ref="AZ204:AZ205"/>
    <mergeCell ref="AD205:AE205"/>
    <mergeCell ref="A206:F207"/>
    <mergeCell ref="W206:W207"/>
    <mergeCell ref="X206:X207"/>
    <mergeCell ref="AB206:AB207"/>
    <mergeCell ref="AC206:AC207"/>
  </mergeCells>
  <printOptions headings="false" gridLines="false" gridLinesSet="true" horizontalCentered="true" verticalCentered="true"/>
  <pageMargins left="0.0402777777777778" right="0.00972222222222222" top="0.0784722222222222" bottom="0.0395833333333333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308"/>
  <sheetViews>
    <sheetView showFormulas="false" showGridLines="true" showRowColHeaders="true" showZeros="true" rightToLeft="false" tabSelected="true" showOutlineSymbols="true" defaultGridColor="true" view="normal" topLeftCell="A175" colorId="64" zoomScale="100" zoomScaleNormal="100" zoomScalePageLayoutView="100" workbookViewId="0">
      <selection pane="topLeft" activeCell="A191" activeCellId="0" sqref="A191"/>
    </sheetView>
  </sheetViews>
  <sheetFormatPr defaultColWidth="8.87890625" defaultRowHeight="20.25" customHeight="true" zeroHeight="false" outlineLevelRow="0" outlineLevelCol="0"/>
  <cols>
    <col collapsed="false" customWidth="true" hidden="false" outlineLevel="0" max="1" min="1" style="451" width="19.21"/>
    <col collapsed="false" customWidth="true" hidden="false" outlineLevel="0" max="2" min="2" style="451" width="8.55"/>
    <col collapsed="false" customWidth="true" hidden="false" outlineLevel="0" max="3" min="3" style="451" width="13.44"/>
    <col collapsed="false" customWidth="true" hidden="false" outlineLevel="0" max="4" min="4" style="452" width="49.66"/>
    <col collapsed="false" customWidth="true" hidden="false" outlineLevel="0" max="5" min="5" style="451" width="9.66"/>
    <col collapsed="false" customWidth="true" hidden="false" outlineLevel="0" max="6" min="6" style="451" width="7.43"/>
    <col collapsed="false" customWidth="true" hidden="false" outlineLevel="0" max="7" min="7" style="451" width="15.44"/>
    <col collapsed="false" customWidth="true" hidden="false" outlineLevel="0" max="8" min="8" style="453" width="7.43"/>
    <col collapsed="false" customWidth="true" hidden="false" outlineLevel="0" max="9" min="9" style="454" width="12.32"/>
    <col collapsed="false" customWidth="true" hidden="false" outlineLevel="0" max="10" min="10" style="451" width="12.32"/>
    <col collapsed="false" customWidth="true" hidden="false" outlineLevel="0" max="11" min="11" style="451" width="7.22"/>
    <col collapsed="false" customWidth="true" hidden="false" outlineLevel="0" max="12" min="12" style="452" width="56.77"/>
    <col collapsed="false" customWidth="true" hidden="false" outlineLevel="0" max="13" min="13" style="455" width="5.66"/>
    <col collapsed="false" customWidth="true" hidden="false" outlineLevel="0" max="14" min="14" style="455" width="13.88"/>
    <col collapsed="false" customWidth="true" hidden="false" outlineLevel="0" max="15" min="15" style="452" width="13.44"/>
    <col collapsed="false" customWidth="true" hidden="false" outlineLevel="0" max="16" min="16" style="456" width="7.99"/>
    <col collapsed="false" customWidth="true" hidden="false" outlineLevel="0" max="17" min="17" style="456" width="20.77"/>
    <col collapsed="false" customWidth="true" hidden="false" outlineLevel="0" max="18" min="18" style="456" width="37.99"/>
    <col collapsed="false" customWidth="true" hidden="false" outlineLevel="0" max="19" min="19" style="456" width="12.32"/>
    <col collapsed="false" customWidth="true" hidden="false" outlineLevel="0" max="20" min="20" style="456" width="8.99"/>
    <col collapsed="false" customWidth="false" hidden="false" outlineLevel="0" max="257" min="21" style="456" width="8.88"/>
  </cols>
  <sheetData>
    <row r="1" customFormat="false" ht="19.5" hidden="false" customHeight="true" outlineLevel="0" collapsed="false">
      <c r="A1" s="457" t="s">
        <v>145</v>
      </c>
      <c r="B1" s="458" t="n">
        <v>1952</v>
      </c>
      <c r="C1" s="459" t="s">
        <v>146</v>
      </c>
      <c r="D1" s="459"/>
      <c r="E1" s="457"/>
      <c r="F1" s="457"/>
      <c r="G1" s="457"/>
      <c r="H1" s="460"/>
      <c r="I1" s="461"/>
      <c r="J1" s="462"/>
      <c r="K1" s="457"/>
      <c r="O1" s="455"/>
      <c r="P1" s="463"/>
      <c r="Q1" s="464"/>
      <c r="R1" s="463"/>
      <c r="S1" s="463"/>
      <c r="T1" s="463"/>
      <c r="U1" s="463"/>
      <c r="V1" s="463"/>
      <c r="W1" s="463"/>
      <c r="X1" s="463"/>
      <c r="Y1" s="463"/>
      <c r="Z1" s="463"/>
      <c r="AA1" s="463"/>
      <c r="AB1" s="463"/>
      <c r="AC1" s="463"/>
      <c r="AD1" s="463"/>
      <c r="AE1" s="463"/>
      <c r="AF1" s="463"/>
      <c r="AG1" s="463"/>
      <c r="AH1" s="463"/>
      <c r="AI1" s="463"/>
      <c r="AJ1" s="463"/>
      <c r="AK1" s="463"/>
      <c r="AL1" s="463"/>
      <c r="AM1" s="463"/>
      <c r="AN1" s="463"/>
      <c r="AO1" s="463"/>
      <c r="AP1" s="463"/>
      <c r="AQ1" s="463"/>
      <c r="AR1" s="463"/>
      <c r="AS1" s="463"/>
      <c r="AT1" s="463"/>
      <c r="AU1" s="463"/>
      <c r="AV1" s="463"/>
      <c r="AW1" s="463"/>
      <c r="AX1" s="463"/>
      <c r="AY1" s="463"/>
      <c r="AZ1" s="463"/>
      <c r="BA1" s="463"/>
      <c r="BB1" s="463"/>
      <c r="BC1" s="463"/>
      <c r="BD1" s="463"/>
      <c r="BE1" s="463"/>
      <c r="BF1" s="463"/>
      <c r="BG1" s="463"/>
      <c r="BH1" s="463"/>
      <c r="BI1" s="463"/>
      <c r="BJ1" s="463"/>
    </row>
    <row r="2" customFormat="false" ht="19.5" hidden="false" customHeight="true" outlineLevel="0" collapsed="false">
      <c r="A2" s="465" t="s">
        <v>147</v>
      </c>
      <c r="B2" s="465" t="s">
        <v>148</v>
      </c>
      <c r="C2" s="465" t="s">
        <v>149</v>
      </c>
      <c r="D2" s="466" t="s">
        <v>150</v>
      </c>
      <c r="E2" s="466" t="s">
        <v>151</v>
      </c>
      <c r="F2" s="466" t="s">
        <v>46</v>
      </c>
      <c r="G2" s="466" t="s">
        <v>50</v>
      </c>
      <c r="H2" s="467" t="s">
        <v>152</v>
      </c>
      <c r="I2" s="468" t="s">
        <v>153</v>
      </c>
      <c r="J2" s="469" t="s">
        <v>124</v>
      </c>
      <c r="K2" s="465" t="s">
        <v>47</v>
      </c>
      <c r="M2" s="457"/>
      <c r="N2" s="457"/>
      <c r="O2" s="457"/>
      <c r="P2" s="470"/>
      <c r="Q2" s="464"/>
      <c r="R2" s="470"/>
      <c r="S2" s="470"/>
      <c r="T2" s="470"/>
      <c r="U2" s="470"/>
      <c r="V2" s="470"/>
      <c r="W2" s="470"/>
      <c r="X2" s="470"/>
      <c r="Y2" s="470"/>
      <c r="Z2" s="470"/>
      <c r="AA2" s="470"/>
      <c r="AB2" s="470"/>
      <c r="AC2" s="470"/>
      <c r="AD2" s="470"/>
      <c r="AE2" s="470"/>
      <c r="AF2" s="470"/>
      <c r="AG2" s="470"/>
      <c r="AH2" s="470"/>
      <c r="AI2" s="470"/>
      <c r="AJ2" s="470"/>
      <c r="AK2" s="470"/>
      <c r="AL2" s="470"/>
      <c r="AM2" s="470"/>
      <c r="AN2" s="470"/>
      <c r="AO2" s="470"/>
      <c r="AP2" s="470"/>
      <c r="AQ2" s="470"/>
      <c r="AR2" s="470"/>
      <c r="AS2" s="470"/>
      <c r="AT2" s="470"/>
      <c r="AU2" s="470"/>
      <c r="AV2" s="470"/>
      <c r="AW2" s="470"/>
      <c r="AX2" s="470"/>
      <c r="AY2" s="470"/>
      <c r="AZ2" s="470"/>
      <c r="BA2" s="470"/>
      <c r="BB2" s="470"/>
      <c r="BC2" s="470"/>
      <c r="BD2" s="470"/>
      <c r="BE2" s="470"/>
      <c r="BF2" s="470"/>
      <c r="BG2" s="470"/>
      <c r="BH2" s="470"/>
      <c r="BI2" s="470"/>
      <c r="BJ2" s="470"/>
      <c r="BK2" s="471"/>
      <c r="BL2" s="471"/>
      <c r="BM2" s="471"/>
      <c r="BN2" s="471"/>
      <c r="BO2" s="471"/>
      <c r="BP2" s="471"/>
      <c r="BQ2" s="471"/>
      <c r="BR2" s="471"/>
      <c r="BS2" s="471"/>
      <c r="BT2" s="471"/>
      <c r="BU2" s="471"/>
      <c r="BV2" s="471"/>
      <c r="BW2" s="471"/>
      <c r="BX2" s="471"/>
      <c r="BY2" s="471"/>
      <c r="BZ2" s="471"/>
      <c r="CA2" s="471"/>
      <c r="CB2" s="471"/>
      <c r="CC2" s="471"/>
      <c r="CD2" s="471"/>
      <c r="CE2" s="471"/>
      <c r="CF2" s="471"/>
      <c r="CG2" s="471"/>
      <c r="CH2" s="471"/>
      <c r="CI2" s="471"/>
      <c r="CJ2" s="471"/>
      <c r="CK2" s="471"/>
      <c r="CL2" s="471"/>
      <c r="CM2" s="471"/>
      <c r="CN2" s="471"/>
      <c r="CO2" s="471"/>
      <c r="CP2" s="471"/>
      <c r="CQ2" s="471"/>
      <c r="CR2" s="471"/>
      <c r="CS2" s="471"/>
      <c r="CT2" s="471"/>
      <c r="CU2" s="471"/>
      <c r="CV2" s="471"/>
      <c r="CW2" s="471"/>
      <c r="CX2" s="471"/>
      <c r="CY2" s="471"/>
      <c r="CZ2" s="471"/>
      <c r="DA2" s="471"/>
      <c r="DB2" s="471"/>
      <c r="DC2" s="471"/>
      <c r="DD2" s="471"/>
      <c r="DE2" s="471"/>
      <c r="DF2" s="471"/>
      <c r="DG2" s="471"/>
      <c r="DH2" s="471"/>
      <c r="DI2" s="471"/>
      <c r="DJ2" s="471"/>
      <c r="DK2" s="471"/>
      <c r="DL2" s="471"/>
      <c r="DM2" s="471"/>
      <c r="DN2" s="471"/>
      <c r="DO2" s="471"/>
      <c r="DP2" s="471"/>
      <c r="DQ2" s="471"/>
      <c r="DR2" s="471"/>
      <c r="DS2" s="471"/>
      <c r="DT2" s="471"/>
      <c r="DU2" s="471"/>
      <c r="DV2" s="471"/>
      <c r="DW2" s="471"/>
      <c r="DX2" s="471"/>
      <c r="DY2" s="471"/>
      <c r="DZ2" s="471"/>
      <c r="EA2" s="471"/>
      <c r="EB2" s="471"/>
      <c r="EC2" s="471"/>
      <c r="ED2" s="471"/>
      <c r="EE2" s="471"/>
      <c r="EF2" s="471"/>
      <c r="EG2" s="471"/>
      <c r="EH2" s="471"/>
      <c r="EI2" s="471"/>
      <c r="EJ2" s="471"/>
      <c r="EK2" s="471"/>
      <c r="EL2" s="471"/>
      <c r="EM2" s="471"/>
      <c r="EN2" s="471"/>
      <c r="EO2" s="471"/>
      <c r="EP2" s="471"/>
      <c r="EQ2" s="471"/>
      <c r="ER2" s="471"/>
      <c r="ES2" s="471"/>
      <c r="ET2" s="471"/>
      <c r="EU2" s="471"/>
      <c r="EV2" s="471"/>
      <c r="EW2" s="471"/>
      <c r="EX2" s="471"/>
      <c r="EY2" s="471"/>
      <c r="EZ2" s="471"/>
      <c r="FA2" s="471"/>
      <c r="FB2" s="471"/>
      <c r="FC2" s="471"/>
      <c r="FD2" s="471"/>
      <c r="FE2" s="471"/>
      <c r="FF2" s="471"/>
      <c r="FG2" s="471"/>
      <c r="FH2" s="471"/>
      <c r="FI2" s="471"/>
      <c r="FJ2" s="471"/>
      <c r="FK2" s="471"/>
      <c r="FL2" s="471"/>
      <c r="FM2" s="471"/>
      <c r="FN2" s="471"/>
      <c r="FO2" s="471"/>
      <c r="FP2" s="471"/>
      <c r="FQ2" s="471"/>
      <c r="FR2" s="471"/>
      <c r="FS2" s="471"/>
      <c r="FT2" s="471"/>
      <c r="FU2" s="471"/>
      <c r="FV2" s="471"/>
      <c r="FW2" s="471"/>
      <c r="FX2" s="471"/>
      <c r="FY2" s="471"/>
      <c r="FZ2" s="471"/>
      <c r="GA2" s="471"/>
      <c r="GB2" s="471"/>
      <c r="GC2" s="471"/>
      <c r="GD2" s="471"/>
      <c r="GE2" s="471"/>
      <c r="GF2" s="471"/>
      <c r="GG2" s="471"/>
      <c r="GH2" s="471"/>
      <c r="GI2" s="471"/>
      <c r="GJ2" s="471"/>
      <c r="GK2" s="471"/>
      <c r="GL2" s="471"/>
      <c r="GM2" s="471"/>
      <c r="GN2" s="471"/>
      <c r="GO2" s="471"/>
      <c r="GP2" s="471"/>
      <c r="GQ2" s="471"/>
      <c r="GR2" s="471"/>
      <c r="GS2" s="471"/>
      <c r="GT2" s="471"/>
      <c r="GU2" s="471"/>
      <c r="GV2" s="471"/>
      <c r="GW2" s="471"/>
      <c r="GX2" s="471"/>
      <c r="GY2" s="471"/>
      <c r="GZ2" s="471"/>
      <c r="HA2" s="471"/>
      <c r="HB2" s="471"/>
      <c r="HC2" s="471"/>
      <c r="HD2" s="471"/>
      <c r="HE2" s="471"/>
      <c r="HF2" s="471"/>
      <c r="HG2" s="471"/>
      <c r="HH2" s="471"/>
      <c r="HI2" s="471"/>
      <c r="HJ2" s="471"/>
      <c r="HK2" s="471"/>
      <c r="HL2" s="471"/>
      <c r="HM2" s="471"/>
      <c r="HN2" s="471"/>
      <c r="HO2" s="471"/>
      <c r="HP2" s="471"/>
      <c r="HQ2" s="471"/>
      <c r="HR2" s="471"/>
      <c r="HS2" s="471"/>
      <c r="HT2" s="471"/>
      <c r="HU2" s="471"/>
      <c r="HV2" s="471"/>
      <c r="HW2" s="471"/>
      <c r="HX2" s="471"/>
      <c r="HY2" s="471"/>
      <c r="HZ2" s="471"/>
      <c r="IA2" s="471"/>
      <c r="IB2" s="471"/>
      <c r="IC2" s="471"/>
      <c r="ID2" s="471"/>
      <c r="IE2" s="471"/>
      <c r="IF2" s="471"/>
      <c r="IG2" s="471"/>
      <c r="IH2" s="471"/>
      <c r="II2" s="471"/>
      <c r="IJ2" s="471"/>
      <c r="IK2" s="471"/>
      <c r="IL2" s="471"/>
      <c r="IM2" s="471"/>
      <c r="IN2" s="471"/>
      <c r="IO2" s="471"/>
      <c r="IP2" s="471"/>
      <c r="IQ2" s="471"/>
      <c r="IR2" s="471"/>
      <c r="IS2" s="471"/>
      <c r="IT2" s="471"/>
      <c r="IU2" s="471"/>
      <c r="IV2" s="471"/>
      <c r="IW2" s="471"/>
    </row>
    <row r="3" customFormat="false" ht="19.5" hidden="false" customHeight="true" outlineLevel="0" collapsed="false">
      <c r="A3" s="465" t="s">
        <v>154</v>
      </c>
      <c r="B3" s="465" t="s">
        <v>155</v>
      </c>
      <c r="C3" s="472" t="s">
        <v>156</v>
      </c>
      <c r="D3" s="473" t="s">
        <v>157</v>
      </c>
      <c r="E3" s="466" t="s">
        <v>158</v>
      </c>
      <c r="F3" s="465" t="s">
        <v>154</v>
      </c>
      <c r="G3" s="474" t="s">
        <v>159</v>
      </c>
      <c r="H3" s="467" t="n">
        <v>120000</v>
      </c>
      <c r="I3" s="472" t="s">
        <v>160</v>
      </c>
      <c r="J3" s="469"/>
      <c r="K3" s="475" t="s">
        <v>161</v>
      </c>
      <c r="O3" s="457"/>
      <c r="P3" s="476"/>
      <c r="Q3" s="477"/>
      <c r="R3" s="478"/>
      <c r="S3" s="478"/>
      <c r="T3" s="479"/>
      <c r="U3" s="476"/>
      <c r="V3" s="476"/>
      <c r="W3" s="463"/>
      <c r="X3" s="463"/>
      <c r="Y3" s="463"/>
      <c r="Z3" s="463"/>
      <c r="AA3" s="463"/>
      <c r="AB3" s="463"/>
      <c r="AC3" s="463"/>
      <c r="AD3" s="463"/>
      <c r="AE3" s="463"/>
      <c r="AF3" s="463"/>
      <c r="AG3" s="463"/>
      <c r="AH3" s="463"/>
      <c r="AI3" s="463"/>
      <c r="AJ3" s="463"/>
      <c r="AK3" s="463"/>
      <c r="AL3" s="463"/>
      <c r="AM3" s="463"/>
      <c r="AN3" s="463"/>
      <c r="AO3" s="463"/>
      <c r="AP3" s="463"/>
      <c r="AQ3" s="463"/>
      <c r="AR3" s="463"/>
      <c r="AS3" s="463"/>
      <c r="AT3" s="463"/>
      <c r="AU3" s="463"/>
      <c r="AV3" s="463"/>
      <c r="AW3" s="463"/>
      <c r="AX3" s="463"/>
      <c r="AY3" s="463"/>
      <c r="AZ3" s="463"/>
      <c r="BA3" s="463"/>
      <c r="BB3" s="463"/>
      <c r="BC3" s="463"/>
      <c r="BD3" s="463"/>
      <c r="BE3" s="463"/>
      <c r="BF3" s="463"/>
      <c r="BG3" s="463"/>
      <c r="BH3" s="463"/>
      <c r="BI3" s="463"/>
      <c r="BJ3" s="463"/>
    </row>
    <row r="4" customFormat="false" ht="19.5" hidden="false" customHeight="true" outlineLevel="0" collapsed="false">
      <c r="A4" s="465" t="s">
        <v>162</v>
      </c>
      <c r="B4" s="465" t="s">
        <v>163</v>
      </c>
      <c r="C4" s="472" t="s">
        <v>164</v>
      </c>
      <c r="D4" s="473" t="s">
        <v>165</v>
      </c>
      <c r="E4" s="466" t="s">
        <v>166</v>
      </c>
      <c r="F4" s="465" t="s">
        <v>162</v>
      </c>
      <c r="G4" s="474" t="s">
        <v>167</v>
      </c>
      <c r="H4" s="480" t="n">
        <v>160000</v>
      </c>
      <c r="I4" s="472" t="s">
        <v>168</v>
      </c>
      <c r="J4" s="469"/>
      <c r="K4" s="475" t="s">
        <v>169</v>
      </c>
      <c r="O4" s="457"/>
      <c r="P4" s="476"/>
      <c r="Q4" s="477"/>
      <c r="R4" s="478"/>
      <c r="S4" s="478"/>
      <c r="T4" s="481"/>
      <c r="U4" s="476"/>
      <c r="V4" s="476"/>
      <c r="W4" s="463"/>
      <c r="X4" s="463"/>
      <c r="Y4" s="463"/>
      <c r="Z4" s="463"/>
      <c r="AA4" s="463"/>
      <c r="AB4" s="463"/>
      <c r="AC4" s="463"/>
      <c r="AD4" s="463"/>
      <c r="AE4" s="463"/>
      <c r="AF4" s="463"/>
      <c r="AG4" s="463"/>
      <c r="AH4" s="463"/>
      <c r="AI4" s="463"/>
      <c r="AJ4" s="463"/>
      <c r="AK4" s="463"/>
      <c r="AL4" s="463"/>
      <c r="AM4" s="463"/>
      <c r="AN4" s="463"/>
      <c r="AO4" s="463"/>
      <c r="AP4" s="463"/>
      <c r="AQ4" s="463"/>
      <c r="AR4" s="463"/>
      <c r="AS4" s="463"/>
      <c r="AT4" s="463"/>
      <c r="AU4" s="463"/>
      <c r="AV4" s="463"/>
      <c r="AW4" s="463"/>
      <c r="AX4" s="463"/>
      <c r="AY4" s="463"/>
      <c r="AZ4" s="463"/>
      <c r="BA4" s="463"/>
      <c r="BB4" s="463"/>
      <c r="BC4" s="463"/>
      <c r="BD4" s="463"/>
      <c r="BE4" s="463"/>
      <c r="BF4" s="463"/>
      <c r="BG4" s="463"/>
      <c r="BH4" s="463"/>
      <c r="BI4" s="463"/>
      <c r="BJ4" s="463"/>
    </row>
    <row r="5" customFormat="false" ht="19.5" hidden="false" customHeight="true" outlineLevel="0" collapsed="false">
      <c r="A5" s="465" t="s">
        <v>170</v>
      </c>
      <c r="B5" s="465" t="s">
        <v>163</v>
      </c>
      <c r="C5" s="472" t="s">
        <v>171</v>
      </c>
      <c r="D5" s="473" t="s">
        <v>172</v>
      </c>
      <c r="E5" s="466" t="s">
        <v>158</v>
      </c>
      <c r="F5" s="465" t="s">
        <v>170</v>
      </c>
      <c r="G5" s="474" t="s">
        <v>173</v>
      </c>
      <c r="H5" s="480" t="n">
        <v>120000</v>
      </c>
      <c r="I5" s="472" t="s">
        <v>174</v>
      </c>
      <c r="J5" s="469"/>
      <c r="K5" s="475" t="s">
        <v>175</v>
      </c>
      <c r="O5" s="457"/>
      <c r="P5" s="476"/>
      <c r="Q5" s="477"/>
      <c r="R5" s="478"/>
      <c r="S5" s="478"/>
      <c r="T5" s="481"/>
      <c r="U5" s="476"/>
      <c r="V5" s="476"/>
      <c r="W5" s="463"/>
      <c r="X5" s="463"/>
      <c r="Y5" s="463"/>
      <c r="Z5" s="463"/>
      <c r="AA5" s="463"/>
      <c r="AB5" s="463"/>
      <c r="AC5" s="463"/>
      <c r="AD5" s="463"/>
      <c r="AE5" s="463"/>
      <c r="AF5" s="463"/>
      <c r="AG5" s="463"/>
      <c r="AH5" s="463"/>
      <c r="AI5" s="463"/>
      <c r="AJ5" s="463"/>
      <c r="AK5" s="463"/>
      <c r="AL5" s="463"/>
      <c r="AM5" s="463"/>
      <c r="AN5" s="463"/>
      <c r="AO5" s="463"/>
      <c r="AP5" s="463"/>
      <c r="AQ5" s="463"/>
      <c r="AR5" s="463"/>
      <c r="AS5" s="463"/>
      <c r="AT5" s="463"/>
      <c r="AU5" s="463"/>
      <c r="AV5" s="463"/>
      <c r="AW5" s="463"/>
      <c r="AX5" s="463"/>
      <c r="AY5" s="463"/>
      <c r="AZ5" s="463"/>
      <c r="BA5" s="463"/>
      <c r="BB5" s="463"/>
      <c r="BC5" s="463"/>
      <c r="BD5" s="463"/>
      <c r="BE5" s="463"/>
      <c r="BF5" s="463"/>
      <c r="BG5" s="463"/>
      <c r="BH5" s="463"/>
      <c r="BI5" s="463"/>
      <c r="BJ5" s="463"/>
    </row>
    <row r="6" customFormat="false" ht="19.5" hidden="false" customHeight="true" outlineLevel="0" collapsed="false">
      <c r="A6" s="482" t="s">
        <v>176</v>
      </c>
      <c r="B6" s="465" t="s">
        <v>177</v>
      </c>
      <c r="C6" s="483" t="s">
        <v>178</v>
      </c>
      <c r="D6" s="484" t="s">
        <v>179</v>
      </c>
      <c r="E6" s="466" t="s">
        <v>158</v>
      </c>
      <c r="F6" s="482" t="s">
        <v>176</v>
      </c>
      <c r="G6" s="485" t="s">
        <v>180</v>
      </c>
      <c r="H6" s="486" t="n">
        <v>200000</v>
      </c>
      <c r="I6" s="485" t="s">
        <v>181</v>
      </c>
      <c r="J6" s="469"/>
      <c r="K6" s="475"/>
      <c r="O6" s="487"/>
      <c r="P6" s="476"/>
      <c r="Q6" s="488"/>
      <c r="R6" s="489"/>
      <c r="S6" s="490"/>
      <c r="T6" s="491"/>
      <c r="U6" s="492"/>
      <c r="V6" s="476"/>
      <c r="W6" s="463"/>
      <c r="X6" s="463"/>
      <c r="Y6" s="463"/>
      <c r="Z6" s="463"/>
      <c r="AA6" s="463"/>
      <c r="AB6" s="463"/>
      <c r="AC6" s="463"/>
      <c r="AD6" s="463"/>
      <c r="AE6" s="463"/>
      <c r="AF6" s="463"/>
      <c r="AG6" s="463"/>
      <c r="AH6" s="463"/>
      <c r="AI6" s="463"/>
      <c r="AJ6" s="463"/>
      <c r="AK6" s="463"/>
      <c r="AL6" s="463"/>
      <c r="AM6" s="463"/>
      <c r="AN6" s="463"/>
      <c r="AO6" s="463"/>
      <c r="AP6" s="463"/>
      <c r="AQ6" s="463"/>
      <c r="AR6" s="463"/>
      <c r="AS6" s="463"/>
      <c r="AT6" s="463"/>
      <c r="AU6" s="463"/>
      <c r="AV6" s="463"/>
      <c r="AW6" s="463"/>
      <c r="AX6" s="463"/>
      <c r="AY6" s="463"/>
      <c r="AZ6" s="463"/>
      <c r="BA6" s="463"/>
      <c r="BB6" s="463"/>
      <c r="BC6" s="463"/>
      <c r="BD6" s="463"/>
      <c r="BE6" s="463"/>
      <c r="BF6" s="463"/>
      <c r="BG6" s="463"/>
      <c r="BH6" s="463"/>
      <c r="BI6" s="463"/>
      <c r="BJ6" s="463"/>
    </row>
    <row r="7" customFormat="false" ht="19.5" hidden="false" customHeight="true" outlineLevel="0" collapsed="false">
      <c r="A7" s="482" t="s">
        <v>182</v>
      </c>
      <c r="B7" s="465" t="s">
        <v>163</v>
      </c>
      <c r="C7" s="483" t="s">
        <v>183</v>
      </c>
      <c r="D7" s="484" t="s">
        <v>184</v>
      </c>
      <c r="E7" s="466" t="s">
        <v>158</v>
      </c>
      <c r="F7" s="482" t="s">
        <v>182</v>
      </c>
      <c r="G7" s="485" t="s">
        <v>185</v>
      </c>
      <c r="H7" s="486" t="n">
        <v>140000</v>
      </c>
      <c r="I7" s="485" t="s">
        <v>186</v>
      </c>
      <c r="J7" s="469"/>
      <c r="K7" s="475" t="s">
        <v>187</v>
      </c>
      <c r="O7" s="487"/>
      <c r="P7" s="476"/>
      <c r="Q7" s="488"/>
      <c r="R7" s="489"/>
      <c r="S7" s="490"/>
      <c r="T7" s="491"/>
      <c r="U7" s="492"/>
      <c r="V7" s="476"/>
      <c r="W7" s="463"/>
      <c r="X7" s="463"/>
      <c r="Y7" s="463"/>
      <c r="Z7" s="463"/>
      <c r="AA7" s="463"/>
      <c r="AB7" s="463"/>
      <c r="AC7" s="463"/>
      <c r="AD7" s="463"/>
      <c r="AE7" s="463"/>
      <c r="AF7" s="463"/>
      <c r="AG7" s="463"/>
      <c r="AH7" s="463"/>
      <c r="AI7" s="463"/>
      <c r="AJ7" s="463"/>
      <c r="AK7" s="463"/>
      <c r="AL7" s="463"/>
      <c r="AM7" s="463"/>
      <c r="AN7" s="463"/>
      <c r="AO7" s="463"/>
      <c r="AP7" s="463"/>
      <c r="AQ7" s="463"/>
      <c r="AR7" s="463"/>
      <c r="AS7" s="463"/>
      <c r="AT7" s="463"/>
      <c r="AU7" s="463"/>
      <c r="AV7" s="463"/>
      <c r="AW7" s="463"/>
      <c r="AX7" s="463"/>
      <c r="AY7" s="463"/>
      <c r="AZ7" s="463"/>
      <c r="BA7" s="463"/>
      <c r="BB7" s="463"/>
      <c r="BC7" s="463"/>
      <c r="BD7" s="463"/>
      <c r="BE7" s="463"/>
      <c r="BF7" s="463"/>
      <c r="BG7" s="463"/>
      <c r="BH7" s="463"/>
      <c r="BI7" s="463"/>
      <c r="BJ7" s="463"/>
    </row>
    <row r="8" customFormat="false" ht="19.5" hidden="false" customHeight="true" outlineLevel="0" collapsed="false">
      <c r="A8" s="482" t="s">
        <v>188</v>
      </c>
      <c r="B8" s="465" t="s">
        <v>163</v>
      </c>
      <c r="C8" s="483" t="s">
        <v>189</v>
      </c>
      <c r="D8" s="484" t="s">
        <v>190</v>
      </c>
      <c r="E8" s="466" t="s">
        <v>158</v>
      </c>
      <c r="F8" s="482" t="s">
        <v>188</v>
      </c>
      <c r="G8" s="493" t="s">
        <v>191</v>
      </c>
      <c r="H8" s="494" t="n">
        <v>160000</v>
      </c>
      <c r="I8" s="485" t="s">
        <v>192</v>
      </c>
      <c r="J8" s="469"/>
      <c r="K8" s="475" t="s">
        <v>193</v>
      </c>
      <c r="L8" s="495"/>
      <c r="O8" s="487"/>
      <c r="P8" s="476"/>
      <c r="Q8" s="488"/>
      <c r="R8" s="489"/>
      <c r="S8" s="490"/>
      <c r="T8" s="491"/>
      <c r="U8" s="492"/>
      <c r="V8" s="476"/>
      <c r="W8" s="463"/>
      <c r="X8" s="463"/>
      <c r="Y8" s="463"/>
      <c r="Z8" s="463"/>
      <c r="AA8" s="463"/>
      <c r="AB8" s="463"/>
      <c r="AC8" s="463"/>
      <c r="AD8" s="463"/>
      <c r="AE8" s="463"/>
      <c r="AF8" s="463"/>
      <c r="AG8" s="463"/>
      <c r="AH8" s="463"/>
      <c r="AI8" s="463"/>
      <c r="AJ8" s="463"/>
      <c r="AK8" s="463"/>
      <c r="AL8" s="463"/>
      <c r="AM8" s="463"/>
      <c r="AN8" s="463"/>
      <c r="AO8" s="463"/>
      <c r="AP8" s="463"/>
      <c r="AQ8" s="463"/>
      <c r="AR8" s="463"/>
      <c r="AS8" s="463"/>
      <c r="AT8" s="463"/>
      <c r="AU8" s="463"/>
      <c r="AV8" s="463"/>
      <c r="AW8" s="463"/>
      <c r="AX8" s="463"/>
      <c r="AY8" s="463"/>
      <c r="AZ8" s="463"/>
      <c r="BA8" s="463"/>
      <c r="BB8" s="463"/>
      <c r="BC8" s="463"/>
      <c r="BD8" s="463"/>
      <c r="BE8" s="463"/>
      <c r="BF8" s="463"/>
      <c r="BG8" s="463"/>
      <c r="BH8" s="463"/>
      <c r="BI8" s="463"/>
      <c r="BJ8" s="463"/>
    </row>
    <row r="9" customFormat="false" ht="19.5" hidden="false" customHeight="true" outlineLevel="0" collapsed="false">
      <c r="A9" s="482" t="s">
        <v>194</v>
      </c>
      <c r="B9" s="465" t="s">
        <v>195</v>
      </c>
      <c r="C9" s="483" t="s">
        <v>196</v>
      </c>
      <c r="D9" s="484" t="s">
        <v>197</v>
      </c>
      <c r="E9" s="466" t="s">
        <v>158</v>
      </c>
      <c r="F9" s="482" t="s">
        <v>194</v>
      </c>
      <c r="G9" s="493" t="s">
        <v>198</v>
      </c>
      <c r="H9" s="494" t="n">
        <v>180000</v>
      </c>
      <c r="I9" s="485" t="s">
        <v>199</v>
      </c>
      <c r="J9" s="469"/>
      <c r="K9" s="496" t="s">
        <v>200</v>
      </c>
      <c r="L9" s="497"/>
      <c r="O9" s="487"/>
      <c r="P9" s="476"/>
      <c r="Q9" s="488"/>
      <c r="R9" s="489"/>
      <c r="S9" s="490"/>
      <c r="T9" s="491"/>
      <c r="U9" s="492"/>
      <c r="V9" s="476"/>
      <c r="W9" s="463"/>
      <c r="X9" s="463"/>
      <c r="Y9" s="463"/>
      <c r="Z9" s="463"/>
      <c r="AA9" s="463"/>
      <c r="AB9" s="463"/>
      <c r="AC9" s="463"/>
      <c r="AD9" s="463"/>
      <c r="AE9" s="463"/>
      <c r="AF9" s="463"/>
      <c r="AG9" s="463"/>
      <c r="AH9" s="463"/>
      <c r="AI9" s="463"/>
      <c r="AJ9" s="463"/>
      <c r="AK9" s="463"/>
      <c r="AL9" s="463"/>
      <c r="AM9" s="463"/>
      <c r="AN9" s="463"/>
      <c r="AO9" s="463"/>
      <c r="AP9" s="463"/>
      <c r="AQ9" s="463"/>
      <c r="AR9" s="463"/>
      <c r="AS9" s="463"/>
      <c r="AT9" s="463"/>
      <c r="AU9" s="463"/>
      <c r="AV9" s="463"/>
      <c r="AW9" s="463"/>
      <c r="AX9" s="463"/>
      <c r="AY9" s="463"/>
      <c r="AZ9" s="463"/>
      <c r="BA9" s="463"/>
      <c r="BB9" s="463"/>
      <c r="BC9" s="463"/>
      <c r="BD9" s="463"/>
      <c r="BE9" s="463"/>
      <c r="BF9" s="463"/>
      <c r="BG9" s="463"/>
      <c r="BH9" s="463"/>
      <c r="BI9" s="463"/>
      <c r="BJ9" s="463"/>
    </row>
    <row r="10" customFormat="false" ht="19.5" hidden="false" customHeight="true" outlineLevel="0" collapsed="false">
      <c r="A10" s="482" t="s">
        <v>201</v>
      </c>
      <c r="B10" s="465" t="s">
        <v>195</v>
      </c>
      <c r="C10" s="483" t="s">
        <v>202</v>
      </c>
      <c r="D10" s="484" t="s">
        <v>203</v>
      </c>
      <c r="E10" s="466" t="s">
        <v>158</v>
      </c>
      <c r="F10" s="482" t="s">
        <v>201</v>
      </c>
      <c r="G10" s="485" t="s">
        <v>204</v>
      </c>
      <c r="H10" s="486" t="n">
        <v>180000</v>
      </c>
      <c r="I10" s="485" t="s">
        <v>205</v>
      </c>
      <c r="J10" s="469"/>
      <c r="K10" s="475" t="s">
        <v>200</v>
      </c>
      <c r="O10" s="487"/>
      <c r="P10" s="476"/>
      <c r="Q10" s="488"/>
      <c r="R10" s="489"/>
      <c r="S10" s="490"/>
      <c r="T10" s="491"/>
      <c r="U10" s="492"/>
      <c r="V10" s="476"/>
      <c r="W10" s="463"/>
      <c r="X10" s="463"/>
      <c r="Y10" s="463"/>
      <c r="Z10" s="463"/>
      <c r="AA10" s="463"/>
      <c r="AB10" s="463"/>
      <c r="AC10" s="463"/>
      <c r="AD10" s="463"/>
      <c r="AE10" s="463"/>
      <c r="AF10" s="463"/>
      <c r="AG10" s="463"/>
      <c r="AH10" s="463"/>
      <c r="AI10" s="463"/>
      <c r="AJ10" s="463"/>
      <c r="AK10" s="463"/>
      <c r="AL10" s="463"/>
      <c r="AM10" s="463"/>
      <c r="AN10" s="463"/>
      <c r="AO10" s="463"/>
      <c r="AP10" s="463"/>
      <c r="AQ10" s="463"/>
      <c r="AR10" s="463"/>
      <c r="AS10" s="463"/>
      <c r="AT10" s="463"/>
      <c r="AU10" s="463"/>
      <c r="AV10" s="463"/>
      <c r="AW10" s="463"/>
      <c r="AX10" s="463"/>
      <c r="AY10" s="463"/>
      <c r="AZ10" s="463"/>
      <c r="BA10" s="463"/>
      <c r="BB10" s="463"/>
      <c r="BC10" s="463"/>
      <c r="BD10" s="463"/>
      <c r="BE10" s="463"/>
      <c r="BF10" s="463"/>
      <c r="BG10" s="463"/>
      <c r="BH10" s="463"/>
      <c r="BI10" s="463"/>
      <c r="BJ10" s="463"/>
    </row>
    <row r="11" customFormat="false" ht="19.5" hidden="false" customHeight="true" outlineLevel="0" collapsed="false">
      <c r="A11" s="465" t="s">
        <v>206</v>
      </c>
      <c r="B11" s="465" t="s">
        <v>207</v>
      </c>
      <c r="C11" s="472" t="s">
        <v>208</v>
      </c>
      <c r="D11" s="473" t="s">
        <v>209</v>
      </c>
      <c r="E11" s="466" t="s">
        <v>210</v>
      </c>
      <c r="F11" s="465" t="s">
        <v>206</v>
      </c>
      <c r="G11" s="474" t="s">
        <v>211</v>
      </c>
      <c r="H11" s="480" t="n">
        <v>240000</v>
      </c>
      <c r="I11" s="472" t="s">
        <v>211</v>
      </c>
      <c r="J11" s="469"/>
      <c r="K11" s="475" t="s">
        <v>212</v>
      </c>
      <c r="O11" s="457"/>
      <c r="P11" s="476"/>
      <c r="Q11" s="477"/>
      <c r="R11" s="478"/>
      <c r="S11" s="478"/>
      <c r="T11" s="481"/>
      <c r="U11" s="476"/>
      <c r="V11" s="498"/>
      <c r="W11" s="463"/>
      <c r="X11" s="463"/>
      <c r="Y11" s="463"/>
      <c r="Z11" s="463"/>
      <c r="AA11" s="463"/>
      <c r="AB11" s="463"/>
      <c r="AC11" s="463"/>
      <c r="AD11" s="463"/>
      <c r="AE11" s="463"/>
      <c r="AF11" s="463"/>
      <c r="AG11" s="463"/>
      <c r="AH11" s="463"/>
      <c r="AI11" s="463"/>
      <c r="AJ11" s="463"/>
      <c r="AK11" s="463"/>
      <c r="AL11" s="463"/>
      <c r="AM11" s="463"/>
      <c r="AN11" s="463"/>
      <c r="AO11" s="463"/>
      <c r="AP11" s="463"/>
      <c r="AQ11" s="463"/>
      <c r="AR11" s="463"/>
      <c r="AS11" s="463"/>
      <c r="AT11" s="463"/>
      <c r="AU11" s="463"/>
      <c r="AV11" s="463"/>
      <c r="AW11" s="463"/>
      <c r="AX11" s="463"/>
      <c r="AY11" s="463"/>
      <c r="AZ11" s="463"/>
      <c r="BA11" s="463"/>
      <c r="BB11" s="463"/>
      <c r="BC11" s="463"/>
      <c r="BD11" s="463"/>
      <c r="BE11" s="463"/>
      <c r="BF11" s="463"/>
      <c r="BG11" s="463"/>
      <c r="BH11" s="463"/>
      <c r="BI11" s="463"/>
      <c r="BJ11" s="463"/>
    </row>
    <row r="12" customFormat="false" ht="19.5" hidden="false" customHeight="true" outlineLevel="0" collapsed="false">
      <c r="A12" s="465" t="s">
        <v>213</v>
      </c>
      <c r="B12" s="465" t="s">
        <v>207</v>
      </c>
      <c r="C12" s="472" t="s">
        <v>214</v>
      </c>
      <c r="D12" s="473" t="s">
        <v>215</v>
      </c>
      <c r="E12" s="466" t="s">
        <v>158</v>
      </c>
      <c r="F12" s="465" t="s">
        <v>213</v>
      </c>
      <c r="G12" s="474" t="s">
        <v>216</v>
      </c>
      <c r="H12" s="480" t="n">
        <v>200000</v>
      </c>
      <c r="I12" s="472" t="s">
        <v>217</v>
      </c>
      <c r="J12" s="469"/>
      <c r="K12" s="475"/>
      <c r="O12" s="457"/>
      <c r="P12" s="476"/>
      <c r="Q12" s="477"/>
      <c r="R12" s="478"/>
      <c r="S12" s="478"/>
      <c r="T12" s="481"/>
      <c r="U12" s="476"/>
      <c r="V12" s="498"/>
      <c r="W12" s="463"/>
      <c r="X12" s="463"/>
      <c r="Y12" s="463"/>
      <c r="Z12" s="463"/>
      <c r="AA12" s="463"/>
      <c r="AB12" s="463"/>
      <c r="AC12" s="463"/>
      <c r="AD12" s="463"/>
      <c r="AE12" s="463"/>
      <c r="AF12" s="463"/>
      <c r="AG12" s="463"/>
      <c r="AH12" s="463"/>
      <c r="AI12" s="463"/>
      <c r="AJ12" s="463"/>
      <c r="AK12" s="463"/>
      <c r="AL12" s="463"/>
      <c r="AM12" s="463"/>
      <c r="AN12" s="463"/>
      <c r="AO12" s="463"/>
      <c r="AP12" s="463"/>
      <c r="AQ12" s="463"/>
      <c r="AR12" s="463"/>
      <c r="AS12" s="463"/>
      <c r="AT12" s="463"/>
      <c r="AU12" s="463"/>
      <c r="AV12" s="463"/>
      <c r="AW12" s="463"/>
      <c r="AX12" s="463"/>
      <c r="AY12" s="463"/>
      <c r="AZ12" s="463"/>
      <c r="BA12" s="463"/>
      <c r="BB12" s="463"/>
      <c r="BC12" s="463"/>
      <c r="BD12" s="463"/>
      <c r="BE12" s="463"/>
      <c r="BF12" s="463"/>
      <c r="BG12" s="463"/>
      <c r="BH12" s="463"/>
      <c r="BI12" s="463"/>
      <c r="BJ12" s="463"/>
    </row>
    <row r="13" customFormat="false" ht="19.5" hidden="false" customHeight="true" outlineLevel="0" collapsed="false">
      <c r="A13" s="465" t="s">
        <v>218</v>
      </c>
      <c r="B13" s="465" t="s">
        <v>207</v>
      </c>
      <c r="C13" s="472" t="s">
        <v>219</v>
      </c>
      <c r="D13" s="473" t="s">
        <v>220</v>
      </c>
      <c r="E13" s="466" t="s">
        <v>158</v>
      </c>
      <c r="F13" s="465"/>
      <c r="G13" s="474" t="s">
        <v>221</v>
      </c>
      <c r="H13" s="480" t="n">
        <v>240000</v>
      </c>
      <c r="I13" s="472" t="s">
        <v>222</v>
      </c>
      <c r="J13" s="469"/>
      <c r="K13" s="475" t="s">
        <v>223</v>
      </c>
      <c r="L13" s="499" t="s">
        <v>224</v>
      </c>
      <c r="O13" s="457"/>
      <c r="P13" s="476"/>
      <c r="Q13" s="477"/>
      <c r="R13" s="478"/>
      <c r="S13" s="478"/>
      <c r="T13" s="481"/>
      <c r="U13" s="476"/>
      <c r="V13" s="498"/>
      <c r="W13" s="463"/>
      <c r="X13" s="463"/>
      <c r="Y13" s="463"/>
      <c r="Z13" s="463"/>
      <c r="AA13" s="463"/>
      <c r="AB13" s="463"/>
      <c r="AC13" s="463"/>
      <c r="AD13" s="463"/>
      <c r="AE13" s="463"/>
      <c r="AF13" s="463"/>
      <c r="AG13" s="463"/>
      <c r="AH13" s="463"/>
      <c r="AI13" s="463"/>
      <c r="AJ13" s="463"/>
      <c r="AK13" s="463"/>
      <c r="AL13" s="463"/>
      <c r="AM13" s="463"/>
      <c r="AN13" s="463"/>
      <c r="AO13" s="463"/>
      <c r="AP13" s="463"/>
      <c r="AQ13" s="463"/>
      <c r="AR13" s="463"/>
      <c r="AS13" s="463"/>
      <c r="AT13" s="463"/>
      <c r="AU13" s="463"/>
      <c r="AV13" s="463"/>
      <c r="AW13" s="463"/>
      <c r="AX13" s="463"/>
      <c r="AY13" s="463"/>
      <c r="AZ13" s="463"/>
      <c r="BA13" s="463"/>
      <c r="BB13" s="463"/>
      <c r="BC13" s="463"/>
      <c r="BD13" s="463"/>
      <c r="BE13" s="463"/>
      <c r="BF13" s="463"/>
      <c r="BG13" s="463"/>
      <c r="BH13" s="463"/>
      <c r="BI13" s="463"/>
      <c r="BJ13" s="463"/>
    </row>
    <row r="14" customFormat="false" ht="19.5" hidden="false" customHeight="true" outlineLevel="0" collapsed="false">
      <c r="A14" s="465" t="s">
        <v>225</v>
      </c>
      <c r="B14" s="465" t="s">
        <v>207</v>
      </c>
      <c r="C14" s="472" t="s">
        <v>226</v>
      </c>
      <c r="D14" s="473" t="s">
        <v>227</v>
      </c>
      <c r="E14" s="466" t="s">
        <v>158</v>
      </c>
      <c r="F14" s="465" t="s">
        <v>225</v>
      </c>
      <c r="G14" s="474" t="s">
        <v>228</v>
      </c>
      <c r="H14" s="480" t="n">
        <v>240000</v>
      </c>
      <c r="I14" s="472" t="s">
        <v>229</v>
      </c>
      <c r="J14" s="469"/>
      <c r="K14" s="475" t="s">
        <v>230</v>
      </c>
      <c r="L14" s="499"/>
      <c r="O14" s="457"/>
      <c r="P14" s="476"/>
      <c r="Q14" s="477"/>
      <c r="R14" s="478"/>
      <c r="S14" s="478"/>
      <c r="T14" s="481"/>
      <c r="U14" s="476"/>
      <c r="V14" s="498"/>
      <c r="W14" s="463"/>
      <c r="X14" s="463"/>
      <c r="Y14" s="463"/>
      <c r="Z14" s="463"/>
      <c r="AA14" s="463"/>
      <c r="AB14" s="463"/>
      <c r="AC14" s="463"/>
      <c r="AD14" s="463"/>
      <c r="AE14" s="463"/>
      <c r="AF14" s="463"/>
      <c r="AG14" s="463"/>
      <c r="AH14" s="463"/>
      <c r="AI14" s="463"/>
      <c r="AJ14" s="463"/>
      <c r="AK14" s="463"/>
      <c r="AL14" s="463"/>
      <c r="AM14" s="463"/>
      <c r="AN14" s="463"/>
      <c r="AO14" s="463"/>
      <c r="AP14" s="463"/>
      <c r="AQ14" s="463"/>
      <c r="AR14" s="463"/>
      <c r="AS14" s="463"/>
      <c r="AT14" s="463"/>
      <c r="AU14" s="463"/>
      <c r="AV14" s="463"/>
      <c r="AW14" s="463"/>
      <c r="AX14" s="463"/>
      <c r="AY14" s="463"/>
      <c r="AZ14" s="463"/>
      <c r="BA14" s="463"/>
      <c r="BB14" s="463"/>
      <c r="BC14" s="463"/>
      <c r="BD14" s="463"/>
      <c r="BE14" s="463"/>
      <c r="BF14" s="463"/>
      <c r="BG14" s="463"/>
      <c r="BH14" s="463"/>
      <c r="BI14" s="463"/>
      <c r="BJ14" s="463"/>
    </row>
    <row r="15" customFormat="false" ht="19.5" hidden="false" customHeight="true" outlineLevel="0" collapsed="false">
      <c r="A15" s="465" t="s">
        <v>231</v>
      </c>
      <c r="B15" s="465" t="s">
        <v>207</v>
      </c>
      <c r="C15" s="472" t="s">
        <v>232</v>
      </c>
      <c r="D15" s="473" t="s">
        <v>233</v>
      </c>
      <c r="E15" s="466" t="s">
        <v>158</v>
      </c>
      <c r="F15" s="465" t="s">
        <v>231</v>
      </c>
      <c r="G15" s="474" t="s">
        <v>234</v>
      </c>
      <c r="H15" s="480" t="n">
        <v>240000</v>
      </c>
      <c r="I15" s="472" t="s">
        <v>235</v>
      </c>
      <c r="J15" s="469"/>
      <c r="K15" s="475" t="s">
        <v>236</v>
      </c>
      <c r="L15" s="499"/>
      <c r="O15" s="457"/>
      <c r="P15" s="476"/>
      <c r="Q15" s="477"/>
      <c r="R15" s="478"/>
      <c r="S15" s="478"/>
      <c r="T15" s="481"/>
      <c r="U15" s="476"/>
      <c r="V15" s="498"/>
      <c r="W15" s="463"/>
      <c r="X15" s="463"/>
      <c r="Y15" s="463"/>
      <c r="Z15" s="463"/>
      <c r="AA15" s="463"/>
      <c r="AB15" s="463"/>
      <c r="AC15" s="463"/>
      <c r="AD15" s="463"/>
      <c r="AE15" s="463"/>
      <c r="AF15" s="463"/>
      <c r="AG15" s="463"/>
      <c r="AH15" s="463"/>
      <c r="AI15" s="463"/>
      <c r="AJ15" s="463"/>
      <c r="AK15" s="463"/>
      <c r="AL15" s="463"/>
      <c r="AM15" s="463"/>
      <c r="AN15" s="463"/>
      <c r="AO15" s="463"/>
      <c r="AP15" s="463"/>
      <c r="AQ15" s="463"/>
      <c r="AR15" s="463"/>
      <c r="AS15" s="463"/>
      <c r="AT15" s="463"/>
      <c r="AU15" s="463"/>
      <c r="AV15" s="463"/>
      <c r="AW15" s="463"/>
      <c r="AX15" s="463"/>
      <c r="AY15" s="463"/>
      <c r="AZ15" s="463"/>
      <c r="BA15" s="463"/>
      <c r="BB15" s="463"/>
      <c r="BC15" s="463"/>
      <c r="BD15" s="463"/>
      <c r="BE15" s="463"/>
      <c r="BF15" s="463"/>
      <c r="BG15" s="463"/>
      <c r="BH15" s="463"/>
      <c r="BI15" s="463"/>
      <c r="BJ15" s="463"/>
    </row>
    <row r="16" customFormat="false" ht="19.5" hidden="false" customHeight="true" outlineLevel="0" collapsed="false">
      <c r="A16" s="465" t="s">
        <v>237</v>
      </c>
      <c r="B16" s="465" t="s">
        <v>207</v>
      </c>
      <c r="C16" s="472" t="s">
        <v>238</v>
      </c>
      <c r="D16" s="473" t="s">
        <v>239</v>
      </c>
      <c r="E16" s="466" t="s">
        <v>158</v>
      </c>
      <c r="F16" s="465" t="s">
        <v>237</v>
      </c>
      <c r="G16" s="474" t="s">
        <v>240</v>
      </c>
      <c r="H16" s="480" t="n">
        <v>240000</v>
      </c>
      <c r="I16" s="472" t="s">
        <v>241</v>
      </c>
      <c r="J16" s="469"/>
      <c r="K16" s="475" t="s">
        <v>212</v>
      </c>
      <c r="L16" s="499"/>
      <c r="O16" s="457"/>
      <c r="P16" s="476"/>
      <c r="Q16" s="477"/>
      <c r="R16" s="478"/>
      <c r="S16" s="478"/>
      <c r="T16" s="481"/>
      <c r="U16" s="476"/>
      <c r="V16" s="498"/>
      <c r="W16" s="463"/>
      <c r="X16" s="463"/>
      <c r="Y16" s="463"/>
      <c r="Z16" s="463"/>
      <c r="AA16" s="463"/>
      <c r="AB16" s="463"/>
      <c r="AC16" s="463"/>
      <c r="AD16" s="463"/>
      <c r="AE16" s="463"/>
      <c r="AF16" s="463"/>
      <c r="AG16" s="463"/>
      <c r="AH16" s="463"/>
      <c r="AI16" s="463"/>
      <c r="AJ16" s="463"/>
      <c r="AK16" s="463"/>
      <c r="AL16" s="463"/>
      <c r="AM16" s="463"/>
      <c r="AN16" s="463"/>
      <c r="AO16" s="463"/>
      <c r="AP16" s="463"/>
      <c r="AQ16" s="463"/>
      <c r="AR16" s="463"/>
      <c r="AS16" s="463"/>
      <c r="AT16" s="463"/>
      <c r="AU16" s="463"/>
      <c r="AV16" s="463"/>
      <c r="AW16" s="463"/>
      <c r="AX16" s="463"/>
      <c r="AY16" s="463"/>
      <c r="AZ16" s="463"/>
      <c r="BA16" s="463"/>
      <c r="BB16" s="463"/>
      <c r="BC16" s="463"/>
      <c r="BD16" s="463"/>
      <c r="BE16" s="463"/>
      <c r="BF16" s="463"/>
      <c r="BG16" s="463"/>
      <c r="BH16" s="463"/>
      <c r="BI16" s="463"/>
      <c r="BJ16" s="463"/>
    </row>
    <row r="17" customFormat="false" ht="19.5" hidden="false" customHeight="true" outlineLevel="0" collapsed="false">
      <c r="A17" s="465" t="s">
        <v>242</v>
      </c>
      <c r="B17" s="465" t="s">
        <v>207</v>
      </c>
      <c r="C17" s="472" t="s">
        <v>243</v>
      </c>
      <c r="D17" s="473" t="s">
        <v>244</v>
      </c>
      <c r="E17" s="466" t="s">
        <v>245</v>
      </c>
      <c r="F17" s="465" t="s">
        <v>242</v>
      </c>
      <c r="G17" s="474" t="s">
        <v>246</v>
      </c>
      <c r="H17" s="480" t="n">
        <v>200000</v>
      </c>
      <c r="I17" s="472" t="s">
        <v>247</v>
      </c>
      <c r="J17" s="469"/>
      <c r="K17" s="475" t="s">
        <v>248</v>
      </c>
      <c r="L17" s="499"/>
      <c r="O17" s="457"/>
      <c r="P17" s="476"/>
      <c r="Q17" s="477"/>
      <c r="R17" s="478"/>
      <c r="S17" s="478"/>
      <c r="T17" s="481"/>
      <c r="U17" s="476"/>
      <c r="V17" s="498"/>
      <c r="W17" s="463"/>
      <c r="X17" s="463"/>
      <c r="Y17" s="463"/>
      <c r="Z17" s="463"/>
      <c r="AA17" s="463"/>
      <c r="AB17" s="463"/>
      <c r="AC17" s="463"/>
      <c r="AD17" s="463"/>
      <c r="AE17" s="463"/>
      <c r="AF17" s="463"/>
      <c r="AG17" s="463"/>
      <c r="AH17" s="463"/>
      <c r="AI17" s="463"/>
      <c r="AJ17" s="463"/>
      <c r="AK17" s="463"/>
      <c r="AL17" s="463"/>
      <c r="AM17" s="463"/>
      <c r="AN17" s="463"/>
      <c r="AO17" s="463"/>
      <c r="AP17" s="463"/>
      <c r="AQ17" s="463"/>
      <c r="AR17" s="463"/>
      <c r="AS17" s="463"/>
      <c r="AT17" s="463"/>
      <c r="AU17" s="463"/>
      <c r="AV17" s="463"/>
      <c r="AW17" s="463"/>
      <c r="AX17" s="463"/>
      <c r="AY17" s="463"/>
      <c r="AZ17" s="463"/>
      <c r="BA17" s="463"/>
      <c r="BB17" s="463"/>
      <c r="BC17" s="463"/>
      <c r="BD17" s="463"/>
      <c r="BE17" s="463"/>
      <c r="BF17" s="463"/>
      <c r="BG17" s="463"/>
      <c r="BH17" s="463"/>
      <c r="BI17" s="463"/>
      <c r="BJ17" s="463"/>
    </row>
    <row r="18" customFormat="false" ht="19.5" hidden="false" customHeight="true" outlineLevel="0" collapsed="false">
      <c r="A18" s="465" t="s">
        <v>249</v>
      </c>
      <c r="B18" s="465" t="s">
        <v>163</v>
      </c>
      <c r="C18" s="472" t="s">
        <v>250</v>
      </c>
      <c r="D18" s="500" t="s">
        <v>251</v>
      </c>
      <c r="E18" s="465" t="s">
        <v>158</v>
      </c>
      <c r="F18" s="465" t="s">
        <v>249</v>
      </c>
      <c r="G18" s="474" t="s">
        <v>252</v>
      </c>
      <c r="H18" s="480" t="n">
        <v>130000</v>
      </c>
      <c r="I18" s="472" t="s">
        <v>253</v>
      </c>
      <c r="J18" s="469"/>
      <c r="K18" s="475" t="s">
        <v>254</v>
      </c>
      <c r="L18" s="499"/>
      <c r="O18" s="457"/>
      <c r="P18" s="476"/>
      <c r="Q18" s="477"/>
      <c r="R18" s="477"/>
      <c r="S18" s="478"/>
      <c r="T18" s="481"/>
      <c r="U18" s="476"/>
      <c r="V18" s="498"/>
      <c r="W18" s="463"/>
      <c r="X18" s="463"/>
      <c r="Y18" s="463"/>
      <c r="Z18" s="463"/>
      <c r="AA18" s="463"/>
      <c r="AB18" s="463"/>
      <c r="AC18" s="463"/>
      <c r="AD18" s="463"/>
      <c r="AE18" s="463"/>
      <c r="AF18" s="463"/>
      <c r="AG18" s="463"/>
      <c r="AH18" s="463"/>
      <c r="AI18" s="463"/>
      <c r="AJ18" s="463"/>
      <c r="AK18" s="463"/>
      <c r="AL18" s="463"/>
      <c r="AM18" s="463"/>
      <c r="AN18" s="463"/>
      <c r="AO18" s="463"/>
      <c r="AP18" s="463"/>
      <c r="AQ18" s="463"/>
      <c r="AR18" s="463"/>
      <c r="AS18" s="463"/>
      <c r="AT18" s="463"/>
      <c r="AU18" s="463"/>
      <c r="AV18" s="463"/>
      <c r="AW18" s="463"/>
      <c r="AX18" s="463"/>
      <c r="AY18" s="463"/>
      <c r="AZ18" s="463"/>
      <c r="BA18" s="463"/>
      <c r="BB18" s="463"/>
      <c r="BC18" s="463"/>
      <c r="BD18" s="463"/>
      <c r="BE18" s="463"/>
      <c r="BF18" s="463"/>
      <c r="BG18" s="463"/>
      <c r="BH18" s="463"/>
      <c r="BI18" s="463"/>
      <c r="BJ18" s="463"/>
    </row>
    <row r="19" customFormat="false" ht="19.5" hidden="false" customHeight="true" outlineLevel="0" collapsed="false">
      <c r="A19" s="465" t="s">
        <v>255</v>
      </c>
      <c r="B19" s="465" t="s">
        <v>195</v>
      </c>
      <c r="C19" s="472" t="s">
        <v>256</v>
      </c>
      <c r="D19" s="473" t="s">
        <v>257</v>
      </c>
      <c r="E19" s="465" t="s">
        <v>158</v>
      </c>
      <c r="F19" s="465" t="s">
        <v>255</v>
      </c>
      <c r="G19" s="474" t="s">
        <v>258</v>
      </c>
      <c r="H19" s="480" t="n">
        <v>200000</v>
      </c>
      <c r="I19" s="472" t="s">
        <v>259</v>
      </c>
      <c r="J19" s="469"/>
      <c r="K19" s="475"/>
      <c r="L19" s="499"/>
      <c r="O19" s="457"/>
      <c r="P19" s="476"/>
      <c r="Q19" s="477"/>
      <c r="R19" s="478"/>
      <c r="S19" s="478"/>
      <c r="T19" s="481"/>
      <c r="U19" s="476"/>
      <c r="V19" s="498"/>
      <c r="W19" s="463"/>
      <c r="X19" s="463"/>
      <c r="Y19" s="463"/>
      <c r="Z19" s="463"/>
      <c r="AA19" s="463"/>
      <c r="AB19" s="463"/>
      <c r="AC19" s="463"/>
      <c r="AD19" s="463"/>
      <c r="AE19" s="463"/>
      <c r="AF19" s="463"/>
      <c r="AG19" s="463"/>
      <c r="AH19" s="463"/>
      <c r="AI19" s="463"/>
      <c r="AJ19" s="463"/>
      <c r="AK19" s="463"/>
      <c r="AL19" s="463"/>
      <c r="AM19" s="463"/>
      <c r="AN19" s="463"/>
      <c r="AO19" s="463"/>
      <c r="AP19" s="463"/>
      <c r="AQ19" s="463"/>
      <c r="AR19" s="463"/>
      <c r="AS19" s="463"/>
      <c r="AT19" s="463"/>
      <c r="AU19" s="463"/>
      <c r="AV19" s="463"/>
      <c r="AW19" s="463"/>
      <c r="AX19" s="463"/>
      <c r="AY19" s="463"/>
      <c r="AZ19" s="463"/>
      <c r="BA19" s="463"/>
      <c r="BB19" s="463"/>
      <c r="BC19" s="463"/>
      <c r="BD19" s="463"/>
      <c r="BE19" s="463"/>
      <c r="BF19" s="463"/>
      <c r="BG19" s="463"/>
      <c r="BH19" s="463"/>
      <c r="BI19" s="463"/>
      <c r="BJ19" s="463"/>
    </row>
    <row r="20" customFormat="false" ht="19.5" hidden="false" customHeight="true" outlineLevel="0" collapsed="false">
      <c r="A20" s="465" t="s">
        <v>260</v>
      </c>
      <c r="B20" s="465" t="s">
        <v>195</v>
      </c>
      <c r="C20" s="472" t="s">
        <v>261</v>
      </c>
      <c r="D20" s="473" t="s">
        <v>262</v>
      </c>
      <c r="E20" s="466" t="s">
        <v>166</v>
      </c>
      <c r="F20" s="465" t="s">
        <v>260</v>
      </c>
      <c r="G20" s="474" t="s">
        <v>263</v>
      </c>
      <c r="H20" s="480" t="n">
        <v>200000</v>
      </c>
      <c r="I20" s="472" t="s">
        <v>264</v>
      </c>
      <c r="J20" s="469"/>
      <c r="K20" s="475"/>
      <c r="L20" s="499"/>
      <c r="O20" s="457"/>
      <c r="P20" s="476"/>
      <c r="Q20" s="477"/>
      <c r="R20" s="478"/>
      <c r="S20" s="478"/>
      <c r="T20" s="481"/>
      <c r="U20" s="476"/>
      <c r="V20" s="498"/>
      <c r="W20" s="463"/>
      <c r="X20" s="463"/>
      <c r="Y20" s="463"/>
      <c r="Z20" s="463"/>
      <c r="AA20" s="463"/>
      <c r="AB20" s="463"/>
      <c r="AC20" s="463"/>
      <c r="AD20" s="463"/>
      <c r="AE20" s="463"/>
      <c r="AF20" s="463"/>
      <c r="AG20" s="463"/>
      <c r="AH20" s="463"/>
      <c r="AI20" s="463"/>
      <c r="AJ20" s="463"/>
      <c r="AK20" s="463"/>
      <c r="AL20" s="463"/>
      <c r="AM20" s="463"/>
      <c r="AN20" s="463"/>
      <c r="AO20" s="463"/>
      <c r="AP20" s="463"/>
      <c r="AQ20" s="463"/>
      <c r="AR20" s="463"/>
      <c r="AS20" s="463"/>
      <c r="AT20" s="463"/>
      <c r="AU20" s="463"/>
      <c r="AV20" s="463"/>
      <c r="AW20" s="463"/>
      <c r="AX20" s="463"/>
      <c r="AY20" s="463"/>
      <c r="AZ20" s="463"/>
      <c r="BA20" s="463"/>
      <c r="BB20" s="463"/>
      <c r="BC20" s="463"/>
      <c r="BD20" s="463"/>
      <c r="BE20" s="463"/>
      <c r="BF20" s="463"/>
      <c r="BG20" s="463"/>
      <c r="BH20" s="463"/>
      <c r="BI20" s="463"/>
      <c r="BJ20" s="463"/>
    </row>
    <row r="21" customFormat="false" ht="19.5" hidden="false" customHeight="true" outlineLevel="0" collapsed="false">
      <c r="A21" s="465" t="s">
        <v>265</v>
      </c>
      <c r="B21" s="465" t="s">
        <v>195</v>
      </c>
      <c r="C21" s="472" t="s">
        <v>266</v>
      </c>
      <c r="D21" s="473" t="s">
        <v>267</v>
      </c>
      <c r="E21" s="466" t="s">
        <v>166</v>
      </c>
      <c r="F21" s="465" t="s">
        <v>265</v>
      </c>
      <c r="G21" s="474" t="s">
        <v>268</v>
      </c>
      <c r="H21" s="480" t="n">
        <v>200000</v>
      </c>
      <c r="I21" s="472" t="s">
        <v>269</v>
      </c>
      <c r="J21" s="469"/>
      <c r="K21" s="475"/>
      <c r="L21" s="499"/>
      <c r="O21" s="457"/>
      <c r="P21" s="476"/>
      <c r="Q21" s="477"/>
      <c r="R21" s="478"/>
      <c r="S21" s="478"/>
      <c r="T21" s="481"/>
      <c r="U21" s="476"/>
      <c r="V21" s="498"/>
      <c r="W21" s="463"/>
      <c r="X21" s="463"/>
      <c r="Y21" s="463"/>
      <c r="Z21" s="463"/>
      <c r="AA21" s="463"/>
      <c r="AB21" s="463"/>
      <c r="AC21" s="463"/>
      <c r="AD21" s="463"/>
      <c r="AE21" s="463"/>
      <c r="AF21" s="463"/>
      <c r="AG21" s="463"/>
      <c r="AH21" s="463"/>
      <c r="AI21" s="463"/>
      <c r="AJ21" s="463"/>
      <c r="AK21" s="463"/>
      <c r="AL21" s="463"/>
      <c r="AM21" s="463"/>
      <c r="AN21" s="463"/>
      <c r="AO21" s="463"/>
      <c r="AP21" s="463"/>
      <c r="AQ21" s="463"/>
      <c r="AR21" s="463"/>
      <c r="AS21" s="463"/>
      <c r="AT21" s="463"/>
      <c r="AU21" s="463"/>
      <c r="AV21" s="463"/>
      <c r="AW21" s="463"/>
      <c r="AX21" s="463"/>
      <c r="AY21" s="463"/>
      <c r="AZ21" s="463"/>
      <c r="BA21" s="463"/>
      <c r="BB21" s="463"/>
      <c r="BC21" s="463"/>
      <c r="BD21" s="463"/>
      <c r="BE21" s="463"/>
      <c r="BF21" s="463"/>
      <c r="BG21" s="463"/>
      <c r="BH21" s="463"/>
      <c r="BI21" s="463"/>
      <c r="BJ21" s="463"/>
    </row>
    <row r="22" customFormat="false" ht="19.5" hidden="false" customHeight="true" outlineLevel="0" collapsed="false">
      <c r="A22" s="465" t="s">
        <v>270</v>
      </c>
      <c r="B22" s="465" t="s">
        <v>195</v>
      </c>
      <c r="C22" s="472" t="s">
        <v>271</v>
      </c>
      <c r="D22" s="473" t="s">
        <v>272</v>
      </c>
      <c r="E22" s="466" t="s">
        <v>158</v>
      </c>
      <c r="F22" s="465" t="s">
        <v>270</v>
      </c>
      <c r="G22" s="474" t="s">
        <v>273</v>
      </c>
      <c r="H22" s="480" t="n">
        <v>200000</v>
      </c>
      <c r="I22" s="472" t="s">
        <v>274</v>
      </c>
      <c r="J22" s="469"/>
      <c r="K22" s="475" t="s">
        <v>275</v>
      </c>
      <c r="L22" s="499"/>
      <c r="O22" s="457"/>
      <c r="P22" s="476"/>
      <c r="Q22" s="477"/>
      <c r="R22" s="478"/>
      <c r="S22" s="478"/>
      <c r="T22" s="481"/>
      <c r="U22" s="476"/>
      <c r="V22" s="498"/>
      <c r="W22" s="463"/>
      <c r="X22" s="463"/>
      <c r="Y22" s="463"/>
      <c r="Z22" s="463"/>
      <c r="AA22" s="463"/>
      <c r="AB22" s="463"/>
      <c r="AC22" s="463"/>
      <c r="AD22" s="463"/>
      <c r="AE22" s="463"/>
      <c r="AF22" s="463"/>
      <c r="AG22" s="463"/>
      <c r="AH22" s="463"/>
      <c r="AI22" s="463"/>
      <c r="AJ22" s="463"/>
      <c r="AK22" s="463"/>
      <c r="AL22" s="463"/>
      <c r="AM22" s="463"/>
      <c r="AN22" s="463"/>
      <c r="AO22" s="463"/>
      <c r="AP22" s="463"/>
      <c r="AQ22" s="463"/>
      <c r="AR22" s="463"/>
      <c r="AS22" s="463"/>
      <c r="AT22" s="463"/>
      <c r="AU22" s="463"/>
      <c r="AV22" s="463"/>
      <c r="AW22" s="463"/>
      <c r="AX22" s="463"/>
      <c r="AY22" s="463"/>
      <c r="AZ22" s="463"/>
      <c r="BA22" s="463"/>
      <c r="BB22" s="463"/>
      <c r="BC22" s="463"/>
      <c r="BD22" s="463"/>
      <c r="BE22" s="463"/>
      <c r="BF22" s="463"/>
      <c r="BG22" s="463"/>
      <c r="BH22" s="463"/>
      <c r="BI22" s="463"/>
      <c r="BJ22" s="463"/>
    </row>
    <row r="23" customFormat="false" ht="19.5" hidden="false" customHeight="true" outlineLevel="0" collapsed="false">
      <c r="A23" s="465" t="s">
        <v>276</v>
      </c>
      <c r="B23" s="465" t="s">
        <v>195</v>
      </c>
      <c r="C23" s="472" t="s">
        <v>277</v>
      </c>
      <c r="D23" s="473" t="s">
        <v>278</v>
      </c>
      <c r="E23" s="466" t="s">
        <v>158</v>
      </c>
      <c r="F23" s="465" t="s">
        <v>276</v>
      </c>
      <c r="G23" s="474" t="s">
        <v>279</v>
      </c>
      <c r="H23" s="480" t="n">
        <v>200000</v>
      </c>
      <c r="I23" s="472" t="s">
        <v>280</v>
      </c>
      <c r="J23" s="469"/>
      <c r="K23" s="475" t="s">
        <v>281</v>
      </c>
      <c r="L23" s="499"/>
      <c r="O23" s="457"/>
      <c r="P23" s="476"/>
      <c r="Q23" s="477"/>
      <c r="R23" s="478"/>
      <c r="S23" s="478"/>
      <c r="T23" s="481"/>
      <c r="U23" s="476"/>
      <c r="V23" s="498"/>
      <c r="W23" s="463"/>
      <c r="X23" s="463"/>
      <c r="Y23" s="463"/>
      <c r="Z23" s="463"/>
      <c r="AA23" s="463"/>
      <c r="AB23" s="463"/>
      <c r="AC23" s="463"/>
      <c r="AD23" s="463"/>
      <c r="AE23" s="463"/>
      <c r="AF23" s="463"/>
      <c r="AG23" s="463"/>
      <c r="AH23" s="463"/>
      <c r="AI23" s="463"/>
      <c r="AJ23" s="463"/>
      <c r="AK23" s="463"/>
      <c r="AL23" s="463"/>
      <c r="AM23" s="463"/>
      <c r="AN23" s="463"/>
      <c r="AO23" s="463"/>
      <c r="AP23" s="463"/>
      <c r="AQ23" s="463"/>
      <c r="AR23" s="463"/>
      <c r="AS23" s="463"/>
      <c r="AT23" s="463"/>
      <c r="AU23" s="463"/>
      <c r="AV23" s="463"/>
      <c r="AW23" s="463"/>
      <c r="AX23" s="463"/>
      <c r="AY23" s="463"/>
      <c r="AZ23" s="463"/>
      <c r="BA23" s="463"/>
      <c r="BB23" s="463"/>
      <c r="BC23" s="463"/>
      <c r="BD23" s="463"/>
      <c r="BE23" s="463"/>
      <c r="BF23" s="463"/>
      <c r="BG23" s="463"/>
      <c r="BH23" s="463"/>
      <c r="BI23" s="463"/>
      <c r="BJ23" s="463"/>
    </row>
    <row r="24" customFormat="false" ht="19.5" hidden="false" customHeight="true" outlineLevel="0" collapsed="false">
      <c r="A24" s="465" t="s">
        <v>282</v>
      </c>
      <c r="B24" s="465" t="s">
        <v>195</v>
      </c>
      <c r="C24" s="472" t="s">
        <v>283</v>
      </c>
      <c r="D24" s="473" t="s">
        <v>284</v>
      </c>
      <c r="E24" s="466" t="s">
        <v>158</v>
      </c>
      <c r="F24" s="465" t="s">
        <v>282</v>
      </c>
      <c r="G24" s="474" t="s">
        <v>285</v>
      </c>
      <c r="H24" s="480" t="n">
        <v>200000</v>
      </c>
      <c r="I24" s="472" t="s">
        <v>269</v>
      </c>
      <c r="J24" s="469"/>
      <c r="K24" s="475" t="s">
        <v>286</v>
      </c>
      <c r="L24" s="499"/>
      <c r="O24" s="457"/>
      <c r="P24" s="476"/>
      <c r="Q24" s="477"/>
      <c r="R24" s="478"/>
      <c r="S24" s="478"/>
      <c r="T24" s="481"/>
      <c r="U24" s="476"/>
      <c r="V24" s="498"/>
      <c r="W24" s="463"/>
      <c r="X24" s="463"/>
      <c r="Y24" s="463"/>
      <c r="Z24" s="463"/>
      <c r="AA24" s="463"/>
      <c r="AB24" s="463"/>
      <c r="AC24" s="463"/>
      <c r="AD24" s="463"/>
      <c r="AE24" s="463"/>
      <c r="AF24" s="463"/>
      <c r="AG24" s="463"/>
      <c r="AH24" s="463"/>
      <c r="AI24" s="463"/>
      <c r="AJ24" s="463"/>
      <c r="AK24" s="463"/>
      <c r="AL24" s="463"/>
      <c r="AM24" s="463"/>
      <c r="AN24" s="463"/>
      <c r="AO24" s="463"/>
      <c r="AP24" s="463"/>
      <c r="AQ24" s="463"/>
      <c r="AR24" s="463"/>
      <c r="AS24" s="463"/>
      <c r="AT24" s="463"/>
      <c r="AU24" s="463"/>
      <c r="AV24" s="463"/>
      <c r="AW24" s="463"/>
      <c r="AX24" s="463"/>
      <c r="AY24" s="463"/>
      <c r="AZ24" s="463"/>
      <c r="BA24" s="463"/>
      <c r="BB24" s="463"/>
      <c r="BC24" s="463"/>
      <c r="BD24" s="463"/>
      <c r="BE24" s="463"/>
      <c r="BF24" s="463"/>
      <c r="BG24" s="463"/>
      <c r="BH24" s="463"/>
      <c r="BI24" s="463"/>
      <c r="BJ24" s="463"/>
    </row>
    <row r="25" customFormat="false" ht="19.5" hidden="false" customHeight="true" outlineLevel="0" collapsed="false">
      <c r="A25" s="465" t="s">
        <v>287</v>
      </c>
      <c r="B25" s="465" t="s">
        <v>195</v>
      </c>
      <c r="C25" s="472" t="s">
        <v>288</v>
      </c>
      <c r="D25" s="500" t="s">
        <v>289</v>
      </c>
      <c r="E25" s="466" t="s">
        <v>158</v>
      </c>
      <c r="F25" s="465" t="s">
        <v>287</v>
      </c>
      <c r="G25" s="474" t="s">
        <v>290</v>
      </c>
      <c r="H25" s="480" t="n">
        <v>200000</v>
      </c>
      <c r="I25" s="472" t="s">
        <v>291</v>
      </c>
      <c r="J25" s="469"/>
      <c r="K25" s="475"/>
      <c r="L25" s="499"/>
      <c r="O25" s="457"/>
      <c r="P25" s="476"/>
      <c r="Q25" s="477"/>
      <c r="R25" s="477"/>
      <c r="S25" s="478"/>
      <c r="T25" s="481"/>
      <c r="U25" s="476"/>
      <c r="V25" s="498"/>
      <c r="W25" s="463"/>
      <c r="X25" s="463"/>
      <c r="Y25" s="463"/>
      <c r="Z25" s="463"/>
      <c r="AA25" s="463"/>
      <c r="AB25" s="463"/>
      <c r="AC25" s="463"/>
      <c r="AD25" s="463"/>
      <c r="AE25" s="463"/>
      <c r="AF25" s="463"/>
      <c r="AG25" s="463"/>
      <c r="AH25" s="463"/>
      <c r="AI25" s="463"/>
      <c r="AJ25" s="463"/>
      <c r="AK25" s="463"/>
      <c r="AL25" s="463"/>
      <c r="AM25" s="463"/>
      <c r="AN25" s="463"/>
      <c r="AO25" s="463"/>
      <c r="AP25" s="463"/>
      <c r="AQ25" s="463"/>
      <c r="AR25" s="463"/>
      <c r="AS25" s="463"/>
      <c r="AT25" s="463"/>
      <c r="AU25" s="463"/>
      <c r="AV25" s="463"/>
      <c r="AW25" s="463"/>
      <c r="AX25" s="463"/>
      <c r="AY25" s="463"/>
      <c r="AZ25" s="463"/>
      <c r="BA25" s="463"/>
      <c r="BB25" s="463"/>
      <c r="BC25" s="463"/>
      <c r="BD25" s="463"/>
      <c r="BE25" s="463"/>
      <c r="BF25" s="463"/>
      <c r="BG25" s="463"/>
      <c r="BH25" s="463"/>
      <c r="BI25" s="463"/>
      <c r="BJ25" s="463"/>
    </row>
    <row r="26" customFormat="false" ht="19.5" hidden="false" customHeight="true" outlineLevel="0" collapsed="false">
      <c r="A26" s="465" t="s">
        <v>292</v>
      </c>
      <c r="B26" s="465" t="s">
        <v>195</v>
      </c>
      <c r="C26" s="472" t="s">
        <v>293</v>
      </c>
      <c r="D26" s="473" t="s">
        <v>294</v>
      </c>
      <c r="E26" s="466" t="s">
        <v>158</v>
      </c>
      <c r="F26" s="465" t="s">
        <v>292</v>
      </c>
      <c r="G26" s="474" t="s">
        <v>295</v>
      </c>
      <c r="H26" s="480" t="n">
        <v>200000</v>
      </c>
      <c r="I26" s="472" t="s">
        <v>296</v>
      </c>
      <c r="J26" s="469"/>
      <c r="K26" s="475"/>
      <c r="L26" s="499"/>
      <c r="O26" s="457"/>
      <c r="P26" s="476"/>
      <c r="Q26" s="477"/>
      <c r="R26" s="478"/>
      <c r="S26" s="478"/>
      <c r="T26" s="481"/>
      <c r="U26" s="476"/>
      <c r="V26" s="498"/>
      <c r="W26" s="463"/>
      <c r="X26" s="463"/>
      <c r="Y26" s="463"/>
      <c r="Z26" s="463"/>
      <c r="AA26" s="463"/>
      <c r="AB26" s="463"/>
      <c r="AC26" s="463"/>
      <c r="AD26" s="463"/>
      <c r="AE26" s="463"/>
      <c r="AF26" s="463"/>
      <c r="AG26" s="463"/>
      <c r="AH26" s="463"/>
      <c r="AI26" s="463"/>
      <c r="AJ26" s="463"/>
      <c r="AK26" s="463"/>
      <c r="AL26" s="463"/>
      <c r="AM26" s="463"/>
      <c r="AN26" s="463"/>
      <c r="AO26" s="463"/>
      <c r="AP26" s="463"/>
      <c r="AQ26" s="463"/>
      <c r="AR26" s="463"/>
      <c r="AS26" s="463"/>
      <c r="AT26" s="463"/>
      <c r="AU26" s="463"/>
      <c r="AV26" s="463"/>
      <c r="AW26" s="463"/>
      <c r="AX26" s="463"/>
      <c r="AY26" s="463"/>
      <c r="AZ26" s="463"/>
      <c r="BA26" s="463"/>
      <c r="BB26" s="463"/>
      <c r="BC26" s="463"/>
      <c r="BD26" s="463"/>
      <c r="BE26" s="463"/>
      <c r="BF26" s="463"/>
      <c r="BG26" s="463"/>
      <c r="BH26" s="463"/>
      <c r="BI26" s="463"/>
      <c r="BJ26" s="463"/>
    </row>
    <row r="27" customFormat="false" ht="19.5" hidden="false" customHeight="true" outlineLevel="0" collapsed="false">
      <c r="A27" s="466" t="s">
        <v>297</v>
      </c>
      <c r="B27" s="465" t="s">
        <v>195</v>
      </c>
      <c r="C27" s="474" t="s">
        <v>298</v>
      </c>
      <c r="D27" s="473" t="s">
        <v>299</v>
      </c>
      <c r="E27" s="466" t="s">
        <v>158</v>
      </c>
      <c r="F27" s="466" t="s">
        <v>297</v>
      </c>
      <c r="G27" s="474" t="s">
        <v>300</v>
      </c>
      <c r="H27" s="480" t="n">
        <v>200000</v>
      </c>
      <c r="I27" s="474" t="s">
        <v>301</v>
      </c>
      <c r="J27" s="469"/>
      <c r="K27" s="475" t="s">
        <v>302</v>
      </c>
      <c r="L27" s="499"/>
      <c r="O27" s="501"/>
      <c r="P27" s="476"/>
      <c r="Q27" s="478"/>
      <c r="R27" s="478"/>
      <c r="S27" s="478"/>
      <c r="T27" s="481"/>
      <c r="U27" s="502"/>
      <c r="V27" s="498"/>
      <c r="W27" s="463"/>
      <c r="X27" s="463"/>
      <c r="Y27" s="463"/>
      <c r="Z27" s="463"/>
      <c r="AA27" s="463"/>
      <c r="AB27" s="463"/>
      <c r="AC27" s="463"/>
      <c r="AD27" s="463"/>
      <c r="AE27" s="463"/>
      <c r="AF27" s="463"/>
      <c r="AG27" s="463"/>
      <c r="AH27" s="463"/>
      <c r="AI27" s="463"/>
      <c r="AJ27" s="463"/>
      <c r="AK27" s="463"/>
      <c r="AL27" s="463"/>
      <c r="AM27" s="463"/>
      <c r="AN27" s="463"/>
      <c r="AO27" s="463"/>
      <c r="AP27" s="463"/>
      <c r="AQ27" s="463"/>
      <c r="AR27" s="463"/>
      <c r="AS27" s="463"/>
      <c r="AT27" s="463"/>
      <c r="AU27" s="463"/>
      <c r="AV27" s="463"/>
      <c r="AW27" s="463"/>
      <c r="AX27" s="463"/>
      <c r="AY27" s="463"/>
      <c r="AZ27" s="463"/>
      <c r="BA27" s="463"/>
      <c r="BB27" s="463"/>
      <c r="BC27" s="463"/>
      <c r="BD27" s="463"/>
      <c r="BE27" s="463"/>
      <c r="BF27" s="463"/>
      <c r="BG27" s="463"/>
      <c r="BH27" s="463"/>
      <c r="BI27" s="463"/>
      <c r="BJ27" s="463"/>
    </row>
    <row r="28" customFormat="false" ht="19.5" hidden="false" customHeight="true" outlineLevel="0" collapsed="false">
      <c r="A28" s="466" t="s">
        <v>303</v>
      </c>
      <c r="B28" s="466" t="s">
        <v>195</v>
      </c>
      <c r="C28" s="474" t="s">
        <v>304</v>
      </c>
      <c r="D28" s="473" t="s">
        <v>305</v>
      </c>
      <c r="E28" s="466" t="s">
        <v>158</v>
      </c>
      <c r="F28" s="466" t="s">
        <v>303</v>
      </c>
      <c r="G28" s="474" t="s">
        <v>306</v>
      </c>
      <c r="H28" s="480" t="n">
        <v>200000</v>
      </c>
      <c r="I28" s="474" t="s">
        <v>307</v>
      </c>
      <c r="J28" s="469"/>
      <c r="K28" s="475" t="s">
        <v>308</v>
      </c>
      <c r="L28" s="499"/>
      <c r="O28" s="501"/>
      <c r="P28" s="502"/>
      <c r="Q28" s="478"/>
      <c r="R28" s="478"/>
      <c r="S28" s="478"/>
      <c r="T28" s="481"/>
      <c r="U28" s="502"/>
      <c r="V28" s="498"/>
      <c r="W28" s="463"/>
      <c r="X28" s="463"/>
      <c r="Y28" s="463"/>
      <c r="Z28" s="463"/>
      <c r="AA28" s="463"/>
      <c r="AB28" s="463"/>
      <c r="AC28" s="463"/>
      <c r="AD28" s="463"/>
      <c r="AE28" s="463"/>
      <c r="AF28" s="463"/>
      <c r="AG28" s="463"/>
      <c r="AH28" s="463"/>
      <c r="AI28" s="463"/>
      <c r="AJ28" s="463"/>
      <c r="AK28" s="463"/>
      <c r="AL28" s="463"/>
      <c r="AM28" s="463"/>
      <c r="AN28" s="463"/>
      <c r="AO28" s="463"/>
      <c r="AP28" s="463"/>
      <c r="AQ28" s="463"/>
      <c r="AR28" s="463"/>
      <c r="AS28" s="463"/>
      <c r="AT28" s="463"/>
      <c r="AU28" s="463"/>
      <c r="AV28" s="463"/>
      <c r="AW28" s="463"/>
      <c r="AX28" s="463"/>
      <c r="AY28" s="463"/>
      <c r="AZ28" s="463"/>
      <c r="BA28" s="463"/>
      <c r="BB28" s="463"/>
      <c r="BC28" s="463"/>
      <c r="BD28" s="463"/>
      <c r="BE28" s="463"/>
      <c r="BF28" s="463"/>
      <c r="BG28" s="463"/>
      <c r="BH28" s="463"/>
      <c r="BI28" s="463"/>
      <c r="BJ28" s="463"/>
    </row>
    <row r="29" customFormat="false" ht="19.5" hidden="false" customHeight="true" outlineLevel="0" collapsed="false">
      <c r="A29" s="466" t="s">
        <v>309</v>
      </c>
      <c r="B29" s="466" t="s">
        <v>207</v>
      </c>
      <c r="C29" s="474" t="s">
        <v>310</v>
      </c>
      <c r="D29" s="473" t="s">
        <v>311</v>
      </c>
      <c r="E29" s="466" t="s">
        <v>210</v>
      </c>
      <c r="F29" s="466" t="s">
        <v>309</v>
      </c>
      <c r="G29" s="474" t="s">
        <v>312</v>
      </c>
      <c r="H29" s="480" t="n">
        <v>200000</v>
      </c>
      <c r="I29" s="474" t="s">
        <v>313</v>
      </c>
      <c r="J29" s="469"/>
      <c r="K29" s="475" t="s">
        <v>314</v>
      </c>
      <c r="L29" s="499"/>
      <c r="O29" s="501"/>
      <c r="P29" s="502"/>
      <c r="Q29" s="478"/>
      <c r="R29" s="478"/>
      <c r="S29" s="478"/>
      <c r="T29" s="481"/>
      <c r="U29" s="502"/>
      <c r="V29" s="498"/>
      <c r="W29" s="463"/>
      <c r="X29" s="463"/>
      <c r="Y29" s="463"/>
      <c r="Z29" s="463"/>
      <c r="AA29" s="463"/>
      <c r="AB29" s="463"/>
      <c r="AC29" s="463"/>
      <c r="AD29" s="463"/>
      <c r="AE29" s="463"/>
      <c r="AF29" s="463"/>
      <c r="AG29" s="463"/>
      <c r="AH29" s="463"/>
      <c r="AI29" s="463"/>
      <c r="AJ29" s="463"/>
      <c r="AK29" s="463"/>
      <c r="AL29" s="463"/>
      <c r="AM29" s="463"/>
      <c r="AN29" s="463"/>
      <c r="AO29" s="463"/>
      <c r="AP29" s="463"/>
      <c r="AQ29" s="463"/>
      <c r="AR29" s="463"/>
      <c r="AS29" s="463"/>
      <c r="AT29" s="463"/>
      <c r="AU29" s="463"/>
      <c r="AV29" s="463"/>
      <c r="AW29" s="463"/>
      <c r="AX29" s="463"/>
      <c r="AY29" s="463"/>
      <c r="AZ29" s="463"/>
      <c r="BA29" s="463"/>
      <c r="BB29" s="463"/>
      <c r="BC29" s="463"/>
      <c r="BD29" s="463"/>
      <c r="BE29" s="463"/>
      <c r="BF29" s="463"/>
      <c r="BG29" s="463"/>
      <c r="BH29" s="463"/>
      <c r="BI29" s="463"/>
      <c r="BJ29" s="463"/>
    </row>
    <row r="30" customFormat="false" ht="19.5" hidden="false" customHeight="true" outlineLevel="0" collapsed="false">
      <c r="A30" s="466" t="s">
        <v>315</v>
      </c>
      <c r="B30" s="466" t="s">
        <v>207</v>
      </c>
      <c r="C30" s="474" t="s">
        <v>316</v>
      </c>
      <c r="D30" s="473" t="s">
        <v>317</v>
      </c>
      <c r="E30" s="466" t="s">
        <v>318</v>
      </c>
      <c r="F30" s="466" t="s">
        <v>315</v>
      </c>
      <c r="G30" s="474" t="s">
        <v>319</v>
      </c>
      <c r="H30" s="480" t="n">
        <v>200000</v>
      </c>
      <c r="I30" s="474" t="s">
        <v>320</v>
      </c>
      <c r="J30" s="469"/>
      <c r="K30" s="475"/>
      <c r="L30" s="499"/>
      <c r="O30" s="501"/>
      <c r="P30" s="502"/>
      <c r="Q30" s="478"/>
      <c r="R30" s="478"/>
      <c r="S30" s="478"/>
      <c r="T30" s="481"/>
      <c r="U30" s="502"/>
      <c r="V30" s="498"/>
      <c r="W30" s="463"/>
      <c r="X30" s="463"/>
      <c r="Y30" s="463"/>
      <c r="Z30" s="463"/>
      <c r="AA30" s="463"/>
      <c r="AB30" s="463"/>
      <c r="AC30" s="463"/>
      <c r="AD30" s="463"/>
      <c r="AE30" s="463"/>
      <c r="AF30" s="463"/>
      <c r="AG30" s="463"/>
      <c r="AH30" s="463"/>
      <c r="AI30" s="463"/>
      <c r="AJ30" s="463"/>
      <c r="AK30" s="463"/>
      <c r="AL30" s="463"/>
      <c r="AM30" s="463"/>
      <c r="AN30" s="463"/>
      <c r="AO30" s="463"/>
      <c r="AP30" s="463"/>
      <c r="AQ30" s="463"/>
      <c r="AR30" s="463"/>
      <c r="AS30" s="463"/>
      <c r="AT30" s="463"/>
      <c r="AU30" s="463"/>
      <c r="AV30" s="463"/>
      <c r="AW30" s="463"/>
      <c r="AX30" s="463"/>
      <c r="AY30" s="463"/>
      <c r="AZ30" s="463"/>
      <c r="BA30" s="463"/>
      <c r="BB30" s="463"/>
      <c r="BC30" s="463"/>
      <c r="BD30" s="463"/>
      <c r="BE30" s="463"/>
      <c r="BF30" s="463"/>
      <c r="BG30" s="463"/>
      <c r="BH30" s="463"/>
      <c r="BI30" s="463"/>
      <c r="BJ30" s="463"/>
    </row>
    <row r="31" customFormat="false" ht="19.5" hidden="false" customHeight="true" outlineLevel="0" collapsed="false">
      <c r="A31" s="466" t="s">
        <v>321</v>
      </c>
      <c r="B31" s="466" t="s">
        <v>207</v>
      </c>
      <c r="C31" s="474" t="s">
        <v>322</v>
      </c>
      <c r="D31" s="473" t="s">
        <v>323</v>
      </c>
      <c r="E31" s="466" t="s">
        <v>166</v>
      </c>
      <c r="F31" s="466" t="s">
        <v>321</v>
      </c>
      <c r="G31" s="474" t="s">
        <v>324</v>
      </c>
      <c r="H31" s="480" t="n">
        <v>200000</v>
      </c>
      <c r="I31" s="474" t="s">
        <v>325</v>
      </c>
      <c r="J31" s="469"/>
      <c r="K31" s="475"/>
      <c r="L31" s="499"/>
      <c r="O31" s="501"/>
      <c r="P31" s="502"/>
      <c r="Q31" s="478"/>
      <c r="R31" s="478"/>
      <c r="S31" s="478"/>
      <c r="T31" s="481"/>
      <c r="U31" s="502"/>
      <c r="V31" s="498"/>
      <c r="W31" s="463"/>
      <c r="X31" s="463"/>
      <c r="Y31" s="463"/>
      <c r="Z31" s="463"/>
      <c r="AA31" s="463"/>
      <c r="AB31" s="463"/>
      <c r="AC31" s="463"/>
      <c r="AD31" s="463"/>
      <c r="AE31" s="463"/>
      <c r="AF31" s="463"/>
      <c r="AG31" s="463"/>
      <c r="AH31" s="463"/>
      <c r="AI31" s="463"/>
      <c r="AJ31" s="463"/>
      <c r="AK31" s="463"/>
      <c r="AL31" s="463"/>
      <c r="AM31" s="463"/>
      <c r="AN31" s="463"/>
      <c r="AO31" s="463"/>
      <c r="AP31" s="463"/>
      <c r="AQ31" s="463"/>
      <c r="AR31" s="463"/>
      <c r="AS31" s="463"/>
      <c r="AT31" s="463"/>
      <c r="AU31" s="463"/>
      <c r="AV31" s="463"/>
      <c r="AW31" s="463"/>
      <c r="AX31" s="463"/>
      <c r="AY31" s="463"/>
      <c r="AZ31" s="463"/>
      <c r="BA31" s="463"/>
      <c r="BB31" s="463"/>
      <c r="BC31" s="463"/>
      <c r="BD31" s="463"/>
      <c r="BE31" s="463"/>
      <c r="BF31" s="463"/>
      <c r="BG31" s="463"/>
      <c r="BH31" s="463"/>
      <c r="BI31" s="463"/>
      <c r="BJ31" s="463"/>
    </row>
    <row r="32" customFormat="false" ht="19.5" hidden="false" customHeight="true" outlineLevel="0" collapsed="false">
      <c r="A32" s="466" t="s">
        <v>326</v>
      </c>
      <c r="B32" s="466" t="s">
        <v>207</v>
      </c>
      <c r="C32" s="474" t="s">
        <v>327</v>
      </c>
      <c r="D32" s="473" t="s">
        <v>328</v>
      </c>
      <c r="E32" s="466" t="s">
        <v>166</v>
      </c>
      <c r="F32" s="466" t="s">
        <v>326</v>
      </c>
      <c r="G32" s="474" t="s">
        <v>329</v>
      </c>
      <c r="H32" s="480" t="n">
        <v>200000</v>
      </c>
      <c r="I32" s="474" t="s">
        <v>330</v>
      </c>
      <c r="J32" s="469"/>
      <c r="K32" s="475"/>
      <c r="L32" s="499"/>
      <c r="O32" s="501"/>
      <c r="P32" s="502"/>
      <c r="Q32" s="478"/>
      <c r="R32" s="478"/>
      <c r="S32" s="478"/>
      <c r="T32" s="481"/>
      <c r="U32" s="502"/>
      <c r="V32" s="498"/>
      <c r="W32" s="463"/>
      <c r="X32" s="463"/>
      <c r="Y32" s="463"/>
      <c r="Z32" s="463"/>
      <c r="AA32" s="463"/>
      <c r="AB32" s="463"/>
      <c r="AC32" s="463"/>
      <c r="AD32" s="463"/>
      <c r="AE32" s="463"/>
      <c r="AF32" s="463"/>
      <c r="AG32" s="463"/>
      <c r="AH32" s="463"/>
      <c r="AI32" s="463"/>
      <c r="AJ32" s="463"/>
      <c r="AK32" s="463"/>
      <c r="AL32" s="463"/>
      <c r="AM32" s="463"/>
      <c r="AN32" s="463"/>
      <c r="AO32" s="463"/>
      <c r="AP32" s="463"/>
      <c r="AQ32" s="463"/>
      <c r="AR32" s="463"/>
      <c r="AS32" s="463"/>
      <c r="AT32" s="463"/>
      <c r="AU32" s="463"/>
      <c r="AV32" s="463"/>
      <c r="AW32" s="463"/>
      <c r="AX32" s="463"/>
      <c r="AY32" s="463"/>
      <c r="AZ32" s="463"/>
      <c r="BA32" s="463"/>
      <c r="BB32" s="463"/>
      <c r="BC32" s="463"/>
      <c r="BD32" s="463"/>
      <c r="BE32" s="463"/>
      <c r="BF32" s="463"/>
      <c r="BG32" s="463"/>
      <c r="BH32" s="463"/>
      <c r="BI32" s="463"/>
      <c r="BJ32" s="463"/>
    </row>
    <row r="33" customFormat="false" ht="19.5" hidden="false" customHeight="true" outlineLevel="0" collapsed="false">
      <c r="A33" s="466" t="s">
        <v>331</v>
      </c>
      <c r="B33" s="466" t="s">
        <v>332</v>
      </c>
      <c r="C33" s="474" t="s">
        <v>333</v>
      </c>
      <c r="D33" s="473" t="s">
        <v>334</v>
      </c>
      <c r="E33" s="466" t="s">
        <v>158</v>
      </c>
      <c r="F33" s="466" t="s">
        <v>331</v>
      </c>
      <c r="G33" s="474" t="s">
        <v>335</v>
      </c>
      <c r="H33" s="480" t="n">
        <v>250000</v>
      </c>
      <c r="I33" s="474" t="s">
        <v>336</v>
      </c>
      <c r="J33" s="469"/>
      <c r="K33" s="475" t="s">
        <v>337</v>
      </c>
      <c r="L33" s="499"/>
      <c r="O33" s="501"/>
      <c r="P33" s="502"/>
      <c r="Q33" s="478"/>
      <c r="R33" s="478"/>
      <c r="S33" s="478"/>
      <c r="T33" s="481"/>
      <c r="U33" s="502"/>
      <c r="V33" s="498"/>
      <c r="W33" s="463"/>
      <c r="X33" s="463"/>
      <c r="Y33" s="463"/>
      <c r="Z33" s="463"/>
      <c r="AA33" s="463"/>
      <c r="AB33" s="463"/>
      <c r="AC33" s="463"/>
      <c r="AD33" s="463"/>
      <c r="AE33" s="463"/>
      <c r="AF33" s="463"/>
      <c r="AG33" s="463"/>
      <c r="AH33" s="463"/>
      <c r="AI33" s="463"/>
      <c r="AJ33" s="463"/>
      <c r="AK33" s="463"/>
      <c r="AL33" s="463"/>
      <c r="AM33" s="463"/>
      <c r="AN33" s="463"/>
      <c r="AO33" s="463"/>
      <c r="AP33" s="463"/>
      <c r="AQ33" s="463"/>
      <c r="AR33" s="463"/>
      <c r="AS33" s="463"/>
      <c r="AT33" s="463"/>
      <c r="AU33" s="463"/>
      <c r="AV33" s="463"/>
      <c r="AW33" s="463"/>
      <c r="AX33" s="463"/>
      <c r="AY33" s="463"/>
      <c r="AZ33" s="463"/>
      <c r="BA33" s="463"/>
      <c r="BB33" s="463"/>
      <c r="BC33" s="463"/>
      <c r="BD33" s="463"/>
      <c r="BE33" s="463"/>
      <c r="BF33" s="463"/>
      <c r="BG33" s="463"/>
      <c r="BH33" s="463"/>
      <c r="BI33" s="463"/>
      <c r="BJ33" s="463"/>
    </row>
    <row r="34" customFormat="false" ht="19.5" hidden="false" customHeight="true" outlineLevel="0" collapsed="false">
      <c r="A34" s="465" t="s">
        <v>338</v>
      </c>
      <c r="B34" s="465" t="s">
        <v>163</v>
      </c>
      <c r="C34" s="503" t="s">
        <v>339</v>
      </c>
      <c r="D34" s="504" t="s">
        <v>340</v>
      </c>
      <c r="E34" s="466" t="s">
        <v>158</v>
      </c>
      <c r="F34" s="465" t="s">
        <v>338</v>
      </c>
      <c r="G34" s="474" t="s">
        <v>341</v>
      </c>
      <c r="H34" s="480" t="n">
        <v>150000</v>
      </c>
      <c r="I34" s="505" t="s">
        <v>342</v>
      </c>
      <c r="J34" s="469"/>
      <c r="K34" s="475"/>
      <c r="L34" s="499"/>
      <c r="O34" s="457"/>
      <c r="P34" s="476"/>
      <c r="Q34" s="506"/>
      <c r="R34" s="507"/>
      <c r="S34" s="478"/>
      <c r="T34" s="481"/>
      <c r="U34" s="508"/>
      <c r="V34" s="498"/>
      <c r="W34" s="463"/>
      <c r="X34" s="463"/>
      <c r="Y34" s="463"/>
      <c r="Z34" s="463"/>
      <c r="AA34" s="463"/>
      <c r="AB34" s="463"/>
      <c r="AC34" s="463"/>
      <c r="AD34" s="463"/>
      <c r="AE34" s="463"/>
      <c r="AF34" s="463"/>
      <c r="AG34" s="463"/>
      <c r="AH34" s="463"/>
      <c r="AI34" s="463"/>
      <c r="AJ34" s="463"/>
      <c r="AK34" s="463"/>
      <c r="AL34" s="463"/>
      <c r="AM34" s="463"/>
      <c r="AN34" s="463"/>
      <c r="AO34" s="463"/>
      <c r="AP34" s="463"/>
      <c r="AQ34" s="463"/>
      <c r="AR34" s="463"/>
      <c r="AS34" s="463"/>
      <c r="AT34" s="463"/>
      <c r="AU34" s="463"/>
      <c r="AV34" s="463"/>
      <c r="AW34" s="463"/>
      <c r="AX34" s="463"/>
      <c r="AY34" s="463"/>
      <c r="AZ34" s="463"/>
      <c r="BA34" s="463"/>
      <c r="BB34" s="463"/>
      <c r="BC34" s="463"/>
      <c r="BD34" s="463"/>
      <c r="BE34" s="463"/>
      <c r="BF34" s="463"/>
      <c r="BG34" s="463"/>
      <c r="BH34" s="463"/>
      <c r="BI34" s="463"/>
      <c r="BJ34" s="463"/>
    </row>
    <row r="35" customFormat="false" ht="19.5" hidden="false" customHeight="true" outlineLevel="0" collapsed="false">
      <c r="A35" s="509" t="s">
        <v>343</v>
      </c>
      <c r="B35" s="465" t="s">
        <v>163</v>
      </c>
      <c r="C35" s="510" t="s">
        <v>344</v>
      </c>
      <c r="D35" s="511" t="s">
        <v>345</v>
      </c>
      <c r="E35" s="466" t="s">
        <v>158</v>
      </c>
      <c r="F35" s="509" t="s">
        <v>343</v>
      </c>
      <c r="G35" s="474" t="s">
        <v>346</v>
      </c>
      <c r="H35" s="480" t="n">
        <v>160000</v>
      </c>
      <c r="I35" s="512" t="s">
        <v>347</v>
      </c>
      <c r="J35" s="469"/>
      <c r="K35" s="475" t="s">
        <v>348</v>
      </c>
      <c r="L35" s="499"/>
      <c r="O35" s="513"/>
      <c r="P35" s="476"/>
      <c r="Q35" s="514"/>
      <c r="R35" s="515"/>
      <c r="S35" s="478"/>
      <c r="T35" s="481"/>
      <c r="U35" s="516"/>
      <c r="V35" s="498"/>
      <c r="W35" s="463"/>
      <c r="X35" s="463"/>
      <c r="Y35" s="463"/>
      <c r="Z35" s="463"/>
      <c r="AA35" s="463"/>
      <c r="AB35" s="463"/>
      <c r="AC35" s="463"/>
      <c r="AD35" s="463"/>
      <c r="AE35" s="463"/>
      <c r="AF35" s="463"/>
      <c r="AG35" s="463"/>
      <c r="AH35" s="463"/>
      <c r="AI35" s="463"/>
      <c r="AJ35" s="463"/>
      <c r="AK35" s="463"/>
      <c r="AL35" s="463"/>
      <c r="AM35" s="463"/>
      <c r="AN35" s="463"/>
      <c r="AO35" s="463"/>
      <c r="AP35" s="463"/>
      <c r="AQ35" s="463"/>
      <c r="AR35" s="463"/>
      <c r="AS35" s="463"/>
      <c r="AT35" s="463"/>
      <c r="AU35" s="463"/>
      <c r="AV35" s="463"/>
      <c r="AW35" s="463"/>
      <c r="AX35" s="463"/>
      <c r="AY35" s="463"/>
      <c r="AZ35" s="463"/>
      <c r="BA35" s="463"/>
      <c r="BB35" s="463"/>
      <c r="BC35" s="463"/>
      <c r="BD35" s="463"/>
      <c r="BE35" s="463"/>
      <c r="BF35" s="463"/>
      <c r="BG35" s="463"/>
      <c r="BH35" s="463"/>
      <c r="BI35" s="463"/>
      <c r="BJ35" s="463"/>
    </row>
    <row r="36" customFormat="false" ht="19.5" hidden="false" customHeight="true" outlineLevel="0" collapsed="false">
      <c r="A36" s="509" t="s">
        <v>349</v>
      </c>
      <c r="B36" s="465" t="s">
        <v>350</v>
      </c>
      <c r="C36" s="472" t="s">
        <v>351</v>
      </c>
      <c r="D36" s="500" t="s">
        <v>352</v>
      </c>
      <c r="E36" s="465" t="s">
        <v>353</v>
      </c>
      <c r="F36" s="509" t="s">
        <v>349</v>
      </c>
      <c r="G36" s="472" t="s">
        <v>354</v>
      </c>
      <c r="H36" s="480" t="n">
        <v>170000</v>
      </c>
      <c r="I36" s="517" t="s">
        <v>355</v>
      </c>
      <c r="J36" s="469"/>
      <c r="K36" s="475" t="s">
        <v>356</v>
      </c>
      <c r="L36" s="499"/>
      <c r="O36" s="513"/>
      <c r="P36" s="476"/>
      <c r="Q36" s="477"/>
      <c r="R36" s="477"/>
      <c r="S36" s="477"/>
      <c r="T36" s="481"/>
      <c r="U36" s="479"/>
      <c r="V36" s="498"/>
      <c r="W36" s="463"/>
      <c r="X36" s="463"/>
      <c r="Y36" s="463"/>
      <c r="Z36" s="463"/>
      <c r="AA36" s="463"/>
      <c r="AB36" s="463"/>
      <c r="AC36" s="463"/>
      <c r="AD36" s="463"/>
      <c r="AE36" s="463"/>
      <c r="AF36" s="463"/>
      <c r="AG36" s="463"/>
      <c r="AH36" s="463"/>
      <c r="AI36" s="463"/>
      <c r="AJ36" s="463"/>
      <c r="AK36" s="463"/>
      <c r="AL36" s="463"/>
      <c r="AM36" s="463"/>
      <c r="AN36" s="463"/>
      <c r="AO36" s="463"/>
      <c r="AP36" s="463"/>
      <c r="AQ36" s="463"/>
      <c r="AR36" s="463"/>
      <c r="AS36" s="463"/>
      <c r="AT36" s="463"/>
      <c r="AU36" s="463"/>
      <c r="AV36" s="463"/>
      <c r="AW36" s="463"/>
      <c r="AX36" s="463"/>
      <c r="AY36" s="463"/>
      <c r="AZ36" s="463"/>
      <c r="BA36" s="463"/>
      <c r="BB36" s="463"/>
      <c r="BC36" s="463"/>
      <c r="BD36" s="463"/>
      <c r="BE36" s="463"/>
      <c r="BF36" s="463"/>
      <c r="BG36" s="463"/>
      <c r="BH36" s="463"/>
      <c r="BI36" s="463"/>
      <c r="BJ36" s="463"/>
    </row>
    <row r="37" customFormat="false" ht="19.5" hidden="false" customHeight="true" outlineLevel="0" collapsed="false">
      <c r="A37" s="465" t="s">
        <v>357</v>
      </c>
      <c r="B37" s="465" t="s">
        <v>358</v>
      </c>
      <c r="C37" s="472" t="s">
        <v>359</v>
      </c>
      <c r="D37" s="500" t="s">
        <v>360</v>
      </c>
      <c r="E37" s="465" t="s">
        <v>158</v>
      </c>
      <c r="F37" s="465" t="s">
        <v>357</v>
      </c>
      <c r="G37" s="472" t="s">
        <v>361</v>
      </c>
      <c r="H37" s="480" t="n">
        <v>130000</v>
      </c>
      <c r="I37" s="517" t="s">
        <v>362</v>
      </c>
      <c r="J37" s="469" t="s">
        <v>363</v>
      </c>
      <c r="K37" s="475" t="s">
        <v>364</v>
      </c>
      <c r="L37" s="499"/>
      <c r="O37" s="457"/>
      <c r="P37" s="476"/>
      <c r="Q37" s="477"/>
      <c r="R37" s="477"/>
      <c r="S37" s="477"/>
      <c r="T37" s="481"/>
      <c r="U37" s="479"/>
      <c r="V37" s="498"/>
      <c r="W37" s="463"/>
      <c r="X37" s="463"/>
      <c r="Y37" s="463"/>
      <c r="Z37" s="463"/>
      <c r="AA37" s="463"/>
      <c r="AB37" s="463"/>
      <c r="AC37" s="463"/>
      <c r="AD37" s="463"/>
      <c r="AE37" s="463"/>
      <c r="AF37" s="463"/>
      <c r="AG37" s="463"/>
      <c r="AH37" s="463"/>
      <c r="AI37" s="463"/>
      <c r="AJ37" s="463"/>
      <c r="AK37" s="463"/>
      <c r="AL37" s="463"/>
      <c r="AM37" s="463"/>
      <c r="AN37" s="463"/>
      <c r="AO37" s="463"/>
      <c r="AP37" s="463"/>
      <c r="AQ37" s="463"/>
      <c r="AR37" s="463"/>
      <c r="AS37" s="463"/>
      <c r="AT37" s="463"/>
      <c r="AU37" s="463"/>
      <c r="AV37" s="463"/>
      <c r="AW37" s="463"/>
      <c r="AX37" s="463"/>
      <c r="AY37" s="463"/>
      <c r="AZ37" s="463"/>
      <c r="BA37" s="463"/>
      <c r="BB37" s="463"/>
      <c r="BC37" s="463"/>
      <c r="BD37" s="463"/>
      <c r="BE37" s="463"/>
      <c r="BF37" s="463"/>
      <c r="BG37" s="463"/>
      <c r="BH37" s="463"/>
      <c r="BI37" s="463"/>
      <c r="BJ37" s="463"/>
    </row>
    <row r="38" customFormat="false" ht="19.5" hidden="false" customHeight="true" outlineLevel="0" collapsed="false">
      <c r="A38" s="465" t="s">
        <v>365</v>
      </c>
      <c r="B38" s="465" t="s">
        <v>358</v>
      </c>
      <c r="C38" s="472" t="s">
        <v>366</v>
      </c>
      <c r="D38" s="500" t="s">
        <v>367</v>
      </c>
      <c r="E38" s="465" t="s">
        <v>158</v>
      </c>
      <c r="F38" s="465" t="s">
        <v>365</v>
      </c>
      <c r="G38" s="472" t="s">
        <v>361</v>
      </c>
      <c r="H38" s="480" t="n">
        <v>150000</v>
      </c>
      <c r="I38" s="517" t="s">
        <v>368</v>
      </c>
      <c r="J38" s="469" t="s">
        <v>363</v>
      </c>
      <c r="K38" s="475" t="s">
        <v>369</v>
      </c>
      <c r="L38" s="499"/>
      <c r="O38" s="457"/>
      <c r="P38" s="476"/>
      <c r="Q38" s="477"/>
      <c r="R38" s="477"/>
      <c r="S38" s="477"/>
      <c r="T38" s="481"/>
      <c r="U38" s="479"/>
      <c r="V38" s="498"/>
      <c r="W38" s="463"/>
      <c r="X38" s="463"/>
      <c r="Y38" s="463"/>
      <c r="Z38" s="463"/>
      <c r="AA38" s="463"/>
      <c r="AB38" s="463"/>
      <c r="AC38" s="463"/>
      <c r="AD38" s="463"/>
      <c r="AE38" s="463"/>
      <c r="AF38" s="463"/>
      <c r="AG38" s="463"/>
      <c r="AH38" s="463"/>
      <c r="AI38" s="463"/>
      <c r="AJ38" s="463"/>
      <c r="AK38" s="463"/>
      <c r="AL38" s="463"/>
      <c r="AM38" s="463"/>
      <c r="AN38" s="463"/>
      <c r="AO38" s="463"/>
      <c r="AP38" s="463"/>
      <c r="AQ38" s="463"/>
      <c r="AR38" s="463"/>
      <c r="AS38" s="463"/>
      <c r="AT38" s="463"/>
      <c r="AU38" s="463"/>
      <c r="AV38" s="463"/>
      <c r="AW38" s="463"/>
      <c r="AX38" s="463"/>
      <c r="AY38" s="463"/>
      <c r="AZ38" s="463"/>
      <c r="BA38" s="463"/>
      <c r="BB38" s="463"/>
      <c r="BC38" s="463"/>
      <c r="BD38" s="463"/>
      <c r="BE38" s="463"/>
      <c r="BF38" s="463"/>
      <c r="BG38" s="463"/>
      <c r="BH38" s="463"/>
      <c r="BI38" s="463"/>
      <c r="BJ38" s="463"/>
    </row>
    <row r="39" customFormat="false" ht="19.5" hidden="false" customHeight="true" outlineLevel="0" collapsed="false">
      <c r="A39" s="465" t="s">
        <v>370</v>
      </c>
      <c r="B39" s="465" t="s">
        <v>358</v>
      </c>
      <c r="C39" s="472" t="s">
        <v>371</v>
      </c>
      <c r="D39" s="500" t="s">
        <v>372</v>
      </c>
      <c r="E39" s="465" t="s">
        <v>158</v>
      </c>
      <c r="F39" s="465" t="s">
        <v>370</v>
      </c>
      <c r="G39" s="472" t="s">
        <v>361</v>
      </c>
      <c r="H39" s="480" t="n">
        <v>150000</v>
      </c>
      <c r="I39" s="517" t="s">
        <v>373</v>
      </c>
      <c r="J39" s="469" t="s">
        <v>363</v>
      </c>
      <c r="K39" s="475" t="s">
        <v>374</v>
      </c>
      <c r="L39" s="499"/>
      <c r="O39" s="457"/>
      <c r="P39" s="476"/>
      <c r="Q39" s="477"/>
      <c r="R39" s="477"/>
      <c r="S39" s="477"/>
      <c r="T39" s="481"/>
      <c r="U39" s="479"/>
      <c r="V39" s="498"/>
      <c r="W39" s="463"/>
      <c r="X39" s="463"/>
      <c r="Y39" s="463"/>
      <c r="Z39" s="463"/>
      <c r="AA39" s="463"/>
      <c r="AB39" s="463"/>
      <c r="AC39" s="463"/>
      <c r="AD39" s="463"/>
      <c r="AE39" s="463"/>
      <c r="AF39" s="463"/>
      <c r="AG39" s="463"/>
      <c r="AH39" s="463"/>
      <c r="AI39" s="463"/>
      <c r="AJ39" s="463"/>
      <c r="AK39" s="463"/>
      <c r="AL39" s="463"/>
      <c r="AM39" s="463"/>
      <c r="AN39" s="463"/>
      <c r="AO39" s="463"/>
      <c r="AP39" s="463"/>
      <c r="AQ39" s="463"/>
      <c r="AR39" s="463"/>
      <c r="AS39" s="463"/>
      <c r="AT39" s="463"/>
      <c r="AU39" s="463"/>
      <c r="AV39" s="463"/>
      <c r="AW39" s="463"/>
      <c r="AX39" s="463"/>
      <c r="AY39" s="463"/>
      <c r="AZ39" s="463"/>
      <c r="BA39" s="463"/>
      <c r="BB39" s="463"/>
      <c r="BC39" s="463"/>
      <c r="BD39" s="463"/>
      <c r="BE39" s="463"/>
      <c r="BF39" s="463"/>
      <c r="BG39" s="463"/>
      <c r="BH39" s="463"/>
      <c r="BI39" s="463"/>
      <c r="BJ39" s="463"/>
    </row>
    <row r="40" customFormat="false" ht="19.5" hidden="false" customHeight="true" outlineLevel="0" collapsed="false">
      <c r="A40" s="465" t="s">
        <v>375</v>
      </c>
      <c r="B40" s="465" t="s">
        <v>358</v>
      </c>
      <c r="C40" s="472" t="s">
        <v>376</v>
      </c>
      <c r="D40" s="500" t="s">
        <v>377</v>
      </c>
      <c r="E40" s="465" t="s">
        <v>158</v>
      </c>
      <c r="F40" s="465" t="s">
        <v>375</v>
      </c>
      <c r="G40" s="472" t="s">
        <v>361</v>
      </c>
      <c r="H40" s="480" t="n">
        <v>150000</v>
      </c>
      <c r="I40" s="517" t="s">
        <v>378</v>
      </c>
      <c r="J40" s="469" t="s">
        <v>363</v>
      </c>
      <c r="K40" s="475" t="s">
        <v>379</v>
      </c>
      <c r="L40" s="499"/>
      <c r="O40" s="457"/>
      <c r="P40" s="476"/>
      <c r="Q40" s="477"/>
      <c r="R40" s="477"/>
      <c r="S40" s="477"/>
      <c r="T40" s="481"/>
      <c r="U40" s="479"/>
      <c r="V40" s="498"/>
      <c r="W40" s="463"/>
      <c r="X40" s="463"/>
      <c r="Y40" s="463"/>
      <c r="Z40" s="463"/>
      <c r="AA40" s="463"/>
      <c r="AB40" s="463"/>
      <c r="AC40" s="463"/>
      <c r="AD40" s="463"/>
      <c r="AE40" s="463"/>
      <c r="AF40" s="463"/>
      <c r="AG40" s="463"/>
      <c r="AH40" s="463"/>
      <c r="AI40" s="463"/>
      <c r="AJ40" s="463"/>
      <c r="AK40" s="463"/>
      <c r="AL40" s="463"/>
      <c r="AM40" s="463"/>
      <c r="AN40" s="463"/>
      <c r="AO40" s="463"/>
      <c r="AP40" s="463"/>
      <c r="AQ40" s="463"/>
      <c r="AR40" s="463"/>
      <c r="AS40" s="463"/>
      <c r="AT40" s="463"/>
      <c r="AU40" s="463"/>
      <c r="AV40" s="463"/>
      <c r="AW40" s="463"/>
      <c r="AX40" s="463"/>
      <c r="AY40" s="463"/>
      <c r="AZ40" s="463"/>
      <c r="BA40" s="463"/>
      <c r="BB40" s="463"/>
      <c r="BC40" s="463"/>
      <c r="BD40" s="463"/>
      <c r="BE40" s="463"/>
      <c r="BF40" s="463"/>
      <c r="BG40" s="463"/>
      <c r="BH40" s="463"/>
      <c r="BI40" s="463"/>
      <c r="BJ40" s="463"/>
    </row>
    <row r="41" customFormat="false" ht="19.5" hidden="false" customHeight="true" outlineLevel="0" collapsed="false">
      <c r="A41" s="465" t="s">
        <v>380</v>
      </c>
      <c r="B41" s="465" t="s">
        <v>207</v>
      </c>
      <c r="C41" s="472" t="s">
        <v>381</v>
      </c>
      <c r="D41" s="500" t="s">
        <v>209</v>
      </c>
      <c r="E41" s="465" t="s">
        <v>353</v>
      </c>
      <c r="F41" s="465" t="s">
        <v>380</v>
      </c>
      <c r="G41" s="472" t="s">
        <v>382</v>
      </c>
      <c r="H41" s="480" t="n">
        <v>200000</v>
      </c>
      <c r="I41" s="517" t="s">
        <v>383</v>
      </c>
      <c r="J41" s="469"/>
      <c r="K41" s="475" t="s">
        <v>212</v>
      </c>
      <c r="L41" s="499"/>
      <c r="O41" s="457"/>
      <c r="P41" s="476"/>
      <c r="Q41" s="477"/>
      <c r="R41" s="477"/>
      <c r="S41" s="477"/>
      <c r="T41" s="481"/>
      <c r="U41" s="479"/>
      <c r="V41" s="498"/>
      <c r="W41" s="463"/>
      <c r="X41" s="463"/>
      <c r="Y41" s="463"/>
      <c r="Z41" s="463"/>
      <c r="AA41" s="463"/>
      <c r="AB41" s="463"/>
      <c r="AC41" s="463"/>
      <c r="AD41" s="463"/>
      <c r="AE41" s="463"/>
      <c r="AF41" s="463"/>
      <c r="AG41" s="463"/>
      <c r="AH41" s="463"/>
      <c r="AI41" s="463"/>
      <c r="AJ41" s="463"/>
      <c r="AK41" s="463"/>
      <c r="AL41" s="463"/>
      <c r="AM41" s="463"/>
      <c r="AN41" s="463"/>
      <c r="AO41" s="463"/>
      <c r="AP41" s="463"/>
      <c r="AQ41" s="463"/>
      <c r="AR41" s="463"/>
      <c r="AS41" s="463"/>
      <c r="AT41" s="463"/>
      <c r="AU41" s="463"/>
      <c r="AV41" s="463"/>
      <c r="AW41" s="463"/>
      <c r="AX41" s="463"/>
      <c r="AY41" s="463"/>
      <c r="AZ41" s="463"/>
      <c r="BA41" s="463"/>
      <c r="BB41" s="463"/>
      <c r="BC41" s="463"/>
      <c r="BD41" s="463"/>
      <c r="BE41" s="463"/>
      <c r="BF41" s="463"/>
      <c r="BG41" s="463"/>
      <c r="BH41" s="463"/>
      <c r="BI41" s="463"/>
      <c r="BJ41" s="463"/>
    </row>
    <row r="42" customFormat="false" ht="19.5" hidden="false" customHeight="true" outlineLevel="0" collapsed="false">
      <c r="A42" s="465" t="s">
        <v>384</v>
      </c>
      <c r="B42" s="465" t="s">
        <v>350</v>
      </c>
      <c r="C42" s="472" t="s">
        <v>385</v>
      </c>
      <c r="D42" s="500" t="s">
        <v>386</v>
      </c>
      <c r="E42" s="465" t="s">
        <v>158</v>
      </c>
      <c r="F42" s="465" t="s">
        <v>384</v>
      </c>
      <c r="G42" s="472" t="s">
        <v>387</v>
      </c>
      <c r="H42" s="480" t="n">
        <v>170000</v>
      </c>
      <c r="I42" s="517" t="s">
        <v>388</v>
      </c>
      <c r="J42" s="469"/>
      <c r="K42" s="475" t="s">
        <v>193</v>
      </c>
      <c r="L42" s="499"/>
      <c r="O42" s="457"/>
      <c r="P42" s="476"/>
      <c r="Q42" s="477"/>
      <c r="R42" s="477"/>
      <c r="S42" s="477"/>
      <c r="T42" s="481"/>
      <c r="U42" s="479"/>
      <c r="V42" s="498"/>
      <c r="W42" s="463"/>
      <c r="X42" s="463"/>
      <c r="Y42" s="463"/>
      <c r="Z42" s="463"/>
      <c r="AA42" s="463"/>
      <c r="AB42" s="463"/>
      <c r="AC42" s="463"/>
      <c r="AD42" s="463"/>
      <c r="AE42" s="463"/>
      <c r="AF42" s="463"/>
      <c r="AG42" s="463"/>
      <c r="AH42" s="463"/>
      <c r="AI42" s="463"/>
      <c r="AJ42" s="463"/>
      <c r="AK42" s="463"/>
      <c r="AL42" s="463"/>
      <c r="AM42" s="463"/>
      <c r="AN42" s="463"/>
      <c r="AO42" s="463"/>
      <c r="AP42" s="463"/>
      <c r="AQ42" s="463"/>
      <c r="AR42" s="463"/>
      <c r="AS42" s="463"/>
      <c r="AT42" s="463"/>
      <c r="AU42" s="463"/>
      <c r="AV42" s="463"/>
      <c r="AW42" s="463"/>
      <c r="AX42" s="463"/>
      <c r="AY42" s="463"/>
      <c r="AZ42" s="463"/>
      <c r="BA42" s="463"/>
      <c r="BB42" s="463"/>
      <c r="BC42" s="463"/>
      <c r="BD42" s="463"/>
      <c r="BE42" s="463"/>
      <c r="BF42" s="463"/>
      <c r="BG42" s="463"/>
      <c r="BH42" s="463"/>
      <c r="BI42" s="463"/>
      <c r="BJ42" s="463"/>
    </row>
    <row r="43" customFormat="false" ht="19.5" hidden="false" customHeight="true" outlineLevel="0" collapsed="false">
      <c r="A43" s="465" t="s">
        <v>389</v>
      </c>
      <c r="B43" s="465" t="s">
        <v>163</v>
      </c>
      <c r="C43" s="472" t="s">
        <v>390</v>
      </c>
      <c r="D43" s="500" t="s">
        <v>391</v>
      </c>
      <c r="E43" s="465" t="s">
        <v>158</v>
      </c>
      <c r="F43" s="465" t="s">
        <v>389</v>
      </c>
      <c r="G43" s="472" t="s">
        <v>392</v>
      </c>
      <c r="H43" s="480" t="n">
        <v>130000</v>
      </c>
      <c r="I43" s="467"/>
      <c r="J43" s="469"/>
      <c r="K43" s="475" t="s">
        <v>356</v>
      </c>
      <c r="L43" s="499"/>
      <c r="O43" s="457"/>
      <c r="P43" s="476"/>
      <c r="Q43" s="477"/>
      <c r="R43" s="477"/>
      <c r="S43" s="477"/>
      <c r="T43" s="481"/>
      <c r="U43" s="479"/>
      <c r="V43" s="498"/>
      <c r="W43" s="463"/>
      <c r="X43" s="463"/>
      <c r="Y43" s="463"/>
      <c r="Z43" s="463"/>
      <c r="AA43" s="463"/>
      <c r="AB43" s="463"/>
      <c r="AC43" s="463"/>
      <c r="AD43" s="463"/>
      <c r="AE43" s="463"/>
      <c r="AF43" s="463"/>
      <c r="AG43" s="463"/>
      <c r="AH43" s="463"/>
      <c r="AI43" s="463"/>
      <c r="AJ43" s="463"/>
      <c r="AK43" s="463"/>
      <c r="AL43" s="463"/>
      <c r="AM43" s="463"/>
      <c r="AN43" s="463"/>
      <c r="AO43" s="463"/>
      <c r="AP43" s="463"/>
      <c r="AQ43" s="463"/>
      <c r="AR43" s="463"/>
      <c r="AS43" s="463"/>
      <c r="AT43" s="463"/>
      <c r="AU43" s="463"/>
      <c r="AV43" s="463"/>
      <c r="AW43" s="463"/>
      <c r="AX43" s="463"/>
      <c r="AY43" s="463"/>
      <c r="AZ43" s="463"/>
      <c r="BA43" s="463"/>
      <c r="BB43" s="463"/>
      <c r="BC43" s="463"/>
      <c r="BD43" s="463"/>
      <c r="BE43" s="463"/>
      <c r="BF43" s="463"/>
      <c r="BG43" s="463"/>
      <c r="BH43" s="463"/>
      <c r="BI43" s="463"/>
      <c r="BJ43" s="463"/>
    </row>
    <row r="44" customFormat="false" ht="19.5" hidden="false" customHeight="true" outlineLevel="0" collapsed="false">
      <c r="A44" s="465" t="s">
        <v>393</v>
      </c>
      <c r="B44" s="465" t="s">
        <v>163</v>
      </c>
      <c r="C44" s="472" t="s">
        <v>394</v>
      </c>
      <c r="D44" s="500" t="s">
        <v>395</v>
      </c>
      <c r="E44" s="465" t="s">
        <v>158</v>
      </c>
      <c r="F44" s="465" t="s">
        <v>393</v>
      </c>
      <c r="G44" s="472" t="s">
        <v>396</v>
      </c>
      <c r="H44" s="480" t="n">
        <v>150000</v>
      </c>
      <c r="I44" s="467"/>
      <c r="J44" s="469"/>
      <c r="K44" s="475"/>
      <c r="L44" s="499"/>
      <c r="O44" s="457"/>
      <c r="P44" s="476"/>
      <c r="Q44" s="477"/>
      <c r="R44" s="477"/>
      <c r="S44" s="477"/>
      <c r="T44" s="481"/>
      <c r="U44" s="479"/>
      <c r="V44" s="498"/>
      <c r="W44" s="463"/>
      <c r="X44" s="463"/>
      <c r="Y44" s="463"/>
      <c r="Z44" s="463"/>
      <c r="AA44" s="463"/>
      <c r="AB44" s="463"/>
      <c r="AC44" s="463"/>
      <c r="AD44" s="463"/>
      <c r="AE44" s="463"/>
      <c r="AF44" s="463"/>
      <c r="AG44" s="463"/>
      <c r="AH44" s="463"/>
      <c r="AI44" s="463"/>
      <c r="AJ44" s="463"/>
      <c r="AK44" s="463"/>
      <c r="AL44" s="463"/>
      <c r="AM44" s="463"/>
      <c r="AN44" s="463"/>
      <c r="AO44" s="463"/>
      <c r="AP44" s="463"/>
      <c r="AQ44" s="463"/>
      <c r="AR44" s="463"/>
      <c r="AS44" s="463"/>
      <c r="AT44" s="463"/>
      <c r="AU44" s="463"/>
      <c r="AV44" s="463"/>
      <c r="AW44" s="463"/>
      <c r="AX44" s="463"/>
      <c r="AY44" s="463"/>
      <c r="AZ44" s="463"/>
      <c r="BA44" s="463"/>
      <c r="BB44" s="463"/>
      <c r="BC44" s="463"/>
      <c r="BD44" s="463"/>
      <c r="BE44" s="463"/>
      <c r="BF44" s="463"/>
      <c r="BG44" s="463"/>
      <c r="BH44" s="463"/>
      <c r="BI44" s="463"/>
      <c r="BJ44" s="463"/>
    </row>
    <row r="45" customFormat="false" ht="19.5" hidden="false" customHeight="true" outlineLevel="0" collapsed="false">
      <c r="A45" s="465" t="s">
        <v>397</v>
      </c>
      <c r="B45" s="465" t="s">
        <v>195</v>
      </c>
      <c r="C45" s="472" t="s">
        <v>398</v>
      </c>
      <c r="D45" s="500" t="s">
        <v>399</v>
      </c>
      <c r="E45" s="465" t="s">
        <v>158</v>
      </c>
      <c r="F45" s="465" t="s">
        <v>397</v>
      </c>
      <c r="G45" s="472" t="s">
        <v>400</v>
      </c>
      <c r="H45" s="480" t="n">
        <v>200000</v>
      </c>
      <c r="I45" s="517" t="s">
        <v>401</v>
      </c>
      <c r="J45" s="469"/>
      <c r="K45" s="475"/>
      <c r="L45" s="499"/>
      <c r="O45" s="457"/>
      <c r="P45" s="476"/>
      <c r="Q45" s="477"/>
      <c r="R45" s="477"/>
      <c r="S45" s="477"/>
      <c r="T45" s="481"/>
      <c r="U45" s="479"/>
      <c r="V45" s="498"/>
      <c r="W45" s="463"/>
      <c r="X45" s="463"/>
      <c r="Y45" s="463"/>
      <c r="Z45" s="463"/>
      <c r="AA45" s="463"/>
      <c r="AB45" s="463"/>
      <c r="AC45" s="463"/>
      <c r="AD45" s="463"/>
      <c r="AE45" s="463"/>
      <c r="AF45" s="463"/>
      <c r="AG45" s="463"/>
      <c r="AH45" s="463"/>
      <c r="AI45" s="463"/>
      <c r="AJ45" s="463"/>
      <c r="AK45" s="463"/>
      <c r="AL45" s="463"/>
      <c r="AM45" s="463"/>
      <c r="AN45" s="463"/>
      <c r="AO45" s="463"/>
      <c r="AP45" s="463"/>
      <c r="AQ45" s="463"/>
      <c r="AR45" s="463"/>
      <c r="AS45" s="463"/>
      <c r="AT45" s="463"/>
      <c r="AU45" s="463"/>
      <c r="AV45" s="463"/>
      <c r="AW45" s="463"/>
      <c r="AX45" s="463"/>
      <c r="AY45" s="463"/>
      <c r="AZ45" s="463"/>
      <c r="BA45" s="463"/>
      <c r="BB45" s="463"/>
      <c r="BC45" s="463"/>
      <c r="BD45" s="463"/>
      <c r="BE45" s="463"/>
      <c r="BF45" s="463"/>
      <c r="BG45" s="463"/>
      <c r="BH45" s="463"/>
      <c r="BI45" s="463"/>
      <c r="BJ45" s="463"/>
    </row>
    <row r="46" customFormat="false" ht="19.5" hidden="false" customHeight="true" outlineLevel="0" collapsed="false">
      <c r="A46" s="465" t="s">
        <v>402</v>
      </c>
      <c r="B46" s="465" t="s">
        <v>195</v>
      </c>
      <c r="C46" s="472" t="s">
        <v>403</v>
      </c>
      <c r="D46" s="500" t="s">
        <v>404</v>
      </c>
      <c r="E46" s="465" t="s">
        <v>158</v>
      </c>
      <c r="F46" s="465" t="s">
        <v>402</v>
      </c>
      <c r="G46" s="472" t="s">
        <v>405</v>
      </c>
      <c r="H46" s="480" t="n">
        <v>200000</v>
      </c>
      <c r="I46" s="517" t="s">
        <v>406</v>
      </c>
      <c r="J46" s="469"/>
      <c r="K46" s="475" t="s">
        <v>407</v>
      </c>
      <c r="L46" s="499"/>
      <c r="O46" s="457"/>
      <c r="P46" s="476"/>
      <c r="Q46" s="477"/>
      <c r="R46" s="477"/>
      <c r="S46" s="477"/>
      <c r="T46" s="481"/>
      <c r="U46" s="479"/>
      <c r="V46" s="498"/>
      <c r="W46" s="463"/>
      <c r="X46" s="463"/>
      <c r="Y46" s="463"/>
      <c r="Z46" s="463"/>
      <c r="AA46" s="463"/>
      <c r="AB46" s="463"/>
      <c r="AC46" s="463"/>
      <c r="AD46" s="463"/>
      <c r="AE46" s="463"/>
      <c r="AF46" s="463"/>
      <c r="AG46" s="463"/>
      <c r="AH46" s="463"/>
      <c r="AI46" s="463"/>
      <c r="AJ46" s="463"/>
      <c r="AK46" s="463"/>
      <c r="AL46" s="463"/>
      <c r="AM46" s="463"/>
      <c r="AN46" s="463"/>
      <c r="AO46" s="463"/>
      <c r="AP46" s="463"/>
      <c r="AQ46" s="463"/>
      <c r="AR46" s="463"/>
      <c r="AS46" s="463"/>
      <c r="AT46" s="463"/>
      <c r="AU46" s="463"/>
      <c r="AV46" s="463"/>
      <c r="AW46" s="463"/>
      <c r="AX46" s="463"/>
      <c r="AY46" s="463"/>
      <c r="AZ46" s="463"/>
      <c r="BA46" s="463"/>
      <c r="BB46" s="463"/>
      <c r="BC46" s="463"/>
      <c r="BD46" s="463"/>
      <c r="BE46" s="463"/>
      <c r="BF46" s="463"/>
      <c r="BG46" s="463"/>
      <c r="BH46" s="463"/>
      <c r="BI46" s="463"/>
      <c r="BJ46" s="463"/>
    </row>
    <row r="47" customFormat="false" ht="19.5" hidden="false" customHeight="true" outlineLevel="0" collapsed="false">
      <c r="A47" s="465" t="s">
        <v>408</v>
      </c>
      <c r="B47" s="465" t="s">
        <v>195</v>
      </c>
      <c r="C47" s="472" t="s">
        <v>409</v>
      </c>
      <c r="D47" s="500" t="s">
        <v>410</v>
      </c>
      <c r="E47" s="465" t="s">
        <v>158</v>
      </c>
      <c r="F47" s="465" t="s">
        <v>408</v>
      </c>
      <c r="G47" s="472" t="s">
        <v>411</v>
      </c>
      <c r="H47" s="480" t="n">
        <v>200000</v>
      </c>
      <c r="I47" s="517" t="s">
        <v>412</v>
      </c>
      <c r="J47" s="469"/>
      <c r="K47" s="475"/>
      <c r="L47" s="499"/>
      <c r="O47" s="457"/>
      <c r="P47" s="476"/>
      <c r="Q47" s="477"/>
      <c r="R47" s="477"/>
      <c r="S47" s="477"/>
      <c r="T47" s="481"/>
      <c r="U47" s="479"/>
      <c r="V47" s="498"/>
      <c r="W47" s="463"/>
      <c r="X47" s="463"/>
      <c r="Y47" s="463"/>
      <c r="Z47" s="463"/>
      <c r="AA47" s="463"/>
      <c r="AB47" s="463"/>
      <c r="AC47" s="463"/>
      <c r="AD47" s="463"/>
      <c r="AE47" s="463"/>
      <c r="AF47" s="463"/>
      <c r="AG47" s="463"/>
      <c r="AH47" s="463"/>
      <c r="AI47" s="463"/>
      <c r="AJ47" s="463"/>
      <c r="AK47" s="463"/>
      <c r="AL47" s="463"/>
      <c r="AM47" s="463"/>
      <c r="AN47" s="463"/>
      <c r="AO47" s="463"/>
      <c r="AP47" s="463"/>
      <c r="AQ47" s="463"/>
      <c r="AR47" s="463"/>
      <c r="AS47" s="463"/>
      <c r="AT47" s="463"/>
      <c r="AU47" s="463"/>
      <c r="AV47" s="463"/>
      <c r="AW47" s="463"/>
      <c r="AX47" s="463"/>
      <c r="AY47" s="463"/>
      <c r="AZ47" s="463"/>
      <c r="BA47" s="463"/>
      <c r="BB47" s="463"/>
      <c r="BC47" s="463"/>
      <c r="BD47" s="463"/>
      <c r="BE47" s="463"/>
      <c r="BF47" s="463"/>
      <c r="BG47" s="463"/>
      <c r="BH47" s="463"/>
      <c r="BI47" s="463"/>
      <c r="BJ47" s="463"/>
    </row>
    <row r="48" customFormat="false" ht="19.5" hidden="false" customHeight="true" outlineLevel="0" collapsed="false">
      <c r="A48" s="465" t="s">
        <v>413</v>
      </c>
      <c r="B48" s="465" t="s">
        <v>195</v>
      </c>
      <c r="C48" s="472" t="s">
        <v>414</v>
      </c>
      <c r="D48" s="500" t="s">
        <v>415</v>
      </c>
      <c r="E48" s="465" t="s">
        <v>158</v>
      </c>
      <c r="F48" s="465" t="s">
        <v>413</v>
      </c>
      <c r="G48" s="518"/>
      <c r="H48" s="519"/>
      <c r="I48" s="517" t="s">
        <v>416</v>
      </c>
      <c r="J48" s="520"/>
      <c r="K48" s="521"/>
      <c r="L48" s="522"/>
      <c r="O48" s="457"/>
      <c r="P48" s="476"/>
      <c r="Q48" s="477"/>
      <c r="R48" s="477"/>
      <c r="S48" s="477"/>
      <c r="T48" s="481"/>
      <c r="U48" s="479"/>
      <c r="V48" s="498"/>
      <c r="W48" s="463"/>
      <c r="X48" s="463"/>
      <c r="Y48" s="463"/>
      <c r="Z48" s="463"/>
      <c r="AA48" s="463"/>
      <c r="AB48" s="463"/>
      <c r="AC48" s="463"/>
      <c r="AD48" s="463"/>
      <c r="AE48" s="463"/>
      <c r="AF48" s="463"/>
      <c r="AG48" s="463"/>
      <c r="AH48" s="463"/>
      <c r="AI48" s="463"/>
      <c r="AJ48" s="463"/>
      <c r="AK48" s="463"/>
      <c r="AL48" s="463"/>
      <c r="AM48" s="463"/>
      <c r="AN48" s="463"/>
      <c r="AO48" s="463"/>
      <c r="AP48" s="463"/>
      <c r="AQ48" s="463"/>
      <c r="AR48" s="463"/>
      <c r="AS48" s="463"/>
      <c r="AT48" s="463"/>
      <c r="AU48" s="463"/>
      <c r="AV48" s="463"/>
      <c r="AW48" s="463"/>
      <c r="AX48" s="463"/>
      <c r="AY48" s="463"/>
      <c r="AZ48" s="463"/>
      <c r="BA48" s="463"/>
      <c r="BB48" s="463"/>
      <c r="BC48" s="463"/>
      <c r="BD48" s="463"/>
      <c r="BE48" s="463"/>
      <c r="BF48" s="463"/>
      <c r="BG48" s="463"/>
      <c r="BH48" s="463"/>
      <c r="BI48" s="463"/>
      <c r="BJ48" s="463"/>
    </row>
    <row r="49" customFormat="false" ht="19.5" hidden="false" customHeight="true" outlineLevel="0" collapsed="false">
      <c r="A49" s="465" t="s">
        <v>417</v>
      </c>
      <c r="B49" s="465" t="s">
        <v>195</v>
      </c>
      <c r="C49" s="472" t="s">
        <v>418</v>
      </c>
      <c r="D49" s="500" t="s">
        <v>419</v>
      </c>
      <c r="E49" s="465" t="s">
        <v>158</v>
      </c>
      <c r="F49" s="465" t="s">
        <v>417</v>
      </c>
      <c r="G49" s="518"/>
      <c r="H49" s="519"/>
      <c r="I49" s="517" t="s">
        <v>420</v>
      </c>
      <c r="J49" s="520"/>
      <c r="K49" s="521"/>
      <c r="L49" s="522"/>
      <c r="O49" s="457"/>
      <c r="P49" s="476"/>
      <c r="Q49" s="477"/>
      <c r="R49" s="477"/>
      <c r="S49" s="477"/>
      <c r="T49" s="481"/>
      <c r="U49" s="479"/>
      <c r="V49" s="498"/>
      <c r="W49" s="463"/>
      <c r="X49" s="463"/>
      <c r="Y49" s="463"/>
      <c r="Z49" s="463"/>
      <c r="AA49" s="463"/>
      <c r="AB49" s="463"/>
      <c r="AC49" s="463"/>
      <c r="AD49" s="463"/>
      <c r="AE49" s="463"/>
      <c r="AF49" s="463"/>
      <c r="AG49" s="463"/>
      <c r="AH49" s="463"/>
      <c r="AI49" s="463"/>
      <c r="AJ49" s="463"/>
      <c r="AK49" s="463"/>
      <c r="AL49" s="463"/>
      <c r="AM49" s="463"/>
      <c r="AN49" s="463"/>
      <c r="AO49" s="463"/>
      <c r="AP49" s="463"/>
      <c r="AQ49" s="463"/>
      <c r="AR49" s="463"/>
      <c r="AS49" s="463"/>
      <c r="AT49" s="463"/>
      <c r="AU49" s="463"/>
      <c r="AV49" s="463"/>
      <c r="AW49" s="463"/>
      <c r="AX49" s="463"/>
      <c r="AY49" s="463"/>
      <c r="AZ49" s="463"/>
      <c r="BA49" s="463"/>
      <c r="BB49" s="463"/>
      <c r="BC49" s="463"/>
      <c r="BD49" s="463"/>
      <c r="BE49" s="463"/>
      <c r="BF49" s="463"/>
      <c r="BG49" s="463"/>
      <c r="BH49" s="463"/>
      <c r="BI49" s="463"/>
      <c r="BJ49" s="463"/>
    </row>
    <row r="50" customFormat="false" ht="19.5" hidden="false" customHeight="true" outlineLevel="0" collapsed="false">
      <c r="A50" s="465" t="s">
        <v>421</v>
      </c>
      <c r="B50" s="465" t="s">
        <v>195</v>
      </c>
      <c r="C50" s="472" t="s">
        <v>422</v>
      </c>
      <c r="D50" s="500" t="s">
        <v>423</v>
      </c>
      <c r="E50" s="465" t="s">
        <v>158</v>
      </c>
      <c r="F50" s="465" t="s">
        <v>421</v>
      </c>
      <c r="G50" s="472" t="s">
        <v>424</v>
      </c>
      <c r="H50" s="480" t="n">
        <v>200000</v>
      </c>
      <c r="I50" s="517" t="s">
        <v>425</v>
      </c>
      <c r="J50" s="469"/>
      <c r="K50" s="475"/>
      <c r="L50" s="499"/>
      <c r="O50" s="457"/>
      <c r="P50" s="476"/>
      <c r="Q50" s="477"/>
      <c r="R50" s="477"/>
      <c r="S50" s="477"/>
      <c r="T50" s="481"/>
      <c r="U50" s="479"/>
      <c r="V50" s="498"/>
      <c r="W50" s="463"/>
      <c r="X50" s="463"/>
      <c r="Y50" s="463"/>
      <c r="Z50" s="463"/>
      <c r="AA50" s="463"/>
      <c r="AB50" s="463"/>
      <c r="AC50" s="463"/>
      <c r="AD50" s="463"/>
      <c r="AE50" s="463"/>
      <c r="AF50" s="463"/>
      <c r="AG50" s="463"/>
      <c r="AH50" s="463"/>
      <c r="AI50" s="463"/>
      <c r="AJ50" s="463"/>
      <c r="AK50" s="463"/>
      <c r="AL50" s="463"/>
      <c r="AM50" s="463"/>
      <c r="AN50" s="463"/>
      <c r="AO50" s="463"/>
      <c r="AP50" s="463"/>
      <c r="AQ50" s="463"/>
      <c r="AR50" s="463"/>
      <c r="AS50" s="463"/>
      <c r="AT50" s="463"/>
      <c r="AU50" s="463"/>
      <c r="AV50" s="463"/>
      <c r="AW50" s="463"/>
      <c r="AX50" s="463"/>
      <c r="AY50" s="463"/>
      <c r="AZ50" s="463"/>
      <c r="BA50" s="463"/>
      <c r="BB50" s="463"/>
      <c r="BC50" s="463"/>
      <c r="BD50" s="463"/>
      <c r="BE50" s="463"/>
      <c r="BF50" s="463"/>
      <c r="BG50" s="463"/>
      <c r="BH50" s="463"/>
      <c r="BI50" s="463"/>
      <c r="BJ50" s="463"/>
    </row>
    <row r="51" customFormat="false" ht="19.5" hidden="false" customHeight="true" outlineLevel="0" collapsed="false">
      <c r="A51" s="465" t="s">
        <v>426</v>
      </c>
      <c r="B51" s="465" t="s">
        <v>195</v>
      </c>
      <c r="C51" s="472" t="s">
        <v>427</v>
      </c>
      <c r="D51" s="500" t="s">
        <v>428</v>
      </c>
      <c r="E51" s="465" t="s">
        <v>166</v>
      </c>
      <c r="F51" s="465" t="s">
        <v>426</v>
      </c>
      <c r="G51" s="472" t="s">
        <v>429</v>
      </c>
      <c r="H51" s="480" t="n">
        <v>200000</v>
      </c>
      <c r="I51" s="517" t="s">
        <v>430</v>
      </c>
      <c r="J51" s="469"/>
      <c r="K51" s="475"/>
      <c r="L51" s="499"/>
      <c r="O51" s="457"/>
      <c r="P51" s="476"/>
      <c r="Q51" s="477"/>
      <c r="R51" s="477"/>
      <c r="S51" s="477"/>
      <c r="T51" s="481"/>
      <c r="U51" s="479"/>
      <c r="V51" s="498"/>
      <c r="W51" s="463"/>
      <c r="X51" s="463"/>
      <c r="Y51" s="463"/>
      <c r="Z51" s="463"/>
      <c r="AA51" s="463"/>
      <c r="AB51" s="463"/>
      <c r="AC51" s="463"/>
      <c r="AD51" s="463"/>
      <c r="AE51" s="463"/>
      <c r="AF51" s="463"/>
      <c r="AG51" s="463"/>
      <c r="AH51" s="463"/>
      <c r="AI51" s="463"/>
      <c r="AJ51" s="463"/>
      <c r="AK51" s="463"/>
      <c r="AL51" s="463"/>
      <c r="AM51" s="463"/>
      <c r="AN51" s="463"/>
      <c r="AO51" s="463"/>
      <c r="AP51" s="463"/>
      <c r="AQ51" s="463"/>
      <c r="AR51" s="463"/>
      <c r="AS51" s="463"/>
      <c r="AT51" s="463"/>
      <c r="AU51" s="463"/>
      <c r="AV51" s="463"/>
      <c r="AW51" s="463"/>
      <c r="AX51" s="463"/>
      <c r="AY51" s="463"/>
      <c r="AZ51" s="463"/>
      <c r="BA51" s="463"/>
      <c r="BB51" s="463"/>
      <c r="BC51" s="463"/>
      <c r="BD51" s="463"/>
      <c r="BE51" s="463"/>
      <c r="BF51" s="463"/>
      <c r="BG51" s="463"/>
      <c r="BH51" s="463"/>
      <c r="BI51" s="463"/>
      <c r="BJ51" s="463"/>
    </row>
    <row r="52" customFormat="false" ht="19.5" hidden="false" customHeight="true" outlineLevel="0" collapsed="false">
      <c r="A52" s="465" t="s">
        <v>431</v>
      </c>
      <c r="B52" s="465" t="s">
        <v>195</v>
      </c>
      <c r="C52" s="472" t="s">
        <v>432</v>
      </c>
      <c r="D52" s="500" t="s">
        <v>433</v>
      </c>
      <c r="E52" s="465" t="s">
        <v>158</v>
      </c>
      <c r="F52" s="465" t="s">
        <v>431</v>
      </c>
      <c r="G52" s="472" t="s">
        <v>434</v>
      </c>
      <c r="H52" s="480" t="n">
        <v>200000</v>
      </c>
      <c r="I52" s="517" t="s">
        <v>435</v>
      </c>
      <c r="J52" s="469"/>
      <c r="K52" s="475"/>
      <c r="L52" s="499"/>
      <c r="O52" s="457"/>
      <c r="P52" s="476"/>
      <c r="Q52" s="477"/>
      <c r="R52" s="477"/>
      <c r="S52" s="477"/>
      <c r="T52" s="481"/>
      <c r="U52" s="479"/>
      <c r="V52" s="498"/>
      <c r="W52" s="463"/>
      <c r="X52" s="463"/>
      <c r="Y52" s="463"/>
      <c r="Z52" s="463"/>
      <c r="AA52" s="463"/>
      <c r="AB52" s="463"/>
      <c r="AC52" s="463"/>
      <c r="AD52" s="463"/>
      <c r="AE52" s="463"/>
      <c r="AF52" s="463"/>
      <c r="AG52" s="463"/>
      <c r="AH52" s="463"/>
      <c r="AI52" s="463"/>
      <c r="AJ52" s="463"/>
      <c r="AK52" s="463"/>
      <c r="AL52" s="463"/>
      <c r="AM52" s="463"/>
      <c r="AN52" s="463"/>
      <c r="AO52" s="463"/>
      <c r="AP52" s="463"/>
      <c r="AQ52" s="463"/>
      <c r="AR52" s="463"/>
      <c r="AS52" s="463"/>
      <c r="AT52" s="463"/>
      <c r="AU52" s="463"/>
      <c r="AV52" s="463"/>
      <c r="AW52" s="463"/>
      <c r="AX52" s="463"/>
      <c r="AY52" s="463"/>
      <c r="AZ52" s="463"/>
      <c r="BA52" s="463"/>
      <c r="BB52" s="463"/>
      <c r="BC52" s="463"/>
      <c r="BD52" s="463"/>
      <c r="BE52" s="463"/>
      <c r="BF52" s="463"/>
      <c r="BG52" s="463"/>
      <c r="BH52" s="463"/>
      <c r="BI52" s="463"/>
      <c r="BJ52" s="463"/>
    </row>
    <row r="53" customFormat="false" ht="19.5" hidden="false" customHeight="true" outlineLevel="0" collapsed="false">
      <c r="A53" s="465" t="s">
        <v>436</v>
      </c>
      <c r="B53" s="465" t="s">
        <v>195</v>
      </c>
      <c r="C53" s="472" t="s">
        <v>437</v>
      </c>
      <c r="D53" s="500" t="s">
        <v>438</v>
      </c>
      <c r="E53" s="465" t="s">
        <v>158</v>
      </c>
      <c r="F53" s="465" t="s">
        <v>436</v>
      </c>
      <c r="G53" s="472" t="s">
        <v>439</v>
      </c>
      <c r="H53" s="480" t="n">
        <v>200000</v>
      </c>
      <c r="I53" s="517" t="s">
        <v>440</v>
      </c>
      <c r="J53" s="469"/>
      <c r="K53" s="475"/>
      <c r="L53" s="499"/>
      <c r="O53" s="457"/>
      <c r="P53" s="476"/>
      <c r="Q53" s="477"/>
      <c r="R53" s="477"/>
      <c r="S53" s="477"/>
      <c r="T53" s="481"/>
      <c r="U53" s="479"/>
      <c r="V53" s="498"/>
      <c r="W53" s="463"/>
      <c r="X53" s="463"/>
      <c r="Y53" s="463"/>
      <c r="Z53" s="463"/>
      <c r="AA53" s="463"/>
      <c r="AB53" s="463"/>
      <c r="AC53" s="463"/>
      <c r="AD53" s="463"/>
      <c r="AE53" s="463"/>
      <c r="AF53" s="463"/>
      <c r="AG53" s="463"/>
      <c r="AH53" s="463"/>
      <c r="AI53" s="463"/>
      <c r="AJ53" s="463"/>
      <c r="AK53" s="463"/>
      <c r="AL53" s="463"/>
      <c r="AM53" s="463"/>
      <c r="AN53" s="463"/>
      <c r="AO53" s="463"/>
      <c r="AP53" s="463"/>
      <c r="AQ53" s="463"/>
      <c r="AR53" s="463"/>
      <c r="AS53" s="463"/>
      <c r="AT53" s="463"/>
      <c r="AU53" s="463"/>
      <c r="AV53" s="463"/>
      <c r="AW53" s="463"/>
      <c r="AX53" s="463"/>
      <c r="AY53" s="463"/>
      <c r="AZ53" s="463"/>
      <c r="BA53" s="463"/>
      <c r="BB53" s="463"/>
      <c r="BC53" s="463"/>
      <c r="BD53" s="463"/>
      <c r="BE53" s="463"/>
      <c r="BF53" s="463"/>
      <c r="BG53" s="463"/>
      <c r="BH53" s="463"/>
      <c r="BI53" s="463"/>
      <c r="BJ53" s="463"/>
    </row>
    <row r="54" customFormat="false" ht="19.5" hidden="false" customHeight="true" outlineLevel="0" collapsed="false">
      <c r="A54" s="465" t="s">
        <v>441</v>
      </c>
      <c r="B54" s="465" t="s">
        <v>195</v>
      </c>
      <c r="C54" s="472" t="s">
        <v>442</v>
      </c>
      <c r="D54" s="500" t="s">
        <v>443</v>
      </c>
      <c r="E54" s="465" t="s">
        <v>158</v>
      </c>
      <c r="F54" s="465" t="s">
        <v>441</v>
      </c>
      <c r="G54" s="472" t="s">
        <v>444</v>
      </c>
      <c r="H54" s="480" t="n">
        <v>200000</v>
      </c>
      <c r="I54" s="517" t="s">
        <v>445</v>
      </c>
      <c r="J54" s="469"/>
      <c r="K54" s="475"/>
      <c r="L54" s="499"/>
      <c r="O54" s="457"/>
      <c r="P54" s="476"/>
      <c r="Q54" s="477"/>
      <c r="R54" s="477"/>
      <c r="S54" s="477"/>
      <c r="T54" s="481"/>
      <c r="U54" s="479"/>
      <c r="V54" s="498"/>
      <c r="W54" s="463"/>
      <c r="X54" s="463"/>
      <c r="Y54" s="463"/>
      <c r="Z54" s="463"/>
      <c r="AA54" s="463"/>
      <c r="AB54" s="463"/>
      <c r="AC54" s="463"/>
      <c r="AD54" s="463"/>
      <c r="AE54" s="463"/>
      <c r="AF54" s="463"/>
      <c r="AG54" s="463"/>
      <c r="AH54" s="463"/>
      <c r="AI54" s="463"/>
      <c r="AJ54" s="463"/>
      <c r="AK54" s="463"/>
      <c r="AL54" s="463"/>
      <c r="AM54" s="463"/>
      <c r="AN54" s="463"/>
      <c r="AO54" s="463"/>
      <c r="AP54" s="463"/>
      <c r="AQ54" s="463"/>
      <c r="AR54" s="463"/>
      <c r="AS54" s="463"/>
      <c r="AT54" s="463"/>
      <c r="AU54" s="463"/>
      <c r="AV54" s="463"/>
      <c r="AW54" s="463"/>
      <c r="AX54" s="463"/>
      <c r="AY54" s="463"/>
      <c r="AZ54" s="463"/>
      <c r="BA54" s="463"/>
      <c r="BB54" s="463"/>
      <c r="BC54" s="463"/>
      <c r="BD54" s="463"/>
      <c r="BE54" s="463"/>
      <c r="BF54" s="463"/>
      <c r="BG54" s="463"/>
      <c r="BH54" s="463"/>
      <c r="BI54" s="463"/>
      <c r="BJ54" s="463"/>
    </row>
    <row r="55" customFormat="false" ht="19.5" hidden="false" customHeight="true" outlineLevel="0" collapsed="false">
      <c r="A55" s="465" t="s">
        <v>446</v>
      </c>
      <c r="B55" s="465" t="s">
        <v>207</v>
      </c>
      <c r="C55" s="472" t="s">
        <v>447</v>
      </c>
      <c r="D55" s="500" t="s">
        <v>448</v>
      </c>
      <c r="E55" s="465" t="s">
        <v>158</v>
      </c>
      <c r="F55" s="465" t="s">
        <v>446</v>
      </c>
      <c r="G55" s="472" t="s">
        <v>449</v>
      </c>
      <c r="H55" s="480" t="n">
        <v>200000</v>
      </c>
      <c r="I55" s="517" t="s">
        <v>450</v>
      </c>
      <c r="J55" s="523" t="s">
        <v>211</v>
      </c>
      <c r="K55" s="475" t="s">
        <v>451</v>
      </c>
      <c r="L55" s="499"/>
      <c r="O55" s="457"/>
      <c r="P55" s="476"/>
      <c r="Q55" s="477"/>
      <c r="R55" s="477"/>
      <c r="S55" s="477"/>
      <c r="T55" s="481"/>
      <c r="U55" s="479"/>
      <c r="V55" s="479"/>
      <c r="W55" s="463"/>
      <c r="X55" s="463"/>
      <c r="Y55" s="463"/>
      <c r="Z55" s="463"/>
      <c r="AA55" s="463"/>
      <c r="AB55" s="463"/>
      <c r="AC55" s="463"/>
      <c r="AD55" s="463"/>
      <c r="AE55" s="463"/>
      <c r="AF55" s="463"/>
      <c r="AG55" s="463"/>
      <c r="AH55" s="463"/>
      <c r="AI55" s="463"/>
      <c r="AJ55" s="463"/>
      <c r="AK55" s="463"/>
      <c r="AL55" s="463"/>
      <c r="AM55" s="463"/>
      <c r="AN55" s="463"/>
      <c r="AO55" s="463"/>
      <c r="AP55" s="463"/>
      <c r="AQ55" s="463"/>
      <c r="AR55" s="463"/>
      <c r="AS55" s="463"/>
      <c r="AT55" s="463"/>
      <c r="AU55" s="463"/>
      <c r="AV55" s="463"/>
      <c r="AW55" s="463"/>
      <c r="AX55" s="463"/>
      <c r="AY55" s="463"/>
      <c r="AZ55" s="463"/>
      <c r="BA55" s="463"/>
      <c r="BB55" s="463"/>
      <c r="BC55" s="463"/>
      <c r="BD55" s="463"/>
      <c r="BE55" s="463"/>
      <c r="BF55" s="463"/>
      <c r="BG55" s="463"/>
      <c r="BH55" s="463"/>
      <c r="BI55" s="463"/>
      <c r="BJ55" s="463"/>
    </row>
    <row r="56" customFormat="false" ht="19.5" hidden="false" customHeight="true" outlineLevel="0" collapsed="false">
      <c r="A56" s="465" t="s">
        <v>452</v>
      </c>
      <c r="B56" s="465" t="s">
        <v>207</v>
      </c>
      <c r="C56" s="472" t="s">
        <v>453</v>
      </c>
      <c r="D56" s="500" t="s">
        <v>454</v>
      </c>
      <c r="E56" s="465" t="s">
        <v>210</v>
      </c>
      <c r="F56" s="465" t="s">
        <v>452</v>
      </c>
      <c r="G56" s="472" t="s">
        <v>455</v>
      </c>
      <c r="H56" s="480" t="n">
        <v>200000</v>
      </c>
      <c r="I56" s="517" t="s">
        <v>456</v>
      </c>
      <c r="J56" s="523" t="s">
        <v>211</v>
      </c>
      <c r="K56" s="475" t="s">
        <v>457</v>
      </c>
      <c r="L56" s="499"/>
      <c r="O56" s="457"/>
      <c r="P56" s="476"/>
      <c r="Q56" s="477"/>
      <c r="R56" s="477"/>
      <c r="S56" s="477"/>
      <c r="T56" s="481"/>
      <c r="U56" s="479"/>
      <c r="V56" s="479"/>
      <c r="W56" s="463"/>
      <c r="X56" s="463"/>
      <c r="Y56" s="463"/>
      <c r="Z56" s="463"/>
      <c r="AA56" s="463"/>
      <c r="AB56" s="463"/>
      <c r="AC56" s="463"/>
      <c r="AD56" s="463"/>
      <c r="AE56" s="463"/>
      <c r="AF56" s="463"/>
      <c r="AG56" s="463"/>
      <c r="AH56" s="463"/>
      <c r="AI56" s="463"/>
      <c r="AJ56" s="463"/>
      <c r="AK56" s="463"/>
      <c r="AL56" s="463"/>
      <c r="AM56" s="463"/>
      <c r="AN56" s="463"/>
      <c r="AO56" s="463"/>
      <c r="AP56" s="463"/>
      <c r="AQ56" s="463"/>
      <c r="AR56" s="463"/>
      <c r="AS56" s="463"/>
      <c r="AT56" s="463"/>
      <c r="AU56" s="463"/>
      <c r="AV56" s="463"/>
      <c r="AW56" s="463"/>
      <c r="AX56" s="463"/>
      <c r="AY56" s="463"/>
      <c r="AZ56" s="463"/>
      <c r="BA56" s="463"/>
      <c r="BB56" s="463"/>
      <c r="BC56" s="463"/>
      <c r="BD56" s="463"/>
      <c r="BE56" s="463"/>
      <c r="BF56" s="463"/>
      <c r="BG56" s="463"/>
      <c r="BH56" s="463"/>
      <c r="BI56" s="463"/>
      <c r="BJ56" s="463"/>
    </row>
    <row r="57" customFormat="false" ht="19.5" hidden="false" customHeight="true" outlineLevel="0" collapsed="false">
      <c r="A57" s="465" t="s">
        <v>458</v>
      </c>
      <c r="B57" s="465" t="s">
        <v>207</v>
      </c>
      <c r="C57" s="472" t="s">
        <v>459</v>
      </c>
      <c r="D57" s="500" t="s">
        <v>460</v>
      </c>
      <c r="E57" s="465" t="s">
        <v>210</v>
      </c>
      <c r="F57" s="465" t="s">
        <v>458</v>
      </c>
      <c r="G57" s="472" t="s">
        <v>455</v>
      </c>
      <c r="H57" s="480" t="n">
        <v>200000</v>
      </c>
      <c r="I57" s="517" t="s">
        <v>461</v>
      </c>
      <c r="J57" s="524" t="s">
        <v>211</v>
      </c>
      <c r="K57" s="475"/>
      <c r="L57" s="499"/>
      <c r="O57" s="457"/>
      <c r="P57" s="476"/>
      <c r="Q57" s="477"/>
      <c r="R57" s="477"/>
      <c r="S57" s="477"/>
      <c r="T57" s="481"/>
      <c r="U57" s="479"/>
      <c r="V57" s="498"/>
      <c r="W57" s="463"/>
      <c r="X57" s="463"/>
      <c r="Y57" s="463"/>
      <c r="Z57" s="463"/>
      <c r="AA57" s="463"/>
      <c r="AB57" s="463"/>
      <c r="AC57" s="463"/>
      <c r="AD57" s="463"/>
      <c r="AE57" s="463"/>
      <c r="AF57" s="463"/>
      <c r="AG57" s="463"/>
      <c r="AH57" s="463"/>
      <c r="AI57" s="463"/>
      <c r="AJ57" s="463"/>
      <c r="AK57" s="463"/>
      <c r="AL57" s="463"/>
      <c r="AM57" s="463"/>
      <c r="AN57" s="463"/>
      <c r="AO57" s="463"/>
      <c r="AP57" s="463"/>
      <c r="AQ57" s="463"/>
      <c r="AR57" s="463"/>
      <c r="AS57" s="463"/>
      <c r="AT57" s="463"/>
      <c r="AU57" s="463"/>
      <c r="AV57" s="463"/>
      <c r="AW57" s="463"/>
      <c r="AX57" s="463"/>
      <c r="AY57" s="463"/>
      <c r="AZ57" s="463"/>
      <c r="BA57" s="463"/>
      <c r="BB57" s="463"/>
      <c r="BC57" s="463"/>
      <c r="BD57" s="463"/>
      <c r="BE57" s="463"/>
      <c r="BF57" s="463"/>
      <c r="BG57" s="463"/>
      <c r="BH57" s="463"/>
      <c r="BI57" s="463"/>
      <c r="BJ57" s="463"/>
    </row>
    <row r="58" customFormat="false" ht="19.5" hidden="false" customHeight="true" outlineLevel="0" collapsed="false">
      <c r="A58" s="465" t="s">
        <v>462</v>
      </c>
      <c r="B58" s="465" t="s">
        <v>207</v>
      </c>
      <c r="C58" s="472" t="s">
        <v>463</v>
      </c>
      <c r="D58" s="500" t="s">
        <v>464</v>
      </c>
      <c r="E58" s="465" t="s">
        <v>210</v>
      </c>
      <c r="F58" s="465" t="s">
        <v>462</v>
      </c>
      <c r="G58" s="472" t="s">
        <v>455</v>
      </c>
      <c r="H58" s="480" t="n">
        <v>200000</v>
      </c>
      <c r="I58" s="517" t="s">
        <v>465</v>
      </c>
      <c r="J58" s="524" t="s">
        <v>211</v>
      </c>
      <c r="K58" s="475"/>
      <c r="L58" s="499"/>
      <c r="O58" s="457"/>
      <c r="P58" s="476"/>
      <c r="Q58" s="477"/>
      <c r="R58" s="477"/>
      <c r="S58" s="477"/>
      <c r="T58" s="481"/>
      <c r="U58" s="479"/>
      <c r="V58" s="498"/>
      <c r="W58" s="463"/>
      <c r="X58" s="463"/>
      <c r="Y58" s="463"/>
      <c r="Z58" s="463"/>
      <c r="AA58" s="463"/>
      <c r="AB58" s="463"/>
      <c r="AC58" s="463"/>
      <c r="AD58" s="463"/>
      <c r="AE58" s="463"/>
      <c r="AF58" s="463"/>
      <c r="AG58" s="463"/>
      <c r="AH58" s="463"/>
      <c r="AI58" s="463"/>
      <c r="AJ58" s="463"/>
      <c r="AK58" s="463"/>
      <c r="AL58" s="463"/>
      <c r="AM58" s="463"/>
      <c r="AN58" s="463"/>
      <c r="AO58" s="463"/>
      <c r="AP58" s="463"/>
      <c r="AQ58" s="463"/>
      <c r="AR58" s="463"/>
      <c r="AS58" s="463"/>
      <c r="AT58" s="463"/>
      <c r="AU58" s="463"/>
      <c r="AV58" s="463"/>
      <c r="AW58" s="463"/>
      <c r="AX58" s="463"/>
      <c r="AY58" s="463"/>
      <c r="AZ58" s="463"/>
      <c r="BA58" s="463"/>
      <c r="BB58" s="463"/>
      <c r="BC58" s="463"/>
      <c r="BD58" s="463"/>
      <c r="BE58" s="463"/>
      <c r="BF58" s="463"/>
      <c r="BG58" s="463"/>
      <c r="BH58" s="463"/>
      <c r="BI58" s="463"/>
      <c r="BJ58" s="463"/>
    </row>
    <row r="59" customFormat="false" ht="19.5" hidden="false" customHeight="true" outlineLevel="0" collapsed="false">
      <c r="A59" s="465" t="s">
        <v>466</v>
      </c>
      <c r="B59" s="465" t="s">
        <v>195</v>
      </c>
      <c r="C59" s="472" t="s">
        <v>467</v>
      </c>
      <c r="D59" s="500" t="s">
        <v>468</v>
      </c>
      <c r="E59" s="465" t="s">
        <v>353</v>
      </c>
      <c r="F59" s="465" t="s">
        <v>466</v>
      </c>
      <c r="G59" s="472" t="s">
        <v>469</v>
      </c>
      <c r="H59" s="480" t="n">
        <v>200000</v>
      </c>
      <c r="I59" s="472" t="s">
        <v>269</v>
      </c>
      <c r="J59" s="469"/>
      <c r="K59" s="475"/>
      <c r="L59" s="499"/>
      <c r="O59" s="457"/>
      <c r="P59" s="476"/>
      <c r="Q59" s="477"/>
      <c r="R59" s="477"/>
      <c r="S59" s="477"/>
      <c r="T59" s="481"/>
      <c r="U59" s="476"/>
      <c r="V59" s="498"/>
      <c r="W59" s="463"/>
      <c r="X59" s="463"/>
      <c r="Y59" s="463"/>
      <c r="Z59" s="463"/>
      <c r="AA59" s="463"/>
      <c r="AB59" s="463"/>
      <c r="AC59" s="463"/>
      <c r="AD59" s="463"/>
      <c r="AE59" s="463"/>
      <c r="AF59" s="463"/>
      <c r="AG59" s="463"/>
      <c r="AH59" s="463"/>
      <c r="AI59" s="463"/>
      <c r="AJ59" s="463"/>
      <c r="AK59" s="463"/>
      <c r="AL59" s="463"/>
      <c r="AM59" s="463"/>
      <c r="AN59" s="463"/>
      <c r="AO59" s="463"/>
      <c r="AP59" s="463"/>
      <c r="AQ59" s="463"/>
      <c r="AR59" s="463"/>
      <c r="AS59" s="463"/>
      <c r="AT59" s="463"/>
      <c r="AU59" s="463"/>
      <c r="AV59" s="463"/>
      <c r="AW59" s="463"/>
      <c r="AX59" s="463"/>
      <c r="AY59" s="463"/>
      <c r="AZ59" s="463"/>
      <c r="BA59" s="463"/>
      <c r="BB59" s="463"/>
      <c r="BC59" s="463"/>
      <c r="BD59" s="463"/>
      <c r="BE59" s="463"/>
      <c r="BF59" s="463"/>
      <c r="BG59" s="463"/>
      <c r="BH59" s="463"/>
      <c r="BI59" s="463"/>
      <c r="BJ59" s="463"/>
    </row>
    <row r="60" customFormat="false" ht="19.5" hidden="false" customHeight="true" outlineLevel="0" collapsed="false">
      <c r="A60" s="465" t="s">
        <v>470</v>
      </c>
      <c r="B60" s="465" t="s">
        <v>163</v>
      </c>
      <c r="C60" s="472" t="s">
        <v>471</v>
      </c>
      <c r="D60" s="500" t="s">
        <v>472</v>
      </c>
      <c r="E60" s="465" t="s">
        <v>158</v>
      </c>
      <c r="F60" s="465" t="s">
        <v>470</v>
      </c>
      <c r="G60" s="472" t="s">
        <v>473</v>
      </c>
      <c r="H60" s="480" t="n">
        <v>150000</v>
      </c>
      <c r="I60" s="467"/>
      <c r="J60" s="469"/>
      <c r="K60" s="475" t="s">
        <v>474</v>
      </c>
      <c r="L60" s="499"/>
      <c r="O60" s="457"/>
      <c r="P60" s="476"/>
      <c r="Q60" s="477"/>
      <c r="R60" s="477"/>
      <c r="S60" s="477"/>
      <c r="T60" s="481"/>
      <c r="U60" s="479"/>
      <c r="V60" s="498"/>
      <c r="W60" s="463"/>
      <c r="X60" s="463"/>
      <c r="Y60" s="463"/>
      <c r="Z60" s="463"/>
      <c r="AA60" s="463"/>
      <c r="AB60" s="463"/>
      <c r="AC60" s="463"/>
      <c r="AD60" s="463"/>
      <c r="AE60" s="463"/>
      <c r="AF60" s="463"/>
      <c r="AG60" s="463"/>
      <c r="AH60" s="463"/>
      <c r="AI60" s="463"/>
      <c r="AJ60" s="463"/>
      <c r="AK60" s="463"/>
      <c r="AL60" s="463"/>
      <c r="AM60" s="463"/>
      <c r="AN60" s="463"/>
      <c r="AO60" s="463"/>
      <c r="AP60" s="463"/>
      <c r="AQ60" s="463"/>
      <c r="AR60" s="463"/>
      <c r="AS60" s="463"/>
      <c r="AT60" s="463"/>
      <c r="AU60" s="463"/>
      <c r="AV60" s="463"/>
      <c r="AW60" s="463"/>
      <c r="AX60" s="463"/>
      <c r="AY60" s="463"/>
      <c r="AZ60" s="463"/>
      <c r="BA60" s="463"/>
      <c r="BB60" s="463"/>
      <c r="BC60" s="463"/>
      <c r="BD60" s="463"/>
      <c r="BE60" s="463"/>
      <c r="BF60" s="463"/>
      <c r="BG60" s="463"/>
      <c r="BH60" s="463"/>
      <c r="BI60" s="463"/>
      <c r="BJ60" s="463"/>
    </row>
    <row r="61" customFormat="false" ht="19.5" hidden="false" customHeight="true" outlineLevel="0" collapsed="false">
      <c r="A61" s="465" t="s">
        <v>475</v>
      </c>
      <c r="B61" s="465" t="s">
        <v>358</v>
      </c>
      <c r="C61" s="472" t="s">
        <v>476</v>
      </c>
      <c r="D61" s="500" t="s">
        <v>477</v>
      </c>
      <c r="E61" s="465"/>
      <c r="F61" s="465" t="s">
        <v>475</v>
      </c>
      <c r="G61" s="465"/>
      <c r="H61" s="480" t="n">
        <v>170000</v>
      </c>
      <c r="I61" s="467"/>
      <c r="J61" s="469"/>
      <c r="K61" s="475" t="s">
        <v>478</v>
      </c>
      <c r="L61" s="499"/>
      <c r="O61" s="457"/>
      <c r="P61" s="476"/>
      <c r="Q61" s="477"/>
      <c r="R61" s="477"/>
      <c r="S61" s="477"/>
      <c r="T61" s="481"/>
      <c r="U61" s="479"/>
      <c r="V61" s="498"/>
      <c r="W61" s="463"/>
      <c r="X61" s="463"/>
      <c r="Y61" s="463"/>
      <c r="Z61" s="463"/>
      <c r="AA61" s="463"/>
      <c r="AB61" s="463"/>
      <c r="AC61" s="463"/>
      <c r="AD61" s="463"/>
      <c r="AE61" s="463"/>
      <c r="AF61" s="463"/>
      <c r="AG61" s="463"/>
      <c r="AH61" s="463"/>
      <c r="AI61" s="463"/>
      <c r="AJ61" s="463"/>
      <c r="AK61" s="463"/>
      <c r="AL61" s="463"/>
      <c r="AM61" s="463"/>
      <c r="AN61" s="463"/>
      <c r="AO61" s="463"/>
      <c r="AP61" s="463"/>
      <c r="AQ61" s="463"/>
      <c r="AR61" s="463"/>
      <c r="AS61" s="463"/>
      <c r="AT61" s="463"/>
      <c r="AU61" s="463"/>
      <c r="AV61" s="463"/>
      <c r="AW61" s="463"/>
      <c r="AX61" s="463"/>
      <c r="AY61" s="463"/>
      <c r="AZ61" s="463"/>
      <c r="BA61" s="463"/>
      <c r="BB61" s="463"/>
      <c r="BC61" s="463"/>
      <c r="BD61" s="463"/>
      <c r="BE61" s="463"/>
      <c r="BF61" s="463"/>
      <c r="BG61" s="463"/>
      <c r="BH61" s="463"/>
      <c r="BI61" s="463"/>
      <c r="BJ61" s="463"/>
    </row>
    <row r="62" customFormat="false" ht="19.5" hidden="false" customHeight="true" outlineLevel="0" collapsed="false">
      <c r="A62" s="465" t="s">
        <v>479</v>
      </c>
      <c r="B62" s="465" t="s">
        <v>358</v>
      </c>
      <c r="C62" s="472" t="s">
        <v>480</v>
      </c>
      <c r="D62" s="500" t="s">
        <v>481</v>
      </c>
      <c r="E62" s="465" t="s">
        <v>158</v>
      </c>
      <c r="F62" s="465" t="s">
        <v>479</v>
      </c>
      <c r="G62" s="472" t="s">
        <v>482</v>
      </c>
      <c r="H62" s="480" t="n">
        <v>170000</v>
      </c>
      <c r="I62" s="467"/>
      <c r="J62" s="469"/>
      <c r="K62" s="475"/>
      <c r="L62" s="499"/>
      <c r="O62" s="457"/>
      <c r="P62" s="476"/>
      <c r="Q62" s="477"/>
      <c r="R62" s="477"/>
      <c r="S62" s="477"/>
      <c r="T62" s="481"/>
      <c r="U62" s="479"/>
      <c r="V62" s="498"/>
      <c r="W62" s="463"/>
      <c r="X62" s="463"/>
      <c r="Y62" s="463"/>
      <c r="Z62" s="463"/>
      <c r="AA62" s="463"/>
      <c r="AB62" s="463"/>
      <c r="AC62" s="463"/>
      <c r="AD62" s="463"/>
      <c r="AE62" s="463"/>
      <c r="AF62" s="463"/>
      <c r="AG62" s="463"/>
      <c r="AH62" s="463"/>
      <c r="AI62" s="463"/>
      <c r="AJ62" s="463"/>
      <c r="AK62" s="463"/>
      <c r="AL62" s="463"/>
      <c r="AM62" s="463"/>
      <c r="AN62" s="463"/>
      <c r="AO62" s="463"/>
      <c r="AP62" s="463"/>
      <c r="AQ62" s="463"/>
      <c r="AR62" s="463"/>
      <c r="AS62" s="463"/>
      <c r="AT62" s="463"/>
      <c r="AU62" s="463"/>
      <c r="AV62" s="463"/>
      <c r="AW62" s="463"/>
      <c r="AX62" s="463"/>
      <c r="AY62" s="463"/>
      <c r="AZ62" s="463"/>
      <c r="BA62" s="463"/>
      <c r="BB62" s="463"/>
      <c r="BC62" s="463"/>
      <c r="BD62" s="463"/>
      <c r="BE62" s="463"/>
      <c r="BF62" s="463"/>
      <c r="BG62" s="463"/>
      <c r="BH62" s="463"/>
      <c r="BI62" s="463"/>
      <c r="BJ62" s="463"/>
    </row>
    <row r="63" customFormat="false" ht="19.5" hidden="false" customHeight="true" outlineLevel="0" collapsed="false">
      <c r="A63" s="465"/>
      <c r="B63" s="465" t="s">
        <v>358</v>
      </c>
      <c r="C63" s="472" t="s">
        <v>483</v>
      </c>
      <c r="D63" s="500" t="s">
        <v>484</v>
      </c>
      <c r="E63" s="465" t="s">
        <v>353</v>
      </c>
      <c r="F63" s="465"/>
      <c r="G63" s="472" t="s">
        <v>485</v>
      </c>
      <c r="H63" s="480" t="n">
        <v>160000</v>
      </c>
      <c r="I63" s="467"/>
      <c r="J63" s="469"/>
      <c r="K63" s="475"/>
      <c r="L63" s="499" t="s">
        <v>486</v>
      </c>
      <c r="O63" s="457"/>
      <c r="P63" s="476"/>
      <c r="Q63" s="477"/>
      <c r="R63" s="477"/>
      <c r="S63" s="477"/>
      <c r="T63" s="481"/>
      <c r="U63" s="479"/>
      <c r="V63" s="498"/>
      <c r="W63" s="463"/>
      <c r="X63" s="463"/>
      <c r="Y63" s="463"/>
      <c r="Z63" s="463"/>
      <c r="AA63" s="463"/>
      <c r="AB63" s="463"/>
      <c r="AC63" s="463"/>
      <c r="AD63" s="463"/>
      <c r="AE63" s="463"/>
      <c r="AF63" s="463"/>
      <c r="AG63" s="463"/>
      <c r="AH63" s="463"/>
      <c r="AI63" s="463"/>
      <c r="AJ63" s="463"/>
      <c r="AK63" s="463"/>
      <c r="AL63" s="463"/>
      <c r="AM63" s="463"/>
      <c r="AN63" s="463"/>
      <c r="AO63" s="463"/>
      <c r="AP63" s="463"/>
      <c r="AQ63" s="463"/>
      <c r="AR63" s="463"/>
      <c r="AS63" s="463"/>
      <c r="AT63" s="463"/>
      <c r="AU63" s="463"/>
      <c r="AV63" s="463"/>
      <c r="AW63" s="463"/>
      <c r="AX63" s="463"/>
      <c r="AY63" s="463"/>
      <c r="AZ63" s="463"/>
      <c r="BA63" s="463"/>
      <c r="BB63" s="463"/>
      <c r="BC63" s="463"/>
      <c r="BD63" s="463"/>
      <c r="BE63" s="463"/>
      <c r="BF63" s="463"/>
      <c r="BG63" s="463"/>
      <c r="BH63" s="463"/>
      <c r="BI63" s="463"/>
      <c r="BJ63" s="463"/>
    </row>
    <row r="64" customFormat="false" ht="19.5" hidden="false" customHeight="true" outlineLevel="0" collapsed="false">
      <c r="A64" s="465" t="s">
        <v>487</v>
      </c>
      <c r="B64" s="465" t="s">
        <v>207</v>
      </c>
      <c r="C64" s="472" t="s">
        <v>488</v>
      </c>
      <c r="D64" s="500" t="s">
        <v>489</v>
      </c>
      <c r="E64" s="465" t="s">
        <v>158</v>
      </c>
      <c r="F64" s="465" t="s">
        <v>487</v>
      </c>
      <c r="G64" s="472" t="s">
        <v>449</v>
      </c>
      <c r="H64" s="480" t="n">
        <v>200000</v>
      </c>
      <c r="I64" s="467"/>
      <c r="J64" s="469"/>
      <c r="K64" s="475" t="s">
        <v>212</v>
      </c>
      <c r="L64" s="499"/>
      <c r="O64" s="457"/>
      <c r="P64" s="476"/>
      <c r="Q64" s="477"/>
      <c r="R64" s="477"/>
      <c r="S64" s="477"/>
      <c r="T64" s="481"/>
      <c r="U64" s="479"/>
      <c r="V64" s="498"/>
      <c r="W64" s="463"/>
      <c r="X64" s="463"/>
      <c r="Y64" s="463"/>
      <c r="Z64" s="463"/>
      <c r="AA64" s="463"/>
      <c r="AB64" s="463"/>
      <c r="AC64" s="463"/>
      <c r="AD64" s="463"/>
      <c r="AE64" s="463"/>
      <c r="AF64" s="463"/>
      <c r="AG64" s="463"/>
      <c r="AH64" s="463"/>
      <c r="AI64" s="463"/>
      <c r="AJ64" s="463"/>
      <c r="AK64" s="463"/>
      <c r="AL64" s="463"/>
      <c r="AM64" s="463"/>
      <c r="AN64" s="463"/>
      <c r="AO64" s="463"/>
      <c r="AP64" s="463"/>
      <c r="AQ64" s="463"/>
      <c r="AR64" s="463"/>
      <c r="AS64" s="463"/>
      <c r="AT64" s="463"/>
      <c r="AU64" s="463"/>
      <c r="AV64" s="463"/>
      <c r="AW64" s="463"/>
      <c r="AX64" s="463"/>
      <c r="AY64" s="463"/>
      <c r="AZ64" s="463"/>
      <c r="BA64" s="463"/>
      <c r="BB64" s="463"/>
      <c r="BC64" s="463"/>
      <c r="BD64" s="463"/>
      <c r="BE64" s="463"/>
      <c r="BF64" s="463"/>
      <c r="BG64" s="463"/>
      <c r="BH64" s="463"/>
      <c r="BI64" s="463"/>
      <c r="BJ64" s="463"/>
    </row>
    <row r="65" customFormat="false" ht="19.5" hidden="false" customHeight="true" outlineLevel="0" collapsed="false">
      <c r="A65" s="465" t="s">
        <v>490</v>
      </c>
      <c r="B65" s="465" t="s">
        <v>207</v>
      </c>
      <c r="C65" s="472" t="s">
        <v>491</v>
      </c>
      <c r="D65" s="500" t="s">
        <v>492</v>
      </c>
      <c r="E65" s="465" t="s">
        <v>158</v>
      </c>
      <c r="F65" s="465" t="s">
        <v>490</v>
      </c>
      <c r="G65" s="472" t="s">
        <v>449</v>
      </c>
      <c r="H65" s="480" t="n">
        <v>200000</v>
      </c>
      <c r="I65" s="467"/>
      <c r="J65" s="469"/>
      <c r="K65" s="475" t="s">
        <v>493</v>
      </c>
      <c r="L65" s="499"/>
      <c r="O65" s="457"/>
      <c r="P65" s="476"/>
      <c r="Q65" s="477"/>
      <c r="R65" s="477"/>
      <c r="S65" s="477"/>
      <c r="T65" s="481"/>
      <c r="U65" s="479"/>
      <c r="V65" s="498"/>
      <c r="W65" s="463"/>
      <c r="X65" s="463"/>
      <c r="Y65" s="463"/>
      <c r="Z65" s="463"/>
      <c r="AA65" s="463"/>
      <c r="AB65" s="463"/>
      <c r="AC65" s="463"/>
      <c r="AD65" s="463"/>
      <c r="AE65" s="463"/>
      <c r="AF65" s="463"/>
      <c r="AG65" s="463"/>
      <c r="AH65" s="463"/>
      <c r="AI65" s="463"/>
      <c r="AJ65" s="463"/>
      <c r="AK65" s="463"/>
      <c r="AL65" s="463"/>
      <c r="AM65" s="463"/>
      <c r="AN65" s="463"/>
      <c r="AO65" s="463"/>
      <c r="AP65" s="463"/>
      <c r="AQ65" s="463"/>
      <c r="AR65" s="463"/>
      <c r="AS65" s="463"/>
      <c r="AT65" s="463"/>
      <c r="AU65" s="463"/>
      <c r="AV65" s="463"/>
      <c r="AW65" s="463"/>
      <c r="AX65" s="463"/>
      <c r="AY65" s="463"/>
      <c r="AZ65" s="463"/>
      <c r="BA65" s="463"/>
      <c r="BB65" s="463"/>
      <c r="BC65" s="463"/>
      <c r="BD65" s="463"/>
      <c r="BE65" s="463"/>
      <c r="BF65" s="463"/>
      <c r="BG65" s="463"/>
      <c r="BH65" s="463"/>
      <c r="BI65" s="463"/>
      <c r="BJ65" s="463"/>
    </row>
    <row r="66" customFormat="false" ht="19.5" hidden="false" customHeight="true" outlineLevel="0" collapsed="false">
      <c r="A66" s="465" t="s">
        <v>494</v>
      </c>
      <c r="B66" s="465" t="s">
        <v>163</v>
      </c>
      <c r="C66" s="472" t="s">
        <v>495</v>
      </c>
      <c r="D66" s="500" t="s">
        <v>496</v>
      </c>
      <c r="E66" s="465" t="s">
        <v>158</v>
      </c>
      <c r="F66" s="465" t="s">
        <v>494</v>
      </c>
      <c r="G66" s="472" t="s">
        <v>497</v>
      </c>
      <c r="H66" s="480" t="n">
        <v>170000</v>
      </c>
      <c r="I66" s="517" t="s">
        <v>498</v>
      </c>
      <c r="J66" s="469"/>
      <c r="K66" s="475"/>
      <c r="L66" s="499"/>
      <c r="O66" s="457"/>
      <c r="P66" s="476"/>
      <c r="Q66" s="477"/>
      <c r="R66" s="477"/>
      <c r="S66" s="477"/>
      <c r="T66" s="481"/>
      <c r="U66" s="479"/>
      <c r="V66" s="498"/>
      <c r="W66" s="463"/>
      <c r="X66" s="463"/>
      <c r="Y66" s="463"/>
      <c r="Z66" s="463"/>
      <c r="AA66" s="463"/>
      <c r="AB66" s="463"/>
      <c r="AC66" s="463"/>
      <c r="AD66" s="463"/>
      <c r="AE66" s="463"/>
      <c r="AF66" s="463"/>
      <c r="AG66" s="463"/>
      <c r="AH66" s="463"/>
      <c r="AI66" s="463"/>
      <c r="AJ66" s="463"/>
      <c r="AK66" s="463"/>
      <c r="AL66" s="463"/>
      <c r="AM66" s="463"/>
      <c r="AN66" s="463"/>
      <c r="AO66" s="463"/>
      <c r="AP66" s="463"/>
      <c r="AQ66" s="463"/>
      <c r="AR66" s="463"/>
      <c r="AS66" s="463"/>
      <c r="AT66" s="463"/>
      <c r="AU66" s="463"/>
      <c r="AV66" s="463"/>
      <c r="AW66" s="463"/>
      <c r="AX66" s="463"/>
      <c r="AY66" s="463"/>
      <c r="AZ66" s="463"/>
      <c r="BA66" s="463"/>
      <c r="BB66" s="463"/>
      <c r="BC66" s="463"/>
      <c r="BD66" s="463"/>
      <c r="BE66" s="463"/>
      <c r="BF66" s="463"/>
      <c r="BG66" s="463"/>
      <c r="BH66" s="463"/>
      <c r="BI66" s="463"/>
      <c r="BJ66" s="463"/>
    </row>
    <row r="67" customFormat="false" ht="19.5" hidden="false" customHeight="true" outlineLevel="0" collapsed="false">
      <c r="A67" s="465" t="s">
        <v>499</v>
      </c>
      <c r="B67" s="465" t="s">
        <v>163</v>
      </c>
      <c r="C67" s="472" t="s">
        <v>500</v>
      </c>
      <c r="D67" s="500" t="s">
        <v>501</v>
      </c>
      <c r="E67" s="465" t="s">
        <v>353</v>
      </c>
      <c r="F67" s="465" t="s">
        <v>499</v>
      </c>
      <c r="G67" s="472" t="s">
        <v>502</v>
      </c>
      <c r="H67" s="480" t="n">
        <v>160000</v>
      </c>
      <c r="I67" s="467"/>
      <c r="J67" s="469"/>
      <c r="K67" s="475" t="s">
        <v>337</v>
      </c>
      <c r="L67" s="499"/>
      <c r="O67" s="457"/>
      <c r="P67" s="476"/>
      <c r="Q67" s="477"/>
      <c r="R67" s="477"/>
      <c r="S67" s="477"/>
      <c r="T67" s="481"/>
      <c r="U67" s="479"/>
      <c r="V67" s="498"/>
      <c r="W67" s="463"/>
      <c r="X67" s="463"/>
      <c r="Y67" s="463"/>
      <c r="Z67" s="463"/>
      <c r="AA67" s="463"/>
      <c r="AB67" s="463"/>
      <c r="AC67" s="463"/>
      <c r="AD67" s="463"/>
      <c r="AE67" s="463"/>
      <c r="AF67" s="463"/>
      <c r="AG67" s="463"/>
      <c r="AH67" s="463"/>
      <c r="AI67" s="463"/>
      <c r="AJ67" s="463"/>
      <c r="AK67" s="463"/>
      <c r="AL67" s="463"/>
      <c r="AM67" s="463"/>
      <c r="AN67" s="463"/>
      <c r="AO67" s="463"/>
      <c r="AP67" s="463"/>
      <c r="AQ67" s="463"/>
      <c r="AR67" s="463"/>
      <c r="AS67" s="463"/>
      <c r="AT67" s="463"/>
      <c r="AU67" s="463"/>
      <c r="AV67" s="463"/>
      <c r="AW67" s="463"/>
      <c r="AX67" s="463"/>
      <c r="AY67" s="463"/>
      <c r="AZ67" s="463"/>
      <c r="BA67" s="463"/>
      <c r="BB67" s="463"/>
      <c r="BC67" s="463"/>
      <c r="BD67" s="463"/>
      <c r="BE67" s="463"/>
      <c r="BF67" s="463"/>
      <c r="BG67" s="463"/>
      <c r="BH67" s="463"/>
      <c r="BI67" s="463"/>
      <c r="BJ67" s="463"/>
    </row>
    <row r="68" customFormat="false" ht="19.5" hidden="false" customHeight="true" outlineLevel="0" collapsed="false">
      <c r="A68" s="465" t="s">
        <v>503</v>
      </c>
      <c r="B68" s="465" t="s">
        <v>207</v>
      </c>
      <c r="C68" s="472" t="s">
        <v>504</v>
      </c>
      <c r="D68" s="500" t="s">
        <v>505</v>
      </c>
      <c r="E68" s="465" t="s">
        <v>210</v>
      </c>
      <c r="F68" s="465" t="s">
        <v>503</v>
      </c>
      <c r="G68" s="472" t="s">
        <v>506</v>
      </c>
      <c r="H68" s="480" t="n">
        <v>200000</v>
      </c>
      <c r="I68" s="517" t="s">
        <v>507</v>
      </c>
      <c r="J68" s="469"/>
      <c r="K68" s="475" t="s">
        <v>508</v>
      </c>
      <c r="L68" s="499"/>
      <c r="O68" s="457"/>
      <c r="P68" s="476"/>
      <c r="Q68" s="477"/>
      <c r="R68" s="477"/>
      <c r="S68" s="477"/>
      <c r="T68" s="481"/>
      <c r="U68" s="479"/>
      <c r="V68" s="498"/>
      <c r="W68" s="463"/>
      <c r="X68" s="463"/>
      <c r="Y68" s="463"/>
      <c r="Z68" s="463"/>
      <c r="AA68" s="463"/>
      <c r="AB68" s="463"/>
      <c r="AC68" s="463"/>
      <c r="AD68" s="463"/>
      <c r="AE68" s="463"/>
      <c r="AF68" s="463"/>
      <c r="AG68" s="463"/>
      <c r="AH68" s="463"/>
      <c r="AI68" s="463"/>
      <c r="AJ68" s="463"/>
      <c r="AK68" s="463"/>
      <c r="AL68" s="463"/>
      <c r="AM68" s="463"/>
      <c r="AN68" s="463"/>
      <c r="AO68" s="463"/>
      <c r="AP68" s="463"/>
      <c r="AQ68" s="463"/>
      <c r="AR68" s="463"/>
      <c r="AS68" s="463"/>
      <c r="AT68" s="463"/>
      <c r="AU68" s="463"/>
      <c r="AV68" s="463"/>
      <c r="AW68" s="463"/>
      <c r="AX68" s="463"/>
      <c r="AY68" s="463"/>
      <c r="AZ68" s="463"/>
      <c r="BA68" s="463"/>
      <c r="BB68" s="463"/>
      <c r="BC68" s="463"/>
      <c r="BD68" s="463"/>
      <c r="BE68" s="463"/>
      <c r="BF68" s="463"/>
      <c r="BG68" s="463"/>
      <c r="BH68" s="463"/>
      <c r="BI68" s="463"/>
      <c r="BJ68" s="463"/>
    </row>
    <row r="69" customFormat="false" ht="19.5" hidden="false" customHeight="true" outlineLevel="0" collapsed="false">
      <c r="A69" s="465" t="s">
        <v>509</v>
      </c>
      <c r="B69" s="465" t="s">
        <v>195</v>
      </c>
      <c r="C69" s="472" t="s">
        <v>510</v>
      </c>
      <c r="D69" s="500" t="s">
        <v>511</v>
      </c>
      <c r="E69" s="465" t="s">
        <v>158</v>
      </c>
      <c r="F69" s="465" t="s">
        <v>509</v>
      </c>
      <c r="G69" s="472" t="s">
        <v>512</v>
      </c>
      <c r="H69" s="480" t="n">
        <v>200000</v>
      </c>
      <c r="I69" s="517" t="s">
        <v>513</v>
      </c>
      <c r="J69" s="469"/>
      <c r="K69" s="475" t="s">
        <v>514</v>
      </c>
      <c r="L69" s="499"/>
      <c r="O69" s="457"/>
      <c r="P69" s="476"/>
      <c r="Q69" s="477"/>
      <c r="R69" s="477"/>
      <c r="S69" s="477"/>
      <c r="T69" s="481"/>
      <c r="U69" s="479"/>
      <c r="V69" s="498"/>
      <c r="W69" s="463"/>
      <c r="X69" s="463"/>
      <c r="Y69" s="463"/>
      <c r="Z69" s="463"/>
      <c r="AA69" s="463"/>
      <c r="AB69" s="463"/>
      <c r="AC69" s="463"/>
      <c r="AD69" s="463"/>
      <c r="AE69" s="463"/>
      <c r="AF69" s="463"/>
      <c r="AG69" s="463"/>
      <c r="AH69" s="463"/>
      <c r="AI69" s="463"/>
      <c r="AJ69" s="463"/>
      <c r="AK69" s="463"/>
      <c r="AL69" s="463"/>
      <c r="AM69" s="463"/>
      <c r="AN69" s="463"/>
      <c r="AO69" s="463"/>
      <c r="AP69" s="463"/>
      <c r="AQ69" s="463"/>
      <c r="AR69" s="463"/>
      <c r="AS69" s="463"/>
      <c r="AT69" s="463"/>
      <c r="AU69" s="463"/>
      <c r="AV69" s="463"/>
      <c r="AW69" s="463"/>
      <c r="AX69" s="463"/>
      <c r="AY69" s="463"/>
      <c r="AZ69" s="463"/>
      <c r="BA69" s="463"/>
      <c r="BB69" s="463"/>
      <c r="BC69" s="463"/>
      <c r="BD69" s="463"/>
      <c r="BE69" s="463"/>
      <c r="BF69" s="463"/>
      <c r="BG69" s="463"/>
      <c r="BH69" s="463"/>
      <c r="BI69" s="463"/>
      <c r="BJ69" s="463"/>
    </row>
    <row r="70" customFormat="false" ht="19.5" hidden="false" customHeight="true" outlineLevel="0" collapsed="false">
      <c r="A70" s="465" t="s">
        <v>515</v>
      </c>
      <c r="B70" s="465" t="s">
        <v>195</v>
      </c>
      <c r="C70" s="472" t="s">
        <v>516</v>
      </c>
      <c r="D70" s="500" t="s">
        <v>517</v>
      </c>
      <c r="E70" s="465" t="s">
        <v>158</v>
      </c>
      <c r="F70" s="465" t="s">
        <v>515</v>
      </c>
      <c r="G70" s="472" t="s">
        <v>518</v>
      </c>
      <c r="H70" s="480" t="n">
        <v>200000</v>
      </c>
      <c r="I70" s="517" t="s">
        <v>519</v>
      </c>
      <c r="J70" s="469"/>
      <c r="K70" s="475"/>
      <c r="L70" s="499"/>
      <c r="O70" s="457"/>
      <c r="P70" s="476"/>
      <c r="Q70" s="477"/>
      <c r="R70" s="477"/>
      <c r="S70" s="477"/>
      <c r="T70" s="481"/>
      <c r="U70" s="479"/>
      <c r="V70" s="498"/>
      <c r="W70" s="463"/>
      <c r="X70" s="463"/>
      <c r="Y70" s="463"/>
      <c r="Z70" s="463"/>
      <c r="AA70" s="463"/>
      <c r="AB70" s="463"/>
      <c r="AC70" s="463"/>
      <c r="AD70" s="463"/>
      <c r="AE70" s="463"/>
      <c r="AF70" s="463"/>
      <c r="AG70" s="463"/>
      <c r="AH70" s="463"/>
      <c r="AI70" s="463"/>
      <c r="AJ70" s="463"/>
      <c r="AK70" s="463"/>
      <c r="AL70" s="463"/>
      <c r="AM70" s="463"/>
      <c r="AN70" s="463"/>
      <c r="AO70" s="463"/>
      <c r="AP70" s="463"/>
      <c r="AQ70" s="463"/>
      <c r="AR70" s="463"/>
      <c r="AS70" s="463"/>
      <c r="AT70" s="463"/>
      <c r="AU70" s="463"/>
      <c r="AV70" s="463"/>
      <c r="AW70" s="463"/>
      <c r="AX70" s="463"/>
      <c r="AY70" s="463"/>
      <c r="AZ70" s="463"/>
      <c r="BA70" s="463"/>
      <c r="BB70" s="463"/>
      <c r="BC70" s="463"/>
      <c r="BD70" s="463"/>
      <c r="BE70" s="463"/>
      <c r="BF70" s="463"/>
      <c r="BG70" s="463"/>
      <c r="BH70" s="463"/>
      <c r="BI70" s="463"/>
      <c r="BJ70" s="463"/>
    </row>
    <row r="71" customFormat="false" ht="19.5" hidden="false" customHeight="true" outlineLevel="0" collapsed="false">
      <c r="A71" s="465" t="s">
        <v>520</v>
      </c>
      <c r="B71" s="465" t="s">
        <v>195</v>
      </c>
      <c r="C71" s="472" t="s">
        <v>521</v>
      </c>
      <c r="D71" s="500" t="s">
        <v>522</v>
      </c>
      <c r="E71" s="465" t="s">
        <v>158</v>
      </c>
      <c r="F71" s="465" t="s">
        <v>520</v>
      </c>
      <c r="G71" s="472" t="s">
        <v>523</v>
      </c>
      <c r="H71" s="480" t="n">
        <v>200000</v>
      </c>
      <c r="I71" s="517" t="s">
        <v>524</v>
      </c>
      <c r="J71" s="469"/>
      <c r="K71" s="475" t="s">
        <v>525</v>
      </c>
      <c r="L71" s="499"/>
      <c r="O71" s="457"/>
      <c r="P71" s="476"/>
      <c r="Q71" s="477"/>
      <c r="R71" s="477"/>
      <c r="S71" s="477"/>
      <c r="T71" s="481"/>
      <c r="U71" s="479"/>
      <c r="V71" s="498"/>
      <c r="W71" s="463"/>
      <c r="X71" s="463"/>
      <c r="Y71" s="463"/>
      <c r="Z71" s="463"/>
      <c r="AA71" s="463"/>
      <c r="AB71" s="463"/>
      <c r="AC71" s="463"/>
      <c r="AD71" s="463"/>
      <c r="AE71" s="463"/>
      <c r="AF71" s="463"/>
      <c r="AG71" s="463"/>
      <c r="AH71" s="463"/>
      <c r="AI71" s="463"/>
      <c r="AJ71" s="463"/>
      <c r="AK71" s="463"/>
      <c r="AL71" s="463"/>
      <c r="AM71" s="463"/>
      <c r="AN71" s="463"/>
      <c r="AO71" s="463"/>
      <c r="AP71" s="463"/>
      <c r="AQ71" s="463"/>
      <c r="AR71" s="463"/>
      <c r="AS71" s="463"/>
      <c r="AT71" s="463"/>
      <c r="AU71" s="463"/>
      <c r="AV71" s="463"/>
      <c r="AW71" s="463"/>
      <c r="AX71" s="463"/>
      <c r="AY71" s="463"/>
      <c r="AZ71" s="463"/>
      <c r="BA71" s="463"/>
      <c r="BB71" s="463"/>
      <c r="BC71" s="463"/>
      <c r="BD71" s="463"/>
      <c r="BE71" s="463"/>
      <c r="BF71" s="463"/>
      <c r="BG71" s="463"/>
      <c r="BH71" s="463"/>
      <c r="BI71" s="463"/>
      <c r="BJ71" s="463"/>
    </row>
    <row r="72" customFormat="false" ht="19.5" hidden="false" customHeight="true" outlineLevel="0" collapsed="false">
      <c r="A72" s="465" t="s">
        <v>526</v>
      </c>
      <c r="B72" s="465" t="s">
        <v>163</v>
      </c>
      <c r="C72" s="472" t="s">
        <v>527</v>
      </c>
      <c r="D72" s="500" t="s">
        <v>528</v>
      </c>
      <c r="E72" s="465" t="s">
        <v>158</v>
      </c>
      <c r="F72" s="465" t="s">
        <v>526</v>
      </c>
      <c r="G72" s="472" t="s">
        <v>529</v>
      </c>
      <c r="H72" s="480" t="n">
        <v>160000</v>
      </c>
      <c r="I72" s="517" t="s">
        <v>530</v>
      </c>
      <c r="J72" s="469"/>
      <c r="K72" s="475" t="s">
        <v>531</v>
      </c>
      <c r="L72" s="499"/>
      <c r="O72" s="457"/>
      <c r="P72" s="476"/>
      <c r="Q72" s="477"/>
      <c r="R72" s="477"/>
      <c r="S72" s="477"/>
      <c r="T72" s="481"/>
      <c r="U72" s="479"/>
      <c r="V72" s="498"/>
      <c r="W72" s="463"/>
      <c r="X72" s="463"/>
      <c r="Y72" s="463"/>
      <c r="Z72" s="463"/>
      <c r="AA72" s="463"/>
      <c r="AB72" s="463"/>
      <c r="AC72" s="463"/>
      <c r="AD72" s="463"/>
      <c r="AE72" s="463"/>
      <c r="AF72" s="463"/>
      <c r="AG72" s="463"/>
      <c r="AH72" s="463"/>
      <c r="AI72" s="463"/>
      <c r="AJ72" s="463"/>
      <c r="AK72" s="463"/>
      <c r="AL72" s="463"/>
      <c r="AM72" s="463"/>
      <c r="AN72" s="463"/>
      <c r="AO72" s="463"/>
      <c r="AP72" s="463"/>
      <c r="AQ72" s="463"/>
      <c r="AR72" s="463"/>
      <c r="AS72" s="463"/>
      <c r="AT72" s="463"/>
      <c r="AU72" s="463"/>
      <c r="AV72" s="463"/>
      <c r="AW72" s="463"/>
      <c r="AX72" s="463"/>
      <c r="AY72" s="463"/>
      <c r="AZ72" s="463"/>
      <c r="BA72" s="463"/>
      <c r="BB72" s="463"/>
      <c r="BC72" s="463"/>
      <c r="BD72" s="463"/>
      <c r="BE72" s="463"/>
      <c r="BF72" s="463"/>
      <c r="BG72" s="463"/>
      <c r="BH72" s="463"/>
      <c r="BI72" s="463"/>
      <c r="BJ72" s="463"/>
    </row>
    <row r="73" customFormat="false" ht="19.5" hidden="false" customHeight="true" outlineLevel="0" collapsed="false">
      <c r="A73" s="465" t="s">
        <v>532</v>
      </c>
      <c r="B73" s="465" t="s">
        <v>195</v>
      </c>
      <c r="C73" s="472" t="s">
        <v>533</v>
      </c>
      <c r="D73" s="500" t="s">
        <v>534</v>
      </c>
      <c r="E73" s="465" t="s">
        <v>158</v>
      </c>
      <c r="F73" s="465" t="s">
        <v>532</v>
      </c>
      <c r="G73" s="472" t="s">
        <v>535</v>
      </c>
      <c r="H73" s="480" t="n">
        <v>200000</v>
      </c>
      <c r="I73" s="517" t="s">
        <v>536</v>
      </c>
      <c r="J73" s="469"/>
      <c r="K73" s="475" t="s">
        <v>537</v>
      </c>
      <c r="L73" s="499"/>
      <c r="O73" s="457"/>
      <c r="P73" s="476"/>
      <c r="Q73" s="477"/>
      <c r="R73" s="477"/>
      <c r="S73" s="477"/>
      <c r="T73" s="481"/>
      <c r="U73" s="479"/>
      <c r="V73" s="498"/>
      <c r="W73" s="463"/>
      <c r="X73" s="463"/>
      <c r="Y73" s="463"/>
      <c r="Z73" s="463"/>
      <c r="AA73" s="463"/>
      <c r="AB73" s="463"/>
      <c r="AC73" s="463"/>
      <c r="AD73" s="463"/>
      <c r="AE73" s="463"/>
      <c r="AF73" s="463"/>
      <c r="AG73" s="463"/>
      <c r="AH73" s="463"/>
      <c r="AI73" s="463"/>
      <c r="AJ73" s="463"/>
      <c r="AK73" s="463"/>
      <c r="AL73" s="463"/>
      <c r="AM73" s="463"/>
      <c r="AN73" s="463"/>
      <c r="AO73" s="463"/>
      <c r="AP73" s="463"/>
      <c r="AQ73" s="463"/>
      <c r="AR73" s="463"/>
      <c r="AS73" s="463"/>
      <c r="AT73" s="463"/>
      <c r="AU73" s="463"/>
      <c r="AV73" s="463"/>
      <c r="AW73" s="463"/>
      <c r="AX73" s="463"/>
      <c r="AY73" s="463"/>
      <c r="AZ73" s="463"/>
      <c r="BA73" s="463"/>
      <c r="BB73" s="463"/>
      <c r="BC73" s="463"/>
      <c r="BD73" s="463"/>
      <c r="BE73" s="463"/>
      <c r="BF73" s="463"/>
      <c r="BG73" s="463"/>
      <c r="BH73" s="463"/>
      <c r="BI73" s="463"/>
      <c r="BJ73" s="463"/>
    </row>
    <row r="74" customFormat="false" ht="19.5" hidden="false" customHeight="true" outlineLevel="0" collapsed="false">
      <c r="A74" s="465" t="s">
        <v>538</v>
      </c>
      <c r="B74" s="465" t="s">
        <v>195</v>
      </c>
      <c r="C74" s="472" t="s">
        <v>539</v>
      </c>
      <c r="D74" s="500" t="s">
        <v>540</v>
      </c>
      <c r="E74" s="465" t="s">
        <v>245</v>
      </c>
      <c r="F74" s="465" t="s">
        <v>538</v>
      </c>
      <c r="G74" s="472" t="s">
        <v>541</v>
      </c>
      <c r="H74" s="480" t="n">
        <v>150000</v>
      </c>
      <c r="I74" s="517" t="s">
        <v>542</v>
      </c>
      <c r="J74" s="469"/>
      <c r="K74" s="475"/>
      <c r="L74" s="499"/>
      <c r="O74" s="457"/>
      <c r="P74" s="476"/>
      <c r="Q74" s="477"/>
      <c r="R74" s="477"/>
      <c r="S74" s="477"/>
      <c r="T74" s="481"/>
      <c r="U74" s="479"/>
      <c r="V74" s="498"/>
      <c r="W74" s="463"/>
      <c r="X74" s="463"/>
      <c r="Y74" s="463"/>
      <c r="Z74" s="463"/>
      <c r="AA74" s="463"/>
      <c r="AB74" s="463"/>
      <c r="AC74" s="463"/>
      <c r="AD74" s="463"/>
      <c r="AE74" s="463"/>
      <c r="AF74" s="463"/>
      <c r="AG74" s="463"/>
      <c r="AH74" s="463"/>
      <c r="AI74" s="463"/>
      <c r="AJ74" s="463"/>
      <c r="AK74" s="463"/>
      <c r="AL74" s="463"/>
      <c r="AM74" s="463"/>
      <c r="AN74" s="463"/>
      <c r="AO74" s="463"/>
      <c r="AP74" s="463"/>
      <c r="AQ74" s="463"/>
      <c r="AR74" s="463"/>
      <c r="AS74" s="463"/>
      <c r="AT74" s="463"/>
      <c r="AU74" s="463"/>
      <c r="AV74" s="463"/>
      <c r="AW74" s="463"/>
      <c r="AX74" s="463"/>
      <c r="AY74" s="463"/>
      <c r="AZ74" s="463"/>
      <c r="BA74" s="463"/>
      <c r="BB74" s="463"/>
      <c r="BC74" s="463"/>
      <c r="BD74" s="463"/>
      <c r="BE74" s="463"/>
      <c r="BF74" s="463"/>
      <c r="BG74" s="463"/>
      <c r="BH74" s="463"/>
      <c r="BI74" s="463"/>
      <c r="BJ74" s="463"/>
    </row>
    <row r="75" customFormat="false" ht="19.5" hidden="false" customHeight="true" outlineLevel="0" collapsed="false">
      <c r="A75" s="465" t="s">
        <v>543</v>
      </c>
      <c r="B75" s="465" t="s">
        <v>195</v>
      </c>
      <c r="C75" s="472" t="s">
        <v>544</v>
      </c>
      <c r="D75" s="500" t="s">
        <v>545</v>
      </c>
      <c r="E75" s="465" t="s">
        <v>353</v>
      </c>
      <c r="F75" s="465" t="s">
        <v>543</v>
      </c>
      <c r="G75" s="472" t="s">
        <v>546</v>
      </c>
      <c r="H75" s="480" t="n">
        <v>200000</v>
      </c>
      <c r="I75" s="467"/>
      <c r="J75" s="469"/>
      <c r="K75" s="475" t="s">
        <v>547</v>
      </c>
      <c r="L75" s="499"/>
      <c r="O75" s="457"/>
      <c r="P75" s="476"/>
      <c r="Q75" s="477"/>
      <c r="R75" s="477"/>
      <c r="S75" s="477"/>
      <c r="T75" s="481"/>
      <c r="U75" s="479"/>
      <c r="V75" s="498"/>
      <c r="W75" s="463"/>
      <c r="X75" s="463"/>
      <c r="Y75" s="463"/>
      <c r="Z75" s="463"/>
      <c r="AA75" s="463"/>
      <c r="AB75" s="463"/>
      <c r="AC75" s="463"/>
      <c r="AD75" s="463"/>
      <c r="AE75" s="463"/>
      <c r="AF75" s="463"/>
      <c r="AG75" s="463"/>
      <c r="AH75" s="463"/>
      <c r="AI75" s="463"/>
      <c r="AJ75" s="463"/>
      <c r="AK75" s="463"/>
      <c r="AL75" s="463"/>
      <c r="AM75" s="463"/>
      <c r="AN75" s="463"/>
      <c r="AO75" s="463"/>
      <c r="AP75" s="463"/>
      <c r="AQ75" s="463"/>
      <c r="AR75" s="463"/>
      <c r="AS75" s="463"/>
      <c r="AT75" s="463"/>
      <c r="AU75" s="463"/>
      <c r="AV75" s="463"/>
      <c r="AW75" s="463"/>
      <c r="AX75" s="463"/>
      <c r="AY75" s="463"/>
      <c r="AZ75" s="463"/>
      <c r="BA75" s="463"/>
      <c r="BB75" s="463"/>
      <c r="BC75" s="463"/>
      <c r="BD75" s="463"/>
      <c r="BE75" s="463"/>
      <c r="BF75" s="463"/>
      <c r="BG75" s="463"/>
      <c r="BH75" s="463"/>
      <c r="BI75" s="463"/>
      <c r="BJ75" s="463"/>
    </row>
    <row r="76" customFormat="false" ht="19.5" hidden="false" customHeight="true" outlineLevel="0" collapsed="false">
      <c r="A76" s="465" t="s">
        <v>548</v>
      </c>
      <c r="B76" s="465" t="s">
        <v>549</v>
      </c>
      <c r="C76" s="472" t="s">
        <v>550</v>
      </c>
      <c r="D76" s="500" t="s">
        <v>551</v>
      </c>
      <c r="E76" s="465"/>
      <c r="F76" s="465" t="s">
        <v>548</v>
      </c>
      <c r="G76" s="465"/>
      <c r="H76" s="480" t="n">
        <v>150000</v>
      </c>
      <c r="I76" s="525"/>
      <c r="J76" s="469"/>
      <c r="K76" s="475" t="s">
        <v>552</v>
      </c>
      <c r="L76" s="526"/>
      <c r="O76" s="457"/>
      <c r="P76" s="476"/>
      <c r="Q76" s="477"/>
      <c r="R76" s="477"/>
      <c r="S76" s="477"/>
      <c r="T76" s="481"/>
      <c r="U76" s="479"/>
      <c r="V76" s="498"/>
      <c r="W76" s="463"/>
      <c r="X76" s="463"/>
      <c r="Y76" s="463"/>
      <c r="Z76" s="463"/>
      <c r="AA76" s="463"/>
      <c r="AB76" s="463"/>
      <c r="AC76" s="463"/>
      <c r="AD76" s="463"/>
      <c r="AE76" s="463"/>
      <c r="AF76" s="463"/>
      <c r="AG76" s="463"/>
      <c r="AH76" s="463"/>
      <c r="AI76" s="463"/>
      <c r="AJ76" s="463"/>
      <c r="AK76" s="463"/>
      <c r="AL76" s="463"/>
      <c r="AM76" s="463"/>
      <c r="AN76" s="463"/>
      <c r="AO76" s="463"/>
      <c r="AP76" s="463"/>
      <c r="AQ76" s="463"/>
      <c r="AR76" s="463"/>
      <c r="AS76" s="463"/>
      <c r="AT76" s="463"/>
      <c r="AU76" s="463"/>
      <c r="AV76" s="463"/>
      <c r="AW76" s="463"/>
      <c r="AX76" s="463"/>
      <c r="AY76" s="463"/>
      <c r="AZ76" s="463"/>
      <c r="BA76" s="463"/>
      <c r="BB76" s="463"/>
      <c r="BC76" s="463"/>
      <c r="BD76" s="463"/>
      <c r="BE76" s="463"/>
      <c r="BF76" s="463"/>
      <c r="BG76" s="463"/>
      <c r="BH76" s="463"/>
      <c r="BI76" s="463"/>
      <c r="BJ76" s="463"/>
    </row>
    <row r="77" customFormat="false" ht="19.5" hidden="false" customHeight="true" outlineLevel="0" collapsed="false">
      <c r="A77" s="465" t="s">
        <v>553</v>
      </c>
      <c r="B77" s="465" t="s">
        <v>207</v>
      </c>
      <c r="C77" s="472" t="s">
        <v>554</v>
      </c>
      <c r="D77" s="500" t="s">
        <v>555</v>
      </c>
      <c r="E77" s="465" t="s">
        <v>158</v>
      </c>
      <c r="F77" s="465" t="s">
        <v>553</v>
      </c>
      <c r="G77" s="472" t="s">
        <v>556</v>
      </c>
      <c r="H77" s="480" t="n">
        <v>300000</v>
      </c>
      <c r="I77" s="525" t="s">
        <v>557</v>
      </c>
      <c r="J77" s="469"/>
      <c r="K77" s="475" t="s">
        <v>558</v>
      </c>
      <c r="L77" s="526"/>
      <c r="O77" s="457"/>
      <c r="P77" s="476"/>
      <c r="Q77" s="477"/>
      <c r="R77" s="477"/>
      <c r="S77" s="477"/>
      <c r="T77" s="481"/>
      <c r="U77" s="479"/>
      <c r="V77" s="498"/>
      <c r="W77" s="463"/>
      <c r="X77" s="463"/>
      <c r="Y77" s="463"/>
      <c r="Z77" s="463"/>
      <c r="AA77" s="463"/>
      <c r="AB77" s="463"/>
      <c r="AC77" s="463"/>
      <c r="AD77" s="463"/>
      <c r="AE77" s="463"/>
      <c r="AF77" s="463"/>
      <c r="AG77" s="463"/>
      <c r="AH77" s="463"/>
      <c r="AI77" s="463"/>
      <c r="AJ77" s="463"/>
      <c r="AK77" s="463"/>
      <c r="AL77" s="463"/>
      <c r="AM77" s="463"/>
      <c r="AN77" s="463"/>
      <c r="AO77" s="463"/>
      <c r="AP77" s="463"/>
      <c r="AQ77" s="463"/>
      <c r="AR77" s="463"/>
      <c r="AS77" s="463"/>
      <c r="AT77" s="463"/>
      <c r="AU77" s="463"/>
      <c r="AV77" s="463"/>
      <c r="AW77" s="463"/>
      <c r="AX77" s="463"/>
      <c r="AY77" s="463"/>
      <c r="AZ77" s="463"/>
      <c r="BA77" s="463"/>
      <c r="BB77" s="463"/>
      <c r="BC77" s="463"/>
      <c r="BD77" s="463"/>
      <c r="BE77" s="463"/>
      <c r="BF77" s="463"/>
      <c r="BG77" s="463"/>
      <c r="BH77" s="463"/>
      <c r="BI77" s="463"/>
      <c r="BJ77" s="463"/>
    </row>
    <row r="78" customFormat="false" ht="19.5" hidden="false" customHeight="true" outlineLevel="0" collapsed="false">
      <c r="A78" s="465" t="s">
        <v>559</v>
      </c>
      <c r="B78" s="465" t="s">
        <v>195</v>
      </c>
      <c r="C78" s="472" t="s">
        <v>560</v>
      </c>
      <c r="D78" s="500" t="s">
        <v>561</v>
      </c>
      <c r="E78" s="465" t="s">
        <v>158</v>
      </c>
      <c r="F78" s="465" t="s">
        <v>562</v>
      </c>
      <c r="G78" s="472" t="s">
        <v>563</v>
      </c>
      <c r="H78" s="480" t="n">
        <v>280000</v>
      </c>
      <c r="I78" s="525"/>
      <c r="J78" s="469"/>
      <c r="K78" s="475" t="s">
        <v>564</v>
      </c>
      <c r="L78" s="526"/>
      <c r="O78" s="457"/>
      <c r="P78" s="476"/>
      <c r="Q78" s="477"/>
      <c r="R78" s="477"/>
      <c r="S78" s="477"/>
      <c r="T78" s="481"/>
      <c r="U78" s="479"/>
      <c r="V78" s="498"/>
      <c r="W78" s="463"/>
      <c r="X78" s="463"/>
      <c r="Y78" s="463"/>
      <c r="Z78" s="463"/>
      <c r="AA78" s="463"/>
      <c r="AB78" s="463"/>
      <c r="AC78" s="463"/>
      <c r="AD78" s="463"/>
      <c r="AE78" s="463"/>
      <c r="AF78" s="463"/>
      <c r="AG78" s="463"/>
      <c r="AH78" s="463"/>
      <c r="AI78" s="463"/>
      <c r="AJ78" s="463"/>
      <c r="AK78" s="463"/>
      <c r="AL78" s="463"/>
      <c r="AM78" s="463"/>
      <c r="AN78" s="463"/>
      <c r="AO78" s="463"/>
      <c r="AP78" s="463"/>
      <c r="AQ78" s="463"/>
      <c r="AR78" s="463"/>
      <c r="AS78" s="463"/>
      <c r="AT78" s="463"/>
      <c r="AU78" s="463"/>
      <c r="AV78" s="463"/>
      <c r="AW78" s="463"/>
      <c r="AX78" s="463"/>
      <c r="AY78" s="463"/>
      <c r="AZ78" s="463"/>
      <c r="BA78" s="463"/>
      <c r="BB78" s="463"/>
      <c r="BC78" s="463"/>
      <c r="BD78" s="463"/>
      <c r="BE78" s="463"/>
      <c r="BF78" s="463"/>
      <c r="BG78" s="463"/>
      <c r="BH78" s="463"/>
      <c r="BI78" s="463"/>
      <c r="BJ78" s="463"/>
    </row>
    <row r="79" customFormat="false" ht="19.5" hidden="false" customHeight="true" outlineLevel="0" collapsed="false">
      <c r="A79" s="465" t="s">
        <v>565</v>
      </c>
      <c r="B79" s="465" t="s">
        <v>195</v>
      </c>
      <c r="C79" s="472" t="s">
        <v>566</v>
      </c>
      <c r="D79" s="500" t="s">
        <v>567</v>
      </c>
      <c r="E79" s="465" t="s">
        <v>568</v>
      </c>
      <c r="F79" s="465" t="s">
        <v>565</v>
      </c>
      <c r="G79" s="472" t="s">
        <v>569</v>
      </c>
      <c r="H79" s="480" t="n">
        <v>280000</v>
      </c>
      <c r="I79" s="525"/>
      <c r="J79" s="469"/>
      <c r="K79" s="475"/>
      <c r="L79" s="526"/>
      <c r="O79" s="457"/>
      <c r="P79" s="476"/>
      <c r="Q79" s="477"/>
      <c r="R79" s="477"/>
      <c r="S79" s="477"/>
      <c r="T79" s="481"/>
      <c r="U79" s="479"/>
      <c r="V79" s="498"/>
      <c r="W79" s="463"/>
      <c r="X79" s="463"/>
      <c r="Y79" s="463"/>
      <c r="Z79" s="463"/>
      <c r="AA79" s="463"/>
      <c r="AB79" s="463"/>
      <c r="AC79" s="463"/>
      <c r="AD79" s="463"/>
      <c r="AE79" s="463"/>
      <c r="AF79" s="463"/>
      <c r="AG79" s="463"/>
      <c r="AH79" s="463"/>
      <c r="AI79" s="463"/>
      <c r="AJ79" s="463"/>
      <c r="AK79" s="463"/>
      <c r="AL79" s="463"/>
      <c r="AM79" s="463"/>
      <c r="AN79" s="463"/>
      <c r="AO79" s="463"/>
      <c r="AP79" s="463"/>
      <c r="AQ79" s="463"/>
      <c r="AR79" s="463"/>
      <c r="AS79" s="463"/>
      <c r="AT79" s="463"/>
      <c r="AU79" s="463"/>
      <c r="AV79" s="463"/>
      <c r="AW79" s="463"/>
      <c r="AX79" s="463"/>
      <c r="AY79" s="463"/>
      <c r="AZ79" s="463"/>
      <c r="BA79" s="463"/>
      <c r="BB79" s="463"/>
      <c r="BC79" s="463"/>
      <c r="BD79" s="463"/>
      <c r="BE79" s="463"/>
      <c r="BF79" s="463"/>
      <c r="BG79" s="463"/>
      <c r="BH79" s="463"/>
      <c r="BI79" s="463"/>
      <c r="BJ79" s="463"/>
    </row>
    <row r="80" customFormat="false" ht="19.5" hidden="false" customHeight="true" outlineLevel="0" collapsed="false">
      <c r="A80" s="465" t="s">
        <v>570</v>
      </c>
      <c r="B80" s="465" t="s">
        <v>195</v>
      </c>
      <c r="C80" s="472" t="s">
        <v>571</v>
      </c>
      <c r="D80" s="500" t="s">
        <v>572</v>
      </c>
      <c r="E80" s="465" t="s">
        <v>158</v>
      </c>
      <c r="F80" s="465" t="s">
        <v>570</v>
      </c>
      <c r="G80" s="472" t="s">
        <v>573</v>
      </c>
      <c r="H80" s="480" t="n">
        <v>280000</v>
      </c>
      <c r="I80" s="525"/>
      <c r="J80" s="469"/>
      <c r="K80" s="475"/>
      <c r="L80" s="526"/>
      <c r="O80" s="457"/>
      <c r="P80" s="476"/>
      <c r="Q80" s="477"/>
      <c r="R80" s="477"/>
      <c r="S80" s="477"/>
      <c r="T80" s="481"/>
      <c r="U80" s="479"/>
      <c r="V80" s="498"/>
      <c r="W80" s="463"/>
      <c r="X80" s="463"/>
      <c r="Y80" s="463"/>
      <c r="Z80" s="463"/>
      <c r="AA80" s="463"/>
      <c r="AB80" s="463"/>
      <c r="AC80" s="463"/>
      <c r="AD80" s="463"/>
      <c r="AE80" s="463"/>
      <c r="AF80" s="463"/>
      <c r="AG80" s="463"/>
      <c r="AH80" s="463"/>
      <c r="AI80" s="463"/>
      <c r="AJ80" s="463"/>
      <c r="AK80" s="463"/>
      <c r="AL80" s="463"/>
      <c r="AM80" s="463"/>
      <c r="AN80" s="463"/>
      <c r="AO80" s="463"/>
      <c r="AP80" s="463"/>
      <c r="AQ80" s="463"/>
      <c r="AR80" s="463"/>
      <c r="AS80" s="463"/>
      <c r="AT80" s="463"/>
      <c r="AU80" s="463"/>
      <c r="AV80" s="463"/>
      <c r="AW80" s="463"/>
      <c r="AX80" s="463"/>
      <c r="AY80" s="463"/>
      <c r="AZ80" s="463"/>
      <c r="BA80" s="463"/>
      <c r="BB80" s="463"/>
      <c r="BC80" s="463"/>
      <c r="BD80" s="463"/>
      <c r="BE80" s="463"/>
      <c r="BF80" s="463"/>
      <c r="BG80" s="463"/>
      <c r="BH80" s="463"/>
      <c r="BI80" s="463"/>
      <c r="BJ80" s="463"/>
    </row>
    <row r="81" customFormat="false" ht="19.5" hidden="false" customHeight="true" outlineLevel="0" collapsed="false">
      <c r="A81" s="465" t="s">
        <v>574</v>
      </c>
      <c r="B81" s="465" t="s">
        <v>207</v>
      </c>
      <c r="C81" s="472" t="s">
        <v>575</v>
      </c>
      <c r="D81" s="500" t="s">
        <v>576</v>
      </c>
      <c r="E81" s="465" t="s">
        <v>158</v>
      </c>
      <c r="F81" s="465" t="s">
        <v>574</v>
      </c>
      <c r="G81" s="472" t="s">
        <v>577</v>
      </c>
      <c r="H81" s="480" t="n">
        <v>250000</v>
      </c>
      <c r="I81" s="525"/>
      <c r="J81" s="469"/>
      <c r="K81" s="475"/>
      <c r="L81" s="526"/>
      <c r="O81" s="457"/>
      <c r="P81" s="476"/>
      <c r="Q81" s="477"/>
      <c r="R81" s="477"/>
      <c r="S81" s="477"/>
      <c r="T81" s="481"/>
      <c r="U81" s="479"/>
      <c r="V81" s="498"/>
      <c r="W81" s="463"/>
      <c r="X81" s="463"/>
      <c r="Y81" s="463"/>
      <c r="Z81" s="463"/>
      <c r="AA81" s="463"/>
      <c r="AB81" s="463"/>
      <c r="AC81" s="463"/>
      <c r="AD81" s="463"/>
      <c r="AE81" s="463"/>
      <c r="AF81" s="463"/>
      <c r="AG81" s="463"/>
      <c r="AH81" s="463"/>
      <c r="AI81" s="463"/>
      <c r="AJ81" s="463"/>
      <c r="AK81" s="463"/>
      <c r="AL81" s="463"/>
      <c r="AM81" s="463"/>
      <c r="AN81" s="463"/>
      <c r="AO81" s="463"/>
      <c r="AP81" s="463"/>
      <c r="AQ81" s="463"/>
      <c r="AR81" s="463"/>
      <c r="AS81" s="463"/>
      <c r="AT81" s="463"/>
      <c r="AU81" s="463"/>
      <c r="AV81" s="463"/>
      <c r="AW81" s="463"/>
      <c r="AX81" s="463"/>
      <c r="AY81" s="463"/>
      <c r="AZ81" s="463"/>
      <c r="BA81" s="463"/>
      <c r="BB81" s="463"/>
      <c r="BC81" s="463"/>
      <c r="BD81" s="463"/>
      <c r="BE81" s="463"/>
      <c r="BF81" s="463"/>
      <c r="BG81" s="463"/>
      <c r="BH81" s="463"/>
      <c r="BI81" s="463"/>
      <c r="BJ81" s="463"/>
    </row>
    <row r="82" customFormat="false" ht="19.5" hidden="false" customHeight="true" outlineLevel="0" collapsed="false">
      <c r="A82" s="465" t="s">
        <v>578</v>
      </c>
      <c r="B82" s="465" t="s">
        <v>207</v>
      </c>
      <c r="C82" s="472" t="s">
        <v>579</v>
      </c>
      <c r="D82" s="500" t="s">
        <v>580</v>
      </c>
      <c r="E82" s="465" t="s">
        <v>568</v>
      </c>
      <c r="F82" s="465" t="s">
        <v>578</v>
      </c>
      <c r="G82" s="472" t="s">
        <v>581</v>
      </c>
      <c r="H82" s="480" t="n">
        <v>250000</v>
      </c>
      <c r="I82" s="525"/>
      <c r="J82" s="469"/>
      <c r="K82" s="475"/>
      <c r="L82" s="526"/>
      <c r="O82" s="457"/>
      <c r="P82" s="476"/>
      <c r="Q82" s="477"/>
      <c r="R82" s="477"/>
      <c r="S82" s="477"/>
      <c r="T82" s="481"/>
      <c r="U82" s="479"/>
      <c r="V82" s="498"/>
      <c r="W82" s="463"/>
      <c r="X82" s="463"/>
      <c r="Y82" s="463"/>
      <c r="Z82" s="463"/>
      <c r="AA82" s="463"/>
      <c r="AB82" s="463"/>
      <c r="AC82" s="463"/>
      <c r="AD82" s="463"/>
      <c r="AE82" s="463"/>
      <c r="AF82" s="463"/>
      <c r="AG82" s="463"/>
      <c r="AH82" s="463"/>
      <c r="AI82" s="463"/>
      <c r="AJ82" s="463"/>
      <c r="AK82" s="463"/>
      <c r="AL82" s="463"/>
      <c r="AM82" s="463"/>
      <c r="AN82" s="463"/>
      <c r="AO82" s="463"/>
      <c r="AP82" s="463"/>
      <c r="AQ82" s="463"/>
      <c r="AR82" s="463"/>
      <c r="AS82" s="463"/>
      <c r="AT82" s="463"/>
      <c r="AU82" s="463"/>
      <c r="AV82" s="463"/>
      <c r="AW82" s="463"/>
      <c r="AX82" s="463"/>
      <c r="AY82" s="463"/>
      <c r="AZ82" s="463"/>
      <c r="BA82" s="463"/>
      <c r="BB82" s="463"/>
      <c r="BC82" s="463"/>
      <c r="BD82" s="463"/>
      <c r="BE82" s="463"/>
      <c r="BF82" s="463"/>
      <c r="BG82" s="463"/>
      <c r="BH82" s="463"/>
      <c r="BI82" s="463"/>
      <c r="BJ82" s="463"/>
    </row>
    <row r="83" customFormat="false" ht="19.5" hidden="false" customHeight="true" outlineLevel="0" collapsed="false">
      <c r="A83" s="465" t="s">
        <v>582</v>
      </c>
      <c r="B83" s="465" t="s">
        <v>207</v>
      </c>
      <c r="C83" s="472" t="s">
        <v>583</v>
      </c>
      <c r="D83" s="500" t="s">
        <v>584</v>
      </c>
      <c r="E83" s="465" t="s">
        <v>158</v>
      </c>
      <c r="F83" s="465" t="s">
        <v>582</v>
      </c>
      <c r="G83" s="472" t="s">
        <v>585</v>
      </c>
      <c r="H83" s="480" t="n">
        <v>270000</v>
      </c>
      <c r="I83" s="525"/>
      <c r="J83" s="469"/>
      <c r="K83" s="475"/>
      <c r="L83" s="526"/>
      <c r="O83" s="457"/>
      <c r="P83" s="476"/>
      <c r="Q83" s="477"/>
      <c r="R83" s="477"/>
      <c r="S83" s="477"/>
      <c r="T83" s="481"/>
      <c r="U83" s="479"/>
      <c r="V83" s="498"/>
      <c r="W83" s="463"/>
      <c r="X83" s="463"/>
      <c r="Y83" s="463"/>
      <c r="Z83" s="463"/>
      <c r="AA83" s="463"/>
      <c r="AB83" s="463"/>
      <c r="AC83" s="463"/>
      <c r="AD83" s="463"/>
      <c r="AE83" s="463"/>
      <c r="AF83" s="463"/>
      <c r="AG83" s="463"/>
      <c r="AH83" s="463"/>
      <c r="AI83" s="463"/>
      <c r="AJ83" s="463"/>
      <c r="AK83" s="463"/>
      <c r="AL83" s="463"/>
      <c r="AM83" s="463"/>
      <c r="AN83" s="463"/>
      <c r="AO83" s="463"/>
      <c r="AP83" s="463"/>
      <c r="AQ83" s="463"/>
      <c r="AR83" s="463"/>
      <c r="AS83" s="463"/>
      <c r="AT83" s="463"/>
      <c r="AU83" s="463"/>
      <c r="AV83" s="463"/>
      <c r="AW83" s="463"/>
      <c r="AX83" s="463"/>
      <c r="AY83" s="463"/>
      <c r="AZ83" s="463"/>
      <c r="BA83" s="463"/>
      <c r="BB83" s="463"/>
      <c r="BC83" s="463"/>
      <c r="BD83" s="463"/>
      <c r="BE83" s="463"/>
      <c r="BF83" s="463"/>
      <c r="BG83" s="463"/>
      <c r="BH83" s="463"/>
      <c r="BI83" s="463"/>
      <c r="BJ83" s="463"/>
    </row>
    <row r="84" customFormat="false" ht="19.5" hidden="false" customHeight="true" outlineLevel="0" collapsed="false">
      <c r="A84" s="465" t="s">
        <v>586</v>
      </c>
      <c r="B84" s="465" t="s">
        <v>207</v>
      </c>
      <c r="C84" s="472" t="s">
        <v>587</v>
      </c>
      <c r="D84" s="500" t="s">
        <v>588</v>
      </c>
      <c r="E84" s="465" t="s">
        <v>158</v>
      </c>
      <c r="F84" s="465" t="s">
        <v>586</v>
      </c>
      <c r="G84" s="472" t="s">
        <v>589</v>
      </c>
      <c r="H84" s="480" t="n">
        <v>240000</v>
      </c>
      <c r="I84" s="525"/>
      <c r="J84" s="469"/>
      <c r="K84" s="475"/>
      <c r="L84" s="526"/>
      <c r="O84" s="457"/>
      <c r="P84" s="476"/>
      <c r="Q84" s="477"/>
      <c r="R84" s="477"/>
      <c r="S84" s="477"/>
      <c r="T84" s="481"/>
      <c r="U84" s="479"/>
      <c r="V84" s="498"/>
      <c r="W84" s="463"/>
      <c r="X84" s="463"/>
      <c r="Y84" s="463"/>
      <c r="Z84" s="463"/>
      <c r="AA84" s="463"/>
      <c r="AB84" s="463"/>
      <c r="AC84" s="463"/>
      <c r="AD84" s="463"/>
      <c r="AE84" s="463"/>
      <c r="AF84" s="463"/>
      <c r="AG84" s="463"/>
      <c r="AH84" s="463"/>
      <c r="AI84" s="463"/>
      <c r="AJ84" s="463"/>
      <c r="AK84" s="463"/>
      <c r="AL84" s="463"/>
      <c r="AM84" s="463"/>
      <c r="AN84" s="463"/>
      <c r="AO84" s="463"/>
      <c r="AP84" s="463"/>
      <c r="AQ84" s="463"/>
      <c r="AR84" s="463"/>
      <c r="AS84" s="463"/>
      <c r="AT84" s="463"/>
      <c r="AU84" s="463"/>
      <c r="AV84" s="463"/>
      <c r="AW84" s="463"/>
      <c r="AX84" s="463"/>
      <c r="AY84" s="463"/>
      <c r="AZ84" s="463"/>
      <c r="BA84" s="463"/>
      <c r="BB84" s="463"/>
      <c r="BC84" s="463"/>
      <c r="BD84" s="463"/>
      <c r="BE84" s="463"/>
      <c r="BF84" s="463"/>
      <c r="BG84" s="463"/>
      <c r="BH84" s="463"/>
      <c r="BI84" s="463"/>
      <c r="BJ84" s="463"/>
    </row>
    <row r="85" customFormat="false" ht="19.5" hidden="false" customHeight="true" outlineLevel="0" collapsed="false">
      <c r="A85" s="465" t="s">
        <v>590</v>
      </c>
      <c r="B85" s="465" t="s">
        <v>195</v>
      </c>
      <c r="C85" s="472" t="s">
        <v>591</v>
      </c>
      <c r="D85" s="500" t="s">
        <v>592</v>
      </c>
      <c r="E85" s="465" t="s">
        <v>158</v>
      </c>
      <c r="F85" s="465" t="s">
        <v>590</v>
      </c>
      <c r="G85" s="472" t="s">
        <v>593</v>
      </c>
      <c r="H85" s="480" t="n">
        <v>250000</v>
      </c>
      <c r="I85" s="525"/>
      <c r="J85" s="469"/>
      <c r="K85" s="475" t="s">
        <v>594</v>
      </c>
      <c r="L85" s="499"/>
      <c r="O85" s="457"/>
      <c r="P85" s="476"/>
      <c r="Q85" s="477"/>
      <c r="R85" s="477"/>
      <c r="S85" s="477"/>
      <c r="T85" s="481"/>
      <c r="U85" s="479"/>
      <c r="V85" s="498"/>
      <c r="W85" s="463"/>
      <c r="X85" s="463"/>
      <c r="Y85" s="463"/>
      <c r="Z85" s="463"/>
      <c r="AA85" s="463"/>
      <c r="AB85" s="463"/>
      <c r="AC85" s="463"/>
      <c r="AD85" s="463"/>
      <c r="AE85" s="463"/>
      <c r="AF85" s="463"/>
      <c r="AG85" s="463"/>
      <c r="AH85" s="463"/>
      <c r="AI85" s="463"/>
      <c r="AJ85" s="463"/>
      <c r="AK85" s="463"/>
      <c r="AL85" s="463"/>
      <c r="AM85" s="463"/>
      <c r="AN85" s="463"/>
      <c r="AO85" s="463"/>
      <c r="AP85" s="463"/>
      <c r="AQ85" s="463"/>
      <c r="AR85" s="463"/>
      <c r="AS85" s="463"/>
      <c r="AT85" s="463"/>
      <c r="AU85" s="463"/>
      <c r="AV85" s="463"/>
      <c r="AW85" s="463"/>
      <c r="AX85" s="463"/>
      <c r="AY85" s="463"/>
      <c r="AZ85" s="463"/>
      <c r="BA85" s="463"/>
      <c r="BB85" s="463"/>
      <c r="BC85" s="463"/>
      <c r="BD85" s="463"/>
      <c r="BE85" s="463"/>
      <c r="BF85" s="463"/>
      <c r="BG85" s="463"/>
      <c r="BH85" s="463"/>
      <c r="BI85" s="463"/>
      <c r="BJ85" s="463"/>
    </row>
    <row r="86" customFormat="false" ht="19.5" hidden="false" customHeight="true" outlineLevel="0" collapsed="false">
      <c r="A86" s="465" t="s">
        <v>595</v>
      </c>
      <c r="B86" s="465" t="s">
        <v>596</v>
      </c>
      <c r="C86" s="472" t="s">
        <v>597</v>
      </c>
      <c r="D86" s="500" t="s">
        <v>598</v>
      </c>
      <c r="E86" s="465"/>
      <c r="F86" s="465" t="s">
        <v>595</v>
      </c>
      <c r="G86" s="465"/>
      <c r="H86" s="480" t="n">
        <v>250000</v>
      </c>
      <c r="I86" s="525"/>
      <c r="J86" s="469"/>
      <c r="K86" s="475" t="s">
        <v>599</v>
      </c>
      <c r="L86" s="499" t="s">
        <v>600</v>
      </c>
      <c r="O86" s="457"/>
      <c r="P86" s="476"/>
      <c r="Q86" s="477"/>
      <c r="R86" s="477"/>
      <c r="S86" s="477"/>
      <c r="T86" s="481"/>
      <c r="U86" s="479"/>
      <c r="V86" s="498"/>
      <c r="W86" s="527"/>
      <c r="X86" s="527"/>
      <c r="Y86" s="527"/>
      <c r="Z86" s="527"/>
      <c r="AA86" s="527"/>
      <c r="AB86" s="527"/>
      <c r="AC86" s="527"/>
      <c r="AD86" s="527"/>
      <c r="AE86" s="527"/>
      <c r="AF86" s="527"/>
      <c r="AG86" s="527"/>
      <c r="AH86" s="527"/>
      <c r="AI86" s="527"/>
      <c r="AJ86" s="527"/>
      <c r="AK86" s="527"/>
      <c r="AL86" s="527"/>
      <c r="AM86" s="527"/>
      <c r="AN86" s="527"/>
      <c r="AO86" s="527"/>
      <c r="AP86" s="527"/>
      <c r="AQ86" s="527"/>
      <c r="AR86" s="527"/>
      <c r="AS86" s="527"/>
      <c r="AT86" s="527"/>
      <c r="AU86" s="527"/>
      <c r="AV86" s="527"/>
      <c r="AW86" s="527"/>
      <c r="AX86" s="527"/>
      <c r="AY86" s="527"/>
      <c r="AZ86" s="527"/>
      <c r="BA86" s="527"/>
      <c r="BB86" s="527"/>
      <c r="BC86" s="527"/>
      <c r="BD86" s="527"/>
      <c r="BE86" s="527"/>
      <c r="BF86" s="527"/>
      <c r="BG86" s="527"/>
      <c r="BH86" s="527"/>
      <c r="BI86" s="527"/>
      <c r="BJ86" s="527"/>
      <c r="BK86" s="528"/>
      <c r="BL86" s="528"/>
      <c r="BM86" s="528"/>
      <c r="BN86" s="528"/>
      <c r="BO86" s="528"/>
      <c r="BP86" s="528"/>
      <c r="BQ86" s="528"/>
      <c r="BR86" s="528"/>
      <c r="BS86" s="528"/>
      <c r="BT86" s="528"/>
      <c r="BU86" s="528"/>
      <c r="BV86" s="528"/>
      <c r="BW86" s="528"/>
      <c r="BX86" s="528"/>
      <c r="BY86" s="528"/>
      <c r="BZ86" s="528"/>
      <c r="CA86" s="528"/>
      <c r="CB86" s="528"/>
      <c r="CC86" s="528"/>
      <c r="CD86" s="528"/>
      <c r="CE86" s="528"/>
      <c r="CF86" s="528"/>
      <c r="CG86" s="528"/>
      <c r="CH86" s="528"/>
      <c r="CI86" s="528"/>
      <c r="CJ86" s="528"/>
      <c r="CK86" s="528"/>
      <c r="CL86" s="528"/>
      <c r="CM86" s="528"/>
      <c r="CN86" s="528"/>
      <c r="CO86" s="528"/>
      <c r="CP86" s="528"/>
      <c r="CQ86" s="528"/>
      <c r="CR86" s="528"/>
      <c r="CS86" s="528"/>
      <c r="CT86" s="528"/>
      <c r="CU86" s="528"/>
      <c r="CV86" s="528"/>
      <c r="CW86" s="528"/>
      <c r="CX86" s="528"/>
      <c r="CY86" s="528"/>
      <c r="CZ86" s="528"/>
      <c r="DA86" s="528"/>
      <c r="DB86" s="528"/>
      <c r="DC86" s="528"/>
      <c r="DD86" s="528"/>
      <c r="DE86" s="528"/>
      <c r="DF86" s="528"/>
      <c r="DG86" s="528"/>
      <c r="DH86" s="528"/>
      <c r="DI86" s="528"/>
      <c r="DJ86" s="528"/>
      <c r="DK86" s="528"/>
      <c r="DL86" s="528"/>
      <c r="DM86" s="528"/>
      <c r="DN86" s="528"/>
      <c r="DO86" s="528"/>
      <c r="DP86" s="528"/>
      <c r="DQ86" s="528"/>
      <c r="DR86" s="528"/>
      <c r="DS86" s="528"/>
      <c r="DT86" s="528"/>
      <c r="DU86" s="528"/>
      <c r="DV86" s="528"/>
      <c r="DW86" s="528"/>
      <c r="DX86" s="528"/>
      <c r="DY86" s="528"/>
      <c r="DZ86" s="528"/>
      <c r="EA86" s="528"/>
      <c r="EB86" s="528"/>
      <c r="EC86" s="528"/>
      <c r="ED86" s="528"/>
      <c r="EE86" s="528"/>
      <c r="EF86" s="528"/>
      <c r="EG86" s="528"/>
      <c r="EH86" s="528"/>
      <c r="EI86" s="528"/>
      <c r="EJ86" s="528"/>
      <c r="EK86" s="528"/>
      <c r="EL86" s="528"/>
      <c r="EM86" s="528"/>
      <c r="EN86" s="528"/>
      <c r="EO86" s="528"/>
      <c r="EP86" s="528"/>
      <c r="EQ86" s="528"/>
      <c r="ER86" s="528"/>
      <c r="ES86" s="528"/>
      <c r="ET86" s="528"/>
      <c r="EU86" s="528"/>
      <c r="EV86" s="528"/>
      <c r="EW86" s="528"/>
      <c r="EX86" s="528"/>
      <c r="EY86" s="528"/>
      <c r="EZ86" s="528"/>
      <c r="FA86" s="528"/>
      <c r="FB86" s="528"/>
      <c r="FC86" s="528"/>
      <c r="FD86" s="528"/>
      <c r="FE86" s="528"/>
      <c r="FF86" s="528"/>
      <c r="FG86" s="528"/>
      <c r="FH86" s="528"/>
      <c r="FI86" s="528"/>
      <c r="FJ86" s="528"/>
      <c r="FK86" s="528"/>
      <c r="FL86" s="528"/>
      <c r="FM86" s="528"/>
      <c r="FN86" s="528"/>
      <c r="FO86" s="528"/>
      <c r="FP86" s="528"/>
      <c r="FQ86" s="528"/>
      <c r="FR86" s="528"/>
      <c r="FS86" s="528"/>
      <c r="FT86" s="528"/>
      <c r="FU86" s="528"/>
      <c r="FV86" s="528"/>
      <c r="FW86" s="528"/>
      <c r="FX86" s="528"/>
      <c r="FY86" s="528"/>
      <c r="FZ86" s="528"/>
      <c r="GA86" s="528"/>
      <c r="GB86" s="528"/>
      <c r="GC86" s="528"/>
      <c r="GD86" s="528"/>
      <c r="GE86" s="528"/>
      <c r="GF86" s="528"/>
      <c r="GG86" s="528"/>
      <c r="GH86" s="528"/>
      <c r="GI86" s="528"/>
      <c r="GJ86" s="528"/>
      <c r="GK86" s="528"/>
      <c r="GL86" s="528"/>
      <c r="GM86" s="528"/>
      <c r="GN86" s="528"/>
      <c r="GO86" s="528"/>
      <c r="GP86" s="528"/>
      <c r="GQ86" s="528"/>
      <c r="GR86" s="528"/>
      <c r="GS86" s="528"/>
      <c r="GT86" s="528"/>
      <c r="GU86" s="528"/>
      <c r="GV86" s="528"/>
      <c r="GW86" s="528"/>
      <c r="GX86" s="528"/>
      <c r="GY86" s="528"/>
      <c r="GZ86" s="528"/>
      <c r="HA86" s="528"/>
      <c r="HB86" s="528"/>
      <c r="HC86" s="528"/>
      <c r="HD86" s="528"/>
      <c r="HE86" s="528"/>
      <c r="HF86" s="528"/>
      <c r="HG86" s="528"/>
      <c r="HH86" s="528"/>
      <c r="HI86" s="528"/>
      <c r="HJ86" s="528"/>
      <c r="HK86" s="528"/>
      <c r="HL86" s="528"/>
      <c r="HM86" s="528"/>
      <c r="HN86" s="528"/>
      <c r="HO86" s="528"/>
      <c r="HP86" s="528"/>
      <c r="HQ86" s="528"/>
      <c r="HR86" s="528"/>
      <c r="HS86" s="528"/>
      <c r="HT86" s="528"/>
      <c r="HU86" s="528"/>
      <c r="HV86" s="528"/>
      <c r="HW86" s="528"/>
      <c r="HX86" s="528"/>
      <c r="HY86" s="528"/>
      <c r="HZ86" s="528"/>
      <c r="IA86" s="528"/>
      <c r="IB86" s="528"/>
      <c r="IC86" s="528"/>
      <c r="ID86" s="528"/>
      <c r="IE86" s="528"/>
      <c r="IF86" s="528"/>
      <c r="IG86" s="528"/>
      <c r="IH86" s="528"/>
      <c r="II86" s="528"/>
      <c r="IJ86" s="528"/>
      <c r="IK86" s="528"/>
      <c r="IL86" s="528"/>
      <c r="IM86" s="528"/>
      <c r="IN86" s="528"/>
      <c r="IO86" s="528"/>
      <c r="IP86" s="528"/>
      <c r="IQ86" s="528"/>
      <c r="IR86" s="528"/>
      <c r="IS86" s="528"/>
      <c r="IT86" s="528"/>
      <c r="IU86" s="528"/>
      <c r="IV86" s="528"/>
      <c r="IW86" s="528"/>
    </row>
    <row r="87" customFormat="false" ht="19.5" hidden="false" customHeight="true" outlineLevel="0" collapsed="false">
      <c r="A87" s="465" t="s">
        <v>601</v>
      </c>
      <c r="B87" s="465" t="s">
        <v>596</v>
      </c>
      <c r="C87" s="472" t="s">
        <v>602</v>
      </c>
      <c r="D87" s="529" t="s">
        <v>603</v>
      </c>
      <c r="E87" s="465"/>
      <c r="F87" s="465" t="s">
        <v>601</v>
      </c>
      <c r="G87" s="465"/>
      <c r="H87" s="480" t="n">
        <v>250000</v>
      </c>
      <c r="I87" s="525"/>
      <c r="J87" s="469"/>
      <c r="K87" s="475" t="s">
        <v>604</v>
      </c>
      <c r="L87" s="499"/>
      <c r="M87" s="530"/>
      <c r="N87" s="530"/>
      <c r="O87" s="457"/>
      <c r="P87" s="476"/>
      <c r="Q87" s="531"/>
      <c r="R87" s="531"/>
      <c r="S87" s="531"/>
      <c r="T87" s="532"/>
      <c r="U87" s="533"/>
      <c r="V87" s="534"/>
      <c r="W87" s="535"/>
      <c r="X87" s="535"/>
      <c r="Y87" s="535"/>
      <c r="Z87" s="535"/>
      <c r="AA87" s="535"/>
      <c r="AB87" s="535"/>
      <c r="AC87" s="535"/>
      <c r="AD87" s="535"/>
      <c r="AE87" s="535"/>
      <c r="AF87" s="535"/>
      <c r="AG87" s="535"/>
      <c r="AH87" s="535"/>
      <c r="AI87" s="535"/>
      <c r="AJ87" s="535"/>
      <c r="AK87" s="535"/>
      <c r="AL87" s="535"/>
      <c r="AM87" s="535"/>
      <c r="AN87" s="535"/>
      <c r="AO87" s="535"/>
      <c r="AP87" s="535"/>
      <c r="AQ87" s="535"/>
      <c r="AR87" s="535"/>
      <c r="AS87" s="535"/>
      <c r="AT87" s="535"/>
      <c r="AU87" s="535"/>
      <c r="AV87" s="535"/>
      <c r="AW87" s="535"/>
      <c r="AX87" s="535"/>
      <c r="AY87" s="535"/>
      <c r="AZ87" s="535"/>
      <c r="BA87" s="535"/>
      <c r="BB87" s="535"/>
      <c r="BC87" s="535"/>
      <c r="BD87" s="535"/>
      <c r="BE87" s="535"/>
      <c r="BF87" s="535"/>
      <c r="BG87" s="535"/>
      <c r="BH87" s="535"/>
      <c r="BI87" s="535"/>
      <c r="BJ87" s="535"/>
      <c r="BK87" s="536"/>
      <c r="BL87" s="536"/>
      <c r="BM87" s="536"/>
      <c r="BN87" s="536"/>
      <c r="BO87" s="536"/>
      <c r="BP87" s="536"/>
      <c r="BQ87" s="536"/>
      <c r="BR87" s="536"/>
      <c r="BS87" s="536"/>
      <c r="BT87" s="536"/>
      <c r="BU87" s="536"/>
      <c r="BV87" s="536"/>
      <c r="BW87" s="536"/>
      <c r="BX87" s="536"/>
      <c r="BY87" s="536"/>
      <c r="BZ87" s="536"/>
      <c r="CA87" s="536"/>
      <c r="CB87" s="536"/>
      <c r="CC87" s="536"/>
      <c r="CD87" s="536"/>
      <c r="CE87" s="536"/>
      <c r="CF87" s="536"/>
      <c r="CG87" s="536"/>
      <c r="CH87" s="536"/>
      <c r="CI87" s="536"/>
      <c r="CJ87" s="536"/>
      <c r="CK87" s="536"/>
      <c r="CL87" s="536"/>
      <c r="CM87" s="536"/>
      <c r="CN87" s="536"/>
      <c r="CO87" s="536"/>
      <c r="CP87" s="536"/>
      <c r="CQ87" s="536"/>
      <c r="CR87" s="536"/>
      <c r="CS87" s="536"/>
      <c r="CT87" s="536"/>
      <c r="CU87" s="536"/>
      <c r="CV87" s="536"/>
      <c r="CW87" s="536"/>
      <c r="CX87" s="536"/>
      <c r="CY87" s="536"/>
      <c r="CZ87" s="536"/>
      <c r="DA87" s="536"/>
      <c r="DB87" s="536"/>
      <c r="DC87" s="536"/>
      <c r="DD87" s="536"/>
      <c r="DE87" s="536"/>
      <c r="DF87" s="536"/>
      <c r="DG87" s="536"/>
      <c r="DH87" s="536"/>
      <c r="DI87" s="536"/>
      <c r="DJ87" s="536"/>
      <c r="DK87" s="536"/>
      <c r="DL87" s="536"/>
      <c r="DM87" s="536"/>
      <c r="DN87" s="536"/>
      <c r="DO87" s="536"/>
      <c r="DP87" s="536"/>
      <c r="DQ87" s="536"/>
      <c r="DR87" s="536"/>
      <c r="DS87" s="536"/>
      <c r="DT87" s="536"/>
      <c r="DU87" s="536"/>
      <c r="DV87" s="536"/>
      <c r="DW87" s="536"/>
      <c r="DX87" s="536"/>
      <c r="DY87" s="536"/>
      <c r="DZ87" s="536"/>
      <c r="EA87" s="536"/>
      <c r="EB87" s="536"/>
      <c r="EC87" s="536"/>
      <c r="ED87" s="536"/>
      <c r="EE87" s="536"/>
      <c r="EF87" s="536"/>
      <c r="EG87" s="536"/>
      <c r="EH87" s="536"/>
      <c r="EI87" s="536"/>
      <c r="EJ87" s="536"/>
      <c r="EK87" s="536"/>
      <c r="EL87" s="536"/>
      <c r="EM87" s="536"/>
      <c r="EN87" s="536"/>
      <c r="EO87" s="536"/>
      <c r="EP87" s="536"/>
      <c r="EQ87" s="536"/>
      <c r="ER87" s="536"/>
      <c r="ES87" s="536"/>
      <c r="ET87" s="536"/>
      <c r="EU87" s="536"/>
      <c r="EV87" s="536"/>
      <c r="EW87" s="536"/>
      <c r="EX87" s="536"/>
      <c r="EY87" s="536"/>
      <c r="EZ87" s="536"/>
      <c r="FA87" s="536"/>
      <c r="FB87" s="536"/>
      <c r="FC87" s="536"/>
      <c r="FD87" s="536"/>
      <c r="FE87" s="536"/>
      <c r="FF87" s="536"/>
      <c r="FG87" s="536"/>
      <c r="FH87" s="536"/>
      <c r="FI87" s="536"/>
      <c r="FJ87" s="536"/>
      <c r="FK87" s="536"/>
      <c r="FL87" s="536"/>
      <c r="FM87" s="536"/>
      <c r="FN87" s="536"/>
      <c r="FO87" s="536"/>
      <c r="FP87" s="536"/>
      <c r="FQ87" s="536"/>
      <c r="FR87" s="536"/>
      <c r="FS87" s="536"/>
      <c r="FT87" s="536"/>
      <c r="FU87" s="536"/>
      <c r="FV87" s="536"/>
      <c r="FW87" s="536"/>
      <c r="FX87" s="536"/>
      <c r="FY87" s="536"/>
      <c r="FZ87" s="536"/>
      <c r="GA87" s="536"/>
      <c r="GB87" s="536"/>
      <c r="GC87" s="536"/>
      <c r="GD87" s="536"/>
      <c r="GE87" s="536"/>
      <c r="GF87" s="536"/>
      <c r="GG87" s="536"/>
      <c r="GH87" s="536"/>
      <c r="GI87" s="536"/>
      <c r="GJ87" s="536"/>
      <c r="GK87" s="536"/>
      <c r="GL87" s="536"/>
      <c r="GM87" s="536"/>
      <c r="GN87" s="536"/>
      <c r="GO87" s="536"/>
      <c r="GP87" s="536"/>
      <c r="GQ87" s="536"/>
      <c r="GR87" s="536"/>
      <c r="GS87" s="536"/>
      <c r="GT87" s="536"/>
      <c r="GU87" s="536"/>
      <c r="GV87" s="536"/>
      <c r="GW87" s="536"/>
      <c r="GX87" s="536"/>
      <c r="GY87" s="536"/>
      <c r="GZ87" s="536"/>
      <c r="HA87" s="536"/>
      <c r="HB87" s="536"/>
      <c r="HC87" s="536"/>
      <c r="HD87" s="536"/>
      <c r="HE87" s="536"/>
      <c r="HF87" s="536"/>
      <c r="HG87" s="536"/>
      <c r="HH87" s="536"/>
      <c r="HI87" s="536"/>
      <c r="HJ87" s="536"/>
      <c r="HK87" s="536"/>
      <c r="HL87" s="536"/>
      <c r="HM87" s="536"/>
      <c r="HN87" s="536"/>
      <c r="HO87" s="536"/>
      <c r="HP87" s="536"/>
      <c r="HQ87" s="536"/>
      <c r="HR87" s="536"/>
      <c r="HS87" s="536"/>
      <c r="HT87" s="536"/>
      <c r="HU87" s="536"/>
      <c r="HV87" s="536"/>
      <c r="HW87" s="536"/>
      <c r="HX87" s="536"/>
      <c r="HY87" s="536"/>
      <c r="HZ87" s="536"/>
      <c r="IA87" s="536"/>
      <c r="IB87" s="536"/>
      <c r="IC87" s="536"/>
      <c r="ID87" s="536"/>
      <c r="IE87" s="536"/>
      <c r="IF87" s="536"/>
      <c r="IG87" s="536"/>
      <c r="IH87" s="536"/>
      <c r="II87" s="536"/>
      <c r="IJ87" s="536"/>
      <c r="IK87" s="536"/>
      <c r="IL87" s="536"/>
      <c r="IM87" s="536"/>
      <c r="IN87" s="536"/>
      <c r="IO87" s="536"/>
      <c r="IP87" s="536"/>
      <c r="IQ87" s="536"/>
      <c r="IR87" s="536"/>
      <c r="IS87" s="536"/>
      <c r="IT87" s="536"/>
      <c r="IU87" s="536"/>
      <c r="IV87" s="536"/>
      <c r="IW87" s="536"/>
    </row>
    <row r="88" customFormat="false" ht="19.5" hidden="false" customHeight="true" outlineLevel="0" collapsed="false">
      <c r="A88" s="465" t="s">
        <v>224</v>
      </c>
      <c r="B88" s="465" t="s">
        <v>596</v>
      </c>
      <c r="C88" s="472" t="s">
        <v>605</v>
      </c>
      <c r="D88" s="500" t="s">
        <v>606</v>
      </c>
      <c r="E88" s="465" t="s">
        <v>607</v>
      </c>
      <c r="F88" s="465" t="s">
        <v>224</v>
      </c>
      <c r="G88" s="472" t="s">
        <v>608</v>
      </c>
      <c r="H88" s="480" t="n">
        <v>155000</v>
      </c>
      <c r="I88" s="525" t="s">
        <v>609</v>
      </c>
      <c r="J88" s="469"/>
      <c r="K88" s="475" t="s">
        <v>610</v>
      </c>
      <c r="L88" s="499"/>
      <c r="O88" s="457"/>
      <c r="P88" s="476"/>
      <c r="Q88" s="477"/>
      <c r="R88" s="477"/>
      <c r="S88" s="477"/>
      <c r="T88" s="481"/>
      <c r="U88" s="479"/>
      <c r="V88" s="498"/>
      <c r="W88" s="463"/>
      <c r="X88" s="463"/>
      <c r="Y88" s="463"/>
      <c r="Z88" s="463"/>
      <c r="AA88" s="463"/>
      <c r="AB88" s="463"/>
      <c r="AC88" s="463"/>
      <c r="AD88" s="463"/>
      <c r="AE88" s="463"/>
      <c r="AF88" s="463"/>
      <c r="AG88" s="463"/>
      <c r="AH88" s="463"/>
      <c r="AI88" s="463"/>
      <c r="AJ88" s="463"/>
      <c r="AK88" s="463"/>
      <c r="AL88" s="463"/>
      <c r="AM88" s="463"/>
      <c r="AN88" s="463"/>
      <c r="AO88" s="463"/>
      <c r="AP88" s="463"/>
      <c r="AQ88" s="463"/>
      <c r="AR88" s="463"/>
      <c r="AS88" s="463"/>
      <c r="AT88" s="463"/>
      <c r="AU88" s="463"/>
      <c r="AV88" s="463"/>
      <c r="AW88" s="463"/>
      <c r="AX88" s="463"/>
      <c r="AY88" s="463"/>
      <c r="AZ88" s="463"/>
      <c r="BA88" s="463"/>
      <c r="BB88" s="463"/>
      <c r="BC88" s="463"/>
      <c r="BD88" s="463"/>
      <c r="BE88" s="463"/>
      <c r="BF88" s="463"/>
      <c r="BG88" s="463"/>
      <c r="BH88" s="463"/>
      <c r="BI88" s="463"/>
      <c r="BJ88" s="463"/>
    </row>
    <row r="89" customFormat="false" ht="19.5" hidden="false" customHeight="true" outlineLevel="0" collapsed="false">
      <c r="A89" s="465" t="s">
        <v>611</v>
      </c>
      <c r="B89" s="465" t="s">
        <v>596</v>
      </c>
      <c r="C89" s="472" t="s">
        <v>612</v>
      </c>
      <c r="D89" s="500" t="s">
        <v>613</v>
      </c>
      <c r="E89" s="465" t="s">
        <v>614</v>
      </c>
      <c r="F89" s="465" t="s">
        <v>611</v>
      </c>
      <c r="G89" s="472" t="s">
        <v>615</v>
      </c>
      <c r="H89" s="480" t="n">
        <v>155000</v>
      </c>
      <c r="I89" s="525" t="s">
        <v>616</v>
      </c>
      <c r="J89" s="469"/>
      <c r="K89" s="475" t="s">
        <v>617</v>
      </c>
      <c r="L89" s="499"/>
      <c r="O89" s="457"/>
      <c r="P89" s="476"/>
      <c r="Q89" s="477"/>
      <c r="R89" s="477"/>
      <c r="S89" s="477"/>
      <c r="T89" s="481"/>
      <c r="U89" s="479"/>
      <c r="V89" s="498"/>
      <c r="W89" s="463"/>
      <c r="X89" s="463"/>
      <c r="Y89" s="463"/>
      <c r="Z89" s="463"/>
      <c r="AA89" s="463"/>
      <c r="AB89" s="463"/>
      <c r="AC89" s="463"/>
      <c r="AD89" s="463"/>
      <c r="AE89" s="463"/>
      <c r="AF89" s="463"/>
      <c r="AG89" s="463"/>
      <c r="AH89" s="463"/>
      <c r="AI89" s="463"/>
      <c r="AJ89" s="463"/>
      <c r="AK89" s="463"/>
      <c r="AL89" s="463"/>
      <c r="AM89" s="463"/>
      <c r="AN89" s="463"/>
      <c r="AO89" s="463"/>
      <c r="AP89" s="463"/>
      <c r="AQ89" s="463"/>
      <c r="AR89" s="463"/>
      <c r="AS89" s="463"/>
      <c r="AT89" s="463"/>
      <c r="AU89" s="463"/>
      <c r="AV89" s="463"/>
      <c r="AW89" s="463"/>
      <c r="AX89" s="463"/>
      <c r="AY89" s="463"/>
      <c r="AZ89" s="463"/>
      <c r="BA89" s="463"/>
      <c r="BB89" s="463"/>
      <c r="BC89" s="463"/>
      <c r="BD89" s="463"/>
      <c r="BE89" s="463"/>
      <c r="BF89" s="463"/>
      <c r="BG89" s="463"/>
      <c r="BH89" s="463"/>
      <c r="BI89" s="463"/>
      <c r="BJ89" s="463"/>
    </row>
    <row r="90" customFormat="false" ht="26.25" hidden="false" customHeight="true" outlineLevel="0" collapsed="false">
      <c r="A90" s="537" t="s">
        <v>618</v>
      </c>
      <c r="B90" s="465" t="s">
        <v>619</v>
      </c>
      <c r="C90" s="472" t="s">
        <v>620</v>
      </c>
      <c r="D90" s="500" t="s">
        <v>621</v>
      </c>
      <c r="E90" s="465" t="s">
        <v>158</v>
      </c>
      <c r="F90" s="465"/>
      <c r="G90" s="472" t="s">
        <v>622</v>
      </c>
      <c r="H90" s="480" t="n">
        <v>90000</v>
      </c>
      <c r="I90" s="517" t="s">
        <v>623</v>
      </c>
      <c r="J90" s="538"/>
      <c r="K90" s="475"/>
      <c r="L90" s="455"/>
      <c r="O90" s="453"/>
      <c r="P90" s="481"/>
      <c r="Q90" s="477"/>
      <c r="R90" s="477"/>
      <c r="S90" s="477"/>
      <c r="T90" s="481"/>
      <c r="U90" s="479"/>
      <c r="V90" s="498"/>
      <c r="W90" s="463"/>
      <c r="X90" s="463"/>
      <c r="Y90" s="463"/>
      <c r="Z90" s="463"/>
      <c r="AA90" s="463"/>
      <c r="AB90" s="463"/>
      <c r="AC90" s="463"/>
      <c r="AD90" s="463"/>
      <c r="AE90" s="463"/>
      <c r="AF90" s="463"/>
      <c r="AG90" s="463"/>
      <c r="AH90" s="463"/>
      <c r="AI90" s="463"/>
      <c r="AJ90" s="463"/>
      <c r="AK90" s="463"/>
      <c r="AL90" s="463"/>
      <c r="AM90" s="463"/>
      <c r="AN90" s="463"/>
      <c r="AO90" s="463"/>
      <c r="AP90" s="463"/>
      <c r="AQ90" s="463"/>
      <c r="AR90" s="463"/>
      <c r="AS90" s="463"/>
      <c r="AT90" s="463"/>
      <c r="AU90" s="463"/>
      <c r="AV90" s="463"/>
      <c r="AW90" s="463"/>
      <c r="AX90" s="463"/>
      <c r="AY90" s="463"/>
      <c r="AZ90" s="463"/>
      <c r="BA90" s="463"/>
      <c r="BB90" s="463"/>
      <c r="BC90" s="463"/>
      <c r="BD90" s="463"/>
      <c r="BE90" s="463"/>
      <c r="BF90" s="463"/>
      <c r="BG90" s="463"/>
      <c r="BH90" s="463"/>
      <c r="BI90" s="463"/>
      <c r="BJ90" s="463"/>
    </row>
    <row r="91" customFormat="false" ht="19.5" hidden="false" customHeight="true" outlineLevel="0" collapsed="false">
      <c r="A91" s="465"/>
      <c r="B91" s="465"/>
      <c r="C91" s="465"/>
      <c r="D91" s="500"/>
      <c r="E91" s="465"/>
      <c r="F91" s="465"/>
      <c r="G91" s="465"/>
      <c r="H91" s="480"/>
      <c r="I91" s="467"/>
      <c r="J91" s="538"/>
      <c r="K91" s="475"/>
      <c r="L91" s="455"/>
      <c r="O91" s="457"/>
      <c r="P91" s="476"/>
      <c r="Q91" s="477"/>
      <c r="R91" s="477"/>
      <c r="S91" s="477"/>
      <c r="T91" s="481"/>
      <c r="U91" s="479"/>
      <c r="V91" s="498"/>
      <c r="W91" s="463"/>
      <c r="X91" s="463"/>
      <c r="Y91" s="463"/>
      <c r="Z91" s="463"/>
      <c r="AA91" s="463"/>
      <c r="AB91" s="463"/>
      <c r="AC91" s="463"/>
      <c r="AD91" s="463"/>
      <c r="AE91" s="463"/>
      <c r="AF91" s="463"/>
      <c r="AG91" s="463"/>
      <c r="AH91" s="463"/>
      <c r="AI91" s="463"/>
      <c r="AJ91" s="463"/>
      <c r="AK91" s="463"/>
      <c r="AL91" s="463"/>
      <c r="AM91" s="463"/>
      <c r="AN91" s="463"/>
      <c r="AO91" s="463"/>
      <c r="AP91" s="463"/>
      <c r="AQ91" s="463"/>
      <c r="AR91" s="463"/>
      <c r="AS91" s="463"/>
      <c r="AT91" s="463"/>
      <c r="AU91" s="463"/>
      <c r="AV91" s="463"/>
      <c r="AW91" s="463"/>
      <c r="AX91" s="463"/>
      <c r="AY91" s="463"/>
      <c r="AZ91" s="463"/>
      <c r="BA91" s="463"/>
      <c r="BB91" s="463"/>
      <c r="BC91" s="463"/>
      <c r="BD91" s="463"/>
      <c r="BE91" s="463"/>
      <c r="BF91" s="463"/>
      <c r="BG91" s="463"/>
      <c r="BH91" s="463"/>
      <c r="BI91" s="463"/>
      <c r="BJ91" s="463"/>
    </row>
    <row r="92" customFormat="false" ht="19.5" hidden="false" customHeight="true" outlineLevel="0" collapsed="false">
      <c r="A92" s="465" t="s">
        <v>624</v>
      </c>
      <c r="B92" s="465" t="s">
        <v>596</v>
      </c>
      <c r="C92" s="472" t="s">
        <v>625</v>
      </c>
      <c r="D92" s="500" t="s">
        <v>626</v>
      </c>
      <c r="E92" s="465" t="s">
        <v>158</v>
      </c>
      <c r="F92" s="465" t="str">
        <f aca="false">A92</f>
        <v>유상철</v>
      </c>
      <c r="G92" s="472" t="s">
        <v>627</v>
      </c>
      <c r="H92" s="480" t="n">
        <v>180000</v>
      </c>
      <c r="I92" s="517" t="s">
        <v>628</v>
      </c>
      <c r="J92" s="538"/>
      <c r="K92" s="475" t="s">
        <v>617</v>
      </c>
      <c r="L92" s="526"/>
      <c r="O92" s="457"/>
      <c r="P92" s="476"/>
      <c r="Q92" s="477"/>
      <c r="R92" s="477"/>
      <c r="S92" s="477"/>
      <c r="T92" s="481"/>
      <c r="U92" s="479"/>
      <c r="V92" s="498"/>
      <c r="W92" s="463"/>
      <c r="X92" s="463"/>
      <c r="Y92" s="463"/>
      <c r="Z92" s="463"/>
      <c r="AA92" s="463"/>
      <c r="AB92" s="463"/>
      <c r="AC92" s="463"/>
      <c r="AD92" s="463"/>
      <c r="AE92" s="463"/>
      <c r="AF92" s="463"/>
      <c r="AG92" s="463"/>
      <c r="AH92" s="463"/>
      <c r="AI92" s="463"/>
      <c r="AJ92" s="463"/>
      <c r="AK92" s="463"/>
      <c r="AL92" s="463"/>
      <c r="AM92" s="463"/>
      <c r="AN92" s="463"/>
      <c r="AO92" s="463"/>
      <c r="AP92" s="463"/>
      <c r="AQ92" s="463"/>
      <c r="AR92" s="463"/>
      <c r="AS92" s="463"/>
      <c r="AT92" s="463"/>
      <c r="AU92" s="463"/>
      <c r="AV92" s="463"/>
      <c r="AW92" s="463"/>
      <c r="AX92" s="463"/>
      <c r="AY92" s="463"/>
      <c r="AZ92" s="463"/>
      <c r="BA92" s="463"/>
      <c r="BB92" s="463"/>
      <c r="BC92" s="463"/>
      <c r="BD92" s="463"/>
      <c r="BE92" s="463"/>
      <c r="BF92" s="463"/>
      <c r="BG92" s="463"/>
      <c r="BH92" s="463"/>
      <c r="BI92" s="463"/>
      <c r="BJ92" s="463"/>
    </row>
    <row r="93" customFormat="false" ht="19.5" hidden="false" customHeight="true" outlineLevel="0" collapsed="false">
      <c r="A93" s="465" t="s">
        <v>629</v>
      </c>
      <c r="B93" s="465" t="s">
        <v>596</v>
      </c>
      <c r="C93" s="472" t="s">
        <v>630</v>
      </c>
      <c r="D93" s="500" t="s">
        <v>631</v>
      </c>
      <c r="E93" s="465" t="s">
        <v>568</v>
      </c>
      <c r="F93" s="465" t="str">
        <f aca="false">A93</f>
        <v>박건진</v>
      </c>
      <c r="G93" s="472" t="s">
        <v>632</v>
      </c>
      <c r="H93" s="480" t="n">
        <v>150000</v>
      </c>
      <c r="I93" s="517" t="s">
        <v>633</v>
      </c>
      <c r="J93" s="538"/>
      <c r="K93" s="475" t="s">
        <v>634</v>
      </c>
      <c r="L93" s="455"/>
      <c r="M93" s="530"/>
      <c r="N93" s="530"/>
      <c r="O93" s="457"/>
      <c r="P93" s="476"/>
      <c r="Q93" s="477"/>
      <c r="R93" s="477"/>
      <c r="S93" s="477"/>
      <c r="T93" s="481"/>
      <c r="U93" s="479"/>
      <c r="V93" s="498"/>
      <c r="W93" s="535"/>
      <c r="X93" s="535"/>
      <c r="Y93" s="535"/>
      <c r="Z93" s="535"/>
      <c r="AA93" s="535"/>
      <c r="AB93" s="535"/>
      <c r="AC93" s="535"/>
      <c r="AD93" s="535"/>
      <c r="AE93" s="535"/>
      <c r="AF93" s="535"/>
      <c r="AG93" s="535"/>
      <c r="AH93" s="535"/>
      <c r="AI93" s="535"/>
      <c r="AJ93" s="535"/>
      <c r="AK93" s="535"/>
      <c r="AL93" s="535"/>
      <c r="AM93" s="535"/>
      <c r="AN93" s="535"/>
      <c r="AO93" s="535"/>
      <c r="AP93" s="535"/>
      <c r="AQ93" s="535"/>
      <c r="AR93" s="535"/>
      <c r="AS93" s="535"/>
      <c r="AT93" s="535"/>
      <c r="AU93" s="535"/>
      <c r="AV93" s="535"/>
      <c r="AW93" s="535"/>
      <c r="AX93" s="535"/>
      <c r="AY93" s="535"/>
      <c r="AZ93" s="535"/>
      <c r="BA93" s="535"/>
      <c r="BB93" s="535"/>
      <c r="BC93" s="535"/>
      <c r="BD93" s="535"/>
      <c r="BE93" s="535"/>
      <c r="BF93" s="535"/>
      <c r="BG93" s="535"/>
      <c r="BH93" s="535"/>
      <c r="BI93" s="535"/>
      <c r="BJ93" s="535"/>
      <c r="BK93" s="536"/>
      <c r="BL93" s="536"/>
      <c r="BM93" s="536"/>
      <c r="BN93" s="536"/>
      <c r="BO93" s="536"/>
      <c r="BP93" s="536"/>
      <c r="BQ93" s="536"/>
      <c r="BR93" s="536"/>
      <c r="BS93" s="536"/>
      <c r="BT93" s="536"/>
      <c r="BU93" s="536"/>
      <c r="BV93" s="536"/>
      <c r="BW93" s="536"/>
      <c r="BX93" s="536"/>
      <c r="BY93" s="536"/>
      <c r="BZ93" s="536"/>
      <c r="CA93" s="536"/>
      <c r="CB93" s="536"/>
      <c r="CC93" s="536"/>
      <c r="CD93" s="536"/>
      <c r="CE93" s="536"/>
      <c r="CF93" s="536"/>
      <c r="CG93" s="536"/>
      <c r="CH93" s="536"/>
      <c r="CI93" s="536"/>
      <c r="CJ93" s="536"/>
      <c r="CK93" s="536"/>
      <c r="CL93" s="536"/>
      <c r="CM93" s="536"/>
      <c r="CN93" s="536"/>
      <c r="CO93" s="536"/>
      <c r="CP93" s="536"/>
      <c r="CQ93" s="536"/>
      <c r="CR93" s="536"/>
      <c r="CS93" s="536"/>
      <c r="CT93" s="536"/>
      <c r="CU93" s="536"/>
      <c r="CV93" s="536"/>
      <c r="CW93" s="536"/>
      <c r="CX93" s="536"/>
      <c r="CY93" s="536"/>
      <c r="CZ93" s="536"/>
      <c r="DA93" s="536"/>
      <c r="DB93" s="536"/>
      <c r="DC93" s="536"/>
      <c r="DD93" s="536"/>
      <c r="DE93" s="536"/>
      <c r="DF93" s="536"/>
      <c r="DG93" s="536"/>
      <c r="DH93" s="536"/>
      <c r="DI93" s="536"/>
      <c r="DJ93" s="536"/>
      <c r="DK93" s="536"/>
      <c r="DL93" s="536"/>
      <c r="DM93" s="536"/>
      <c r="DN93" s="536"/>
      <c r="DO93" s="536"/>
      <c r="DP93" s="536"/>
      <c r="DQ93" s="536"/>
      <c r="DR93" s="536"/>
      <c r="DS93" s="536"/>
      <c r="DT93" s="536"/>
      <c r="DU93" s="536"/>
      <c r="DV93" s="536"/>
      <c r="DW93" s="536"/>
      <c r="DX93" s="536"/>
      <c r="DY93" s="536"/>
      <c r="DZ93" s="536"/>
      <c r="EA93" s="536"/>
      <c r="EB93" s="536"/>
      <c r="EC93" s="536"/>
      <c r="ED93" s="536"/>
      <c r="EE93" s="536"/>
      <c r="EF93" s="536"/>
      <c r="EG93" s="536"/>
      <c r="EH93" s="536"/>
      <c r="EI93" s="536"/>
      <c r="EJ93" s="536"/>
      <c r="EK93" s="536"/>
      <c r="EL93" s="536"/>
      <c r="EM93" s="536"/>
      <c r="EN93" s="536"/>
      <c r="EO93" s="536"/>
      <c r="EP93" s="536"/>
      <c r="EQ93" s="536"/>
      <c r="ER93" s="536"/>
      <c r="ES93" s="536"/>
      <c r="ET93" s="536"/>
      <c r="EU93" s="536"/>
      <c r="EV93" s="536"/>
      <c r="EW93" s="536"/>
      <c r="EX93" s="536"/>
      <c r="EY93" s="536"/>
      <c r="EZ93" s="536"/>
      <c r="FA93" s="536"/>
      <c r="FB93" s="536"/>
      <c r="FC93" s="536"/>
      <c r="FD93" s="536"/>
      <c r="FE93" s="536"/>
      <c r="FF93" s="536"/>
      <c r="FG93" s="536"/>
      <c r="FH93" s="536"/>
      <c r="FI93" s="536"/>
      <c r="FJ93" s="536"/>
      <c r="FK93" s="536"/>
      <c r="FL93" s="536"/>
      <c r="FM93" s="536"/>
      <c r="FN93" s="536"/>
      <c r="FO93" s="536"/>
      <c r="FP93" s="536"/>
      <c r="FQ93" s="536"/>
      <c r="FR93" s="536"/>
      <c r="FS93" s="536"/>
      <c r="FT93" s="536"/>
      <c r="FU93" s="536"/>
      <c r="FV93" s="536"/>
      <c r="FW93" s="536"/>
      <c r="FX93" s="536"/>
      <c r="FY93" s="536"/>
      <c r="FZ93" s="536"/>
      <c r="GA93" s="536"/>
      <c r="GB93" s="536"/>
      <c r="GC93" s="536"/>
      <c r="GD93" s="536"/>
      <c r="GE93" s="536"/>
      <c r="GF93" s="536"/>
      <c r="GG93" s="536"/>
      <c r="GH93" s="536"/>
      <c r="GI93" s="536"/>
      <c r="GJ93" s="536"/>
      <c r="GK93" s="536"/>
      <c r="GL93" s="536"/>
      <c r="GM93" s="536"/>
      <c r="GN93" s="536"/>
      <c r="GO93" s="536"/>
      <c r="GP93" s="536"/>
      <c r="GQ93" s="536"/>
      <c r="GR93" s="536"/>
      <c r="GS93" s="536"/>
      <c r="GT93" s="536"/>
      <c r="GU93" s="536"/>
      <c r="GV93" s="536"/>
      <c r="GW93" s="536"/>
      <c r="GX93" s="536"/>
      <c r="GY93" s="536"/>
      <c r="GZ93" s="536"/>
      <c r="HA93" s="536"/>
      <c r="HB93" s="536"/>
      <c r="HC93" s="536"/>
      <c r="HD93" s="536"/>
      <c r="HE93" s="536"/>
      <c r="HF93" s="536"/>
      <c r="HG93" s="536"/>
      <c r="HH93" s="536"/>
      <c r="HI93" s="536"/>
      <c r="HJ93" s="536"/>
      <c r="HK93" s="536"/>
      <c r="HL93" s="536"/>
      <c r="HM93" s="536"/>
      <c r="HN93" s="536"/>
      <c r="HO93" s="536"/>
      <c r="HP93" s="536"/>
      <c r="HQ93" s="536"/>
      <c r="HR93" s="536"/>
      <c r="HS93" s="536"/>
      <c r="HT93" s="536"/>
      <c r="HU93" s="536"/>
      <c r="HV93" s="536"/>
      <c r="HW93" s="536"/>
      <c r="HX93" s="536"/>
      <c r="HY93" s="536"/>
      <c r="HZ93" s="536"/>
      <c r="IA93" s="536"/>
      <c r="IB93" s="536"/>
      <c r="IC93" s="536"/>
      <c r="ID93" s="536"/>
      <c r="IE93" s="536"/>
      <c r="IF93" s="536"/>
      <c r="IG93" s="536"/>
      <c r="IH93" s="536"/>
      <c r="II93" s="536"/>
      <c r="IJ93" s="536"/>
      <c r="IK93" s="536"/>
      <c r="IL93" s="536"/>
      <c r="IM93" s="536"/>
      <c r="IN93" s="536"/>
      <c r="IO93" s="536"/>
      <c r="IP93" s="536"/>
      <c r="IQ93" s="536"/>
      <c r="IR93" s="536"/>
      <c r="IS93" s="536"/>
      <c r="IT93" s="536"/>
      <c r="IU93" s="536"/>
      <c r="IV93" s="536"/>
      <c r="IW93" s="536"/>
    </row>
    <row r="94" customFormat="false" ht="19.5" hidden="false" customHeight="true" outlineLevel="0" collapsed="false">
      <c r="A94" s="465" t="s">
        <v>635</v>
      </c>
      <c r="B94" s="465" t="s">
        <v>596</v>
      </c>
      <c r="C94" s="472" t="s">
        <v>636</v>
      </c>
      <c r="D94" s="500" t="s">
        <v>637</v>
      </c>
      <c r="E94" s="465" t="s">
        <v>638</v>
      </c>
      <c r="F94" s="465" t="str">
        <f aca="false">A94</f>
        <v>김도운</v>
      </c>
      <c r="G94" s="472" t="s">
        <v>639</v>
      </c>
      <c r="H94" s="480" t="n">
        <v>140000</v>
      </c>
      <c r="I94" s="517" t="s">
        <v>640</v>
      </c>
      <c r="J94" s="538"/>
      <c r="K94" s="475" t="s">
        <v>641</v>
      </c>
      <c r="L94" s="455"/>
      <c r="O94" s="457"/>
      <c r="P94" s="476"/>
      <c r="Q94" s="477"/>
      <c r="R94" s="477"/>
      <c r="S94" s="477"/>
      <c r="T94" s="481"/>
      <c r="U94" s="479"/>
      <c r="V94" s="498"/>
      <c r="W94" s="463"/>
      <c r="X94" s="463"/>
      <c r="Y94" s="463"/>
      <c r="Z94" s="463"/>
      <c r="AA94" s="463"/>
      <c r="AB94" s="463"/>
      <c r="AC94" s="463"/>
      <c r="AD94" s="463"/>
      <c r="AE94" s="463"/>
      <c r="AF94" s="463"/>
      <c r="AG94" s="463"/>
      <c r="AH94" s="463"/>
      <c r="AI94" s="463"/>
      <c r="AJ94" s="463"/>
      <c r="AK94" s="463"/>
      <c r="AL94" s="463"/>
      <c r="AM94" s="463"/>
      <c r="AN94" s="463"/>
      <c r="AO94" s="463"/>
      <c r="AP94" s="463"/>
      <c r="AQ94" s="463"/>
      <c r="AR94" s="463"/>
      <c r="AS94" s="463"/>
      <c r="AT94" s="463"/>
      <c r="AU94" s="463"/>
      <c r="AV94" s="463"/>
      <c r="AW94" s="463"/>
      <c r="AX94" s="463"/>
      <c r="AY94" s="463"/>
      <c r="AZ94" s="463"/>
      <c r="BA94" s="463"/>
      <c r="BB94" s="463"/>
      <c r="BC94" s="463"/>
      <c r="BD94" s="463"/>
      <c r="BE94" s="463"/>
      <c r="BF94" s="463"/>
      <c r="BG94" s="463"/>
      <c r="BH94" s="463"/>
      <c r="BI94" s="463"/>
      <c r="BJ94" s="463"/>
    </row>
    <row r="95" customFormat="false" ht="19.5" hidden="false" customHeight="true" outlineLevel="0" collapsed="false">
      <c r="A95" s="465" t="s">
        <v>642</v>
      </c>
      <c r="B95" s="465" t="s">
        <v>596</v>
      </c>
      <c r="C95" s="472" t="s">
        <v>643</v>
      </c>
      <c r="D95" s="500" t="s">
        <v>644</v>
      </c>
      <c r="E95" s="465" t="s">
        <v>568</v>
      </c>
      <c r="F95" s="465" t="str">
        <f aca="false">A95</f>
        <v>최진영</v>
      </c>
      <c r="G95" s="472" t="s">
        <v>645</v>
      </c>
      <c r="H95" s="480" t="n">
        <v>165000</v>
      </c>
      <c r="I95" s="517" t="s">
        <v>646</v>
      </c>
      <c r="J95" s="538"/>
      <c r="K95" s="475" t="s">
        <v>641</v>
      </c>
      <c r="L95" s="455"/>
      <c r="O95" s="457"/>
      <c r="P95" s="476"/>
      <c r="Q95" s="477"/>
      <c r="R95" s="477"/>
      <c r="S95" s="477"/>
      <c r="T95" s="481"/>
      <c r="U95" s="479"/>
      <c r="V95" s="498"/>
      <c r="W95" s="463"/>
      <c r="X95" s="463"/>
      <c r="Y95" s="463"/>
      <c r="Z95" s="463"/>
      <c r="AA95" s="463"/>
      <c r="AB95" s="463"/>
      <c r="AC95" s="463"/>
      <c r="AD95" s="463"/>
      <c r="AE95" s="463"/>
      <c r="AF95" s="463"/>
      <c r="AG95" s="463"/>
      <c r="AH95" s="463"/>
      <c r="AI95" s="463"/>
      <c r="AJ95" s="463"/>
      <c r="AK95" s="463"/>
      <c r="AL95" s="463"/>
      <c r="AM95" s="463"/>
      <c r="AN95" s="463"/>
      <c r="AO95" s="463"/>
      <c r="AP95" s="463"/>
      <c r="AQ95" s="463"/>
      <c r="AR95" s="463"/>
      <c r="AS95" s="463"/>
      <c r="AT95" s="463"/>
      <c r="AU95" s="463"/>
      <c r="AV95" s="463"/>
      <c r="AW95" s="463"/>
      <c r="AX95" s="463"/>
      <c r="AY95" s="463"/>
      <c r="AZ95" s="463"/>
      <c r="BA95" s="463"/>
      <c r="BB95" s="463"/>
      <c r="BC95" s="463"/>
      <c r="BD95" s="463"/>
      <c r="BE95" s="463"/>
      <c r="BF95" s="463"/>
      <c r="BG95" s="463"/>
      <c r="BH95" s="463"/>
      <c r="BI95" s="463"/>
      <c r="BJ95" s="463"/>
    </row>
    <row r="96" customFormat="false" ht="19.5" hidden="false" customHeight="true" outlineLevel="0" collapsed="false">
      <c r="A96" s="465" t="s">
        <v>647</v>
      </c>
      <c r="B96" s="465" t="s">
        <v>596</v>
      </c>
      <c r="C96" s="472" t="s">
        <v>648</v>
      </c>
      <c r="D96" s="500" t="s">
        <v>649</v>
      </c>
      <c r="E96" s="465" t="s">
        <v>650</v>
      </c>
      <c r="F96" s="465" t="str">
        <f aca="false">A96</f>
        <v>조영준</v>
      </c>
      <c r="G96" s="472" t="s">
        <v>651</v>
      </c>
      <c r="H96" s="467" t="n">
        <v>135000</v>
      </c>
      <c r="I96" s="517" t="s">
        <v>652</v>
      </c>
      <c r="J96" s="465"/>
      <c r="K96" s="475"/>
      <c r="L96" s="526"/>
      <c r="O96" s="457"/>
      <c r="P96" s="476"/>
      <c r="Q96" s="477"/>
      <c r="R96" s="477"/>
      <c r="S96" s="477"/>
      <c r="T96" s="481"/>
      <c r="U96" s="479"/>
      <c r="V96" s="498"/>
      <c r="W96" s="463"/>
      <c r="X96" s="463"/>
      <c r="Y96" s="463"/>
      <c r="Z96" s="463"/>
      <c r="AA96" s="463"/>
      <c r="AB96" s="463"/>
      <c r="AC96" s="463"/>
      <c r="AD96" s="463"/>
      <c r="AE96" s="463"/>
      <c r="AF96" s="463"/>
      <c r="AG96" s="463"/>
      <c r="AH96" s="463"/>
      <c r="AI96" s="463"/>
      <c r="AJ96" s="463"/>
      <c r="AK96" s="463"/>
      <c r="AL96" s="463"/>
      <c r="AM96" s="463"/>
      <c r="AN96" s="463"/>
      <c r="AO96" s="463"/>
      <c r="AP96" s="463"/>
      <c r="AQ96" s="463"/>
      <c r="AR96" s="463"/>
      <c r="AS96" s="463"/>
      <c r="AT96" s="463"/>
      <c r="AU96" s="463"/>
      <c r="AV96" s="463"/>
      <c r="AW96" s="463"/>
      <c r="AX96" s="463"/>
      <c r="AY96" s="463"/>
      <c r="AZ96" s="463"/>
      <c r="BA96" s="463"/>
      <c r="BB96" s="463"/>
      <c r="BC96" s="463"/>
      <c r="BD96" s="463"/>
      <c r="BE96" s="463"/>
      <c r="BF96" s="463"/>
      <c r="BG96" s="463"/>
      <c r="BH96" s="463"/>
      <c r="BI96" s="463"/>
      <c r="BJ96" s="463"/>
    </row>
    <row r="97" customFormat="false" ht="19.5" hidden="false" customHeight="true" outlineLevel="0" collapsed="false">
      <c r="A97" s="539" t="s">
        <v>653</v>
      </c>
      <c r="B97" s="539" t="s">
        <v>596</v>
      </c>
      <c r="C97" s="475" t="s">
        <v>654</v>
      </c>
      <c r="D97" s="540" t="s">
        <v>655</v>
      </c>
      <c r="E97" s="465" t="s">
        <v>166</v>
      </c>
      <c r="F97" s="465" t="s">
        <v>653</v>
      </c>
      <c r="G97" s="517" t="s">
        <v>656</v>
      </c>
      <c r="H97" s="480" t="n">
        <v>165000</v>
      </c>
      <c r="I97" s="541"/>
      <c r="J97" s="541"/>
      <c r="K97" s="465"/>
      <c r="L97" s="455"/>
      <c r="O97" s="457"/>
      <c r="P97" s="470"/>
      <c r="Q97" s="464"/>
      <c r="R97" s="464"/>
      <c r="S97" s="464"/>
      <c r="T97" s="542"/>
      <c r="U97" s="543"/>
      <c r="V97" s="463"/>
      <c r="W97" s="527"/>
      <c r="X97" s="527"/>
      <c r="Y97" s="527"/>
      <c r="Z97" s="527"/>
      <c r="AA97" s="527"/>
      <c r="AB97" s="527"/>
      <c r="AC97" s="527"/>
      <c r="AD97" s="527"/>
      <c r="AE97" s="527"/>
      <c r="AF97" s="527"/>
      <c r="AG97" s="527"/>
      <c r="AH97" s="527"/>
      <c r="AI97" s="527"/>
      <c r="AJ97" s="527"/>
      <c r="AK97" s="527"/>
      <c r="AL97" s="527"/>
      <c r="AM97" s="527"/>
      <c r="AN97" s="527"/>
      <c r="AO97" s="527"/>
      <c r="AP97" s="527"/>
      <c r="AQ97" s="527"/>
      <c r="AR97" s="527"/>
      <c r="AS97" s="527"/>
      <c r="AT97" s="527"/>
      <c r="AU97" s="527"/>
      <c r="AV97" s="527"/>
      <c r="AW97" s="527"/>
      <c r="AX97" s="527"/>
      <c r="AY97" s="527"/>
      <c r="AZ97" s="527"/>
      <c r="BA97" s="527"/>
      <c r="BB97" s="527"/>
      <c r="BC97" s="527"/>
      <c r="BD97" s="527"/>
      <c r="BE97" s="527"/>
      <c r="BF97" s="527"/>
      <c r="BG97" s="527"/>
      <c r="BH97" s="527"/>
      <c r="BI97" s="527"/>
      <c r="BJ97" s="527"/>
      <c r="BK97" s="528"/>
      <c r="BL97" s="528"/>
      <c r="BM97" s="528"/>
      <c r="BN97" s="528"/>
      <c r="BO97" s="528"/>
      <c r="BP97" s="528"/>
      <c r="BQ97" s="528"/>
      <c r="BR97" s="528"/>
      <c r="BS97" s="528"/>
      <c r="BT97" s="528"/>
      <c r="BU97" s="528"/>
      <c r="BV97" s="528"/>
      <c r="BW97" s="528"/>
      <c r="BX97" s="528"/>
      <c r="BY97" s="528"/>
      <c r="BZ97" s="528"/>
      <c r="CA97" s="528"/>
      <c r="CB97" s="528"/>
      <c r="CC97" s="528"/>
      <c r="CD97" s="528"/>
      <c r="CE97" s="528"/>
      <c r="CF97" s="528"/>
      <c r="CG97" s="528"/>
      <c r="CH97" s="528"/>
      <c r="CI97" s="528"/>
      <c r="CJ97" s="528"/>
      <c r="CK97" s="528"/>
      <c r="CL97" s="528"/>
      <c r="CM97" s="528"/>
      <c r="CN97" s="528"/>
      <c r="CO97" s="528"/>
      <c r="CP97" s="528"/>
      <c r="CQ97" s="528"/>
      <c r="CR97" s="528"/>
      <c r="CS97" s="528"/>
      <c r="CT97" s="528"/>
      <c r="CU97" s="528"/>
      <c r="CV97" s="528"/>
      <c r="CW97" s="528"/>
      <c r="CX97" s="528"/>
      <c r="CY97" s="528"/>
      <c r="CZ97" s="528"/>
      <c r="DA97" s="528"/>
      <c r="DB97" s="528"/>
      <c r="DC97" s="528"/>
      <c r="DD97" s="528"/>
      <c r="DE97" s="528"/>
      <c r="DF97" s="528"/>
      <c r="DG97" s="528"/>
      <c r="DH97" s="528"/>
      <c r="DI97" s="528"/>
      <c r="DJ97" s="528"/>
      <c r="DK97" s="528"/>
      <c r="DL97" s="528"/>
      <c r="DM97" s="528"/>
      <c r="DN97" s="528"/>
      <c r="DO97" s="528"/>
      <c r="DP97" s="528"/>
      <c r="DQ97" s="528"/>
      <c r="DR97" s="528"/>
      <c r="DS97" s="528"/>
      <c r="DT97" s="528"/>
      <c r="DU97" s="528"/>
      <c r="DV97" s="528"/>
      <c r="DW97" s="528"/>
      <c r="DX97" s="528"/>
      <c r="DY97" s="528"/>
      <c r="DZ97" s="528"/>
      <c r="EA97" s="528"/>
      <c r="EB97" s="528"/>
      <c r="EC97" s="528"/>
      <c r="ED97" s="528"/>
      <c r="EE97" s="528"/>
      <c r="EF97" s="528"/>
      <c r="EG97" s="528"/>
      <c r="EH97" s="528"/>
      <c r="EI97" s="528"/>
      <c r="EJ97" s="528"/>
      <c r="EK97" s="528"/>
      <c r="EL97" s="528"/>
      <c r="EM97" s="528"/>
      <c r="EN97" s="528"/>
      <c r="EO97" s="528"/>
      <c r="EP97" s="528"/>
      <c r="EQ97" s="528"/>
      <c r="ER97" s="528"/>
      <c r="ES97" s="528"/>
      <c r="ET97" s="528"/>
      <c r="EU97" s="528"/>
      <c r="EV97" s="528"/>
      <c r="EW97" s="528"/>
      <c r="EX97" s="528"/>
      <c r="EY97" s="528"/>
      <c r="EZ97" s="528"/>
      <c r="FA97" s="528"/>
      <c r="FB97" s="528"/>
      <c r="FC97" s="528"/>
      <c r="FD97" s="528"/>
      <c r="FE97" s="528"/>
      <c r="FF97" s="528"/>
      <c r="FG97" s="528"/>
      <c r="FH97" s="528"/>
      <c r="FI97" s="528"/>
      <c r="FJ97" s="528"/>
      <c r="FK97" s="528"/>
      <c r="FL97" s="528"/>
      <c r="FM97" s="528"/>
      <c r="FN97" s="528"/>
      <c r="FO97" s="528"/>
      <c r="FP97" s="528"/>
      <c r="FQ97" s="528"/>
      <c r="FR97" s="528"/>
      <c r="FS97" s="528"/>
      <c r="FT97" s="528"/>
      <c r="FU97" s="528"/>
      <c r="FV97" s="528"/>
      <c r="FW97" s="528"/>
      <c r="FX97" s="528"/>
      <c r="FY97" s="528"/>
      <c r="FZ97" s="528"/>
      <c r="GA97" s="528"/>
      <c r="GB97" s="528"/>
      <c r="GC97" s="528"/>
      <c r="GD97" s="528"/>
      <c r="GE97" s="528"/>
      <c r="GF97" s="528"/>
      <c r="GG97" s="528"/>
      <c r="GH97" s="528"/>
      <c r="GI97" s="528"/>
      <c r="GJ97" s="528"/>
      <c r="GK97" s="528"/>
      <c r="GL97" s="528"/>
      <c r="GM97" s="528"/>
      <c r="GN97" s="528"/>
      <c r="GO97" s="528"/>
      <c r="GP97" s="528"/>
      <c r="GQ97" s="528"/>
      <c r="GR97" s="528"/>
      <c r="GS97" s="528"/>
      <c r="GT97" s="528"/>
      <c r="GU97" s="528"/>
      <c r="GV97" s="528"/>
      <c r="GW97" s="528"/>
      <c r="GX97" s="528"/>
      <c r="GY97" s="528"/>
      <c r="GZ97" s="528"/>
      <c r="HA97" s="528"/>
      <c r="HB97" s="528"/>
      <c r="HC97" s="528"/>
      <c r="HD97" s="528"/>
      <c r="HE97" s="528"/>
      <c r="HF97" s="528"/>
      <c r="HG97" s="528"/>
      <c r="HH97" s="528"/>
      <c r="HI97" s="528"/>
      <c r="HJ97" s="528"/>
      <c r="HK97" s="528"/>
      <c r="HL97" s="528"/>
      <c r="HM97" s="528"/>
      <c r="HN97" s="528"/>
      <c r="HO97" s="528"/>
      <c r="HP97" s="528"/>
      <c r="HQ97" s="528"/>
      <c r="HR97" s="528"/>
      <c r="HS97" s="528"/>
      <c r="HT97" s="528"/>
      <c r="HU97" s="528"/>
      <c r="HV97" s="528"/>
      <c r="HW97" s="528"/>
      <c r="HX97" s="528"/>
      <c r="HY97" s="528"/>
      <c r="HZ97" s="528"/>
      <c r="IA97" s="528"/>
      <c r="IB97" s="528"/>
      <c r="IC97" s="528"/>
      <c r="ID97" s="528"/>
      <c r="IE97" s="528"/>
      <c r="IF97" s="528"/>
      <c r="IG97" s="528"/>
      <c r="IH97" s="528"/>
      <c r="II97" s="528"/>
      <c r="IJ97" s="528"/>
      <c r="IK97" s="528"/>
      <c r="IL97" s="528"/>
      <c r="IM97" s="528"/>
      <c r="IN97" s="528"/>
      <c r="IO97" s="528"/>
      <c r="IP97" s="528"/>
      <c r="IQ97" s="528"/>
      <c r="IR97" s="528"/>
      <c r="IS97" s="528"/>
      <c r="IT97" s="528"/>
      <c r="IU97" s="528"/>
      <c r="IV97" s="528"/>
      <c r="IW97" s="528"/>
    </row>
    <row r="98" customFormat="false" ht="19.5" hidden="false" customHeight="true" outlineLevel="0" collapsed="false">
      <c r="A98" s="539" t="s">
        <v>657</v>
      </c>
      <c r="B98" s="539" t="s">
        <v>596</v>
      </c>
      <c r="C98" s="544" t="s">
        <v>658</v>
      </c>
      <c r="D98" s="545" t="s">
        <v>659</v>
      </c>
      <c r="E98" s="546" t="s">
        <v>568</v>
      </c>
      <c r="F98" s="465" t="s">
        <v>657</v>
      </c>
      <c r="G98" s="547" t="s">
        <v>660</v>
      </c>
      <c r="H98" s="548" t="n">
        <v>250000</v>
      </c>
      <c r="I98" s="541"/>
      <c r="J98" s="541"/>
      <c r="K98" s="465" t="n">
        <v>21911</v>
      </c>
      <c r="L98" s="455"/>
      <c r="O98" s="457"/>
      <c r="P98" s="476"/>
      <c r="Q98" s="477"/>
      <c r="R98" s="477"/>
      <c r="S98" s="477"/>
      <c r="T98" s="481"/>
      <c r="U98" s="479"/>
      <c r="V98" s="498"/>
      <c r="W98" s="527"/>
      <c r="X98" s="527"/>
      <c r="Y98" s="527"/>
      <c r="Z98" s="527"/>
      <c r="AA98" s="527"/>
      <c r="AB98" s="527"/>
      <c r="AC98" s="527"/>
      <c r="AD98" s="527"/>
      <c r="AE98" s="527"/>
      <c r="AF98" s="527"/>
      <c r="AG98" s="527"/>
      <c r="AH98" s="527"/>
      <c r="AI98" s="527"/>
      <c r="AJ98" s="527"/>
      <c r="AK98" s="527"/>
      <c r="AL98" s="527"/>
      <c r="AM98" s="527"/>
      <c r="AN98" s="527"/>
      <c r="AO98" s="527"/>
      <c r="AP98" s="527"/>
      <c r="AQ98" s="527"/>
      <c r="AR98" s="527"/>
      <c r="AS98" s="527"/>
      <c r="AT98" s="527"/>
      <c r="AU98" s="527"/>
      <c r="AV98" s="527"/>
      <c r="AW98" s="527"/>
      <c r="AX98" s="527"/>
      <c r="AY98" s="527"/>
      <c r="AZ98" s="527"/>
      <c r="BA98" s="527"/>
      <c r="BB98" s="527"/>
      <c r="BC98" s="527"/>
      <c r="BD98" s="527"/>
      <c r="BE98" s="527"/>
      <c r="BF98" s="527"/>
      <c r="BG98" s="527"/>
      <c r="BH98" s="527"/>
      <c r="BI98" s="527"/>
      <c r="BJ98" s="527"/>
      <c r="BK98" s="528"/>
      <c r="BL98" s="528"/>
      <c r="BM98" s="528"/>
      <c r="BN98" s="528"/>
      <c r="BO98" s="528"/>
      <c r="BP98" s="528"/>
      <c r="BQ98" s="528"/>
      <c r="BR98" s="528"/>
      <c r="BS98" s="528"/>
      <c r="BT98" s="528"/>
      <c r="BU98" s="528"/>
      <c r="BV98" s="528"/>
      <c r="BW98" s="528"/>
      <c r="BX98" s="528"/>
      <c r="BY98" s="528"/>
      <c r="BZ98" s="528"/>
      <c r="CA98" s="528"/>
      <c r="CB98" s="528"/>
      <c r="CC98" s="528"/>
      <c r="CD98" s="528"/>
      <c r="CE98" s="528"/>
      <c r="CF98" s="528"/>
      <c r="CG98" s="528"/>
      <c r="CH98" s="528"/>
      <c r="CI98" s="528"/>
      <c r="CJ98" s="528"/>
      <c r="CK98" s="528"/>
      <c r="CL98" s="528"/>
      <c r="CM98" s="528"/>
      <c r="CN98" s="528"/>
      <c r="CO98" s="528"/>
      <c r="CP98" s="528"/>
      <c r="CQ98" s="528"/>
      <c r="CR98" s="528"/>
      <c r="CS98" s="528"/>
      <c r="CT98" s="528"/>
      <c r="CU98" s="528"/>
      <c r="CV98" s="528"/>
      <c r="CW98" s="528"/>
      <c r="CX98" s="528"/>
      <c r="CY98" s="528"/>
      <c r="CZ98" s="528"/>
      <c r="DA98" s="528"/>
      <c r="DB98" s="528"/>
      <c r="DC98" s="528"/>
      <c r="DD98" s="528"/>
      <c r="DE98" s="528"/>
      <c r="DF98" s="528"/>
      <c r="DG98" s="528"/>
      <c r="DH98" s="528"/>
      <c r="DI98" s="528"/>
      <c r="DJ98" s="528"/>
      <c r="DK98" s="528"/>
      <c r="DL98" s="528"/>
      <c r="DM98" s="528"/>
      <c r="DN98" s="528"/>
      <c r="DO98" s="528"/>
      <c r="DP98" s="528"/>
      <c r="DQ98" s="528"/>
      <c r="DR98" s="528"/>
      <c r="DS98" s="528"/>
      <c r="DT98" s="528"/>
      <c r="DU98" s="528"/>
      <c r="DV98" s="528"/>
      <c r="DW98" s="528"/>
      <c r="DX98" s="528"/>
      <c r="DY98" s="528"/>
      <c r="DZ98" s="528"/>
      <c r="EA98" s="528"/>
      <c r="EB98" s="528"/>
      <c r="EC98" s="528"/>
      <c r="ED98" s="528"/>
      <c r="EE98" s="528"/>
      <c r="EF98" s="528"/>
      <c r="EG98" s="528"/>
      <c r="EH98" s="528"/>
      <c r="EI98" s="528"/>
      <c r="EJ98" s="528"/>
      <c r="EK98" s="528"/>
      <c r="EL98" s="528"/>
      <c r="EM98" s="528"/>
      <c r="EN98" s="528"/>
      <c r="EO98" s="528"/>
      <c r="EP98" s="528"/>
      <c r="EQ98" s="528"/>
      <c r="ER98" s="528"/>
      <c r="ES98" s="528"/>
      <c r="ET98" s="528"/>
      <c r="EU98" s="528"/>
      <c r="EV98" s="528"/>
      <c r="EW98" s="528"/>
      <c r="EX98" s="528"/>
      <c r="EY98" s="528"/>
      <c r="EZ98" s="528"/>
      <c r="FA98" s="528"/>
      <c r="FB98" s="528"/>
      <c r="FC98" s="528"/>
      <c r="FD98" s="528"/>
      <c r="FE98" s="528"/>
      <c r="FF98" s="528"/>
      <c r="FG98" s="528"/>
      <c r="FH98" s="528"/>
      <c r="FI98" s="528"/>
      <c r="FJ98" s="528"/>
      <c r="FK98" s="528"/>
      <c r="FL98" s="528"/>
      <c r="FM98" s="528"/>
      <c r="FN98" s="528"/>
      <c r="FO98" s="528"/>
      <c r="FP98" s="528"/>
      <c r="FQ98" s="528"/>
      <c r="FR98" s="528"/>
      <c r="FS98" s="528"/>
      <c r="FT98" s="528"/>
      <c r="FU98" s="528"/>
      <c r="FV98" s="528"/>
      <c r="FW98" s="528"/>
      <c r="FX98" s="528"/>
      <c r="FY98" s="528"/>
      <c r="FZ98" s="528"/>
      <c r="GA98" s="528"/>
      <c r="GB98" s="528"/>
      <c r="GC98" s="528"/>
      <c r="GD98" s="528"/>
      <c r="GE98" s="528"/>
      <c r="GF98" s="528"/>
      <c r="GG98" s="528"/>
      <c r="GH98" s="528"/>
      <c r="GI98" s="528"/>
      <c r="GJ98" s="528"/>
      <c r="GK98" s="528"/>
      <c r="GL98" s="528"/>
      <c r="GM98" s="528"/>
      <c r="GN98" s="528"/>
      <c r="GO98" s="528"/>
      <c r="GP98" s="528"/>
      <c r="GQ98" s="528"/>
      <c r="GR98" s="528"/>
      <c r="GS98" s="528"/>
      <c r="GT98" s="528"/>
      <c r="GU98" s="528"/>
      <c r="GV98" s="528"/>
      <c r="GW98" s="528"/>
      <c r="GX98" s="528"/>
      <c r="GY98" s="528"/>
      <c r="GZ98" s="528"/>
      <c r="HA98" s="528"/>
      <c r="HB98" s="528"/>
      <c r="HC98" s="528"/>
      <c r="HD98" s="528"/>
      <c r="HE98" s="528"/>
      <c r="HF98" s="528"/>
      <c r="HG98" s="528"/>
      <c r="HH98" s="528"/>
      <c r="HI98" s="528"/>
      <c r="HJ98" s="528"/>
      <c r="HK98" s="528"/>
      <c r="HL98" s="528"/>
      <c r="HM98" s="528"/>
      <c r="HN98" s="528"/>
      <c r="HO98" s="528"/>
      <c r="HP98" s="528"/>
      <c r="HQ98" s="528"/>
      <c r="HR98" s="528"/>
      <c r="HS98" s="528"/>
      <c r="HT98" s="528"/>
      <c r="HU98" s="528"/>
      <c r="HV98" s="528"/>
      <c r="HW98" s="528"/>
      <c r="HX98" s="528"/>
      <c r="HY98" s="528"/>
      <c r="HZ98" s="528"/>
      <c r="IA98" s="528"/>
      <c r="IB98" s="528"/>
      <c r="IC98" s="528"/>
      <c r="ID98" s="528"/>
      <c r="IE98" s="528"/>
      <c r="IF98" s="528"/>
      <c r="IG98" s="528"/>
      <c r="IH98" s="528"/>
      <c r="II98" s="528"/>
      <c r="IJ98" s="528"/>
      <c r="IK98" s="528"/>
      <c r="IL98" s="528"/>
      <c r="IM98" s="528"/>
      <c r="IN98" s="528"/>
      <c r="IO98" s="528"/>
      <c r="IP98" s="528"/>
      <c r="IQ98" s="528"/>
      <c r="IR98" s="528"/>
      <c r="IS98" s="528"/>
      <c r="IT98" s="528"/>
      <c r="IU98" s="528"/>
      <c r="IV98" s="528"/>
      <c r="IW98" s="528"/>
    </row>
    <row r="99" customFormat="false" ht="19.5" hidden="false" customHeight="true" outlineLevel="0" collapsed="false">
      <c r="A99" s="465" t="s">
        <v>661</v>
      </c>
      <c r="B99" s="465" t="s">
        <v>596</v>
      </c>
      <c r="C99" s="472" t="s">
        <v>662</v>
      </c>
      <c r="D99" s="500" t="s">
        <v>663</v>
      </c>
      <c r="E99" s="465" t="s">
        <v>245</v>
      </c>
      <c r="F99" s="465" t="s">
        <v>661</v>
      </c>
      <c r="G99" s="472" t="s">
        <v>664</v>
      </c>
      <c r="H99" s="480" t="n">
        <v>230000</v>
      </c>
      <c r="I99" s="517" t="s">
        <v>665</v>
      </c>
      <c r="J99" s="538"/>
      <c r="K99" s="475" t="s">
        <v>666</v>
      </c>
      <c r="L99" s="455"/>
      <c r="O99" s="457"/>
      <c r="P99" s="476"/>
      <c r="Q99" s="477"/>
      <c r="R99" s="477"/>
      <c r="S99" s="477"/>
      <c r="T99" s="481"/>
      <c r="U99" s="479"/>
      <c r="V99" s="498"/>
      <c r="W99" s="463"/>
      <c r="X99" s="463"/>
      <c r="Y99" s="463"/>
      <c r="Z99" s="463"/>
      <c r="AA99" s="463"/>
      <c r="AB99" s="463"/>
      <c r="AC99" s="463"/>
      <c r="AD99" s="463"/>
      <c r="AE99" s="463"/>
      <c r="AF99" s="463"/>
      <c r="AG99" s="463"/>
      <c r="AH99" s="463"/>
      <c r="AI99" s="463"/>
      <c r="AJ99" s="463"/>
      <c r="AK99" s="463"/>
      <c r="AL99" s="463"/>
      <c r="AM99" s="463"/>
      <c r="AN99" s="463"/>
      <c r="AO99" s="463"/>
      <c r="AP99" s="463"/>
      <c r="AQ99" s="463"/>
      <c r="AR99" s="463"/>
      <c r="AS99" s="463"/>
      <c r="AT99" s="463"/>
      <c r="AU99" s="463"/>
      <c r="AV99" s="463"/>
      <c r="AW99" s="463"/>
      <c r="AX99" s="463"/>
      <c r="AY99" s="463"/>
      <c r="AZ99" s="463"/>
      <c r="BA99" s="463"/>
      <c r="BB99" s="463"/>
      <c r="BC99" s="463"/>
      <c r="BD99" s="463"/>
      <c r="BE99" s="463"/>
      <c r="BF99" s="463"/>
      <c r="BG99" s="463"/>
      <c r="BH99" s="463"/>
      <c r="BI99" s="463"/>
      <c r="BJ99" s="463"/>
    </row>
    <row r="100" customFormat="false" ht="20.25" hidden="false" customHeight="true" outlineLevel="0" collapsed="false">
      <c r="A100" s="539" t="s">
        <v>667</v>
      </c>
      <c r="B100" s="539" t="s">
        <v>596</v>
      </c>
      <c r="C100" s="539" t="n">
        <v>19981119</v>
      </c>
      <c r="D100" s="540"/>
      <c r="E100" s="465" t="s">
        <v>166</v>
      </c>
      <c r="F100" s="465" t="s">
        <v>667</v>
      </c>
      <c r="G100" s="517" t="s">
        <v>656</v>
      </c>
      <c r="H100" s="480" t="n">
        <v>165000</v>
      </c>
      <c r="I100" s="541"/>
      <c r="J100" s="541"/>
      <c r="K100" s="465"/>
      <c r="L100" s="455"/>
      <c r="O100" s="549"/>
      <c r="P100" s="550"/>
      <c r="Q100" s="477"/>
      <c r="R100" s="477"/>
      <c r="S100" s="477"/>
      <c r="T100" s="481"/>
      <c r="U100" s="479"/>
      <c r="V100" s="498"/>
      <c r="W100" s="463"/>
      <c r="X100" s="463"/>
      <c r="Y100" s="463"/>
      <c r="Z100" s="463"/>
      <c r="AA100" s="463"/>
      <c r="AB100" s="463"/>
      <c r="AC100" s="463"/>
      <c r="AD100" s="463"/>
      <c r="AE100" s="463"/>
      <c r="AF100" s="463"/>
      <c r="AG100" s="463"/>
      <c r="AH100" s="463"/>
      <c r="AI100" s="463"/>
      <c r="AJ100" s="463"/>
      <c r="AK100" s="463"/>
      <c r="AL100" s="463"/>
      <c r="AM100" s="463"/>
      <c r="AN100" s="463"/>
      <c r="AO100" s="463"/>
      <c r="AP100" s="463"/>
      <c r="AQ100" s="463"/>
      <c r="AR100" s="463"/>
      <c r="AS100" s="463"/>
      <c r="AT100" s="463"/>
      <c r="AU100" s="463"/>
      <c r="AV100" s="463"/>
      <c r="AW100" s="463"/>
      <c r="AX100" s="463"/>
      <c r="AY100" s="463"/>
      <c r="AZ100" s="463"/>
      <c r="BA100" s="463"/>
      <c r="BB100" s="463"/>
      <c r="BC100" s="463"/>
      <c r="BD100" s="463"/>
      <c r="BE100" s="463"/>
      <c r="BF100" s="463"/>
      <c r="BG100" s="463"/>
      <c r="BH100" s="463"/>
      <c r="BI100" s="463"/>
      <c r="BJ100" s="463"/>
    </row>
    <row r="101" customFormat="false" ht="19.5" hidden="false" customHeight="true" outlineLevel="0" collapsed="false">
      <c r="A101" s="465" t="s">
        <v>668</v>
      </c>
      <c r="B101" s="465"/>
      <c r="C101" s="472" t="s">
        <v>669</v>
      </c>
      <c r="D101" s="529" t="s">
        <v>670</v>
      </c>
      <c r="E101" s="465"/>
      <c r="F101" s="465"/>
      <c r="G101" s="465"/>
      <c r="H101" s="480"/>
      <c r="I101" s="525"/>
      <c r="J101" s="469"/>
      <c r="K101" s="475" t="s">
        <v>671</v>
      </c>
      <c r="L101" s="499"/>
      <c r="O101" s="457"/>
      <c r="P101" s="476"/>
      <c r="Q101" s="477"/>
      <c r="R101" s="477"/>
      <c r="S101" s="477"/>
      <c r="T101" s="481"/>
      <c r="U101" s="479"/>
      <c r="V101" s="498"/>
      <c r="W101" s="463"/>
      <c r="X101" s="463"/>
      <c r="Y101" s="463"/>
      <c r="Z101" s="463"/>
      <c r="AA101" s="463"/>
      <c r="AB101" s="463"/>
      <c r="AC101" s="463"/>
      <c r="AD101" s="463"/>
      <c r="AE101" s="463"/>
      <c r="AF101" s="463"/>
      <c r="AG101" s="463"/>
      <c r="AH101" s="463"/>
      <c r="AI101" s="463"/>
      <c r="AJ101" s="463"/>
      <c r="AK101" s="463"/>
      <c r="AL101" s="463"/>
      <c r="AM101" s="463"/>
      <c r="AN101" s="463"/>
      <c r="AO101" s="463"/>
      <c r="AP101" s="463"/>
      <c r="AQ101" s="463"/>
      <c r="AR101" s="463"/>
      <c r="AS101" s="463"/>
      <c r="AT101" s="463"/>
      <c r="AU101" s="463"/>
      <c r="AV101" s="463"/>
      <c r="AW101" s="463"/>
      <c r="AX101" s="463"/>
      <c r="AY101" s="463"/>
      <c r="AZ101" s="463"/>
      <c r="BA101" s="463"/>
      <c r="BB101" s="463"/>
      <c r="BC101" s="463"/>
      <c r="BD101" s="463"/>
      <c r="BE101" s="463"/>
      <c r="BF101" s="463"/>
      <c r="BG101" s="463"/>
      <c r="BH101" s="463"/>
      <c r="BI101" s="463"/>
      <c r="BJ101" s="463"/>
    </row>
    <row r="102" customFormat="false" ht="19.5" hidden="false" customHeight="true" outlineLevel="0" collapsed="false">
      <c r="A102" s="465" t="s">
        <v>672</v>
      </c>
      <c r="B102" s="465"/>
      <c r="C102" s="472" t="s">
        <v>673</v>
      </c>
      <c r="D102" s="500" t="s">
        <v>674</v>
      </c>
      <c r="E102" s="465" t="s">
        <v>166</v>
      </c>
      <c r="F102" s="465" t="s">
        <v>675</v>
      </c>
      <c r="G102" s="472" t="s">
        <v>656</v>
      </c>
      <c r="H102" s="467" t="n">
        <v>165000</v>
      </c>
      <c r="I102" s="517" t="s">
        <v>676</v>
      </c>
      <c r="J102" s="469" t="s">
        <v>675</v>
      </c>
      <c r="K102" s="475" t="s">
        <v>671</v>
      </c>
      <c r="L102" s="526"/>
      <c r="O102" s="457"/>
      <c r="P102" s="476"/>
      <c r="Q102" s="477"/>
      <c r="R102" s="477"/>
      <c r="S102" s="477"/>
      <c r="T102" s="481"/>
      <c r="U102" s="479"/>
      <c r="V102" s="498"/>
      <c r="W102" s="463"/>
      <c r="X102" s="463"/>
      <c r="Y102" s="463"/>
      <c r="Z102" s="463"/>
      <c r="AA102" s="463"/>
      <c r="AB102" s="463"/>
      <c r="AC102" s="463"/>
      <c r="AD102" s="463"/>
      <c r="AE102" s="463"/>
      <c r="AF102" s="463"/>
      <c r="AG102" s="463"/>
      <c r="AH102" s="463"/>
      <c r="AI102" s="463"/>
      <c r="AJ102" s="463"/>
      <c r="AK102" s="463"/>
      <c r="AL102" s="463"/>
      <c r="AM102" s="463"/>
      <c r="AN102" s="463"/>
      <c r="AO102" s="463"/>
      <c r="AP102" s="463"/>
      <c r="AQ102" s="463"/>
      <c r="AR102" s="463"/>
      <c r="AS102" s="463"/>
      <c r="AT102" s="463"/>
      <c r="AU102" s="463"/>
      <c r="AV102" s="463"/>
      <c r="AW102" s="463"/>
      <c r="AX102" s="463"/>
      <c r="AY102" s="463"/>
      <c r="AZ102" s="463"/>
      <c r="BA102" s="463"/>
      <c r="BB102" s="463"/>
      <c r="BC102" s="463"/>
      <c r="BD102" s="463"/>
      <c r="BE102" s="463"/>
      <c r="BF102" s="463"/>
      <c r="BG102" s="463"/>
      <c r="BH102" s="463"/>
      <c r="BI102" s="463"/>
      <c r="BJ102" s="463"/>
    </row>
    <row r="103" customFormat="false" ht="19.5" hidden="false" customHeight="true" outlineLevel="0" collapsed="false">
      <c r="A103" s="465" t="s">
        <v>677</v>
      </c>
      <c r="B103" s="465"/>
      <c r="C103" s="472" t="s">
        <v>678</v>
      </c>
      <c r="D103" s="500" t="s">
        <v>679</v>
      </c>
      <c r="E103" s="465" t="s">
        <v>166</v>
      </c>
      <c r="F103" s="465" t="s">
        <v>675</v>
      </c>
      <c r="G103" s="472" t="s">
        <v>656</v>
      </c>
      <c r="H103" s="467" t="n">
        <v>165000</v>
      </c>
      <c r="I103" s="467"/>
      <c r="J103" s="469" t="s">
        <v>675</v>
      </c>
      <c r="K103" s="475" t="s">
        <v>680</v>
      </c>
      <c r="L103" s="526"/>
      <c r="O103" s="457"/>
      <c r="P103" s="476"/>
      <c r="Q103" s="477"/>
      <c r="R103" s="477"/>
      <c r="S103" s="477"/>
      <c r="T103" s="481"/>
      <c r="U103" s="479"/>
      <c r="V103" s="498"/>
      <c r="W103" s="463"/>
      <c r="X103" s="463"/>
      <c r="Y103" s="463"/>
      <c r="Z103" s="463"/>
      <c r="AA103" s="463"/>
      <c r="AB103" s="463"/>
      <c r="AC103" s="463"/>
      <c r="AD103" s="463"/>
      <c r="AE103" s="463"/>
      <c r="AF103" s="463"/>
      <c r="AG103" s="463"/>
      <c r="AH103" s="463"/>
      <c r="AI103" s="463"/>
      <c r="AJ103" s="463"/>
      <c r="AK103" s="463"/>
      <c r="AL103" s="463"/>
      <c r="AM103" s="463"/>
      <c r="AN103" s="463"/>
      <c r="AO103" s="463"/>
      <c r="AP103" s="463"/>
      <c r="AQ103" s="463"/>
      <c r="AR103" s="463"/>
      <c r="AS103" s="463"/>
      <c r="AT103" s="463"/>
      <c r="AU103" s="463"/>
      <c r="AV103" s="463"/>
      <c r="AW103" s="463"/>
      <c r="AX103" s="463"/>
      <c r="AY103" s="463"/>
      <c r="AZ103" s="463"/>
      <c r="BA103" s="463"/>
      <c r="BB103" s="463"/>
      <c r="BC103" s="463"/>
      <c r="BD103" s="463"/>
      <c r="BE103" s="463"/>
      <c r="BF103" s="463"/>
      <c r="BG103" s="463"/>
      <c r="BH103" s="463"/>
      <c r="BI103" s="463"/>
      <c r="BJ103" s="463"/>
    </row>
    <row r="104" customFormat="false" ht="19.5" hidden="false" customHeight="true" outlineLevel="0" collapsed="false">
      <c r="A104" s="465" t="s">
        <v>681</v>
      </c>
      <c r="B104" s="465"/>
      <c r="C104" s="472" t="s">
        <v>682</v>
      </c>
      <c r="D104" s="500" t="s">
        <v>683</v>
      </c>
      <c r="E104" s="465" t="s">
        <v>166</v>
      </c>
      <c r="F104" s="465" t="s">
        <v>675</v>
      </c>
      <c r="G104" s="472" t="s">
        <v>656</v>
      </c>
      <c r="H104" s="467" t="n">
        <v>175000</v>
      </c>
      <c r="I104" s="467"/>
      <c r="J104" s="469" t="s">
        <v>675</v>
      </c>
      <c r="K104" s="475" t="s">
        <v>684</v>
      </c>
      <c r="L104" s="526"/>
      <c r="O104" s="457"/>
      <c r="P104" s="476"/>
      <c r="Q104" s="477"/>
      <c r="R104" s="477"/>
      <c r="S104" s="477"/>
      <c r="T104" s="481"/>
      <c r="U104" s="479"/>
      <c r="V104" s="498"/>
      <c r="W104" s="463"/>
      <c r="X104" s="463"/>
      <c r="Y104" s="463"/>
      <c r="Z104" s="463"/>
      <c r="AA104" s="463"/>
      <c r="AB104" s="463"/>
      <c r="AC104" s="463"/>
      <c r="AD104" s="463"/>
      <c r="AE104" s="463"/>
      <c r="AF104" s="463"/>
      <c r="AG104" s="463"/>
      <c r="AH104" s="463"/>
      <c r="AI104" s="463"/>
      <c r="AJ104" s="463"/>
      <c r="AK104" s="463"/>
      <c r="AL104" s="463"/>
      <c r="AM104" s="463"/>
      <c r="AN104" s="463"/>
      <c r="AO104" s="463"/>
      <c r="AP104" s="463"/>
      <c r="AQ104" s="463"/>
      <c r="AR104" s="463"/>
      <c r="AS104" s="463"/>
      <c r="AT104" s="463"/>
      <c r="AU104" s="463"/>
      <c r="AV104" s="463"/>
      <c r="AW104" s="463"/>
      <c r="AX104" s="463"/>
      <c r="AY104" s="463"/>
      <c r="AZ104" s="463"/>
      <c r="BA104" s="463"/>
      <c r="BB104" s="463"/>
      <c r="BC104" s="463"/>
      <c r="BD104" s="463"/>
      <c r="BE104" s="463"/>
      <c r="BF104" s="463"/>
      <c r="BG104" s="463"/>
      <c r="BH104" s="463"/>
      <c r="BI104" s="463"/>
      <c r="BJ104" s="463"/>
    </row>
    <row r="105" customFormat="false" ht="19.5" hidden="false" customHeight="true" outlineLevel="0" collapsed="false">
      <c r="A105" s="465" t="s">
        <v>685</v>
      </c>
      <c r="B105" s="465"/>
      <c r="C105" s="472" t="s">
        <v>686</v>
      </c>
      <c r="D105" s="500" t="s">
        <v>687</v>
      </c>
      <c r="E105" s="465" t="s">
        <v>166</v>
      </c>
      <c r="F105" s="465" t="s">
        <v>675</v>
      </c>
      <c r="G105" s="472" t="s">
        <v>656</v>
      </c>
      <c r="H105" s="467" t="n">
        <v>170000</v>
      </c>
      <c r="I105" s="517" t="s">
        <v>688</v>
      </c>
      <c r="J105" s="469" t="s">
        <v>675</v>
      </c>
      <c r="K105" s="475" t="s">
        <v>689</v>
      </c>
      <c r="L105" s="526"/>
      <c r="O105" s="457"/>
      <c r="P105" s="476"/>
      <c r="Q105" s="477"/>
      <c r="R105" s="477"/>
      <c r="S105" s="477"/>
      <c r="T105" s="481"/>
      <c r="U105" s="479"/>
      <c r="V105" s="498"/>
      <c r="W105" s="463"/>
      <c r="X105" s="463"/>
      <c r="Y105" s="463"/>
      <c r="Z105" s="463"/>
      <c r="AA105" s="463"/>
      <c r="AB105" s="463"/>
      <c r="AC105" s="463"/>
      <c r="AD105" s="463"/>
      <c r="AE105" s="463"/>
      <c r="AF105" s="463"/>
      <c r="AG105" s="463"/>
      <c r="AH105" s="463"/>
      <c r="AI105" s="463"/>
      <c r="AJ105" s="463"/>
      <c r="AK105" s="463"/>
      <c r="AL105" s="463"/>
      <c r="AM105" s="463"/>
      <c r="AN105" s="463"/>
      <c r="AO105" s="463"/>
      <c r="AP105" s="463"/>
      <c r="AQ105" s="463"/>
      <c r="AR105" s="463"/>
      <c r="AS105" s="463"/>
      <c r="AT105" s="463"/>
      <c r="AU105" s="463"/>
      <c r="AV105" s="463"/>
      <c r="AW105" s="463"/>
      <c r="AX105" s="463"/>
      <c r="AY105" s="463"/>
      <c r="AZ105" s="463"/>
      <c r="BA105" s="463"/>
      <c r="BB105" s="463"/>
      <c r="BC105" s="463"/>
      <c r="BD105" s="463"/>
      <c r="BE105" s="463"/>
      <c r="BF105" s="463"/>
      <c r="BG105" s="463"/>
      <c r="BH105" s="463"/>
      <c r="BI105" s="463"/>
      <c r="BJ105" s="463"/>
    </row>
    <row r="106" customFormat="false" ht="19.5" hidden="false" customHeight="true" outlineLevel="0" collapsed="false">
      <c r="A106" s="465" t="s">
        <v>690</v>
      </c>
      <c r="B106" s="465"/>
      <c r="C106" s="472" t="s">
        <v>691</v>
      </c>
      <c r="D106" s="500" t="s">
        <v>692</v>
      </c>
      <c r="E106" s="465" t="s">
        <v>166</v>
      </c>
      <c r="F106" s="465" t="s">
        <v>675</v>
      </c>
      <c r="G106" s="472" t="s">
        <v>656</v>
      </c>
      <c r="H106" s="467" t="n">
        <v>175000</v>
      </c>
      <c r="I106" s="517" t="s">
        <v>688</v>
      </c>
      <c r="J106" s="469" t="s">
        <v>675</v>
      </c>
      <c r="K106" s="475" t="s">
        <v>693</v>
      </c>
      <c r="L106" s="526"/>
      <c r="O106" s="457"/>
      <c r="P106" s="476"/>
      <c r="Q106" s="477"/>
      <c r="R106" s="477"/>
      <c r="S106" s="477"/>
      <c r="T106" s="481"/>
      <c r="U106" s="479"/>
      <c r="V106" s="498"/>
      <c r="W106" s="463"/>
      <c r="X106" s="463"/>
      <c r="Y106" s="463"/>
      <c r="Z106" s="463"/>
      <c r="AA106" s="463"/>
      <c r="AB106" s="463"/>
      <c r="AC106" s="463"/>
      <c r="AD106" s="463"/>
      <c r="AE106" s="463"/>
      <c r="AF106" s="463"/>
      <c r="AG106" s="463"/>
      <c r="AH106" s="463"/>
      <c r="AI106" s="463"/>
      <c r="AJ106" s="463"/>
      <c r="AK106" s="463"/>
      <c r="AL106" s="463"/>
      <c r="AM106" s="463"/>
      <c r="AN106" s="463"/>
      <c r="AO106" s="463"/>
      <c r="AP106" s="463"/>
      <c r="AQ106" s="463"/>
      <c r="AR106" s="463"/>
      <c r="AS106" s="463"/>
      <c r="AT106" s="463"/>
      <c r="AU106" s="463"/>
      <c r="AV106" s="463"/>
      <c r="AW106" s="463"/>
      <c r="AX106" s="463"/>
      <c r="AY106" s="463"/>
      <c r="AZ106" s="463"/>
      <c r="BA106" s="463"/>
      <c r="BB106" s="463"/>
      <c r="BC106" s="463"/>
      <c r="BD106" s="463"/>
      <c r="BE106" s="463"/>
      <c r="BF106" s="463"/>
      <c r="BG106" s="463"/>
      <c r="BH106" s="463"/>
      <c r="BI106" s="463"/>
      <c r="BJ106" s="463"/>
    </row>
    <row r="107" customFormat="false" ht="19.5" hidden="false" customHeight="true" outlineLevel="0" collapsed="false">
      <c r="A107" s="465" t="s">
        <v>694</v>
      </c>
      <c r="B107" s="465"/>
      <c r="C107" s="472" t="s">
        <v>695</v>
      </c>
      <c r="D107" s="500" t="s">
        <v>696</v>
      </c>
      <c r="E107" s="465" t="s">
        <v>166</v>
      </c>
      <c r="F107" s="465" t="s">
        <v>675</v>
      </c>
      <c r="G107" s="472" t="s">
        <v>656</v>
      </c>
      <c r="H107" s="467" t="n">
        <v>130000</v>
      </c>
      <c r="I107" s="467"/>
      <c r="J107" s="469" t="s">
        <v>675</v>
      </c>
      <c r="K107" s="475" t="s">
        <v>697</v>
      </c>
      <c r="L107" s="455"/>
      <c r="O107" s="457"/>
      <c r="P107" s="476"/>
      <c r="Q107" s="477"/>
      <c r="R107" s="477"/>
      <c r="S107" s="477"/>
      <c r="T107" s="481"/>
      <c r="U107" s="479"/>
      <c r="V107" s="498"/>
      <c r="W107" s="463"/>
      <c r="X107" s="463"/>
      <c r="Y107" s="463"/>
      <c r="Z107" s="463"/>
      <c r="AA107" s="463"/>
      <c r="AB107" s="463"/>
      <c r="AC107" s="463"/>
      <c r="AD107" s="463"/>
      <c r="AE107" s="463"/>
      <c r="AF107" s="463"/>
      <c r="AG107" s="463"/>
      <c r="AH107" s="463"/>
      <c r="AI107" s="463"/>
      <c r="AJ107" s="463"/>
      <c r="AK107" s="463"/>
      <c r="AL107" s="463"/>
      <c r="AM107" s="463"/>
      <c r="AN107" s="463"/>
      <c r="AO107" s="463"/>
      <c r="AP107" s="463"/>
      <c r="AQ107" s="463"/>
      <c r="AR107" s="463"/>
      <c r="AS107" s="463"/>
      <c r="AT107" s="463"/>
      <c r="AU107" s="463"/>
      <c r="AV107" s="463"/>
      <c r="AW107" s="463"/>
      <c r="AX107" s="463"/>
      <c r="AY107" s="463"/>
      <c r="AZ107" s="463"/>
      <c r="BA107" s="463"/>
      <c r="BB107" s="463"/>
      <c r="BC107" s="463"/>
      <c r="BD107" s="463"/>
      <c r="BE107" s="463"/>
      <c r="BF107" s="463"/>
      <c r="BG107" s="463"/>
      <c r="BH107" s="463"/>
      <c r="BI107" s="463"/>
      <c r="BJ107" s="463"/>
    </row>
    <row r="108" customFormat="false" ht="19.5" hidden="false" customHeight="true" outlineLevel="0" collapsed="false">
      <c r="A108" s="465" t="s">
        <v>698</v>
      </c>
      <c r="B108" s="465" t="s">
        <v>675</v>
      </c>
      <c r="C108" s="472" t="s">
        <v>699</v>
      </c>
      <c r="D108" s="500" t="s">
        <v>700</v>
      </c>
      <c r="E108" s="465" t="s">
        <v>166</v>
      </c>
      <c r="F108" s="465" t="s">
        <v>675</v>
      </c>
      <c r="G108" s="472" t="s">
        <v>656</v>
      </c>
      <c r="H108" s="480" t="n">
        <v>175000</v>
      </c>
      <c r="I108" s="541"/>
      <c r="J108" s="469" t="s">
        <v>675</v>
      </c>
      <c r="K108" s="475" t="s">
        <v>701</v>
      </c>
      <c r="L108" s="453"/>
      <c r="O108" s="457"/>
      <c r="P108" s="476"/>
      <c r="Q108" s="477"/>
      <c r="R108" s="477"/>
      <c r="S108" s="477"/>
      <c r="T108" s="481"/>
      <c r="U108" s="479"/>
      <c r="V108" s="498"/>
      <c r="W108" s="463"/>
      <c r="X108" s="463"/>
      <c r="Y108" s="463"/>
      <c r="Z108" s="463"/>
      <c r="AA108" s="463"/>
      <c r="AB108" s="463"/>
      <c r="AC108" s="463"/>
      <c r="AD108" s="463"/>
      <c r="AE108" s="463"/>
      <c r="AF108" s="463"/>
      <c r="AG108" s="463"/>
      <c r="AH108" s="463"/>
      <c r="AI108" s="463"/>
      <c r="AJ108" s="463"/>
      <c r="AK108" s="463"/>
      <c r="AL108" s="463"/>
      <c r="AM108" s="463"/>
      <c r="AN108" s="463"/>
      <c r="AO108" s="463"/>
      <c r="AP108" s="463"/>
      <c r="AQ108" s="463"/>
      <c r="AR108" s="463"/>
      <c r="AS108" s="463"/>
      <c r="AT108" s="463"/>
      <c r="AU108" s="463"/>
      <c r="AV108" s="463"/>
      <c r="AW108" s="463"/>
      <c r="AX108" s="463"/>
      <c r="AY108" s="463"/>
      <c r="AZ108" s="463"/>
      <c r="BA108" s="463"/>
      <c r="BB108" s="463"/>
      <c r="BC108" s="463"/>
      <c r="BD108" s="463"/>
      <c r="BE108" s="463"/>
      <c r="BF108" s="463"/>
      <c r="BG108" s="463"/>
      <c r="BH108" s="463"/>
      <c r="BI108" s="463"/>
      <c r="BJ108" s="463"/>
    </row>
    <row r="109" customFormat="false" ht="19.5" hidden="false" customHeight="true" outlineLevel="0" collapsed="false">
      <c r="A109" s="465" t="s">
        <v>702</v>
      </c>
      <c r="B109" s="465" t="s">
        <v>675</v>
      </c>
      <c r="C109" s="472" t="s">
        <v>703</v>
      </c>
      <c r="D109" s="500" t="s">
        <v>704</v>
      </c>
      <c r="E109" s="465" t="s">
        <v>166</v>
      </c>
      <c r="F109" s="465" t="s">
        <v>675</v>
      </c>
      <c r="G109" s="472" t="s">
        <v>656</v>
      </c>
      <c r="H109" s="480" t="n">
        <v>175000</v>
      </c>
      <c r="I109" s="541"/>
      <c r="J109" s="469" t="s">
        <v>675</v>
      </c>
      <c r="K109" s="475" t="s">
        <v>705</v>
      </c>
      <c r="L109" s="455"/>
      <c r="O109" s="457"/>
      <c r="P109" s="476"/>
      <c r="Q109" s="477"/>
      <c r="R109" s="477"/>
      <c r="S109" s="477"/>
      <c r="T109" s="481"/>
      <c r="U109" s="479"/>
      <c r="V109" s="498"/>
      <c r="W109" s="463"/>
      <c r="X109" s="463"/>
      <c r="Y109" s="463"/>
      <c r="Z109" s="463"/>
      <c r="AA109" s="463"/>
      <c r="AB109" s="463"/>
      <c r="AC109" s="463"/>
      <c r="AD109" s="463"/>
      <c r="AE109" s="463"/>
      <c r="AF109" s="463"/>
      <c r="AG109" s="463"/>
      <c r="AH109" s="463"/>
      <c r="AI109" s="463"/>
      <c r="AJ109" s="463"/>
      <c r="AK109" s="463"/>
      <c r="AL109" s="463"/>
      <c r="AM109" s="463"/>
      <c r="AN109" s="463"/>
      <c r="AO109" s="463"/>
      <c r="AP109" s="463"/>
      <c r="AQ109" s="463"/>
      <c r="AR109" s="463"/>
      <c r="AS109" s="463"/>
      <c r="AT109" s="463"/>
      <c r="AU109" s="463"/>
      <c r="AV109" s="463"/>
      <c r="AW109" s="463"/>
      <c r="AX109" s="463"/>
      <c r="AY109" s="463"/>
      <c r="AZ109" s="463"/>
      <c r="BA109" s="463"/>
      <c r="BB109" s="463"/>
      <c r="BC109" s="463"/>
      <c r="BD109" s="463"/>
      <c r="BE109" s="463"/>
      <c r="BF109" s="463"/>
      <c r="BG109" s="463"/>
      <c r="BH109" s="463"/>
      <c r="BI109" s="463"/>
      <c r="BJ109" s="463"/>
    </row>
    <row r="110" customFormat="false" ht="19.5" hidden="false" customHeight="true" outlineLevel="0" collapsed="false">
      <c r="A110" s="465" t="s">
        <v>706</v>
      </c>
      <c r="B110" s="465" t="s">
        <v>675</v>
      </c>
      <c r="C110" s="472" t="s">
        <v>707</v>
      </c>
      <c r="D110" s="500" t="s">
        <v>708</v>
      </c>
      <c r="E110" s="465" t="s">
        <v>166</v>
      </c>
      <c r="F110" s="465" t="s">
        <v>675</v>
      </c>
      <c r="G110" s="472" t="s">
        <v>656</v>
      </c>
      <c r="H110" s="480" t="n">
        <v>165000</v>
      </c>
      <c r="I110" s="541"/>
      <c r="J110" s="469" t="s">
        <v>675</v>
      </c>
      <c r="K110" s="475" t="s">
        <v>617</v>
      </c>
      <c r="L110" s="455"/>
      <c r="O110" s="457"/>
      <c r="P110" s="476"/>
      <c r="Q110" s="477"/>
      <c r="R110" s="477"/>
      <c r="S110" s="477"/>
      <c r="T110" s="481"/>
      <c r="U110" s="479"/>
      <c r="V110" s="498"/>
      <c r="W110" s="463"/>
      <c r="X110" s="463"/>
      <c r="Y110" s="463"/>
      <c r="Z110" s="463"/>
      <c r="AA110" s="463"/>
      <c r="AB110" s="463"/>
      <c r="AC110" s="463"/>
      <c r="AD110" s="463"/>
      <c r="AE110" s="463"/>
      <c r="AF110" s="463"/>
      <c r="AG110" s="463"/>
      <c r="AH110" s="463"/>
      <c r="AI110" s="463"/>
      <c r="AJ110" s="463"/>
      <c r="AK110" s="463"/>
      <c r="AL110" s="463"/>
      <c r="AM110" s="463"/>
      <c r="AN110" s="463"/>
      <c r="AO110" s="463"/>
      <c r="AP110" s="463"/>
      <c r="AQ110" s="463"/>
      <c r="AR110" s="463"/>
      <c r="AS110" s="463"/>
      <c r="AT110" s="463"/>
      <c r="AU110" s="463"/>
      <c r="AV110" s="463"/>
      <c r="AW110" s="463"/>
      <c r="AX110" s="463"/>
      <c r="AY110" s="463"/>
      <c r="AZ110" s="463"/>
      <c r="BA110" s="463"/>
      <c r="BB110" s="463"/>
      <c r="BC110" s="463"/>
      <c r="BD110" s="463"/>
      <c r="BE110" s="463"/>
      <c r="BF110" s="463"/>
      <c r="BG110" s="463"/>
      <c r="BH110" s="463"/>
      <c r="BI110" s="463"/>
      <c r="BJ110" s="463"/>
    </row>
    <row r="111" customFormat="false" ht="19.5" hidden="false" customHeight="true" outlineLevel="0" collapsed="false">
      <c r="A111" s="465" t="s">
        <v>709</v>
      </c>
      <c r="B111" s="465" t="s">
        <v>675</v>
      </c>
      <c r="C111" s="472" t="s">
        <v>710</v>
      </c>
      <c r="D111" s="500" t="s">
        <v>711</v>
      </c>
      <c r="E111" s="465" t="s">
        <v>166</v>
      </c>
      <c r="F111" s="465" t="s">
        <v>675</v>
      </c>
      <c r="G111" s="472" t="s">
        <v>656</v>
      </c>
      <c r="H111" s="480" t="n">
        <v>180000</v>
      </c>
      <c r="I111" s="541"/>
      <c r="J111" s="469" t="s">
        <v>675</v>
      </c>
      <c r="K111" s="475" t="s">
        <v>712</v>
      </c>
      <c r="L111" s="455"/>
      <c r="O111" s="457"/>
      <c r="P111" s="476"/>
      <c r="Q111" s="477"/>
      <c r="R111" s="477"/>
      <c r="S111" s="477"/>
      <c r="T111" s="481"/>
      <c r="U111" s="479"/>
      <c r="V111" s="498"/>
      <c r="W111" s="463"/>
      <c r="X111" s="463"/>
      <c r="Y111" s="463"/>
      <c r="Z111" s="463"/>
      <c r="AA111" s="463"/>
      <c r="AB111" s="463"/>
      <c r="AC111" s="463"/>
      <c r="AD111" s="463"/>
      <c r="AE111" s="463"/>
      <c r="AF111" s="463"/>
      <c r="AG111" s="463"/>
      <c r="AH111" s="463"/>
      <c r="AI111" s="463"/>
      <c r="AJ111" s="463"/>
      <c r="AK111" s="463"/>
      <c r="AL111" s="463"/>
      <c r="AM111" s="463"/>
      <c r="AN111" s="463"/>
      <c r="AO111" s="463"/>
      <c r="AP111" s="463"/>
      <c r="AQ111" s="463"/>
      <c r="AR111" s="463"/>
      <c r="AS111" s="463"/>
      <c r="AT111" s="463"/>
      <c r="AU111" s="463"/>
      <c r="AV111" s="463"/>
      <c r="AW111" s="463"/>
      <c r="AX111" s="463"/>
      <c r="AY111" s="463"/>
      <c r="AZ111" s="463"/>
      <c r="BA111" s="463"/>
      <c r="BB111" s="463"/>
      <c r="BC111" s="463"/>
      <c r="BD111" s="463"/>
      <c r="BE111" s="463"/>
      <c r="BF111" s="463"/>
      <c r="BG111" s="463"/>
      <c r="BH111" s="463"/>
      <c r="BI111" s="463"/>
      <c r="BJ111" s="463"/>
    </row>
    <row r="112" customFormat="false" ht="19.5" hidden="false" customHeight="true" outlineLevel="0" collapsed="false">
      <c r="A112" s="465" t="s">
        <v>713</v>
      </c>
      <c r="B112" s="465" t="s">
        <v>675</v>
      </c>
      <c r="C112" s="472" t="s">
        <v>714</v>
      </c>
      <c r="D112" s="500" t="s">
        <v>715</v>
      </c>
      <c r="E112" s="465" t="s">
        <v>166</v>
      </c>
      <c r="F112" s="465" t="s">
        <v>675</v>
      </c>
      <c r="G112" s="472" t="s">
        <v>656</v>
      </c>
      <c r="H112" s="480" t="n">
        <v>165000</v>
      </c>
      <c r="I112" s="541"/>
      <c r="J112" s="469" t="s">
        <v>675</v>
      </c>
      <c r="K112" s="475" t="s">
        <v>716</v>
      </c>
      <c r="L112" s="455"/>
      <c r="O112" s="457"/>
      <c r="P112" s="476"/>
      <c r="Q112" s="477"/>
      <c r="R112" s="477"/>
      <c r="S112" s="477"/>
      <c r="T112" s="481"/>
      <c r="U112" s="479"/>
      <c r="V112" s="498"/>
      <c r="W112" s="463"/>
      <c r="X112" s="463"/>
      <c r="Y112" s="463"/>
      <c r="Z112" s="463"/>
      <c r="AA112" s="463"/>
      <c r="AB112" s="463"/>
      <c r="AC112" s="463"/>
      <c r="AD112" s="463"/>
      <c r="AE112" s="463"/>
      <c r="AF112" s="463"/>
      <c r="AG112" s="463"/>
      <c r="AH112" s="463"/>
      <c r="AI112" s="463"/>
      <c r="AJ112" s="463"/>
      <c r="AK112" s="463"/>
      <c r="AL112" s="463"/>
      <c r="AM112" s="463"/>
      <c r="AN112" s="463"/>
      <c r="AO112" s="463"/>
      <c r="AP112" s="463"/>
      <c r="AQ112" s="463"/>
      <c r="AR112" s="463"/>
      <c r="AS112" s="463"/>
      <c r="AT112" s="463"/>
      <c r="AU112" s="463"/>
      <c r="AV112" s="463"/>
      <c r="AW112" s="463"/>
      <c r="AX112" s="463"/>
      <c r="AY112" s="463"/>
      <c r="AZ112" s="463"/>
      <c r="BA112" s="463"/>
      <c r="BB112" s="463"/>
      <c r="BC112" s="463"/>
      <c r="BD112" s="463"/>
      <c r="BE112" s="463"/>
      <c r="BF112" s="463"/>
      <c r="BG112" s="463"/>
      <c r="BH112" s="463"/>
      <c r="BI112" s="463"/>
      <c r="BJ112" s="463"/>
    </row>
    <row r="113" customFormat="false" ht="19.5" hidden="false" customHeight="true" outlineLevel="0" collapsed="false">
      <c r="A113" s="465" t="s">
        <v>717</v>
      </c>
      <c r="B113" s="465" t="s">
        <v>675</v>
      </c>
      <c r="C113" s="472" t="s">
        <v>718</v>
      </c>
      <c r="D113" s="500" t="s">
        <v>719</v>
      </c>
      <c r="E113" s="465" t="s">
        <v>166</v>
      </c>
      <c r="F113" s="465" t="s">
        <v>675</v>
      </c>
      <c r="G113" s="472" t="s">
        <v>656</v>
      </c>
      <c r="H113" s="480" t="n">
        <v>175000</v>
      </c>
      <c r="I113" s="541"/>
      <c r="J113" s="469" t="s">
        <v>675</v>
      </c>
      <c r="K113" s="475" t="s">
        <v>720</v>
      </c>
      <c r="L113" s="455"/>
      <c r="O113" s="457"/>
      <c r="P113" s="476"/>
      <c r="Q113" s="477"/>
      <c r="R113" s="477"/>
      <c r="S113" s="477"/>
      <c r="T113" s="481"/>
      <c r="U113" s="479"/>
      <c r="V113" s="498"/>
      <c r="W113" s="463"/>
      <c r="X113" s="463"/>
      <c r="Y113" s="463"/>
      <c r="Z113" s="463"/>
      <c r="AA113" s="463"/>
      <c r="AB113" s="463"/>
      <c r="AC113" s="463"/>
      <c r="AD113" s="463"/>
      <c r="AE113" s="463"/>
      <c r="AF113" s="463"/>
      <c r="AG113" s="463"/>
      <c r="AH113" s="463"/>
      <c r="AI113" s="463"/>
      <c r="AJ113" s="463"/>
      <c r="AK113" s="463"/>
      <c r="AL113" s="463"/>
      <c r="AM113" s="463"/>
      <c r="AN113" s="463"/>
      <c r="AO113" s="463"/>
      <c r="AP113" s="463"/>
      <c r="AQ113" s="463"/>
      <c r="AR113" s="463"/>
      <c r="AS113" s="463"/>
      <c r="AT113" s="463"/>
      <c r="AU113" s="463"/>
      <c r="AV113" s="463"/>
      <c r="AW113" s="463"/>
      <c r="AX113" s="463"/>
      <c r="AY113" s="463"/>
      <c r="AZ113" s="463"/>
      <c r="BA113" s="463"/>
      <c r="BB113" s="463"/>
      <c r="BC113" s="463"/>
      <c r="BD113" s="463"/>
      <c r="BE113" s="463"/>
      <c r="BF113" s="463"/>
      <c r="BG113" s="463"/>
      <c r="BH113" s="463"/>
      <c r="BI113" s="463"/>
      <c r="BJ113" s="463"/>
    </row>
    <row r="114" customFormat="false" ht="19.5" hidden="false" customHeight="true" outlineLevel="0" collapsed="false">
      <c r="A114" s="465" t="s">
        <v>721</v>
      </c>
      <c r="B114" s="465" t="s">
        <v>675</v>
      </c>
      <c r="C114" s="472" t="s">
        <v>722</v>
      </c>
      <c r="D114" s="500" t="s">
        <v>723</v>
      </c>
      <c r="E114" s="465" t="s">
        <v>166</v>
      </c>
      <c r="F114" s="465" t="s">
        <v>675</v>
      </c>
      <c r="G114" s="472" t="s">
        <v>656</v>
      </c>
      <c r="H114" s="480" t="n">
        <v>165000</v>
      </c>
      <c r="I114" s="541"/>
      <c r="J114" s="469" t="s">
        <v>675</v>
      </c>
      <c r="K114" s="475" t="s">
        <v>724</v>
      </c>
      <c r="L114" s="455"/>
      <c r="O114" s="457"/>
      <c r="P114" s="476"/>
      <c r="Q114" s="477"/>
      <c r="R114" s="477"/>
      <c r="S114" s="477"/>
      <c r="T114" s="481"/>
      <c r="U114" s="479"/>
      <c r="V114" s="498"/>
      <c r="W114" s="463"/>
      <c r="X114" s="463"/>
      <c r="Y114" s="463"/>
      <c r="Z114" s="463"/>
      <c r="AA114" s="463"/>
      <c r="AB114" s="463"/>
      <c r="AC114" s="463"/>
      <c r="AD114" s="463"/>
      <c r="AE114" s="463"/>
      <c r="AF114" s="463"/>
      <c r="AG114" s="463"/>
      <c r="AH114" s="463"/>
      <c r="AI114" s="463"/>
      <c r="AJ114" s="463"/>
      <c r="AK114" s="463"/>
      <c r="AL114" s="463"/>
      <c r="AM114" s="463"/>
      <c r="AN114" s="463"/>
      <c r="AO114" s="463"/>
      <c r="AP114" s="463"/>
      <c r="AQ114" s="463"/>
      <c r="AR114" s="463"/>
      <c r="AS114" s="463"/>
      <c r="AT114" s="463"/>
      <c r="AU114" s="463"/>
      <c r="AV114" s="463"/>
      <c r="AW114" s="463"/>
      <c r="AX114" s="463"/>
      <c r="AY114" s="463"/>
      <c r="AZ114" s="463"/>
      <c r="BA114" s="463"/>
      <c r="BB114" s="463"/>
      <c r="BC114" s="463"/>
      <c r="BD114" s="463"/>
      <c r="BE114" s="463"/>
      <c r="BF114" s="463"/>
      <c r="BG114" s="463"/>
      <c r="BH114" s="463"/>
      <c r="BI114" s="463"/>
      <c r="BJ114" s="463"/>
    </row>
    <row r="115" customFormat="false" ht="19.5" hidden="false" customHeight="true" outlineLevel="0" collapsed="false">
      <c r="A115" s="465" t="s">
        <v>725</v>
      </c>
      <c r="B115" s="465" t="s">
        <v>675</v>
      </c>
      <c r="C115" s="472" t="s">
        <v>726</v>
      </c>
      <c r="D115" s="500" t="s">
        <v>727</v>
      </c>
      <c r="E115" s="465" t="s">
        <v>166</v>
      </c>
      <c r="F115" s="465" t="s">
        <v>675</v>
      </c>
      <c r="G115" s="472" t="s">
        <v>656</v>
      </c>
      <c r="H115" s="480" t="n">
        <v>165000</v>
      </c>
      <c r="I115" s="541"/>
      <c r="J115" s="469" t="s">
        <v>675</v>
      </c>
      <c r="K115" s="475" t="s">
        <v>728</v>
      </c>
      <c r="L115" s="455"/>
      <c r="O115" s="457"/>
      <c r="P115" s="476"/>
      <c r="Q115" s="551"/>
      <c r="R115" s="481"/>
      <c r="S115" s="551"/>
      <c r="T115" s="481"/>
      <c r="U115" s="481"/>
      <c r="V115" s="481"/>
      <c r="W115" s="463"/>
      <c r="X115" s="463"/>
      <c r="Y115" s="463"/>
      <c r="Z115" s="463"/>
      <c r="AA115" s="463"/>
      <c r="AB115" s="463"/>
      <c r="AC115" s="463"/>
      <c r="AD115" s="463"/>
      <c r="AE115" s="463"/>
      <c r="AF115" s="463"/>
      <c r="AG115" s="463"/>
      <c r="AH115" s="463"/>
      <c r="AI115" s="463"/>
      <c r="AJ115" s="463"/>
      <c r="AK115" s="463"/>
      <c r="AL115" s="463"/>
      <c r="AM115" s="463"/>
      <c r="AN115" s="463"/>
      <c r="AO115" s="463"/>
      <c r="AP115" s="463"/>
      <c r="AQ115" s="463"/>
      <c r="AR115" s="463"/>
      <c r="AS115" s="463"/>
      <c r="AT115" s="463"/>
      <c r="AU115" s="463"/>
      <c r="AV115" s="463"/>
      <c r="AW115" s="463"/>
      <c r="AX115" s="463"/>
      <c r="AY115" s="463"/>
      <c r="AZ115" s="463"/>
      <c r="BA115" s="463"/>
      <c r="BB115" s="463"/>
      <c r="BC115" s="463"/>
      <c r="BD115" s="463"/>
      <c r="BE115" s="463"/>
      <c r="BF115" s="463"/>
      <c r="BG115" s="463"/>
      <c r="BH115" s="463"/>
      <c r="BI115" s="463"/>
      <c r="BJ115" s="463"/>
    </row>
    <row r="116" customFormat="false" ht="19.5" hidden="false" customHeight="true" outlineLevel="0" collapsed="false">
      <c r="A116" s="539" t="s">
        <v>729</v>
      </c>
      <c r="B116" s="539" t="s">
        <v>675</v>
      </c>
      <c r="C116" s="475" t="s">
        <v>730</v>
      </c>
      <c r="D116" s="540" t="s">
        <v>731</v>
      </c>
      <c r="E116" s="465" t="s">
        <v>166</v>
      </c>
      <c r="F116" s="465" t="s">
        <v>675</v>
      </c>
      <c r="G116" s="472" t="s">
        <v>656</v>
      </c>
      <c r="H116" s="480" t="n">
        <v>175000</v>
      </c>
      <c r="I116" s="541"/>
      <c r="J116" s="541"/>
      <c r="K116" s="465"/>
      <c r="L116" s="455"/>
      <c r="O116" s="549"/>
      <c r="P116" s="550"/>
      <c r="Q116" s="477"/>
      <c r="R116" s="477"/>
      <c r="S116" s="477"/>
      <c r="T116" s="481"/>
      <c r="U116" s="479"/>
      <c r="V116" s="498"/>
      <c r="W116" s="463"/>
      <c r="X116" s="463"/>
      <c r="Y116" s="463"/>
      <c r="Z116" s="463"/>
      <c r="AA116" s="463"/>
      <c r="AB116" s="463"/>
      <c r="AC116" s="463"/>
      <c r="AD116" s="463"/>
      <c r="AE116" s="463"/>
      <c r="AF116" s="463"/>
      <c r="AG116" s="463"/>
      <c r="AH116" s="463"/>
      <c r="AI116" s="463"/>
      <c r="AJ116" s="463"/>
      <c r="AK116" s="463"/>
      <c r="AL116" s="463"/>
      <c r="AM116" s="463"/>
      <c r="AN116" s="463"/>
      <c r="AO116" s="463"/>
      <c r="AP116" s="463"/>
      <c r="AQ116" s="463"/>
      <c r="AR116" s="463"/>
      <c r="AS116" s="463"/>
      <c r="AT116" s="463"/>
      <c r="AU116" s="463"/>
      <c r="AV116" s="463"/>
      <c r="AW116" s="463"/>
      <c r="AX116" s="463"/>
      <c r="AY116" s="463"/>
      <c r="AZ116" s="463"/>
      <c r="BA116" s="463"/>
      <c r="BB116" s="463"/>
      <c r="BC116" s="463"/>
      <c r="BD116" s="463"/>
      <c r="BE116" s="463"/>
      <c r="BF116" s="463"/>
      <c r="BG116" s="463"/>
      <c r="BH116" s="463"/>
      <c r="BI116" s="463"/>
      <c r="BJ116" s="463"/>
    </row>
    <row r="117" customFormat="false" ht="19.5" hidden="false" customHeight="true" outlineLevel="0" collapsed="false">
      <c r="A117" s="552" t="s">
        <v>732</v>
      </c>
      <c r="B117" s="539" t="s">
        <v>675</v>
      </c>
      <c r="C117" s="553" t="s">
        <v>733</v>
      </c>
      <c r="D117" s="554" t="s">
        <v>734</v>
      </c>
      <c r="E117" s="465" t="s">
        <v>166</v>
      </c>
      <c r="F117" s="465" t="s">
        <v>675</v>
      </c>
      <c r="G117" s="472" t="s">
        <v>656</v>
      </c>
      <c r="H117" s="480" t="n">
        <v>165000</v>
      </c>
      <c r="I117" s="541"/>
      <c r="J117" s="541"/>
      <c r="K117" s="465"/>
      <c r="L117" s="455"/>
      <c r="O117" s="549"/>
      <c r="P117" s="550"/>
      <c r="Q117" s="477"/>
      <c r="R117" s="477"/>
      <c r="S117" s="477"/>
      <c r="T117" s="481"/>
      <c r="U117" s="479"/>
      <c r="V117" s="498"/>
      <c r="W117" s="463"/>
      <c r="X117" s="463"/>
      <c r="Y117" s="463"/>
      <c r="Z117" s="463"/>
      <c r="AA117" s="463"/>
      <c r="AB117" s="463"/>
      <c r="AC117" s="463"/>
      <c r="AD117" s="463"/>
      <c r="AE117" s="463"/>
      <c r="AF117" s="463"/>
      <c r="AG117" s="463"/>
      <c r="AH117" s="463"/>
      <c r="AI117" s="463"/>
      <c r="AJ117" s="463"/>
      <c r="AK117" s="463"/>
      <c r="AL117" s="463"/>
      <c r="AM117" s="463"/>
      <c r="AN117" s="463"/>
      <c r="AO117" s="463"/>
      <c r="AP117" s="463"/>
      <c r="AQ117" s="463"/>
      <c r="AR117" s="463"/>
      <c r="AS117" s="463"/>
      <c r="AT117" s="463"/>
      <c r="AU117" s="463"/>
      <c r="AV117" s="463"/>
      <c r="AW117" s="463"/>
      <c r="AX117" s="463"/>
      <c r="AY117" s="463"/>
      <c r="AZ117" s="463"/>
      <c r="BA117" s="463"/>
      <c r="BB117" s="463"/>
      <c r="BC117" s="463"/>
      <c r="BD117" s="463"/>
      <c r="BE117" s="463"/>
      <c r="BF117" s="463"/>
      <c r="BG117" s="463"/>
      <c r="BH117" s="463"/>
      <c r="BI117" s="463"/>
      <c r="BJ117" s="463"/>
    </row>
    <row r="118" customFormat="false" ht="19.5" hidden="false" customHeight="true" outlineLevel="0" collapsed="false">
      <c r="A118" s="555" t="s">
        <v>735</v>
      </c>
      <c r="B118" s="539" t="s">
        <v>675</v>
      </c>
      <c r="C118" s="553" t="s">
        <v>736</v>
      </c>
      <c r="D118" s="554" t="s">
        <v>737</v>
      </c>
      <c r="E118" s="465" t="s">
        <v>166</v>
      </c>
      <c r="F118" s="465" t="s">
        <v>675</v>
      </c>
      <c r="G118" s="472" t="s">
        <v>656</v>
      </c>
      <c r="H118" s="480" t="n">
        <v>165000</v>
      </c>
      <c r="I118" s="541"/>
      <c r="J118" s="541"/>
      <c r="K118" s="465" t="n">
        <v>27909</v>
      </c>
      <c r="L118" s="556" t="s">
        <v>738</v>
      </c>
      <c r="M118" s="556"/>
      <c r="N118" s="556"/>
      <c r="O118" s="549"/>
      <c r="P118" s="550"/>
      <c r="Q118" s="477"/>
      <c r="R118" s="477"/>
      <c r="S118" s="477"/>
      <c r="T118" s="481"/>
      <c r="U118" s="479"/>
      <c r="V118" s="498"/>
      <c r="W118" s="463"/>
      <c r="X118" s="463"/>
      <c r="Y118" s="463"/>
      <c r="Z118" s="463"/>
      <c r="AA118" s="463"/>
      <c r="AB118" s="463"/>
      <c r="AC118" s="463"/>
      <c r="AD118" s="463"/>
      <c r="AE118" s="463"/>
      <c r="AF118" s="463"/>
      <c r="AG118" s="463"/>
      <c r="AH118" s="463"/>
      <c r="AI118" s="463"/>
      <c r="AJ118" s="463"/>
      <c r="AK118" s="463"/>
      <c r="AL118" s="463"/>
      <c r="AM118" s="463"/>
      <c r="AN118" s="463"/>
      <c r="AO118" s="463"/>
      <c r="AP118" s="463"/>
      <c r="AQ118" s="463"/>
      <c r="AR118" s="463"/>
      <c r="AS118" s="463"/>
      <c r="AT118" s="463"/>
      <c r="AU118" s="463"/>
      <c r="AV118" s="463"/>
      <c r="AW118" s="463"/>
      <c r="AX118" s="463"/>
      <c r="AY118" s="463"/>
      <c r="AZ118" s="463"/>
      <c r="BA118" s="463"/>
      <c r="BB118" s="463"/>
      <c r="BC118" s="463"/>
      <c r="BD118" s="463"/>
      <c r="BE118" s="463"/>
      <c r="BF118" s="463"/>
      <c r="BG118" s="463"/>
      <c r="BH118" s="463"/>
      <c r="BI118" s="463"/>
      <c r="BJ118" s="463"/>
    </row>
    <row r="119" customFormat="false" ht="19.5" hidden="false" customHeight="true" outlineLevel="0" collapsed="false">
      <c r="A119" s="555" t="s">
        <v>739</v>
      </c>
      <c r="B119" s="539" t="s">
        <v>675</v>
      </c>
      <c r="C119" s="553" t="s">
        <v>740</v>
      </c>
      <c r="D119" s="554" t="s">
        <v>741</v>
      </c>
      <c r="E119" s="465" t="s">
        <v>166</v>
      </c>
      <c r="F119" s="465" t="s">
        <v>675</v>
      </c>
      <c r="G119" s="472" t="s">
        <v>656</v>
      </c>
      <c r="H119" s="480" t="n">
        <v>175000</v>
      </c>
      <c r="I119" s="541"/>
      <c r="J119" s="541"/>
      <c r="K119" s="465"/>
      <c r="L119" s="556"/>
      <c r="M119" s="556"/>
      <c r="N119" s="556"/>
      <c r="O119" s="557"/>
      <c r="P119" s="550"/>
      <c r="Q119" s="477"/>
      <c r="R119" s="477"/>
      <c r="S119" s="477"/>
      <c r="T119" s="481"/>
      <c r="U119" s="479"/>
      <c r="V119" s="498"/>
      <c r="W119" s="463"/>
      <c r="X119" s="463"/>
      <c r="Y119" s="463"/>
      <c r="Z119" s="463"/>
      <c r="AA119" s="463"/>
      <c r="AB119" s="463"/>
      <c r="AC119" s="463"/>
      <c r="AD119" s="463"/>
      <c r="AE119" s="463"/>
      <c r="AF119" s="463"/>
      <c r="AG119" s="463"/>
      <c r="AH119" s="463"/>
      <c r="AI119" s="463"/>
      <c r="AJ119" s="463"/>
      <c r="AK119" s="463"/>
      <c r="AL119" s="463"/>
      <c r="AM119" s="463"/>
      <c r="AN119" s="463"/>
      <c r="AO119" s="463"/>
      <c r="AP119" s="463"/>
      <c r="AQ119" s="463"/>
      <c r="AR119" s="463"/>
      <c r="AS119" s="463"/>
      <c r="AT119" s="463"/>
      <c r="AU119" s="463"/>
      <c r="AV119" s="463"/>
      <c r="AW119" s="463"/>
      <c r="AX119" s="463"/>
      <c r="AY119" s="463"/>
      <c r="AZ119" s="463"/>
      <c r="BA119" s="463"/>
      <c r="BB119" s="463"/>
      <c r="BC119" s="463"/>
      <c r="BD119" s="463"/>
      <c r="BE119" s="463"/>
      <c r="BF119" s="463"/>
      <c r="BG119" s="463"/>
      <c r="BH119" s="463"/>
      <c r="BI119" s="463"/>
      <c r="BJ119" s="463"/>
    </row>
    <row r="120" customFormat="false" ht="19.5" hidden="false" customHeight="true" outlineLevel="0" collapsed="false">
      <c r="A120" s="555" t="s">
        <v>742</v>
      </c>
      <c r="B120" s="539" t="s">
        <v>675</v>
      </c>
      <c r="C120" s="553" t="s">
        <v>743</v>
      </c>
      <c r="D120" s="554" t="s">
        <v>744</v>
      </c>
      <c r="E120" s="465" t="s">
        <v>166</v>
      </c>
      <c r="F120" s="465" t="s">
        <v>675</v>
      </c>
      <c r="G120" s="472" t="s">
        <v>656</v>
      </c>
      <c r="H120" s="480" t="n">
        <v>165000</v>
      </c>
      <c r="I120" s="541"/>
      <c r="J120" s="465"/>
      <c r="K120" s="465"/>
      <c r="L120" s="499"/>
      <c r="M120" s="556"/>
      <c r="N120" s="556"/>
      <c r="O120" s="558"/>
      <c r="P120" s="550"/>
      <c r="Q120" s="559"/>
      <c r="R120" s="559"/>
      <c r="S120" s="559"/>
      <c r="T120" s="481"/>
      <c r="U120" s="560"/>
      <c r="V120" s="498"/>
      <c r="W120" s="463"/>
      <c r="X120" s="463"/>
      <c r="Y120" s="463"/>
      <c r="Z120" s="463"/>
      <c r="AA120" s="463"/>
      <c r="AB120" s="463"/>
      <c r="AC120" s="463"/>
      <c r="AD120" s="463"/>
      <c r="AE120" s="463"/>
      <c r="AF120" s="463"/>
      <c r="AG120" s="463"/>
      <c r="AH120" s="463"/>
      <c r="AI120" s="463"/>
      <c r="AJ120" s="463"/>
      <c r="AK120" s="463"/>
      <c r="AL120" s="463"/>
      <c r="AM120" s="463"/>
      <c r="AN120" s="463"/>
      <c r="AO120" s="463"/>
      <c r="AP120" s="463"/>
      <c r="AQ120" s="463"/>
      <c r="AR120" s="463"/>
      <c r="AS120" s="463"/>
      <c r="AT120" s="463"/>
      <c r="AU120" s="463"/>
      <c r="AV120" s="463"/>
      <c r="AW120" s="463"/>
      <c r="AX120" s="463"/>
      <c r="AY120" s="463"/>
      <c r="AZ120" s="463"/>
      <c r="BA120" s="463"/>
      <c r="BB120" s="463"/>
      <c r="BC120" s="463"/>
      <c r="BD120" s="463"/>
      <c r="BE120" s="463"/>
      <c r="BF120" s="463"/>
      <c r="BG120" s="463"/>
      <c r="BH120" s="463"/>
      <c r="BI120" s="463"/>
      <c r="BJ120" s="463"/>
    </row>
    <row r="121" customFormat="false" ht="19.5" hidden="false" customHeight="true" outlineLevel="0" collapsed="false">
      <c r="A121" s="555" t="s">
        <v>745</v>
      </c>
      <c r="B121" s="539" t="s">
        <v>675</v>
      </c>
      <c r="C121" s="553" t="s">
        <v>746</v>
      </c>
      <c r="D121" s="554" t="s">
        <v>747</v>
      </c>
      <c r="E121" s="465" t="s">
        <v>166</v>
      </c>
      <c r="F121" s="465" t="s">
        <v>675</v>
      </c>
      <c r="G121" s="472" t="s">
        <v>656</v>
      </c>
      <c r="H121" s="480" t="n">
        <v>175000</v>
      </c>
      <c r="I121" s="525"/>
      <c r="J121" s="465"/>
      <c r="K121" s="465"/>
      <c r="L121" s="499"/>
      <c r="M121" s="556"/>
      <c r="N121" s="556"/>
      <c r="O121" s="558"/>
      <c r="P121" s="550"/>
      <c r="Q121" s="561"/>
      <c r="R121" s="562"/>
      <c r="S121" s="563"/>
      <c r="T121" s="564"/>
      <c r="U121" s="563"/>
      <c r="V121" s="498"/>
      <c r="W121" s="463"/>
      <c r="X121" s="463"/>
      <c r="Y121" s="463"/>
      <c r="Z121" s="463"/>
      <c r="AA121" s="463"/>
      <c r="AB121" s="463"/>
      <c r="AC121" s="463"/>
      <c r="AD121" s="463"/>
      <c r="AE121" s="463"/>
      <c r="AF121" s="463"/>
      <c r="AG121" s="463"/>
      <c r="AH121" s="463"/>
      <c r="AI121" s="463"/>
      <c r="AJ121" s="463"/>
      <c r="AK121" s="463"/>
      <c r="AL121" s="463"/>
      <c r="AM121" s="463"/>
      <c r="AN121" s="463"/>
      <c r="AO121" s="463"/>
      <c r="AP121" s="463"/>
      <c r="AQ121" s="463"/>
      <c r="AR121" s="463"/>
      <c r="AS121" s="463"/>
      <c r="AT121" s="463"/>
      <c r="AU121" s="463"/>
      <c r="AV121" s="463"/>
      <c r="AW121" s="463"/>
      <c r="AX121" s="463"/>
      <c r="AY121" s="463"/>
      <c r="AZ121" s="463"/>
      <c r="BA121" s="463"/>
      <c r="BB121" s="463"/>
      <c r="BC121" s="463"/>
      <c r="BD121" s="463"/>
      <c r="BE121" s="463"/>
      <c r="BF121" s="463"/>
      <c r="BG121" s="463"/>
      <c r="BH121" s="463"/>
      <c r="BI121" s="463"/>
      <c r="BJ121" s="463"/>
    </row>
    <row r="122" customFormat="false" ht="19.5" hidden="false" customHeight="true" outlineLevel="0" collapsed="false">
      <c r="A122" s="465" t="s">
        <v>748</v>
      </c>
      <c r="B122" s="465" t="s">
        <v>675</v>
      </c>
      <c r="C122" s="472" t="s">
        <v>749</v>
      </c>
      <c r="D122" s="554" t="s">
        <v>750</v>
      </c>
      <c r="E122" s="465" t="s">
        <v>166</v>
      </c>
      <c r="F122" s="465" t="s">
        <v>675</v>
      </c>
      <c r="G122" s="472" t="s">
        <v>656</v>
      </c>
      <c r="H122" s="480" t="n">
        <v>165000</v>
      </c>
      <c r="I122" s="525"/>
      <c r="J122" s="465"/>
      <c r="K122" s="465" t="n">
        <v>27906</v>
      </c>
      <c r="L122" s="499" t="s">
        <v>751</v>
      </c>
      <c r="M122" s="556"/>
      <c r="N122" s="556"/>
      <c r="O122" s="558"/>
      <c r="P122" s="550"/>
      <c r="Q122" s="559"/>
      <c r="R122" s="559"/>
      <c r="S122" s="559"/>
      <c r="T122" s="481"/>
      <c r="U122" s="560"/>
      <c r="V122" s="498"/>
      <c r="W122" s="463"/>
      <c r="X122" s="463"/>
      <c r="Y122" s="463"/>
      <c r="Z122" s="463"/>
      <c r="AA122" s="463"/>
      <c r="AB122" s="463"/>
      <c r="AC122" s="463"/>
      <c r="AD122" s="463"/>
      <c r="AE122" s="463"/>
      <c r="AF122" s="463"/>
      <c r="AG122" s="463"/>
      <c r="AH122" s="463"/>
      <c r="AI122" s="463"/>
      <c r="AJ122" s="463"/>
      <c r="AK122" s="463"/>
      <c r="AL122" s="463"/>
      <c r="AM122" s="463"/>
      <c r="AN122" s="463"/>
      <c r="AO122" s="463"/>
      <c r="AP122" s="463"/>
      <c r="AQ122" s="463"/>
      <c r="AR122" s="463"/>
      <c r="AS122" s="463"/>
      <c r="AT122" s="463"/>
      <c r="AU122" s="463"/>
      <c r="AV122" s="463"/>
      <c r="AW122" s="463"/>
      <c r="AX122" s="463"/>
      <c r="AY122" s="463"/>
      <c r="AZ122" s="463"/>
      <c r="BA122" s="463"/>
      <c r="BB122" s="463"/>
      <c r="BC122" s="463"/>
      <c r="BD122" s="463"/>
      <c r="BE122" s="463"/>
      <c r="BF122" s="463"/>
      <c r="BG122" s="463"/>
      <c r="BH122" s="463"/>
      <c r="BI122" s="463"/>
      <c r="BJ122" s="463"/>
    </row>
    <row r="123" customFormat="false" ht="19.5" hidden="false" customHeight="true" outlineLevel="0" collapsed="false">
      <c r="A123" s="465" t="s">
        <v>752</v>
      </c>
      <c r="B123" s="465" t="s">
        <v>675</v>
      </c>
      <c r="C123" s="472" t="s">
        <v>753</v>
      </c>
      <c r="D123" s="500" t="s">
        <v>754</v>
      </c>
      <c r="E123" s="465" t="s">
        <v>166</v>
      </c>
      <c r="F123" s="465" t="s">
        <v>675</v>
      </c>
      <c r="G123" s="472" t="s">
        <v>656</v>
      </c>
      <c r="H123" s="480" t="n">
        <v>165000</v>
      </c>
      <c r="I123" s="525"/>
      <c r="J123" s="465"/>
      <c r="K123" s="475" t="s">
        <v>755</v>
      </c>
      <c r="L123" s="526"/>
      <c r="M123" s="556"/>
      <c r="N123" s="556"/>
      <c r="O123" s="558"/>
      <c r="P123" s="550"/>
      <c r="Q123" s="559"/>
      <c r="R123" s="559"/>
      <c r="S123" s="559"/>
      <c r="T123" s="481"/>
      <c r="U123" s="560"/>
      <c r="V123" s="498"/>
      <c r="W123" s="463"/>
      <c r="X123" s="463"/>
      <c r="Y123" s="463"/>
      <c r="Z123" s="463"/>
      <c r="AA123" s="463"/>
      <c r="AB123" s="463"/>
      <c r="AC123" s="463"/>
      <c r="AD123" s="463"/>
      <c r="AE123" s="463"/>
      <c r="AF123" s="463"/>
      <c r="AG123" s="463"/>
      <c r="AH123" s="463"/>
      <c r="AI123" s="463"/>
      <c r="AJ123" s="463"/>
      <c r="AK123" s="463"/>
      <c r="AL123" s="463"/>
      <c r="AM123" s="463"/>
      <c r="AN123" s="463"/>
      <c r="AO123" s="463"/>
      <c r="AP123" s="463"/>
      <c r="AQ123" s="463"/>
      <c r="AR123" s="463"/>
      <c r="AS123" s="463"/>
      <c r="AT123" s="463"/>
      <c r="AU123" s="463"/>
      <c r="AV123" s="463"/>
      <c r="AW123" s="463"/>
      <c r="AX123" s="463"/>
      <c r="AY123" s="463"/>
      <c r="AZ123" s="463"/>
      <c r="BA123" s="463"/>
      <c r="BB123" s="463"/>
      <c r="BC123" s="463"/>
      <c r="BD123" s="463"/>
      <c r="BE123" s="463"/>
      <c r="BF123" s="463"/>
      <c r="BG123" s="463"/>
      <c r="BH123" s="463"/>
      <c r="BI123" s="463"/>
      <c r="BJ123" s="463"/>
    </row>
    <row r="124" customFormat="false" ht="20.25" hidden="false" customHeight="true" outlineLevel="0" collapsed="false">
      <c r="A124" s="465" t="s">
        <v>756</v>
      </c>
      <c r="B124" s="465" t="s">
        <v>675</v>
      </c>
      <c r="C124" s="472" t="s">
        <v>757</v>
      </c>
      <c r="D124" s="500" t="s">
        <v>758</v>
      </c>
      <c r="E124" s="465" t="s">
        <v>166</v>
      </c>
      <c r="F124" s="465" t="s">
        <v>675</v>
      </c>
      <c r="G124" s="472" t="s">
        <v>656</v>
      </c>
      <c r="H124" s="480" t="n">
        <v>175000</v>
      </c>
      <c r="I124" s="541"/>
      <c r="J124" s="541"/>
      <c r="K124" s="465" t="n">
        <v>44950</v>
      </c>
      <c r="L124" s="556"/>
      <c r="M124" s="556"/>
      <c r="N124" s="556"/>
      <c r="O124" s="556"/>
      <c r="P124" s="565"/>
      <c r="Q124" s="565"/>
      <c r="R124" s="565"/>
      <c r="S124" s="565"/>
      <c r="T124" s="565"/>
      <c r="U124" s="565"/>
      <c r="V124" s="565"/>
      <c r="W124" s="565"/>
      <c r="X124" s="565"/>
      <c r="Y124" s="565"/>
      <c r="Z124" s="565"/>
      <c r="AA124" s="565"/>
      <c r="AB124" s="565"/>
      <c r="AC124" s="565"/>
      <c r="AD124" s="565"/>
      <c r="AE124" s="565"/>
      <c r="AF124" s="565"/>
      <c r="AG124" s="565"/>
      <c r="AH124" s="565"/>
      <c r="AI124" s="565"/>
      <c r="AJ124" s="565"/>
      <c r="AK124" s="565"/>
      <c r="AL124" s="565"/>
      <c r="AM124" s="565"/>
      <c r="AN124" s="565"/>
      <c r="AO124" s="565"/>
      <c r="AP124" s="565"/>
      <c r="AQ124" s="565"/>
      <c r="AR124" s="565"/>
      <c r="AS124" s="565"/>
      <c r="AT124" s="565"/>
      <c r="AU124" s="565"/>
      <c r="AV124" s="565"/>
      <c r="AW124" s="565"/>
      <c r="AX124" s="565"/>
      <c r="AY124" s="565"/>
      <c r="AZ124" s="565"/>
      <c r="BA124" s="565"/>
      <c r="BB124" s="565"/>
      <c r="BC124" s="565"/>
      <c r="BD124" s="565"/>
      <c r="BE124" s="565"/>
      <c r="BF124" s="565"/>
      <c r="BG124" s="565"/>
      <c r="BH124" s="565"/>
      <c r="BI124" s="565"/>
      <c r="BJ124" s="565"/>
      <c r="BK124" s="565"/>
      <c r="BL124" s="565"/>
      <c r="BM124" s="565"/>
      <c r="BN124" s="565"/>
      <c r="BO124" s="565"/>
      <c r="BP124" s="565"/>
      <c r="BQ124" s="565"/>
      <c r="BR124" s="565"/>
      <c r="BS124" s="565"/>
      <c r="BT124" s="565"/>
      <c r="BU124" s="565"/>
      <c r="BV124" s="565"/>
      <c r="BW124" s="565"/>
      <c r="BX124" s="565"/>
      <c r="BY124" s="565"/>
      <c r="BZ124" s="565"/>
      <c r="CA124" s="565"/>
      <c r="CB124" s="565"/>
      <c r="CC124" s="565"/>
      <c r="CD124" s="565"/>
      <c r="CE124" s="565"/>
      <c r="CF124" s="565"/>
      <c r="CG124" s="565"/>
      <c r="CH124" s="565"/>
      <c r="CI124" s="565"/>
      <c r="CJ124" s="565"/>
      <c r="CK124" s="565"/>
      <c r="CL124" s="565"/>
      <c r="CM124" s="565"/>
      <c r="CN124" s="565"/>
      <c r="CO124" s="565"/>
      <c r="CP124" s="565"/>
      <c r="CQ124" s="565"/>
      <c r="CR124" s="565"/>
      <c r="CS124" s="565"/>
      <c r="CT124" s="565"/>
      <c r="CU124" s="565"/>
      <c r="CV124" s="565"/>
      <c r="CW124" s="565"/>
      <c r="CX124" s="565"/>
      <c r="CY124" s="565"/>
      <c r="CZ124" s="565"/>
      <c r="DA124" s="565"/>
      <c r="DB124" s="565"/>
      <c r="DC124" s="565"/>
      <c r="DD124" s="565"/>
      <c r="DE124" s="565"/>
      <c r="DF124" s="565"/>
      <c r="DG124" s="565"/>
      <c r="DH124" s="565"/>
      <c r="DI124" s="565"/>
      <c r="DJ124" s="565"/>
      <c r="DK124" s="565"/>
      <c r="DL124" s="565"/>
      <c r="DM124" s="565"/>
      <c r="DN124" s="565"/>
      <c r="DO124" s="565"/>
      <c r="DP124" s="565"/>
      <c r="DQ124" s="565"/>
      <c r="DR124" s="565"/>
      <c r="DS124" s="565"/>
      <c r="DT124" s="565"/>
      <c r="DU124" s="565"/>
      <c r="DV124" s="565"/>
      <c r="DW124" s="565"/>
      <c r="DX124" s="565"/>
      <c r="DY124" s="565"/>
      <c r="DZ124" s="565"/>
      <c r="EA124" s="565"/>
      <c r="EB124" s="565"/>
      <c r="EC124" s="565"/>
      <c r="ED124" s="565"/>
      <c r="EE124" s="565"/>
      <c r="EF124" s="565"/>
      <c r="EG124" s="565"/>
      <c r="EH124" s="565"/>
      <c r="EI124" s="565"/>
      <c r="EJ124" s="565"/>
      <c r="EK124" s="565"/>
      <c r="EL124" s="565"/>
      <c r="EM124" s="565"/>
      <c r="EN124" s="565"/>
      <c r="EO124" s="565"/>
      <c r="EP124" s="565"/>
      <c r="EQ124" s="565"/>
      <c r="ER124" s="565"/>
      <c r="ES124" s="565"/>
      <c r="ET124" s="565"/>
      <c r="EU124" s="565"/>
      <c r="EV124" s="565"/>
      <c r="EW124" s="565"/>
      <c r="EX124" s="565"/>
      <c r="EY124" s="565"/>
      <c r="EZ124" s="565"/>
      <c r="FA124" s="565"/>
      <c r="FB124" s="565"/>
      <c r="FC124" s="565"/>
      <c r="FD124" s="565"/>
      <c r="FE124" s="565"/>
      <c r="FF124" s="565"/>
      <c r="FG124" s="565"/>
      <c r="FH124" s="565"/>
      <c r="FI124" s="565"/>
      <c r="FJ124" s="565"/>
      <c r="FK124" s="565"/>
      <c r="FL124" s="565"/>
      <c r="FM124" s="565"/>
      <c r="FN124" s="565"/>
      <c r="FO124" s="565"/>
      <c r="FP124" s="565"/>
      <c r="FQ124" s="565"/>
      <c r="FR124" s="565"/>
      <c r="FS124" s="565"/>
      <c r="FT124" s="565"/>
      <c r="FU124" s="565"/>
      <c r="FV124" s="565"/>
      <c r="FW124" s="565"/>
      <c r="FX124" s="565"/>
      <c r="FY124" s="565"/>
      <c r="FZ124" s="565"/>
      <c r="GA124" s="565"/>
      <c r="GB124" s="565"/>
      <c r="GC124" s="565"/>
      <c r="GD124" s="565"/>
      <c r="GE124" s="565"/>
      <c r="GF124" s="565"/>
      <c r="GG124" s="565"/>
      <c r="GH124" s="565"/>
      <c r="GI124" s="565"/>
      <c r="GJ124" s="565"/>
      <c r="GK124" s="565"/>
      <c r="GL124" s="565"/>
      <c r="GM124" s="565"/>
      <c r="GN124" s="565"/>
      <c r="GO124" s="565"/>
      <c r="GP124" s="565"/>
      <c r="GQ124" s="565"/>
      <c r="GR124" s="565"/>
      <c r="GS124" s="565"/>
      <c r="GT124" s="565"/>
      <c r="GU124" s="565"/>
      <c r="GV124" s="565"/>
      <c r="GW124" s="565"/>
      <c r="GX124" s="565"/>
      <c r="GY124" s="565"/>
      <c r="GZ124" s="565"/>
      <c r="HA124" s="565"/>
      <c r="HB124" s="565"/>
      <c r="HC124" s="565"/>
      <c r="HD124" s="565"/>
      <c r="HE124" s="565"/>
      <c r="HF124" s="565"/>
      <c r="HG124" s="565"/>
      <c r="HH124" s="565"/>
      <c r="HI124" s="565"/>
      <c r="HJ124" s="565"/>
      <c r="HK124" s="565"/>
      <c r="HL124" s="565"/>
      <c r="HM124" s="565"/>
      <c r="HN124" s="565"/>
      <c r="HO124" s="565"/>
      <c r="HP124" s="565"/>
      <c r="HQ124" s="565"/>
      <c r="HR124" s="565"/>
      <c r="HS124" s="565"/>
      <c r="HT124" s="565"/>
      <c r="HU124" s="565"/>
      <c r="HV124" s="565"/>
      <c r="HW124" s="565"/>
      <c r="HX124" s="565"/>
      <c r="HY124" s="565"/>
      <c r="HZ124" s="565"/>
      <c r="IA124" s="565"/>
      <c r="IB124" s="565"/>
      <c r="IC124" s="565"/>
      <c r="ID124" s="565"/>
      <c r="IE124" s="565"/>
      <c r="IF124" s="565"/>
      <c r="IG124" s="565"/>
      <c r="IH124" s="565"/>
      <c r="II124" s="565"/>
      <c r="IJ124" s="565"/>
      <c r="IK124" s="565"/>
      <c r="IL124" s="565"/>
      <c r="IM124" s="565"/>
      <c r="IN124" s="565"/>
      <c r="IO124" s="565"/>
      <c r="IP124" s="565"/>
      <c r="IQ124" s="565"/>
      <c r="IR124" s="565"/>
      <c r="IS124" s="565"/>
      <c r="IT124" s="565"/>
      <c r="IU124" s="565"/>
      <c r="IV124" s="565"/>
      <c r="IW124" s="565"/>
    </row>
    <row r="125" customFormat="false" ht="20.25" hidden="false" customHeight="true" outlineLevel="0" collapsed="false">
      <c r="A125" s="465" t="s">
        <v>759</v>
      </c>
      <c r="B125" s="465" t="s">
        <v>675</v>
      </c>
      <c r="C125" s="472" t="s">
        <v>760</v>
      </c>
      <c r="D125" s="500" t="s">
        <v>761</v>
      </c>
      <c r="E125" s="465" t="s">
        <v>166</v>
      </c>
      <c r="F125" s="465" t="s">
        <v>675</v>
      </c>
      <c r="G125" s="472" t="s">
        <v>656</v>
      </c>
      <c r="H125" s="480" t="n">
        <v>165000</v>
      </c>
      <c r="I125" s="541"/>
      <c r="J125" s="541"/>
      <c r="K125" s="465" t="n">
        <v>28115</v>
      </c>
      <c r="L125" s="556"/>
      <c r="M125" s="556"/>
      <c r="N125" s="556"/>
      <c r="O125" s="556"/>
      <c r="P125" s="565"/>
      <c r="Q125" s="565"/>
      <c r="R125" s="565"/>
      <c r="S125" s="565"/>
      <c r="T125" s="565"/>
      <c r="U125" s="565"/>
      <c r="V125" s="565"/>
      <c r="W125" s="565"/>
      <c r="X125" s="565"/>
      <c r="Y125" s="565"/>
      <c r="Z125" s="565"/>
      <c r="AA125" s="565"/>
      <c r="AB125" s="565"/>
      <c r="AC125" s="565"/>
      <c r="AD125" s="565"/>
      <c r="AE125" s="565"/>
      <c r="AF125" s="565"/>
      <c r="AG125" s="565"/>
      <c r="AH125" s="565"/>
      <c r="AI125" s="565"/>
      <c r="AJ125" s="565"/>
      <c r="AK125" s="565"/>
      <c r="AL125" s="565"/>
      <c r="AM125" s="565"/>
      <c r="AN125" s="565"/>
      <c r="AO125" s="565"/>
      <c r="AP125" s="565"/>
      <c r="AQ125" s="565"/>
      <c r="AR125" s="565"/>
      <c r="AS125" s="565"/>
      <c r="AT125" s="565"/>
      <c r="AU125" s="565"/>
      <c r="AV125" s="565"/>
      <c r="AW125" s="565"/>
      <c r="AX125" s="565"/>
      <c r="AY125" s="565"/>
      <c r="AZ125" s="565"/>
      <c r="BA125" s="565"/>
      <c r="BB125" s="565"/>
      <c r="BC125" s="565"/>
      <c r="BD125" s="565"/>
      <c r="BE125" s="565"/>
      <c r="BF125" s="565"/>
      <c r="BG125" s="565"/>
      <c r="BH125" s="565"/>
      <c r="BI125" s="565"/>
      <c r="BJ125" s="565"/>
      <c r="BK125" s="565"/>
      <c r="BL125" s="565"/>
      <c r="BM125" s="565"/>
      <c r="BN125" s="565"/>
      <c r="BO125" s="565"/>
      <c r="BP125" s="565"/>
      <c r="BQ125" s="565"/>
      <c r="BR125" s="565"/>
      <c r="BS125" s="565"/>
      <c r="BT125" s="565"/>
      <c r="BU125" s="565"/>
      <c r="BV125" s="565"/>
      <c r="BW125" s="565"/>
      <c r="BX125" s="565"/>
      <c r="BY125" s="565"/>
      <c r="BZ125" s="565"/>
      <c r="CA125" s="565"/>
      <c r="CB125" s="565"/>
      <c r="CC125" s="565"/>
      <c r="CD125" s="565"/>
      <c r="CE125" s="565"/>
      <c r="CF125" s="565"/>
      <c r="CG125" s="565"/>
      <c r="CH125" s="565"/>
      <c r="CI125" s="565"/>
      <c r="CJ125" s="565"/>
      <c r="CK125" s="565"/>
      <c r="CL125" s="565"/>
      <c r="CM125" s="565"/>
      <c r="CN125" s="565"/>
      <c r="CO125" s="565"/>
      <c r="CP125" s="565"/>
      <c r="CQ125" s="565"/>
      <c r="CR125" s="565"/>
      <c r="CS125" s="565"/>
      <c r="CT125" s="565"/>
      <c r="CU125" s="565"/>
      <c r="CV125" s="565"/>
      <c r="CW125" s="565"/>
      <c r="CX125" s="565"/>
      <c r="CY125" s="565"/>
      <c r="CZ125" s="565"/>
      <c r="DA125" s="565"/>
      <c r="DB125" s="565"/>
      <c r="DC125" s="565"/>
      <c r="DD125" s="565"/>
      <c r="DE125" s="565"/>
      <c r="DF125" s="565"/>
      <c r="DG125" s="565"/>
      <c r="DH125" s="565"/>
      <c r="DI125" s="565"/>
      <c r="DJ125" s="565"/>
      <c r="DK125" s="565"/>
      <c r="DL125" s="565"/>
      <c r="DM125" s="565"/>
      <c r="DN125" s="565"/>
      <c r="DO125" s="565"/>
      <c r="DP125" s="565"/>
      <c r="DQ125" s="565"/>
      <c r="DR125" s="565"/>
      <c r="DS125" s="565"/>
      <c r="DT125" s="565"/>
      <c r="DU125" s="565"/>
      <c r="DV125" s="565"/>
      <c r="DW125" s="565"/>
      <c r="DX125" s="565"/>
      <c r="DY125" s="565"/>
      <c r="DZ125" s="565"/>
      <c r="EA125" s="565"/>
      <c r="EB125" s="565"/>
      <c r="EC125" s="565"/>
      <c r="ED125" s="565"/>
      <c r="EE125" s="565"/>
      <c r="EF125" s="565"/>
      <c r="EG125" s="565"/>
      <c r="EH125" s="565"/>
      <c r="EI125" s="565"/>
      <c r="EJ125" s="565"/>
      <c r="EK125" s="565"/>
      <c r="EL125" s="565"/>
      <c r="EM125" s="565"/>
      <c r="EN125" s="565"/>
      <c r="EO125" s="565"/>
      <c r="EP125" s="565"/>
      <c r="EQ125" s="565"/>
      <c r="ER125" s="565"/>
      <c r="ES125" s="565"/>
      <c r="ET125" s="565"/>
      <c r="EU125" s="565"/>
      <c r="EV125" s="565"/>
      <c r="EW125" s="565"/>
      <c r="EX125" s="565"/>
      <c r="EY125" s="565"/>
      <c r="EZ125" s="565"/>
      <c r="FA125" s="565"/>
      <c r="FB125" s="565"/>
      <c r="FC125" s="565"/>
      <c r="FD125" s="565"/>
      <c r="FE125" s="565"/>
      <c r="FF125" s="565"/>
      <c r="FG125" s="565"/>
      <c r="FH125" s="565"/>
      <c r="FI125" s="565"/>
      <c r="FJ125" s="565"/>
      <c r="FK125" s="565"/>
      <c r="FL125" s="565"/>
      <c r="FM125" s="565"/>
      <c r="FN125" s="565"/>
      <c r="FO125" s="565"/>
      <c r="FP125" s="565"/>
      <c r="FQ125" s="565"/>
      <c r="FR125" s="565"/>
      <c r="FS125" s="565"/>
      <c r="FT125" s="565"/>
      <c r="FU125" s="565"/>
      <c r="FV125" s="565"/>
      <c r="FW125" s="565"/>
      <c r="FX125" s="565"/>
      <c r="FY125" s="565"/>
      <c r="FZ125" s="565"/>
      <c r="GA125" s="565"/>
      <c r="GB125" s="565"/>
      <c r="GC125" s="565"/>
      <c r="GD125" s="565"/>
      <c r="GE125" s="565"/>
      <c r="GF125" s="565"/>
      <c r="GG125" s="565"/>
      <c r="GH125" s="565"/>
      <c r="GI125" s="565"/>
      <c r="GJ125" s="565"/>
      <c r="GK125" s="565"/>
      <c r="GL125" s="565"/>
      <c r="GM125" s="565"/>
      <c r="GN125" s="565"/>
      <c r="GO125" s="565"/>
      <c r="GP125" s="565"/>
      <c r="GQ125" s="565"/>
      <c r="GR125" s="565"/>
      <c r="GS125" s="565"/>
      <c r="GT125" s="565"/>
      <c r="GU125" s="565"/>
      <c r="GV125" s="565"/>
      <c r="GW125" s="565"/>
      <c r="GX125" s="565"/>
      <c r="GY125" s="565"/>
      <c r="GZ125" s="565"/>
      <c r="HA125" s="565"/>
      <c r="HB125" s="565"/>
      <c r="HC125" s="565"/>
      <c r="HD125" s="565"/>
      <c r="HE125" s="565"/>
      <c r="HF125" s="565"/>
      <c r="HG125" s="565"/>
      <c r="HH125" s="565"/>
      <c r="HI125" s="565"/>
      <c r="HJ125" s="565"/>
      <c r="HK125" s="565"/>
      <c r="HL125" s="565"/>
      <c r="HM125" s="565"/>
      <c r="HN125" s="565"/>
      <c r="HO125" s="565"/>
      <c r="HP125" s="565"/>
      <c r="HQ125" s="565"/>
      <c r="HR125" s="565"/>
      <c r="HS125" s="565"/>
      <c r="HT125" s="565"/>
      <c r="HU125" s="565"/>
      <c r="HV125" s="565"/>
      <c r="HW125" s="565"/>
      <c r="HX125" s="565"/>
      <c r="HY125" s="565"/>
      <c r="HZ125" s="565"/>
      <c r="IA125" s="565"/>
      <c r="IB125" s="565"/>
      <c r="IC125" s="565"/>
      <c r="ID125" s="565"/>
      <c r="IE125" s="565"/>
      <c r="IF125" s="565"/>
      <c r="IG125" s="565"/>
      <c r="IH125" s="565"/>
      <c r="II125" s="565"/>
      <c r="IJ125" s="565"/>
      <c r="IK125" s="565"/>
      <c r="IL125" s="565"/>
      <c r="IM125" s="565"/>
      <c r="IN125" s="565"/>
      <c r="IO125" s="565"/>
      <c r="IP125" s="565"/>
      <c r="IQ125" s="565"/>
      <c r="IR125" s="565"/>
      <c r="IS125" s="565"/>
      <c r="IT125" s="565"/>
      <c r="IU125" s="565"/>
      <c r="IV125" s="565"/>
      <c r="IW125" s="565"/>
    </row>
    <row r="126" customFormat="false" ht="19.5" hidden="false" customHeight="true" outlineLevel="0" collapsed="false">
      <c r="A126" s="465" t="s">
        <v>762</v>
      </c>
      <c r="B126" s="465" t="s">
        <v>675</v>
      </c>
      <c r="C126" s="472" t="s">
        <v>763</v>
      </c>
      <c r="D126" s="500" t="s">
        <v>764</v>
      </c>
      <c r="E126" s="465" t="s">
        <v>166</v>
      </c>
      <c r="F126" s="465" t="s">
        <v>675</v>
      </c>
      <c r="G126" s="472" t="s">
        <v>656</v>
      </c>
      <c r="H126" s="480" t="n">
        <v>180000</v>
      </c>
      <c r="I126" s="566"/>
      <c r="J126" s="465"/>
      <c r="K126" s="475" t="s">
        <v>765</v>
      </c>
      <c r="L126" s="499"/>
      <c r="M126" s="556"/>
      <c r="N126" s="556"/>
      <c r="O126" s="457"/>
      <c r="P126" s="476"/>
      <c r="Q126" s="567"/>
      <c r="R126" s="567"/>
      <c r="S126" s="559"/>
      <c r="T126" s="481"/>
      <c r="U126" s="560"/>
      <c r="V126" s="498"/>
      <c r="W126" s="463"/>
      <c r="X126" s="463"/>
      <c r="Y126" s="463"/>
      <c r="Z126" s="463"/>
      <c r="AA126" s="463"/>
      <c r="AB126" s="463"/>
      <c r="AC126" s="463"/>
      <c r="AD126" s="463"/>
      <c r="AE126" s="463"/>
      <c r="AF126" s="463"/>
      <c r="AG126" s="463"/>
      <c r="AH126" s="463"/>
      <c r="AI126" s="463"/>
      <c r="AJ126" s="463"/>
      <c r="AK126" s="463"/>
      <c r="AL126" s="463"/>
      <c r="AM126" s="463"/>
      <c r="AN126" s="463"/>
      <c r="AO126" s="463"/>
      <c r="AP126" s="463"/>
      <c r="AQ126" s="463"/>
      <c r="AR126" s="463"/>
      <c r="AS126" s="463"/>
      <c r="AT126" s="463"/>
      <c r="AU126" s="463"/>
      <c r="AV126" s="463"/>
      <c r="AW126" s="463"/>
      <c r="AX126" s="463"/>
      <c r="AY126" s="463"/>
      <c r="AZ126" s="463"/>
      <c r="BA126" s="463"/>
      <c r="BB126" s="463"/>
      <c r="BC126" s="463"/>
      <c r="BD126" s="463"/>
      <c r="BE126" s="463"/>
      <c r="BF126" s="463"/>
      <c r="BG126" s="463"/>
      <c r="BH126" s="463"/>
      <c r="BI126" s="463"/>
      <c r="BJ126" s="463"/>
    </row>
    <row r="127" customFormat="false" ht="20.25" hidden="false" customHeight="true" outlineLevel="0" collapsed="false">
      <c r="A127" s="465" t="s">
        <v>766</v>
      </c>
      <c r="B127" s="465" t="s">
        <v>675</v>
      </c>
      <c r="C127" s="472" t="s">
        <v>767</v>
      </c>
      <c r="D127" s="500" t="s">
        <v>768</v>
      </c>
      <c r="E127" s="465" t="s">
        <v>166</v>
      </c>
      <c r="F127" s="465" t="s">
        <v>675</v>
      </c>
      <c r="G127" s="472" t="s">
        <v>656</v>
      </c>
      <c r="H127" s="480" t="n">
        <v>185000</v>
      </c>
      <c r="I127" s="525"/>
      <c r="J127" s="465"/>
      <c r="K127" s="465" t="n">
        <v>18412</v>
      </c>
      <c r="L127" s="499" t="s">
        <v>769</v>
      </c>
      <c r="M127" s="556"/>
      <c r="N127" s="556"/>
      <c r="O127" s="499"/>
    </row>
    <row r="128" customFormat="false" ht="20.25" hidden="false" customHeight="true" outlineLevel="0" collapsed="false">
      <c r="A128" s="465" t="s">
        <v>770</v>
      </c>
      <c r="B128" s="465" t="s">
        <v>675</v>
      </c>
      <c r="C128" s="472" t="s">
        <v>771</v>
      </c>
      <c r="D128" s="500" t="s">
        <v>772</v>
      </c>
      <c r="E128" s="465" t="s">
        <v>166</v>
      </c>
      <c r="F128" s="465" t="s">
        <v>675</v>
      </c>
      <c r="G128" s="472" t="s">
        <v>656</v>
      </c>
      <c r="H128" s="480" t="n">
        <v>185000</v>
      </c>
      <c r="I128" s="525"/>
      <c r="J128" s="465"/>
      <c r="K128" s="465" t="n">
        <v>27939</v>
      </c>
      <c r="L128" s="499"/>
      <c r="M128" s="556"/>
      <c r="N128" s="556"/>
      <c r="O128" s="499"/>
    </row>
    <row r="129" customFormat="false" ht="20.25" hidden="false" customHeight="true" outlineLevel="0" collapsed="false">
      <c r="A129" s="465" t="s">
        <v>773</v>
      </c>
      <c r="B129" s="465" t="s">
        <v>675</v>
      </c>
      <c r="C129" s="472" t="s">
        <v>774</v>
      </c>
      <c r="D129" s="500" t="s">
        <v>775</v>
      </c>
      <c r="E129" s="465" t="s">
        <v>166</v>
      </c>
      <c r="F129" s="465" t="s">
        <v>675</v>
      </c>
      <c r="G129" s="472" t="s">
        <v>656</v>
      </c>
      <c r="H129" s="480" t="n">
        <v>165000</v>
      </c>
      <c r="I129" s="525"/>
      <c r="J129" s="465"/>
      <c r="K129" s="465" t="n">
        <v>28151</v>
      </c>
      <c r="L129" s="499"/>
      <c r="M129" s="556"/>
      <c r="N129" s="556"/>
      <c r="O129" s="499"/>
    </row>
    <row r="130" customFormat="false" ht="20.25" hidden="false" customHeight="true" outlineLevel="0" collapsed="false">
      <c r="A130" s="465"/>
      <c r="B130" s="465"/>
      <c r="C130" s="465"/>
      <c r="D130" s="500"/>
      <c r="E130" s="465"/>
      <c r="F130" s="465"/>
      <c r="G130" s="465"/>
      <c r="H130" s="480"/>
      <c r="I130" s="525"/>
      <c r="J130" s="465"/>
      <c r="K130" s="465"/>
      <c r="L130" s="499"/>
      <c r="M130" s="556"/>
      <c r="N130" s="556"/>
      <c r="O130" s="499"/>
    </row>
    <row r="131" customFormat="false" ht="20.25" hidden="false" customHeight="true" outlineLevel="0" collapsed="false">
      <c r="A131" s="465"/>
      <c r="B131" s="465"/>
      <c r="C131" s="465"/>
      <c r="D131" s="500"/>
      <c r="E131" s="465"/>
      <c r="F131" s="465"/>
      <c r="G131" s="465"/>
      <c r="H131" s="480"/>
      <c r="I131" s="525"/>
      <c r="J131" s="465"/>
      <c r="K131" s="465"/>
      <c r="L131" s="499"/>
      <c r="M131" s="556"/>
      <c r="N131" s="556"/>
      <c r="O131" s="499"/>
    </row>
    <row r="132" customFormat="false" ht="20.25" hidden="false" customHeight="true" outlineLevel="0" collapsed="false">
      <c r="A132" s="568"/>
      <c r="B132" s="568"/>
      <c r="C132" s="568"/>
      <c r="D132" s="569"/>
      <c r="E132" s="568"/>
      <c r="F132" s="568"/>
      <c r="G132" s="568"/>
      <c r="H132" s="570"/>
      <c r="I132" s="525"/>
      <c r="J132" s="465"/>
      <c r="K132" s="465"/>
      <c r="L132" s="499"/>
      <c r="M132" s="556"/>
      <c r="N132" s="556"/>
      <c r="O132" s="499"/>
      <c r="P132" s="463"/>
      <c r="Q132" s="567"/>
      <c r="R132" s="567"/>
      <c r="S132" s="559"/>
      <c r="T132" s="481"/>
      <c r="U132" s="560"/>
      <c r="V132" s="498"/>
      <c r="W132" s="463"/>
      <c r="X132" s="463"/>
      <c r="Y132" s="463"/>
      <c r="Z132" s="463"/>
      <c r="AA132" s="463"/>
      <c r="AB132" s="463"/>
      <c r="AC132" s="463"/>
      <c r="AD132" s="463"/>
      <c r="AE132" s="463"/>
      <c r="AF132" s="463"/>
      <c r="AG132" s="463"/>
      <c r="AH132" s="463"/>
      <c r="AI132" s="463"/>
      <c r="AJ132" s="463"/>
      <c r="AK132" s="463"/>
      <c r="AL132" s="463"/>
      <c r="AM132" s="463"/>
      <c r="AN132" s="463"/>
      <c r="AO132" s="463"/>
      <c r="AP132" s="463"/>
      <c r="AQ132" s="463"/>
      <c r="AR132" s="463"/>
      <c r="AS132" s="463"/>
      <c r="AT132" s="463"/>
      <c r="AU132" s="463"/>
      <c r="AV132" s="463"/>
      <c r="AW132" s="463"/>
      <c r="AX132" s="463"/>
      <c r="AY132" s="463"/>
      <c r="AZ132" s="463"/>
      <c r="BA132" s="463"/>
      <c r="BB132" s="463"/>
      <c r="BC132" s="463"/>
      <c r="BD132" s="463"/>
      <c r="BE132" s="463"/>
      <c r="BF132" s="463"/>
      <c r="BG132" s="463"/>
      <c r="BH132" s="463"/>
      <c r="BI132" s="463"/>
      <c r="BJ132" s="463"/>
    </row>
    <row r="133" customFormat="false" ht="20.25" hidden="false" customHeight="true" outlineLevel="0" collapsed="false">
      <c r="A133" s="465"/>
      <c r="B133" s="465"/>
      <c r="C133" s="465"/>
      <c r="D133" s="500"/>
      <c r="E133" s="465"/>
      <c r="F133" s="465"/>
      <c r="G133" s="465"/>
      <c r="H133" s="480"/>
      <c r="I133" s="525"/>
      <c r="J133" s="465"/>
      <c r="K133" s="465"/>
      <c r="L133" s="499"/>
      <c r="M133" s="556"/>
      <c r="N133" s="556"/>
      <c r="O133" s="499"/>
    </row>
    <row r="134" customFormat="false" ht="20.25" hidden="false" customHeight="true" outlineLevel="0" collapsed="false">
      <c r="A134" s="465"/>
      <c r="B134" s="465"/>
      <c r="C134" s="465"/>
      <c r="D134" s="500"/>
      <c r="E134" s="465"/>
      <c r="F134" s="465"/>
      <c r="G134" s="465"/>
      <c r="H134" s="480"/>
      <c r="I134" s="525"/>
      <c r="J134" s="465"/>
      <c r="K134" s="465"/>
      <c r="L134" s="499"/>
      <c r="M134" s="556"/>
      <c r="N134" s="556"/>
      <c r="O134" s="499"/>
    </row>
    <row r="135" customFormat="false" ht="20.25" hidden="false" customHeight="true" outlineLevel="0" collapsed="false">
      <c r="A135" s="571" t="s">
        <v>68</v>
      </c>
      <c r="B135" s="571"/>
      <c r="C135" s="568" t="s">
        <v>776</v>
      </c>
      <c r="D135" s="572" t="s">
        <v>777</v>
      </c>
      <c r="E135" s="571" t="s">
        <v>158</v>
      </c>
      <c r="F135" s="571" t="s">
        <v>68</v>
      </c>
      <c r="G135" s="568" t="s">
        <v>778</v>
      </c>
      <c r="H135" s="570" t="n">
        <v>150000</v>
      </c>
      <c r="I135" s="525"/>
      <c r="J135" s="465"/>
      <c r="K135" s="465"/>
      <c r="L135" s="499"/>
      <c r="M135" s="556"/>
      <c r="N135" s="556"/>
      <c r="O135" s="499"/>
      <c r="P135" s="463"/>
      <c r="Q135" s="567"/>
      <c r="R135" s="567"/>
      <c r="S135" s="559"/>
      <c r="T135" s="481"/>
      <c r="U135" s="560"/>
      <c r="V135" s="498"/>
      <c r="W135" s="463"/>
      <c r="X135" s="463"/>
      <c r="Y135" s="463"/>
      <c r="Z135" s="463"/>
      <c r="AA135" s="463"/>
      <c r="AB135" s="463"/>
      <c r="AC135" s="463"/>
      <c r="AD135" s="463"/>
      <c r="AE135" s="463"/>
      <c r="AF135" s="463"/>
      <c r="AG135" s="463"/>
      <c r="AH135" s="463"/>
      <c r="AI135" s="463"/>
      <c r="AJ135" s="463"/>
      <c r="AK135" s="463"/>
      <c r="AL135" s="463"/>
      <c r="AM135" s="463"/>
      <c r="AN135" s="463"/>
      <c r="AO135" s="463"/>
      <c r="AP135" s="463"/>
      <c r="AQ135" s="463"/>
      <c r="AR135" s="463"/>
      <c r="AS135" s="463"/>
      <c r="AT135" s="463"/>
      <c r="AU135" s="463"/>
      <c r="AV135" s="463"/>
      <c r="AW135" s="463"/>
      <c r="AX135" s="463"/>
      <c r="AY135" s="463"/>
      <c r="AZ135" s="463"/>
      <c r="BA135" s="463"/>
      <c r="BB135" s="463"/>
      <c r="BC135" s="463"/>
      <c r="BD135" s="463"/>
      <c r="BE135" s="463"/>
      <c r="BF135" s="463"/>
      <c r="BG135" s="463"/>
      <c r="BH135" s="463"/>
      <c r="BI135" s="463"/>
      <c r="BJ135" s="463"/>
    </row>
    <row r="136" customFormat="false" ht="20.25" hidden="false" customHeight="true" outlineLevel="0" collapsed="false">
      <c r="A136" s="465" t="s">
        <v>779</v>
      </c>
      <c r="B136" s="465"/>
      <c r="C136" s="472" t="s">
        <v>780</v>
      </c>
      <c r="D136" s="500" t="s">
        <v>781</v>
      </c>
      <c r="E136" s="465" t="s">
        <v>158</v>
      </c>
      <c r="F136" s="465" t="str">
        <f aca="false">A136</f>
        <v>이강윤</v>
      </c>
      <c r="G136" s="472" t="s">
        <v>782</v>
      </c>
      <c r="H136" s="480" t="n">
        <v>270000</v>
      </c>
      <c r="I136" s="525" t="s">
        <v>783</v>
      </c>
      <c r="J136" s="465"/>
      <c r="K136" s="465" t="n">
        <v>29147</v>
      </c>
      <c r="L136" s="499" t="s">
        <v>784</v>
      </c>
      <c r="M136" s="556"/>
      <c r="N136" s="556"/>
      <c r="O136" s="499"/>
    </row>
    <row r="137" customFormat="false" ht="19.5" hidden="false" customHeight="true" outlineLevel="0" collapsed="false">
      <c r="A137" s="573" t="s">
        <v>785</v>
      </c>
      <c r="B137" s="465"/>
      <c r="C137" s="566" t="s">
        <v>786</v>
      </c>
      <c r="D137" s="574" t="s">
        <v>787</v>
      </c>
      <c r="E137" s="465" t="s">
        <v>158</v>
      </c>
      <c r="F137" s="537" t="s">
        <v>785</v>
      </c>
      <c r="G137" s="472" t="s">
        <v>788</v>
      </c>
      <c r="H137" s="467" t="n">
        <v>240000</v>
      </c>
      <c r="I137" s="566" t="s">
        <v>789</v>
      </c>
      <c r="J137" s="571"/>
      <c r="K137" s="521" t="s">
        <v>356</v>
      </c>
      <c r="L137" s="575"/>
      <c r="M137" s="556"/>
      <c r="N137" s="556"/>
      <c r="O137" s="457"/>
      <c r="P137" s="476"/>
      <c r="Q137" s="567"/>
      <c r="R137" s="576"/>
      <c r="S137" s="559"/>
      <c r="T137" s="481"/>
      <c r="U137" s="560"/>
      <c r="V137" s="498"/>
      <c r="W137" s="463"/>
      <c r="X137" s="463"/>
      <c r="Y137" s="463"/>
      <c r="Z137" s="463"/>
      <c r="AA137" s="463"/>
      <c r="AB137" s="463"/>
      <c r="AC137" s="463"/>
      <c r="AD137" s="463"/>
      <c r="AE137" s="463"/>
      <c r="AF137" s="463"/>
      <c r="AG137" s="463"/>
      <c r="AH137" s="463"/>
      <c r="AI137" s="463"/>
      <c r="AJ137" s="463"/>
      <c r="AK137" s="463"/>
      <c r="AL137" s="463"/>
      <c r="AM137" s="463"/>
      <c r="AN137" s="463"/>
      <c r="AO137" s="463"/>
      <c r="AP137" s="463"/>
      <c r="AQ137" s="463"/>
      <c r="AR137" s="463"/>
      <c r="AS137" s="463"/>
      <c r="AT137" s="463"/>
      <c r="AU137" s="463"/>
      <c r="AV137" s="463"/>
      <c r="AW137" s="463"/>
      <c r="AX137" s="463"/>
      <c r="AY137" s="463"/>
      <c r="AZ137" s="463"/>
      <c r="BA137" s="463"/>
      <c r="BB137" s="463"/>
      <c r="BC137" s="463"/>
      <c r="BD137" s="463"/>
      <c r="BE137" s="463"/>
      <c r="BF137" s="463"/>
      <c r="BG137" s="463"/>
      <c r="BH137" s="463"/>
      <c r="BI137" s="463"/>
      <c r="BJ137" s="463"/>
    </row>
    <row r="138" customFormat="false" ht="20.25" hidden="false" customHeight="true" outlineLevel="0" collapsed="false">
      <c r="A138" s="573" t="s">
        <v>790</v>
      </c>
      <c r="B138" s="465"/>
      <c r="C138" s="566" t="s">
        <v>791</v>
      </c>
      <c r="D138" s="574" t="s">
        <v>792</v>
      </c>
      <c r="E138" s="465" t="s">
        <v>158</v>
      </c>
      <c r="F138" s="537" t="s">
        <v>790</v>
      </c>
      <c r="G138" s="472" t="s">
        <v>793</v>
      </c>
      <c r="H138" s="467" t="n">
        <v>250000</v>
      </c>
      <c r="I138" s="571"/>
      <c r="J138" s="465"/>
      <c r="K138" s="465" t="n">
        <v>29149</v>
      </c>
      <c r="L138" s="499" t="s">
        <v>794</v>
      </c>
      <c r="M138" s="556"/>
      <c r="N138" s="556"/>
      <c r="O138" s="499"/>
      <c r="P138" s="463"/>
      <c r="Q138" s="567"/>
      <c r="R138" s="567"/>
      <c r="S138" s="559"/>
      <c r="T138" s="481"/>
      <c r="U138" s="560"/>
      <c r="V138" s="498"/>
      <c r="W138" s="463"/>
      <c r="X138" s="463"/>
      <c r="Y138" s="463"/>
      <c r="Z138" s="463"/>
      <c r="AA138" s="463"/>
      <c r="AB138" s="463"/>
      <c r="AC138" s="463"/>
      <c r="AD138" s="463"/>
      <c r="AE138" s="463"/>
      <c r="AF138" s="463"/>
      <c r="AG138" s="463"/>
      <c r="AH138" s="463"/>
      <c r="AI138" s="463"/>
      <c r="AJ138" s="463"/>
      <c r="AK138" s="463"/>
      <c r="AL138" s="463"/>
      <c r="AM138" s="463"/>
      <c r="AN138" s="463"/>
      <c r="AO138" s="463"/>
      <c r="AP138" s="463"/>
      <c r="AQ138" s="463"/>
      <c r="AR138" s="463"/>
      <c r="AS138" s="463"/>
      <c r="AT138" s="463"/>
      <c r="AU138" s="463"/>
      <c r="AV138" s="463"/>
      <c r="AW138" s="463"/>
      <c r="AX138" s="463"/>
      <c r="AY138" s="463"/>
      <c r="AZ138" s="463"/>
      <c r="BA138" s="463"/>
      <c r="BB138" s="463"/>
      <c r="BC138" s="463"/>
      <c r="BD138" s="463"/>
      <c r="BE138" s="463"/>
      <c r="BF138" s="463"/>
      <c r="BG138" s="463"/>
      <c r="BH138" s="463"/>
      <c r="BI138" s="463"/>
      <c r="BJ138" s="463"/>
    </row>
    <row r="139" customFormat="false" ht="20.25" hidden="false" customHeight="true" outlineLevel="0" collapsed="false">
      <c r="A139" s="465" t="s">
        <v>795</v>
      </c>
      <c r="B139" s="465" t="s">
        <v>163</v>
      </c>
      <c r="C139" s="472" t="s">
        <v>796</v>
      </c>
      <c r="D139" s="500" t="s">
        <v>797</v>
      </c>
      <c r="E139" s="465"/>
      <c r="F139" s="465" t="s">
        <v>795</v>
      </c>
      <c r="G139" s="465" t="s">
        <v>798</v>
      </c>
      <c r="H139" s="480"/>
      <c r="I139" s="525" t="n">
        <v>1054644595</v>
      </c>
      <c r="J139" s="577"/>
      <c r="K139" s="475" t="s">
        <v>799</v>
      </c>
      <c r="L139" s="578" t="s">
        <v>800</v>
      </c>
      <c r="M139" s="556"/>
      <c r="N139" s="556"/>
      <c r="O139" s="499"/>
    </row>
    <row r="140" customFormat="false" ht="20.25" hidden="false" customHeight="true" outlineLevel="0" collapsed="false">
      <c r="A140" s="465" t="s">
        <v>801</v>
      </c>
      <c r="B140" s="465" t="s">
        <v>163</v>
      </c>
      <c r="C140" s="472" t="s">
        <v>802</v>
      </c>
      <c r="D140" s="500" t="s">
        <v>803</v>
      </c>
      <c r="E140" s="465"/>
      <c r="F140" s="465" t="s">
        <v>801</v>
      </c>
      <c r="G140" s="465" t="s">
        <v>798</v>
      </c>
      <c r="H140" s="480"/>
      <c r="I140" s="579" t="s">
        <v>498</v>
      </c>
      <c r="J140" s="577"/>
      <c r="K140" s="475" t="s">
        <v>804</v>
      </c>
      <c r="L140" s="580" t="s">
        <v>18</v>
      </c>
      <c r="M140" s="556"/>
      <c r="N140" s="556"/>
      <c r="O140" s="499"/>
    </row>
    <row r="141" customFormat="false" ht="20.25" hidden="false" customHeight="true" outlineLevel="0" collapsed="false">
      <c r="A141" s="581" t="s">
        <v>494</v>
      </c>
      <c r="B141" s="581"/>
      <c r="C141" s="579" t="s">
        <v>495</v>
      </c>
      <c r="D141" s="582" t="s">
        <v>805</v>
      </c>
      <c r="E141" s="581" t="s">
        <v>158</v>
      </c>
      <c r="F141" s="581" t="s">
        <v>494</v>
      </c>
      <c r="G141" s="579" t="s">
        <v>806</v>
      </c>
      <c r="H141" s="583" t="n">
        <v>150000</v>
      </c>
      <c r="I141" s="584" t="s">
        <v>807</v>
      </c>
      <c r="J141" s="577"/>
      <c r="K141" s="475" t="s">
        <v>200</v>
      </c>
      <c r="L141" s="585" t="s">
        <v>808</v>
      </c>
      <c r="M141" s="556"/>
      <c r="N141" s="556"/>
      <c r="O141" s="499"/>
    </row>
    <row r="142" customFormat="false" ht="20.25" hidden="false" customHeight="true" outlineLevel="0" collapsed="false">
      <c r="A142" s="586" t="s">
        <v>55</v>
      </c>
      <c r="B142" s="586"/>
      <c r="C142" s="584" t="s">
        <v>809</v>
      </c>
      <c r="D142" s="587" t="s">
        <v>810</v>
      </c>
      <c r="E142" s="581" t="s">
        <v>158</v>
      </c>
      <c r="F142" s="586" t="s">
        <v>55</v>
      </c>
      <c r="G142" s="579" t="s">
        <v>811</v>
      </c>
      <c r="H142" s="486" t="n">
        <v>150000</v>
      </c>
      <c r="I142" s="584" t="s">
        <v>812</v>
      </c>
      <c r="J142" s="577"/>
      <c r="K142" s="475" t="s">
        <v>200</v>
      </c>
      <c r="L142" s="588"/>
      <c r="M142" s="556"/>
      <c r="N142" s="556"/>
      <c r="O142" s="499"/>
    </row>
    <row r="143" customFormat="false" ht="19.5" hidden="false" customHeight="true" outlineLevel="0" collapsed="false">
      <c r="A143" s="586" t="s">
        <v>94</v>
      </c>
      <c r="B143" s="586"/>
      <c r="C143" s="584" t="s">
        <v>813</v>
      </c>
      <c r="D143" s="587" t="s">
        <v>814</v>
      </c>
      <c r="E143" s="581" t="s">
        <v>158</v>
      </c>
      <c r="F143" s="586" t="s">
        <v>94</v>
      </c>
      <c r="G143" s="579" t="s">
        <v>815</v>
      </c>
      <c r="H143" s="486" t="n">
        <v>150000</v>
      </c>
      <c r="I143" s="584" t="s">
        <v>816</v>
      </c>
      <c r="J143" s="577"/>
      <c r="K143" s="475" t="s">
        <v>817</v>
      </c>
      <c r="L143" s="589" t="s">
        <v>818</v>
      </c>
      <c r="M143" s="556"/>
      <c r="N143" s="556"/>
      <c r="O143" s="499"/>
    </row>
    <row r="144" customFormat="false" ht="19.5" hidden="false" customHeight="true" outlineLevel="0" collapsed="false">
      <c r="A144" s="590" t="s">
        <v>819</v>
      </c>
      <c r="B144" s="590"/>
      <c r="C144" s="584" t="s">
        <v>820</v>
      </c>
      <c r="D144" s="587" t="s">
        <v>821</v>
      </c>
      <c r="E144" s="581" t="s">
        <v>158</v>
      </c>
      <c r="F144" s="590" t="s">
        <v>819</v>
      </c>
      <c r="G144" s="579" t="s">
        <v>822</v>
      </c>
      <c r="H144" s="486" t="n">
        <v>150000</v>
      </c>
      <c r="I144" s="584" t="s">
        <v>823</v>
      </c>
      <c r="J144" s="577"/>
      <c r="K144" s="475" t="s">
        <v>804</v>
      </c>
      <c r="L144" s="591" t="s">
        <v>824</v>
      </c>
      <c r="M144" s="556"/>
      <c r="N144" s="556"/>
      <c r="O144" s="499"/>
    </row>
    <row r="145" customFormat="false" ht="19.5" hidden="false" customHeight="true" outlineLevel="0" collapsed="false">
      <c r="A145" s="590" t="s">
        <v>825</v>
      </c>
      <c r="B145" s="590"/>
      <c r="C145" s="584" t="s">
        <v>826</v>
      </c>
      <c r="D145" s="587" t="s">
        <v>827</v>
      </c>
      <c r="E145" s="581" t="s">
        <v>158</v>
      </c>
      <c r="F145" s="590" t="s">
        <v>825</v>
      </c>
      <c r="G145" s="579" t="s">
        <v>828</v>
      </c>
      <c r="H145" s="486" t="n">
        <v>150000</v>
      </c>
      <c r="I145" s="584" t="s">
        <v>829</v>
      </c>
      <c r="J145" s="577"/>
      <c r="K145" s="475" t="s">
        <v>531</v>
      </c>
      <c r="L145" s="578" t="s">
        <v>830</v>
      </c>
      <c r="M145" s="556" t="n">
        <v>697</v>
      </c>
      <c r="N145" s="556"/>
      <c r="O145" s="499"/>
    </row>
    <row r="146" customFormat="false" ht="19.5" hidden="false" customHeight="true" outlineLevel="0" collapsed="false">
      <c r="A146" s="590" t="s">
        <v>65</v>
      </c>
      <c r="B146" s="590"/>
      <c r="C146" s="584" t="s">
        <v>831</v>
      </c>
      <c r="D146" s="587" t="s">
        <v>832</v>
      </c>
      <c r="E146" s="581" t="s">
        <v>158</v>
      </c>
      <c r="F146" s="590" t="s">
        <v>65</v>
      </c>
      <c r="G146" s="579" t="s">
        <v>833</v>
      </c>
      <c r="H146" s="486" t="n">
        <v>150000</v>
      </c>
      <c r="I146" s="584" t="s">
        <v>834</v>
      </c>
      <c r="J146" s="577"/>
      <c r="K146" s="475" t="s">
        <v>835</v>
      </c>
      <c r="L146" s="592" t="s">
        <v>836</v>
      </c>
      <c r="M146" s="556"/>
      <c r="N146" s="556"/>
      <c r="O146" s="499"/>
    </row>
    <row r="147" customFormat="false" ht="20.25" hidden="false" customHeight="true" outlineLevel="0" collapsed="false">
      <c r="A147" s="586" t="s">
        <v>54</v>
      </c>
      <c r="B147" s="586"/>
      <c r="C147" s="584" t="s">
        <v>837</v>
      </c>
      <c r="D147" s="587" t="s">
        <v>838</v>
      </c>
      <c r="E147" s="581" t="s">
        <v>158</v>
      </c>
      <c r="F147" s="586" t="s">
        <v>54</v>
      </c>
      <c r="G147" s="579" t="s">
        <v>839</v>
      </c>
      <c r="H147" s="486" t="n">
        <v>150000</v>
      </c>
      <c r="I147" s="584" t="s">
        <v>840</v>
      </c>
      <c r="J147" s="577"/>
      <c r="K147" s="475" t="s">
        <v>841</v>
      </c>
      <c r="L147" s="593" t="s">
        <v>842</v>
      </c>
      <c r="M147" s="556"/>
      <c r="N147" s="556"/>
      <c r="O147" s="499"/>
    </row>
    <row r="148" customFormat="false" ht="19.5" hidden="false" customHeight="true" outlineLevel="0" collapsed="false">
      <c r="A148" s="590" t="s">
        <v>843</v>
      </c>
      <c r="B148" s="590"/>
      <c r="C148" s="584" t="s">
        <v>844</v>
      </c>
      <c r="D148" s="587" t="s">
        <v>845</v>
      </c>
      <c r="E148" s="581" t="s">
        <v>210</v>
      </c>
      <c r="F148" s="590" t="s">
        <v>843</v>
      </c>
      <c r="G148" s="579" t="s">
        <v>846</v>
      </c>
      <c r="H148" s="486" t="n">
        <v>150000</v>
      </c>
      <c r="I148" s="584" t="s">
        <v>847</v>
      </c>
      <c r="J148" s="577"/>
      <c r="K148" s="475" t="s">
        <v>531</v>
      </c>
      <c r="L148" s="578"/>
      <c r="M148" s="556"/>
      <c r="N148" s="556"/>
      <c r="O148" s="499"/>
    </row>
    <row r="149" customFormat="false" ht="19.5" hidden="false" customHeight="true" outlineLevel="0" collapsed="false">
      <c r="A149" s="594" t="s">
        <v>848</v>
      </c>
      <c r="B149" s="594"/>
      <c r="C149" s="584" t="s">
        <v>849</v>
      </c>
      <c r="D149" s="587" t="s">
        <v>850</v>
      </c>
      <c r="E149" s="581" t="s">
        <v>353</v>
      </c>
      <c r="F149" s="594" t="s">
        <v>848</v>
      </c>
      <c r="G149" s="579" t="s">
        <v>851</v>
      </c>
      <c r="H149" s="486" t="n">
        <v>150000</v>
      </c>
      <c r="I149" s="584" t="s">
        <v>852</v>
      </c>
      <c r="J149" s="595"/>
      <c r="K149" s="475" t="s">
        <v>853</v>
      </c>
      <c r="L149" s="575"/>
      <c r="M149" s="556"/>
      <c r="N149" s="556"/>
      <c r="O149" s="499"/>
    </row>
    <row r="150" customFormat="false" ht="19.5" hidden="false" customHeight="true" outlineLevel="0" collapsed="false">
      <c r="A150" s="594" t="s">
        <v>854</v>
      </c>
      <c r="B150" s="594"/>
      <c r="C150" s="584" t="s">
        <v>855</v>
      </c>
      <c r="D150" s="587" t="s">
        <v>856</v>
      </c>
      <c r="E150" s="581" t="s">
        <v>158</v>
      </c>
      <c r="F150" s="594" t="s">
        <v>854</v>
      </c>
      <c r="G150" s="579" t="s">
        <v>857</v>
      </c>
      <c r="H150" s="486" t="n">
        <v>150000</v>
      </c>
      <c r="I150" s="568" t="s">
        <v>858</v>
      </c>
      <c r="J150" s="577"/>
      <c r="K150" s="475" t="s">
        <v>859</v>
      </c>
      <c r="L150" s="578"/>
      <c r="M150" s="556"/>
      <c r="N150" s="556"/>
      <c r="O150" s="499"/>
    </row>
    <row r="151" customFormat="false" ht="19.5" hidden="false" customHeight="true" outlineLevel="0" collapsed="false">
      <c r="A151" s="594" t="s">
        <v>860</v>
      </c>
      <c r="B151" s="594"/>
      <c r="C151" s="584" t="s">
        <v>861</v>
      </c>
      <c r="D151" s="587" t="s">
        <v>862</v>
      </c>
      <c r="E151" s="581" t="s">
        <v>863</v>
      </c>
      <c r="F151" s="594" t="s">
        <v>860</v>
      </c>
      <c r="G151" s="579" t="s">
        <v>864</v>
      </c>
      <c r="H151" s="486" t="n">
        <v>220000</v>
      </c>
      <c r="I151" s="596"/>
      <c r="J151" s="597"/>
      <c r="K151" s="475" t="s">
        <v>200</v>
      </c>
      <c r="L151" s="578"/>
      <c r="M151" s="556"/>
      <c r="N151" s="556"/>
      <c r="O151" s="499"/>
    </row>
    <row r="152" customFormat="false" ht="19.5" hidden="false" customHeight="true" outlineLevel="0" collapsed="false">
      <c r="A152" s="598" t="s">
        <v>865</v>
      </c>
      <c r="B152" s="598"/>
      <c r="C152" s="596" t="s">
        <v>866</v>
      </c>
      <c r="D152" s="599" t="s">
        <v>867</v>
      </c>
      <c r="E152" s="600" t="s">
        <v>158</v>
      </c>
      <c r="F152" s="598" t="s">
        <v>865</v>
      </c>
      <c r="G152" s="601" t="s">
        <v>868</v>
      </c>
      <c r="H152" s="602" t="n">
        <v>150000</v>
      </c>
      <c r="I152" s="598"/>
      <c r="J152" s="597"/>
      <c r="K152" s="475" t="s">
        <v>869</v>
      </c>
      <c r="L152" s="578" t="s">
        <v>870</v>
      </c>
      <c r="M152" s="556"/>
      <c r="N152" s="556"/>
      <c r="O152" s="499"/>
    </row>
    <row r="153" customFormat="false" ht="19.5" hidden="false" customHeight="true" outlineLevel="0" collapsed="false">
      <c r="A153" s="598" t="s">
        <v>67</v>
      </c>
      <c r="B153" s="598"/>
      <c r="C153" s="596" t="s">
        <v>871</v>
      </c>
      <c r="D153" s="599" t="s">
        <v>872</v>
      </c>
      <c r="E153" s="600" t="s">
        <v>158</v>
      </c>
      <c r="F153" s="598" t="s">
        <v>67</v>
      </c>
      <c r="G153" s="601" t="s">
        <v>873</v>
      </c>
      <c r="H153" s="602" t="n">
        <v>150000</v>
      </c>
      <c r="I153" s="596" t="s">
        <v>874</v>
      </c>
      <c r="J153" s="597"/>
      <c r="K153" s="475" t="s">
        <v>337</v>
      </c>
      <c r="L153" s="578"/>
      <c r="M153" s="556"/>
      <c r="N153" s="556"/>
      <c r="O153" s="499"/>
    </row>
    <row r="154" customFormat="false" ht="19.5" hidden="false" customHeight="true" outlineLevel="0" collapsed="false">
      <c r="A154" s="598" t="s">
        <v>875</v>
      </c>
      <c r="B154" s="598"/>
      <c r="C154" s="596" t="s">
        <v>876</v>
      </c>
      <c r="D154" s="599" t="s">
        <v>877</v>
      </c>
      <c r="E154" s="600" t="s">
        <v>158</v>
      </c>
      <c r="F154" s="598"/>
      <c r="G154" s="600"/>
      <c r="H154" s="602" t="n">
        <v>150000</v>
      </c>
      <c r="I154" s="596" t="s">
        <v>878</v>
      </c>
      <c r="J154" s="597"/>
      <c r="K154" s="475" t="s">
        <v>337</v>
      </c>
      <c r="L154" s="578"/>
      <c r="M154" s="556"/>
      <c r="N154" s="556"/>
      <c r="O154" s="499"/>
    </row>
    <row r="155" customFormat="false" ht="19.5" hidden="false" customHeight="true" outlineLevel="0" collapsed="false">
      <c r="A155" s="598" t="s">
        <v>879</v>
      </c>
      <c r="B155" s="598"/>
      <c r="C155" s="596" t="s">
        <v>880</v>
      </c>
      <c r="D155" s="603" t="s">
        <v>881</v>
      </c>
      <c r="E155" s="581" t="s">
        <v>158</v>
      </c>
      <c r="F155" s="598" t="s">
        <v>879</v>
      </c>
      <c r="G155" s="601" t="s">
        <v>882</v>
      </c>
      <c r="H155" s="602" t="n">
        <v>150000</v>
      </c>
      <c r="I155" s="596" t="s">
        <v>883</v>
      </c>
      <c r="J155" s="577"/>
      <c r="K155" s="475" t="s">
        <v>379</v>
      </c>
      <c r="L155" s="578"/>
      <c r="M155" s="556"/>
      <c r="N155" s="556"/>
      <c r="O155" s="499"/>
    </row>
    <row r="156" customFormat="false" ht="19.5" hidden="false" customHeight="true" outlineLevel="0" collapsed="false">
      <c r="A156" s="598" t="s">
        <v>884</v>
      </c>
      <c r="B156" s="598"/>
      <c r="C156" s="596" t="s">
        <v>885</v>
      </c>
      <c r="D156" s="604" t="s">
        <v>886</v>
      </c>
      <c r="E156" s="600" t="s">
        <v>158</v>
      </c>
      <c r="F156" s="598" t="s">
        <v>884</v>
      </c>
      <c r="G156" s="601" t="s">
        <v>887</v>
      </c>
      <c r="H156" s="602" t="n">
        <v>150000</v>
      </c>
      <c r="I156" s="594"/>
      <c r="J156" s="597"/>
      <c r="K156" s="475" t="s">
        <v>200</v>
      </c>
      <c r="L156" s="578"/>
      <c r="M156" s="556"/>
      <c r="N156" s="556"/>
      <c r="O156" s="522"/>
      <c r="P156" s="536"/>
      <c r="Q156" s="536"/>
      <c r="R156" s="536"/>
      <c r="S156" s="536"/>
      <c r="T156" s="536"/>
      <c r="U156" s="536"/>
      <c r="V156" s="536"/>
      <c r="W156" s="536"/>
      <c r="X156" s="536"/>
      <c r="Y156" s="536"/>
      <c r="Z156" s="536"/>
      <c r="AA156" s="536"/>
      <c r="AB156" s="536"/>
      <c r="AC156" s="536"/>
      <c r="AD156" s="536"/>
      <c r="AE156" s="536"/>
      <c r="AF156" s="536"/>
      <c r="AG156" s="536"/>
      <c r="AH156" s="536"/>
      <c r="AI156" s="536"/>
      <c r="AJ156" s="536"/>
      <c r="AK156" s="536"/>
      <c r="AL156" s="536"/>
      <c r="AM156" s="536"/>
      <c r="AN156" s="536"/>
      <c r="AO156" s="536"/>
      <c r="AP156" s="536"/>
      <c r="AQ156" s="536"/>
      <c r="AR156" s="536"/>
      <c r="AS156" s="536"/>
      <c r="AT156" s="536"/>
      <c r="AU156" s="536"/>
      <c r="AV156" s="536"/>
      <c r="AW156" s="536"/>
      <c r="AX156" s="536"/>
      <c r="AY156" s="536"/>
      <c r="AZ156" s="536"/>
      <c r="BA156" s="536"/>
      <c r="BB156" s="536"/>
      <c r="BC156" s="536"/>
      <c r="BD156" s="536"/>
      <c r="BE156" s="536"/>
      <c r="BF156" s="536"/>
      <c r="BG156" s="536"/>
      <c r="BH156" s="536"/>
      <c r="BI156" s="536"/>
      <c r="BJ156" s="536"/>
      <c r="BK156" s="536"/>
      <c r="BL156" s="536"/>
      <c r="BM156" s="536"/>
      <c r="BN156" s="536"/>
      <c r="BO156" s="536"/>
      <c r="BP156" s="536"/>
      <c r="BQ156" s="536"/>
      <c r="BR156" s="536"/>
      <c r="BS156" s="536"/>
      <c r="BT156" s="536"/>
      <c r="BU156" s="536"/>
      <c r="BV156" s="536"/>
      <c r="BW156" s="536"/>
      <c r="BX156" s="536"/>
      <c r="BY156" s="536"/>
      <c r="BZ156" s="536"/>
      <c r="CA156" s="536"/>
      <c r="CB156" s="536"/>
      <c r="CC156" s="536"/>
      <c r="CD156" s="536"/>
      <c r="CE156" s="536"/>
      <c r="CF156" s="536"/>
      <c r="CG156" s="536"/>
      <c r="CH156" s="536"/>
      <c r="CI156" s="536"/>
      <c r="CJ156" s="536"/>
      <c r="CK156" s="536"/>
      <c r="CL156" s="536"/>
      <c r="CM156" s="536"/>
      <c r="CN156" s="536"/>
      <c r="CO156" s="536"/>
      <c r="CP156" s="536"/>
      <c r="CQ156" s="536"/>
      <c r="CR156" s="536"/>
      <c r="CS156" s="536"/>
      <c r="CT156" s="536"/>
      <c r="CU156" s="536"/>
      <c r="CV156" s="536"/>
      <c r="CW156" s="536"/>
      <c r="CX156" s="536"/>
      <c r="CY156" s="536"/>
      <c r="CZ156" s="536"/>
      <c r="DA156" s="536"/>
      <c r="DB156" s="536"/>
      <c r="DC156" s="536"/>
      <c r="DD156" s="536"/>
      <c r="DE156" s="536"/>
      <c r="DF156" s="536"/>
      <c r="DG156" s="536"/>
      <c r="DH156" s="536"/>
      <c r="DI156" s="536"/>
      <c r="DJ156" s="536"/>
      <c r="DK156" s="536"/>
      <c r="DL156" s="536"/>
      <c r="DM156" s="536"/>
      <c r="DN156" s="536"/>
      <c r="DO156" s="536"/>
      <c r="DP156" s="536"/>
      <c r="DQ156" s="536"/>
      <c r="DR156" s="536"/>
      <c r="DS156" s="536"/>
      <c r="DT156" s="536"/>
      <c r="DU156" s="536"/>
      <c r="DV156" s="536"/>
      <c r="DW156" s="536"/>
      <c r="DX156" s="536"/>
      <c r="DY156" s="536"/>
      <c r="DZ156" s="536"/>
      <c r="EA156" s="536"/>
      <c r="EB156" s="536"/>
      <c r="EC156" s="536"/>
      <c r="ED156" s="536"/>
      <c r="EE156" s="536"/>
      <c r="EF156" s="536"/>
      <c r="EG156" s="536"/>
      <c r="EH156" s="536"/>
      <c r="EI156" s="536"/>
      <c r="EJ156" s="536"/>
      <c r="EK156" s="536"/>
      <c r="EL156" s="536"/>
      <c r="EM156" s="536"/>
      <c r="EN156" s="536"/>
      <c r="EO156" s="536"/>
      <c r="EP156" s="536"/>
      <c r="EQ156" s="536"/>
      <c r="ER156" s="536"/>
      <c r="ES156" s="536"/>
      <c r="ET156" s="536"/>
      <c r="EU156" s="536"/>
      <c r="EV156" s="536"/>
      <c r="EW156" s="536"/>
      <c r="EX156" s="536"/>
      <c r="EY156" s="536"/>
      <c r="EZ156" s="536"/>
      <c r="FA156" s="536"/>
      <c r="FB156" s="536"/>
      <c r="FC156" s="536"/>
      <c r="FD156" s="536"/>
      <c r="FE156" s="536"/>
      <c r="FF156" s="536"/>
      <c r="FG156" s="536"/>
      <c r="FH156" s="536"/>
      <c r="FI156" s="536"/>
      <c r="FJ156" s="536"/>
      <c r="FK156" s="536"/>
      <c r="FL156" s="536"/>
      <c r="FM156" s="536"/>
      <c r="FN156" s="536"/>
      <c r="FO156" s="536"/>
      <c r="FP156" s="536"/>
      <c r="FQ156" s="536"/>
      <c r="FR156" s="536"/>
      <c r="FS156" s="536"/>
      <c r="FT156" s="536"/>
      <c r="FU156" s="536"/>
      <c r="FV156" s="536"/>
      <c r="FW156" s="536"/>
      <c r="FX156" s="536"/>
      <c r="FY156" s="536"/>
      <c r="FZ156" s="536"/>
      <c r="GA156" s="536"/>
      <c r="GB156" s="536"/>
      <c r="GC156" s="536"/>
      <c r="GD156" s="536"/>
      <c r="GE156" s="536"/>
      <c r="GF156" s="536"/>
      <c r="GG156" s="536"/>
      <c r="GH156" s="536"/>
      <c r="GI156" s="536"/>
      <c r="GJ156" s="536"/>
      <c r="GK156" s="536"/>
      <c r="GL156" s="536"/>
      <c r="GM156" s="536"/>
      <c r="GN156" s="536"/>
      <c r="GO156" s="536"/>
      <c r="GP156" s="536"/>
      <c r="GQ156" s="536"/>
      <c r="GR156" s="536"/>
      <c r="GS156" s="536"/>
      <c r="GT156" s="536"/>
      <c r="GU156" s="536"/>
      <c r="GV156" s="536"/>
      <c r="GW156" s="536"/>
      <c r="GX156" s="536"/>
      <c r="GY156" s="536"/>
      <c r="GZ156" s="536"/>
      <c r="HA156" s="536"/>
      <c r="HB156" s="536"/>
      <c r="HC156" s="536"/>
      <c r="HD156" s="536"/>
      <c r="HE156" s="536"/>
      <c r="HF156" s="536"/>
      <c r="HG156" s="536"/>
      <c r="HH156" s="536"/>
      <c r="HI156" s="536"/>
      <c r="HJ156" s="536"/>
      <c r="HK156" s="536"/>
      <c r="HL156" s="536"/>
      <c r="HM156" s="536"/>
      <c r="HN156" s="536"/>
      <c r="HO156" s="536"/>
      <c r="HP156" s="536"/>
      <c r="HQ156" s="536"/>
      <c r="HR156" s="536"/>
      <c r="HS156" s="536"/>
      <c r="HT156" s="536"/>
      <c r="HU156" s="536"/>
      <c r="HV156" s="536"/>
      <c r="HW156" s="536"/>
      <c r="HX156" s="536"/>
      <c r="HY156" s="536"/>
      <c r="HZ156" s="536"/>
      <c r="IA156" s="536"/>
      <c r="IB156" s="536"/>
      <c r="IC156" s="536"/>
      <c r="ID156" s="536"/>
      <c r="IE156" s="536"/>
      <c r="IF156" s="536"/>
      <c r="IG156" s="536"/>
      <c r="IH156" s="536"/>
      <c r="II156" s="536"/>
      <c r="IJ156" s="536"/>
      <c r="IK156" s="536"/>
      <c r="IL156" s="536"/>
      <c r="IM156" s="536"/>
      <c r="IN156" s="536"/>
      <c r="IO156" s="536"/>
      <c r="IP156" s="536"/>
      <c r="IQ156" s="536"/>
      <c r="IR156" s="536"/>
      <c r="IS156" s="536"/>
      <c r="IT156" s="536"/>
      <c r="IU156" s="536"/>
      <c r="IV156" s="536"/>
      <c r="IW156" s="536"/>
    </row>
    <row r="157" customFormat="false" ht="19.5" hidden="false" customHeight="true" outlineLevel="0" collapsed="false">
      <c r="A157" s="594" t="s">
        <v>888</v>
      </c>
      <c r="B157" s="594"/>
      <c r="C157" s="584" t="s">
        <v>376</v>
      </c>
      <c r="D157" s="587" t="s">
        <v>889</v>
      </c>
      <c r="E157" s="581" t="s">
        <v>158</v>
      </c>
      <c r="F157" s="594" t="s">
        <v>888</v>
      </c>
      <c r="G157" s="605" t="s">
        <v>890</v>
      </c>
      <c r="H157" s="486" t="n">
        <v>150000</v>
      </c>
      <c r="I157" s="596" t="s">
        <v>891</v>
      </c>
      <c r="J157" s="577"/>
      <c r="K157" s="475" t="s">
        <v>379</v>
      </c>
      <c r="L157" s="578"/>
      <c r="M157" s="453"/>
      <c r="N157" s="453"/>
      <c r="O157" s="499"/>
      <c r="P157" s="528"/>
      <c r="Q157" s="528"/>
      <c r="R157" s="528"/>
      <c r="S157" s="528"/>
      <c r="T157" s="528"/>
      <c r="U157" s="528"/>
      <c r="V157" s="528"/>
      <c r="W157" s="528"/>
      <c r="X157" s="528"/>
      <c r="Y157" s="528"/>
      <c r="Z157" s="528"/>
      <c r="AA157" s="528"/>
      <c r="AB157" s="528"/>
      <c r="AC157" s="528"/>
      <c r="AD157" s="528"/>
      <c r="AE157" s="528"/>
      <c r="AF157" s="528"/>
      <c r="AG157" s="528"/>
      <c r="AH157" s="528"/>
      <c r="AI157" s="528"/>
      <c r="AJ157" s="528"/>
      <c r="AK157" s="528"/>
      <c r="AL157" s="528"/>
      <c r="AM157" s="528"/>
      <c r="AN157" s="528"/>
      <c r="AO157" s="528"/>
      <c r="AP157" s="528"/>
      <c r="AQ157" s="528"/>
      <c r="AR157" s="528"/>
      <c r="AS157" s="528"/>
      <c r="AT157" s="528"/>
      <c r="AU157" s="528"/>
      <c r="AV157" s="528"/>
      <c r="AW157" s="528"/>
      <c r="AX157" s="528"/>
      <c r="AY157" s="528"/>
      <c r="AZ157" s="528"/>
      <c r="BA157" s="528"/>
      <c r="BB157" s="528"/>
      <c r="BC157" s="528"/>
      <c r="BD157" s="528"/>
      <c r="BE157" s="528"/>
      <c r="BF157" s="528"/>
      <c r="BG157" s="528"/>
      <c r="BH157" s="528"/>
      <c r="BI157" s="528"/>
      <c r="BJ157" s="528"/>
      <c r="BK157" s="528"/>
      <c r="BL157" s="528"/>
      <c r="BM157" s="528"/>
      <c r="BN157" s="528"/>
      <c r="BO157" s="528"/>
      <c r="BP157" s="528"/>
      <c r="BQ157" s="528"/>
      <c r="BR157" s="528"/>
      <c r="BS157" s="528"/>
      <c r="BT157" s="528"/>
      <c r="BU157" s="528"/>
      <c r="BV157" s="528"/>
      <c r="BW157" s="528"/>
      <c r="BX157" s="528"/>
      <c r="BY157" s="528"/>
      <c r="BZ157" s="528"/>
      <c r="CA157" s="528"/>
      <c r="CB157" s="528"/>
      <c r="CC157" s="528"/>
      <c r="CD157" s="528"/>
      <c r="CE157" s="528"/>
      <c r="CF157" s="528"/>
      <c r="CG157" s="528"/>
      <c r="CH157" s="528"/>
      <c r="CI157" s="528"/>
      <c r="CJ157" s="528"/>
      <c r="CK157" s="528"/>
      <c r="CL157" s="528"/>
      <c r="CM157" s="528"/>
      <c r="CN157" s="528"/>
      <c r="CO157" s="528"/>
      <c r="CP157" s="528"/>
      <c r="CQ157" s="528"/>
      <c r="CR157" s="528"/>
      <c r="CS157" s="528"/>
      <c r="CT157" s="528"/>
      <c r="CU157" s="528"/>
      <c r="CV157" s="528"/>
      <c r="CW157" s="528"/>
      <c r="CX157" s="528"/>
      <c r="CY157" s="528"/>
      <c r="CZ157" s="528"/>
      <c r="DA157" s="528"/>
      <c r="DB157" s="528"/>
      <c r="DC157" s="528"/>
      <c r="DD157" s="528"/>
      <c r="DE157" s="528"/>
      <c r="DF157" s="528"/>
      <c r="DG157" s="528"/>
      <c r="DH157" s="528"/>
      <c r="DI157" s="528"/>
      <c r="DJ157" s="528"/>
      <c r="DK157" s="528"/>
      <c r="DL157" s="528"/>
      <c r="DM157" s="528"/>
      <c r="DN157" s="528"/>
      <c r="DO157" s="528"/>
      <c r="DP157" s="528"/>
      <c r="DQ157" s="528"/>
      <c r="DR157" s="528"/>
      <c r="DS157" s="528"/>
      <c r="DT157" s="528"/>
      <c r="DU157" s="528"/>
      <c r="DV157" s="528"/>
      <c r="DW157" s="528"/>
      <c r="DX157" s="528"/>
      <c r="DY157" s="528"/>
      <c r="DZ157" s="528"/>
      <c r="EA157" s="528"/>
      <c r="EB157" s="528"/>
      <c r="EC157" s="528"/>
      <c r="ED157" s="528"/>
      <c r="EE157" s="528"/>
      <c r="EF157" s="528"/>
      <c r="EG157" s="528"/>
      <c r="EH157" s="528"/>
      <c r="EI157" s="528"/>
      <c r="EJ157" s="528"/>
      <c r="EK157" s="528"/>
      <c r="EL157" s="528"/>
      <c r="EM157" s="528"/>
      <c r="EN157" s="528"/>
      <c r="EO157" s="528"/>
      <c r="EP157" s="528"/>
      <c r="EQ157" s="528"/>
      <c r="ER157" s="528"/>
      <c r="ES157" s="528"/>
      <c r="ET157" s="528"/>
      <c r="EU157" s="528"/>
      <c r="EV157" s="528"/>
      <c r="EW157" s="528"/>
      <c r="EX157" s="528"/>
      <c r="EY157" s="528"/>
      <c r="EZ157" s="528"/>
      <c r="FA157" s="528"/>
      <c r="FB157" s="528"/>
      <c r="FC157" s="528"/>
      <c r="FD157" s="528"/>
      <c r="FE157" s="528"/>
      <c r="FF157" s="528"/>
      <c r="FG157" s="528"/>
      <c r="FH157" s="528"/>
      <c r="FI157" s="528"/>
      <c r="FJ157" s="528"/>
      <c r="FK157" s="528"/>
      <c r="FL157" s="528"/>
      <c r="FM157" s="528"/>
      <c r="FN157" s="528"/>
      <c r="FO157" s="528"/>
      <c r="FP157" s="528"/>
      <c r="FQ157" s="528"/>
      <c r="FR157" s="528"/>
      <c r="FS157" s="528"/>
      <c r="FT157" s="528"/>
      <c r="FU157" s="528"/>
      <c r="FV157" s="528"/>
      <c r="FW157" s="528"/>
      <c r="FX157" s="528"/>
      <c r="FY157" s="528"/>
      <c r="FZ157" s="528"/>
      <c r="GA157" s="528"/>
      <c r="GB157" s="528"/>
      <c r="GC157" s="528"/>
      <c r="GD157" s="528"/>
      <c r="GE157" s="528"/>
      <c r="GF157" s="528"/>
      <c r="GG157" s="528"/>
      <c r="GH157" s="528"/>
      <c r="GI157" s="528"/>
      <c r="GJ157" s="528"/>
      <c r="GK157" s="528"/>
      <c r="GL157" s="528"/>
      <c r="GM157" s="528"/>
      <c r="GN157" s="528"/>
      <c r="GO157" s="528"/>
      <c r="GP157" s="528"/>
      <c r="GQ157" s="528"/>
      <c r="GR157" s="528"/>
      <c r="GS157" s="528"/>
      <c r="GT157" s="528"/>
      <c r="GU157" s="528"/>
      <c r="GV157" s="528"/>
      <c r="GW157" s="528"/>
      <c r="GX157" s="528"/>
      <c r="GY157" s="528"/>
      <c r="GZ157" s="528"/>
      <c r="HA157" s="528"/>
      <c r="HB157" s="528"/>
      <c r="HC157" s="528"/>
      <c r="HD157" s="528"/>
      <c r="HE157" s="528"/>
      <c r="HF157" s="528"/>
      <c r="HG157" s="528"/>
      <c r="HH157" s="528"/>
      <c r="HI157" s="528"/>
      <c r="HJ157" s="528"/>
      <c r="HK157" s="528"/>
      <c r="HL157" s="528"/>
      <c r="HM157" s="528"/>
      <c r="HN157" s="528"/>
      <c r="HO157" s="528"/>
      <c r="HP157" s="528"/>
      <c r="HQ157" s="528"/>
      <c r="HR157" s="528"/>
      <c r="HS157" s="528"/>
      <c r="HT157" s="528"/>
      <c r="HU157" s="528"/>
      <c r="HV157" s="528"/>
      <c r="HW157" s="528"/>
      <c r="HX157" s="528"/>
      <c r="HY157" s="528"/>
      <c r="HZ157" s="528"/>
      <c r="IA157" s="528"/>
      <c r="IB157" s="528"/>
      <c r="IC157" s="528"/>
      <c r="ID157" s="528"/>
      <c r="IE157" s="528"/>
      <c r="IF157" s="528"/>
      <c r="IG157" s="528"/>
      <c r="IH157" s="528"/>
      <c r="II157" s="528"/>
      <c r="IJ157" s="528"/>
      <c r="IK157" s="528"/>
      <c r="IL157" s="528"/>
      <c r="IM157" s="528"/>
      <c r="IN157" s="528"/>
      <c r="IO157" s="528"/>
      <c r="IP157" s="528"/>
      <c r="IQ157" s="528"/>
      <c r="IR157" s="528"/>
      <c r="IS157" s="528"/>
      <c r="IT157" s="528"/>
      <c r="IU157" s="528"/>
      <c r="IV157" s="528"/>
      <c r="IW157" s="528"/>
    </row>
    <row r="158" customFormat="false" ht="19.5" hidden="false" customHeight="true" outlineLevel="0" collapsed="false">
      <c r="A158" s="598" t="s">
        <v>892</v>
      </c>
      <c r="B158" s="598"/>
      <c r="C158" s="596" t="s">
        <v>893</v>
      </c>
      <c r="D158" s="603" t="s">
        <v>894</v>
      </c>
      <c r="E158" s="600" t="s">
        <v>158</v>
      </c>
      <c r="F158" s="598" t="s">
        <v>892</v>
      </c>
      <c r="G158" s="601" t="s">
        <v>895</v>
      </c>
      <c r="H158" s="602" t="n">
        <v>150000</v>
      </c>
      <c r="I158" s="594"/>
      <c r="J158" s="577"/>
      <c r="K158" s="606" t="s">
        <v>896</v>
      </c>
      <c r="L158" s="578"/>
      <c r="M158" s="556"/>
      <c r="N158" s="556"/>
      <c r="O158" s="499"/>
    </row>
    <row r="159" customFormat="false" ht="19.5" hidden="false" customHeight="true" outlineLevel="0" collapsed="false">
      <c r="A159" s="594" t="s">
        <v>897</v>
      </c>
      <c r="B159" s="594"/>
      <c r="C159" s="584" t="s">
        <v>898</v>
      </c>
      <c r="D159" s="587" t="s">
        <v>899</v>
      </c>
      <c r="E159" s="581" t="s">
        <v>158</v>
      </c>
      <c r="F159" s="594" t="s">
        <v>897</v>
      </c>
      <c r="G159" s="579" t="s">
        <v>900</v>
      </c>
      <c r="H159" s="486" t="n">
        <v>205000</v>
      </c>
      <c r="I159" s="581"/>
      <c r="J159" s="594"/>
      <c r="K159" s="475" t="s">
        <v>901</v>
      </c>
      <c r="L159" s="578"/>
      <c r="M159" s="556"/>
      <c r="N159" s="556"/>
      <c r="O159" s="499"/>
    </row>
    <row r="160" customFormat="false" ht="19.5" hidden="false" customHeight="true" outlineLevel="0" collapsed="false">
      <c r="A160" s="581" t="s">
        <v>902</v>
      </c>
      <c r="B160" s="581"/>
      <c r="C160" s="579" t="s">
        <v>903</v>
      </c>
      <c r="D160" s="582" t="s">
        <v>904</v>
      </c>
      <c r="E160" s="581" t="s">
        <v>158</v>
      </c>
      <c r="F160" s="581" t="s">
        <v>902</v>
      </c>
      <c r="G160" s="579" t="s">
        <v>905</v>
      </c>
      <c r="H160" s="583" t="n">
        <v>160000</v>
      </c>
      <c r="I160" s="584" t="s">
        <v>906</v>
      </c>
      <c r="J160" s="594"/>
      <c r="K160" s="475" t="s">
        <v>901</v>
      </c>
      <c r="L160" s="578"/>
      <c r="M160" s="556"/>
      <c r="N160" s="556"/>
      <c r="O160" s="499"/>
    </row>
    <row r="161" customFormat="false" ht="19.5" hidden="false" customHeight="true" outlineLevel="0" collapsed="false">
      <c r="A161" s="594" t="s">
        <v>61</v>
      </c>
      <c r="B161" s="594"/>
      <c r="C161" s="584" t="s">
        <v>907</v>
      </c>
      <c r="D161" s="587" t="s">
        <v>908</v>
      </c>
      <c r="E161" s="594" t="s">
        <v>158</v>
      </c>
      <c r="F161" s="594" t="s">
        <v>61</v>
      </c>
      <c r="G161" s="584" t="s">
        <v>909</v>
      </c>
      <c r="H161" s="486" t="n">
        <v>150000</v>
      </c>
      <c r="I161" s="584" t="s">
        <v>910</v>
      </c>
      <c r="J161" s="594"/>
      <c r="K161" s="475" t="s">
        <v>911</v>
      </c>
      <c r="L161" s="578"/>
      <c r="M161" s="556"/>
      <c r="N161" s="556"/>
      <c r="O161" s="499"/>
    </row>
    <row r="162" customFormat="false" ht="20.25" hidden="false" customHeight="true" outlineLevel="0" collapsed="false">
      <c r="A162" s="607" t="s">
        <v>58</v>
      </c>
      <c r="B162" s="594"/>
      <c r="C162" s="584" t="s">
        <v>912</v>
      </c>
      <c r="D162" s="587" t="s">
        <v>913</v>
      </c>
      <c r="E162" s="594" t="s">
        <v>158</v>
      </c>
      <c r="F162" s="594" t="s">
        <v>58</v>
      </c>
      <c r="G162" s="584" t="s">
        <v>914</v>
      </c>
      <c r="H162" s="486" t="n">
        <v>150000</v>
      </c>
      <c r="I162" s="584" t="s">
        <v>915</v>
      </c>
      <c r="J162" s="577"/>
      <c r="K162" s="475" t="s">
        <v>916</v>
      </c>
      <c r="L162" s="578" t="s">
        <v>917</v>
      </c>
      <c r="M162" s="556"/>
      <c r="N162" s="556"/>
      <c r="O162" s="499"/>
    </row>
    <row r="163" customFormat="false" ht="20.25" hidden="false" customHeight="true" outlineLevel="0" collapsed="false">
      <c r="A163" s="607" t="s">
        <v>59</v>
      </c>
      <c r="B163" s="594"/>
      <c r="C163" s="584" t="s">
        <v>918</v>
      </c>
      <c r="D163" s="587" t="s">
        <v>919</v>
      </c>
      <c r="E163" s="594" t="s">
        <v>158</v>
      </c>
      <c r="F163" s="594" t="s">
        <v>59</v>
      </c>
      <c r="G163" s="584" t="s">
        <v>920</v>
      </c>
      <c r="H163" s="486" t="n">
        <v>150000</v>
      </c>
      <c r="I163" s="584" t="s">
        <v>921</v>
      </c>
      <c r="J163" s="469"/>
      <c r="K163" s="475" t="s">
        <v>200</v>
      </c>
      <c r="L163" s="578"/>
      <c r="M163" s="556"/>
      <c r="N163" s="556"/>
      <c r="O163" s="499"/>
    </row>
    <row r="164" customFormat="false" ht="20.25" hidden="false" customHeight="true" outlineLevel="0" collapsed="false">
      <c r="A164" s="594" t="s">
        <v>105</v>
      </c>
      <c r="B164" s="594"/>
      <c r="C164" s="584" t="s">
        <v>922</v>
      </c>
      <c r="D164" s="587" t="s">
        <v>923</v>
      </c>
      <c r="E164" s="581" t="s">
        <v>158</v>
      </c>
      <c r="F164" s="594" t="s">
        <v>105</v>
      </c>
      <c r="G164" s="579" t="s">
        <v>924</v>
      </c>
      <c r="H164" s="486" t="n">
        <v>150000</v>
      </c>
      <c r="I164" s="517" t="s">
        <v>921</v>
      </c>
      <c r="J164" s="469"/>
      <c r="K164" s="475" t="s">
        <v>916</v>
      </c>
      <c r="L164" s="587" t="s">
        <v>925</v>
      </c>
      <c r="M164" s="556"/>
      <c r="N164" s="556"/>
      <c r="O164" s="499"/>
    </row>
    <row r="165" customFormat="false" ht="20.25" hidden="false" customHeight="true" outlineLevel="0" collapsed="false">
      <c r="A165" s="465" t="s">
        <v>57</v>
      </c>
      <c r="B165" s="465"/>
      <c r="C165" s="472" t="s">
        <v>926</v>
      </c>
      <c r="D165" s="500" t="s">
        <v>927</v>
      </c>
      <c r="E165" s="465" t="s">
        <v>158</v>
      </c>
      <c r="F165" s="465" t="s">
        <v>57</v>
      </c>
      <c r="G165" s="472" t="s">
        <v>928</v>
      </c>
      <c r="H165" s="467" t="n">
        <v>150000</v>
      </c>
      <c r="I165" s="467"/>
      <c r="J165" s="577"/>
      <c r="K165" s="475" t="s">
        <v>929</v>
      </c>
      <c r="L165" s="578"/>
      <c r="M165" s="608"/>
      <c r="N165" s="556"/>
      <c r="O165" s="499"/>
    </row>
    <row r="166" customFormat="false" ht="20.25" hidden="false" customHeight="true" outlineLevel="0" collapsed="false">
      <c r="A166" s="465" t="s">
        <v>930</v>
      </c>
      <c r="B166" s="465"/>
      <c r="C166" s="472" t="s">
        <v>931</v>
      </c>
      <c r="D166" s="500" t="s">
        <v>932</v>
      </c>
      <c r="E166" s="465"/>
      <c r="F166" s="465"/>
      <c r="G166" s="465"/>
      <c r="H166" s="467" t="n">
        <v>150000</v>
      </c>
      <c r="I166" s="584" t="s">
        <v>933</v>
      </c>
      <c r="J166" s="577"/>
      <c r="K166" s="475" t="s">
        <v>929</v>
      </c>
      <c r="L166" s="578"/>
      <c r="M166" s="556"/>
      <c r="N166" s="556"/>
      <c r="O166" s="499"/>
    </row>
    <row r="167" customFormat="false" ht="20.25" hidden="false" customHeight="true" outlineLevel="0" collapsed="false">
      <c r="A167" s="594" t="s">
        <v>53</v>
      </c>
      <c r="B167" s="594"/>
      <c r="C167" s="609" t="s">
        <v>934</v>
      </c>
      <c r="D167" s="610" t="s">
        <v>935</v>
      </c>
      <c r="E167" s="581" t="s">
        <v>158</v>
      </c>
      <c r="F167" s="594" t="s">
        <v>53</v>
      </c>
      <c r="G167" s="579" t="s">
        <v>936</v>
      </c>
      <c r="H167" s="486" t="n">
        <v>150000</v>
      </c>
      <c r="I167" s="584" t="s">
        <v>937</v>
      </c>
      <c r="J167" s="465"/>
      <c r="K167" s="465" t="n">
        <v>29142</v>
      </c>
      <c r="L167" s="499"/>
      <c r="M167" s="608"/>
      <c r="N167" s="556"/>
      <c r="O167" s="499"/>
    </row>
    <row r="168" customFormat="false" ht="20.25" hidden="false" customHeight="true" outlineLevel="0" collapsed="false">
      <c r="A168" s="594" t="s">
        <v>60</v>
      </c>
      <c r="B168" s="594"/>
      <c r="C168" s="584" t="s">
        <v>938</v>
      </c>
      <c r="D168" s="610" t="s">
        <v>939</v>
      </c>
      <c r="E168" s="581" t="s">
        <v>158</v>
      </c>
      <c r="F168" s="594" t="s">
        <v>60</v>
      </c>
      <c r="G168" s="579" t="s">
        <v>940</v>
      </c>
      <c r="H168" s="486" t="n">
        <v>150000</v>
      </c>
      <c r="I168" s="525" t="s">
        <v>941</v>
      </c>
      <c r="J168" s="611"/>
      <c r="K168" s="612" t="s">
        <v>942</v>
      </c>
      <c r="L168" s="578"/>
      <c r="M168" s="556"/>
      <c r="N168" s="556"/>
      <c r="O168" s="499"/>
    </row>
    <row r="169" customFormat="false" ht="20.25" hidden="false" customHeight="true" outlineLevel="0" collapsed="false">
      <c r="A169" s="613" t="s">
        <v>943</v>
      </c>
      <c r="B169" s="613"/>
      <c r="C169" s="614" t="s">
        <v>944</v>
      </c>
      <c r="D169" s="615" t="s">
        <v>945</v>
      </c>
      <c r="E169" s="613" t="s">
        <v>158</v>
      </c>
      <c r="F169" s="613" t="s">
        <v>943</v>
      </c>
      <c r="G169" s="614" t="s">
        <v>946</v>
      </c>
      <c r="H169" s="616" t="n">
        <v>170000</v>
      </c>
      <c r="I169" s="617" t="s">
        <v>941</v>
      </c>
      <c r="J169" s="618"/>
      <c r="K169" s="465" t="n">
        <v>29142</v>
      </c>
      <c r="L169" s="578"/>
      <c r="M169" s="556"/>
      <c r="N169" s="556"/>
      <c r="O169" s="499"/>
    </row>
    <row r="170" customFormat="false" ht="20.25" hidden="false" customHeight="true" outlineLevel="0" collapsed="false">
      <c r="A170" s="619" t="s">
        <v>947</v>
      </c>
      <c r="B170" s="620"/>
      <c r="C170" s="621" t="s">
        <v>948</v>
      </c>
      <c r="D170" s="622" t="s">
        <v>949</v>
      </c>
      <c r="E170" s="623" t="s">
        <v>158</v>
      </c>
      <c r="F170" s="623" t="s">
        <v>947</v>
      </c>
      <c r="G170" s="451" t="s">
        <v>950</v>
      </c>
      <c r="H170" s="624" t="n">
        <v>250000</v>
      </c>
      <c r="I170" s="566" t="s">
        <v>951</v>
      </c>
      <c r="J170" s="469"/>
      <c r="K170" s="475" t="s">
        <v>952</v>
      </c>
      <c r="L170" s="578"/>
      <c r="M170" s="556"/>
      <c r="N170" s="556"/>
      <c r="O170" s="499"/>
    </row>
    <row r="171" customFormat="false" ht="20.25" hidden="false" customHeight="true" outlineLevel="0" collapsed="false">
      <c r="A171" s="537" t="s">
        <v>953</v>
      </c>
      <c r="B171" s="465"/>
      <c r="C171" s="625" t="s">
        <v>954</v>
      </c>
      <c r="D171" s="529" t="s">
        <v>955</v>
      </c>
      <c r="E171" s="465" t="s">
        <v>158</v>
      </c>
      <c r="F171" s="465" t="s">
        <v>953</v>
      </c>
      <c r="G171" s="472" t="s">
        <v>956</v>
      </c>
      <c r="H171" s="467" t="n">
        <v>150000</v>
      </c>
      <c r="I171" s="537"/>
      <c r="J171" s="469"/>
      <c r="K171" s="475" t="s">
        <v>957</v>
      </c>
      <c r="L171" s="578"/>
      <c r="M171" s="556"/>
      <c r="N171" s="556"/>
      <c r="O171" s="499"/>
    </row>
    <row r="172" customFormat="false" ht="20.25" hidden="false" customHeight="true" outlineLevel="0" collapsed="false">
      <c r="A172" s="465" t="s">
        <v>66</v>
      </c>
      <c r="B172" s="465"/>
      <c r="C172" s="472" t="s">
        <v>958</v>
      </c>
      <c r="D172" s="500" t="s">
        <v>959</v>
      </c>
      <c r="E172" s="465" t="s">
        <v>158</v>
      </c>
      <c r="F172" s="465" t="s">
        <v>66</v>
      </c>
      <c r="G172" s="472" t="s">
        <v>960</v>
      </c>
      <c r="H172" s="480" t="n">
        <v>150000</v>
      </c>
      <c r="I172" s="525" t="s">
        <v>961</v>
      </c>
      <c r="J172" s="465"/>
      <c r="K172" s="465" t="n">
        <v>39810</v>
      </c>
      <c r="L172" s="578"/>
      <c r="M172" s="556"/>
      <c r="N172" s="556"/>
      <c r="O172" s="499"/>
      <c r="P172" s="463"/>
      <c r="Q172" s="567"/>
      <c r="R172" s="567"/>
      <c r="S172" s="559"/>
      <c r="T172" s="481"/>
      <c r="U172" s="560"/>
      <c r="V172" s="498"/>
      <c r="W172" s="463"/>
      <c r="X172" s="463"/>
      <c r="Y172" s="463"/>
      <c r="Z172" s="463"/>
      <c r="AA172" s="463"/>
      <c r="AB172" s="463"/>
      <c r="AC172" s="463"/>
      <c r="AD172" s="463"/>
      <c r="AE172" s="463"/>
      <c r="AF172" s="463"/>
      <c r="AG172" s="463"/>
      <c r="AH172" s="463"/>
      <c r="AI172" s="463"/>
      <c r="AJ172" s="463"/>
      <c r="AK172" s="463"/>
      <c r="AL172" s="463"/>
      <c r="AM172" s="463"/>
      <c r="AN172" s="463"/>
      <c r="AO172" s="463"/>
      <c r="AP172" s="463"/>
      <c r="AQ172" s="463"/>
      <c r="AR172" s="463"/>
      <c r="AS172" s="463"/>
      <c r="AT172" s="463"/>
      <c r="AU172" s="463"/>
      <c r="AV172" s="463"/>
      <c r="AW172" s="463"/>
      <c r="AX172" s="463"/>
      <c r="AY172" s="463"/>
      <c r="AZ172" s="463"/>
      <c r="BA172" s="463"/>
      <c r="BB172" s="463"/>
      <c r="BC172" s="463"/>
      <c r="BD172" s="463"/>
      <c r="BE172" s="463"/>
      <c r="BF172" s="463"/>
      <c r="BG172" s="463"/>
      <c r="BH172" s="463"/>
      <c r="BI172" s="463"/>
      <c r="BJ172" s="463"/>
    </row>
    <row r="173" customFormat="false" ht="20.25" hidden="false" customHeight="true" outlineLevel="0" collapsed="false">
      <c r="A173" s="465" t="s">
        <v>962</v>
      </c>
      <c r="B173" s="465"/>
      <c r="C173" s="472" t="s">
        <v>963</v>
      </c>
      <c r="D173" s="500" t="s">
        <v>964</v>
      </c>
      <c r="E173" s="465"/>
      <c r="F173" s="465"/>
      <c r="G173" s="465"/>
      <c r="H173" s="480" t="n">
        <v>170000</v>
      </c>
      <c r="I173" s="525"/>
      <c r="J173" s="465"/>
      <c r="K173" s="465"/>
      <c r="L173" s="578"/>
      <c r="M173" s="556"/>
      <c r="N173" s="556"/>
      <c r="O173" s="499"/>
      <c r="P173" s="463"/>
      <c r="Q173" s="477"/>
      <c r="R173" s="626"/>
      <c r="S173" s="559"/>
      <c r="T173" s="481"/>
      <c r="U173" s="479"/>
      <c r="V173" s="498"/>
      <c r="W173" s="463"/>
      <c r="X173" s="463"/>
      <c r="Y173" s="463"/>
      <c r="Z173" s="463"/>
      <c r="AA173" s="463"/>
      <c r="AB173" s="463"/>
      <c r="AC173" s="463"/>
      <c r="AD173" s="463"/>
      <c r="AE173" s="463"/>
      <c r="AF173" s="463"/>
      <c r="AG173" s="463"/>
      <c r="AH173" s="463"/>
      <c r="AI173" s="463"/>
      <c r="AJ173" s="463"/>
      <c r="AK173" s="463"/>
      <c r="AL173" s="463"/>
      <c r="AM173" s="463"/>
      <c r="AN173" s="463"/>
      <c r="AO173" s="463"/>
      <c r="AP173" s="463"/>
      <c r="AQ173" s="463"/>
      <c r="AR173" s="463"/>
      <c r="AS173" s="463"/>
      <c r="AT173" s="463"/>
      <c r="AU173" s="463"/>
      <c r="AV173" s="463"/>
      <c r="AW173" s="463"/>
      <c r="AX173" s="463"/>
      <c r="AY173" s="463"/>
      <c r="AZ173" s="463"/>
      <c r="BA173" s="463"/>
      <c r="BB173" s="463"/>
      <c r="BC173" s="463"/>
      <c r="BD173" s="463"/>
      <c r="BE173" s="463"/>
      <c r="BF173" s="463"/>
      <c r="BG173" s="463"/>
      <c r="BH173" s="463"/>
      <c r="BI173" s="463"/>
      <c r="BJ173" s="463"/>
    </row>
    <row r="174" customFormat="false" ht="19.5" hidden="false" customHeight="true" outlineLevel="0" collapsed="false">
      <c r="A174" s="465" t="s">
        <v>965</v>
      </c>
      <c r="B174" s="465"/>
      <c r="C174" s="472" t="s">
        <v>966</v>
      </c>
      <c r="D174" s="500" t="s">
        <v>967</v>
      </c>
      <c r="E174" s="465" t="s">
        <v>245</v>
      </c>
      <c r="F174" s="465" t="s">
        <v>965</v>
      </c>
      <c r="G174" s="472" t="s">
        <v>968</v>
      </c>
      <c r="H174" s="480" t="n">
        <v>170000</v>
      </c>
      <c r="I174" s="525" t="s">
        <v>969</v>
      </c>
      <c r="J174" s="465"/>
      <c r="K174" s="465"/>
      <c r="L174" s="578"/>
      <c r="M174" s="556"/>
      <c r="N174" s="556"/>
      <c r="O174" s="499"/>
      <c r="P174" s="463"/>
      <c r="Q174" s="477"/>
      <c r="R174" s="477"/>
      <c r="S174" s="559"/>
      <c r="T174" s="481"/>
      <c r="U174" s="479"/>
      <c r="V174" s="498"/>
      <c r="W174" s="463"/>
      <c r="X174" s="463"/>
      <c r="Y174" s="463"/>
      <c r="Z174" s="463"/>
      <c r="AA174" s="463"/>
      <c r="AB174" s="463"/>
      <c r="AC174" s="463"/>
      <c r="AD174" s="463"/>
      <c r="AE174" s="463"/>
      <c r="AF174" s="463"/>
      <c r="AG174" s="463"/>
      <c r="AH174" s="463"/>
      <c r="AI174" s="463"/>
      <c r="AJ174" s="463"/>
      <c r="AK174" s="463"/>
      <c r="AL174" s="463"/>
      <c r="AM174" s="463"/>
      <c r="AN174" s="463"/>
      <c r="AO174" s="463"/>
      <c r="AP174" s="463"/>
      <c r="AQ174" s="463"/>
      <c r="AR174" s="463"/>
      <c r="AS174" s="463"/>
      <c r="AT174" s="463"/>
      <c r="AU174" s="463"/>
      <c r="AV174" s="463"/>
      <c r="AW174" s="463"/>
      <c r="AX174" s="463"/>
      <c r="AY174" s="463"/>
      <c r="AZ174" s="463"/>
      <c r="BA174" s="463"/>
      <c r="BB174" s="463"/>
      <c r="BC174" s="463"/>
      <c r="BD174" s="463"/>
      <c r="BE174" s="463"/>
      <c r="BF174" s="463"/>
      <c r="BG174" s="463"/>
      <c r="BH174" s="463"/>
      <c r="BI174" s="463"/>
      <c r="BJ174" s="463"/>
    </row>
    <row r="175" customFormat="false" ht="19.5" hidden="false" customHeight="true" outlineLevel="0" collapsed="false">
      <c r="A175" s="465" t="s">
        <v>970</v>
      </c>
      <c r="B175" s="465"/>
      <c r="C175" s="472" t="s">
        <v>971</v>
      </c>
      <c r="D175" s="500" t="s">
        <v>972</v>
      </c>
      <c r="E175" s="465"/>
      <c r="F175" s="465"/>
      <c r="G175" s="465"/>
      <c r="H175" s="480" t="n">
        <v>150000</v>
      </c>
      <c r="I175" s="525"/>
      <c r="J175" s="465"/>
      <c r="K175" s="465"/>
      <c r="L175" s="578"/>
      <c r="M175" s="556"/>
      <c r="N175" s="556"/>
      <c r="O175" s="499"/>
      <c r="P175" s="463"/>
      <c r="Q175" s="477"/>
      <c r="R175" s="477"/>
      <c r="S175" s="559"/>
      <c r="T175" s="481"/>
      <c r="U175" s="479"/>
      <c r="V175" s="498"/>
      <c r="W175" s="463"/>
      <c r="X175" s="463"/>
      <c r="Y175" s="463"/>
      <c r="Z175" s="463"/>
      <c r="AA175" s="463"/>
      <c r="AB175" s="463"/>
      <c r="AC175" s="463"/>
      <c r="AD175" s="463"/>
      <c r="AE175" s="463"/>
      <c r="AF175" s="463"/>
      <c r="AG175" s="463"/>
      <c r="AH175" s="463"/>
      <c r="AI175" s="463"/>
      <c r="AJ175" s="463"/>
      <c r="AK175" s="463"/>
      <c r="AL175" s="463"/>
      <c r="AM175" s="463"/>
      <c r="AN175" s="463"/>
      <c r="AO175" s="463"/>
      <c r="AP175" s="463"/>
      <c r="AQ175" s="463"/>
      <c r="AR175" s="463"/>
      <c r="AS175" s="463"/>
      <c r="AT175" s="463"/>
      <c r="AU175" s="463"/>
      <c r="AV175" s="463"/>
      <c r="AW175" s="463"/>
      <c r="AX175" s="463"/>
      <c r="AY175" s="463"/>
      <c r="AZ175" s="463"/>
      <c r="BA175" s="463"/>
      <c r="BB175" s="463"/>
      <c r="BC175" s="463"/>
      <c r="BD175" s="463"/>
      <c r="BE175" s="463"/>
      <c r="BF175" s="463"/>
      <c r="BG175" s="463"/>
      <c r="BH175" s="463"/>
      <c r="BI175" s="463"/>
      <c r="BJ175" s="463"/>
    </row>
    <row r="176" customFormat="false" ht="19.5" hidden="false" customHeight="true" outlineLevel="0" collapsed="false">
      <c r="A176" s="465" t="s">
        <v>973</v>
      </c>
      <c r="B176" s="465"/>
      <c r="C176" s="472" t="s">
        <v>974</v>
      </c>
      <c r="D176" s="500" t="s">
        <v>975</v>
      </c>
      <c r="E176" s="465" t="s">
        <v>158</v>
      </c>
      <c r="F176" s="465" t="s">
        <v>973</v>
      </c>
      <c r="G176" s="472" t="s">
        <v>976</v>
      </c>
      <c r="H176" s="480" t="n">
        <v>250000</v>
      </c>
      <c r="I176" s="525"/>
      <c r="J176" s="465"/>
      <c r="K176" s="465"/>
      <c r="L176" s="578"/>
      <c r="M176" s="556"/>
      <c r="N176" s="556"/>
      <c r="O176" s="499"/>
      <c r="P176" s="463"/>
      <c r="Q176" s="477"/>
      <c r="R176" s="477"/>
      <c r="S176" s="559"/>
      <c r="T176" s="481"/>
      <c r="U176" s="479"/>
      <c r="V176" s="498"/>
      <c r="W176" s="463"/>
      <c r="X176" s="463"/>
      <c r="Y176" s="463"/>
      <c r="Z176" s="463"/>
      <c r="AA176" s="463"/>
      <c r="AB176" s="463"/>
      <c r="AC176" s="463"/>
      <c r="AD176" s="463"/>
      <c r="AE176" s="463"/>
      <c r="AF176" s="463"/>
      <c r="AG176" s="463"/>
      <c r="AH176" s="463"/>
      <c r="AI176" s="463"/>
      <c r="AJ176" s="463"/>
      <c r="AK176" s="463"/>
      <c r="AL176" s="463"/>
      <c r="AM176" s="463"/>
      <c r="AN176" s="463"/>
      <c r="AO176" s="463"/>
      <c r="AP176" s="463"/>
      <c r="AQ176" s="463"/>
      <c r="AR176" s="463"/>
      <c r="AS176" s="463"/>
      <c r="AT176" s="463"/>
      <c r="AU176" s="463"/>
      <c r="AV176" s="463"/>
      <c r="AW176" s="463"/>
      <c r="AX176" s="463"/>
      <c r="AY176" s="463"/>
      <c r="AZ176" s="463"/>
      <c r="BA176" s="463"/>
      <c r="BB176" s="463"/>
      <c r="BC176" s="463"/>
      <c r="BD176" s="463"/>
      <c r="BE176" s="463"/>
      <c r="BF176" s="463"/>
      <c r="BG176" s="463"/>
      <c r="BH176" s="463"/>
      <c r="BI176" s="463"/>
      <c r="BJ176" s="463"/>
    </row>
    <row r="177" customFormat="false" ht="19.5" hidden="false" customHeight="true" outlineLevel="0" collapsed="false">
      <c r="A177" s="465" t="s">
        <v>977</v>
      </c>
      <c r="B177" s="465"/>
      <c r="C177" s="472" t="s">
        <v>978</v>
      </c>
      <c r="D177" s="500" t="s">
        <v>979</v>
      </c>
      <c r="E177" s="465" t="s">
        <v>158</v>
      </c>
      <c r="F177" s="465" t="s">
        <v>977</v>
      </c>
      <c r="G177" s="472" t="s">
        <v>980</v>
      </c>
      <c r="H177" s="480" t="n">
        <v>250000</v>
      </c>
      <c r="I177" s="525"/>
      <c r="J177" s="465"/>
      <c r="K177" s="465"/>
      <c r="L177" s="578"/>
      <c r="M177" s="556"/>
      <c r="N177" s="556"/>
      <c r="O177" s="499"/>
      <c r="P177" s="463"/>
      <c r="Q177" s="477"/>
      <c r="R177" s="477"/>
      <c r="S177" s="559"/>
      <c r="T177" s="481"/>
      <c r="U177" s="479"/>
      <c r="V177" s="498"/>
      <c r="W177" s="463"/>
      <c r="X177" s="463"/>
      <c r="Y177" s="463"/>
      <c r="Z177" s="463"/>
      <c r="AA177" s="463"/>
      <c r="AB177" s="463"/>
      <c r="AC177" s="463"/>
      <c r="AD177" s="463"/>
      <c r="AE177" s="463"/>
      <c r="AF177" s="463"/>
      <c r="AG177" s="463"/>
      <c r="AH177" s="463"/>
      <c r="AI177" s="463"/>
      <c r="AJ177" s="463"/>
      <c r="AK177" s="463"/>
      <c r="AL177" s="463"/>
      <c r="AM177" s="463"/>
      <c r="AN177" s="463"/>
      <c r="AO177" s="463"/>
      <c r="AP177" s="463"/>
      <c r="AQ177" s="463"/>
      <c r="AR177" s="463"/>
      <c r="AS177" s="463"/>
      <c r="AT177" s="463"/>
      <c r="AU177" s="463"/>
      <c r="AV177" s="463"/>
      <c r="AW177" s="463"/>
      <c r="AX177" s="463"/>
      <c r="AY177" s="463"/>
      <c r="AZ177" s="463"/>
      <c r="BA177" s="463"/>
      <c r="BB177" s="463"/>
      <c r="BC177" s="463"/>
      <c r="BD177" s="463"/>
      <c r="BE177" s="463"/>
      <c r="BF177" s="463"/>
      <c r="BG177" s="463"/>
      <c r="BH177" s="463"/>
      <c r="BI177" s="463"/>
      <c r="BJ177" s="463"/>
    </row>
    <row r="178" customFormat="false" ht="19.5" hidden="false" customHeight="true" outlineLevel="0" collapsed="false">
      <c r="A178" s="465" t="s">
        <v>981</v>
      </c>
      <c r="B178" s="465"/>
      <c r="C178" s="472" t="s">
        <v>982</v>
      </c>
      <c r="D178" s="500" t="s">
        <v>983</v>
      </c>
      <c r="E178" s="465" t="s">
        <v>166</v>
      </c>
      <c r="F178" s="465" t="s">
        <v>981</v>
      </c>
      <c r="G178" s="472" t="s">
        <v>984</v>
      </c>
      <c r="H178" s="480" t="n">
        <v>250000</v>
      </c>
      <c r="I178" s="525"/>
      <c r="J178" s="465"/>
      <c r="K178" s="465"/>
      <c r="L178" s="578"/>
      <c r="M178" s="556"/>
      <c r="N178" s="556"/>
      <c r="O178" s="499"/>
      <c r="P178" s="463"/>
      <c r="Q178" s="477"/>
      <c r="R178" s="477"/>
      <c r="S178" s="559"/>
      <c r="T178" s="481"/>
      <c r="U178" s="479"/>
      <c r="V178" s="498"/>
      <c r="W178" s="463"/>
      <c r="X178" s="463"/>
      <c r="Y178" s="463"/>
      <c r="Z178" s="463"/>
      <c r="AA178" s="463"/>
      <c r="AB178" s="463"/>
      <c r="AC178" s="463"/>
      <c r="AD178" s="463"/>
      <c r="AE178" s="463"/>
      <c r="AF178" s="463"/>
      <c r="AG178" s="463"/>
      <c r="AH178" s="463"/>
      <c r="AI178" s="463"/>
      <c r="AJ178" s="463"/>
      <c r="AK178" s="463"/>
      <c r="AL178" s="463"/>
      <c r="AM178" s="463"/>
      <c r="AN178" s="463"/>
      <c r="AO178" s="463"/>
      <c r="AP178" s="463"/>
      <c r="AQ178" s="463"/>
      <c r="AR178" s="463"/>
      <c r="AS178" s="463"/>
      <c r="AT178" s="463"/>
      <c r="AU178" s="463"/>
      <c r="AV178" s="463"/>
      <c r="AW178" s="463"/>
      <c r="AX178" s="463"/>
      <c r="AY178" s="463"/>
      <c r="AZ178" s="463"/>
      <c r="BA178" s="463"/>
      <c r="BB178" s="463"/>
      <c r="BC178" s="463"/>
      <c r="BD178" s="463"/>
      <c r="BE178" s="463"/>
      <c r="BF178" s="463"/>
      <c r="BG178" s="463"/>
      <c r="BH178" s="463"/>
      <c r="BI178" s="463"/>
      <c r="BJ178" s="463"/>
    </row>
    <row r="179" customFormat="false" ht="20.25" hidden="false" customHeight="true" outlineLevel="0" collapsed="false">
      <c r="A179" s="465" t="s">
        <v>985</v>
      </c>
      <c r="B179" s="465"/>
      <c r="C179" s="472" t="s">
        <v>986</v>
      </c>
      <c r="D179" s="500" t="s">
        <v>987</v>
      </c>
      <c r="E179" s="465" t="s">
        <v>568</v>
      </c>
      <c r="F179" s="465" t="s">
        <v>985</v>
      </c>
      <c r="G179" s="472" t="s">
        <v>988</v>
      </c>
      <c r="H179" s="480" t="n">
        <v>250000</v>
      </c>
      <c r="I179" s="467"/>
      <c r="J179" s="465"/>
      <c r="K179" s="539"/>
      <c r="L179" s="578"/>
      <c r="M179" s="556"/>
      <c r="N179" s="556"/>
      <c r="O179" s="499"/>
    </row>
    <row r="180" customFormat="false" ht="20.25" hidden="false" customHeight="true" outlineLevel="0" collapsed="false">
      <c r="A180" s="465" t="s">
        <v>989</v>
      </c>
      <c r="B180" s="465"/>
      <c r="C180" s="472" t="s">
        <v>990</v>
      </c>
      <c r="D180" s="500" t="s">
        <v>991</v>
      </c>
      <c r="E180" s="465" t="s">
        <v>158</v>
      </c>
      <c r="F180" s="465" t="s">
        <v>989</v>
      </c>
      <c r="G180" s="472" t="s">
        <v>992</v>
      </c>
      <c r="H180" s="480" t="n">
        <v>300000</v>
      </c>
      <c r="I180" s="525"/>
      <c r="J180" s="465"/>
      <c r="K180" s="465"/>
      <c r="L180" s="499"/>
      <c r="M180" s="556"/>
      <c r="N180" s="556"/>
      <c r="O180" s="499"/>
      <c r="P180" s="463"/>
      <c r="Q180" s="463"/>
      <c r="R180" s="463"/>
      <c r="S180" s="463"/>
      <c r="T180" s="463"/>
      <c r="U180" s="463"/>
      <c r="V180" s="463"/>
      <c r="W180" s="463"/>
      <c r="X180" s="463"/>
      <c r="Y180" s="463"/>
      <c r="Z180" s="463"/>
      <c r="AA180" s="463"/>
      <c r="AB180" s="463"/>
      <c r="AC180" s="463"/>
      <c r="AD180" s="463"/>
      <c r="AE180" s="463"/>
      <c r="AF180" s="463"/>
      <c r="AG180" s="463"/>
      <c r="AH180" s="463"/>
      <c r="AI180" s="463"/>
      <c r="AJ180" s="463"/>
      <c r="AK180" s="463"/>
      <c r="AL180" s="463"/>
      <c r="AM180" s="463"/>
      <c r="AN180" s="463"/>
      <c r="AO180" s="463"/>
      <c r="AP180" s="463"/>
      <c r="AQ180" s="463"/>
      <c r="AR180" s="463"/>
      <c r="AS180" s="463"/>
      <c r="AT180" s="463"/>
      <c r="AU180" s="463"/>
      <c r="AV180" s="463"/>
      <c r="AW180" s="463"/>
      <c r="AX180" s="463"/>
      <c r="AY180" s="463"/>
      <c r="AZ180" s="463"/>
      <c r="BA180" s="463"/>
      <c r="BB180" s="463"/>
      <c r="BC180" s="463"/>
      <c r="BD180" s="463"/>
      <c r="BE180" s="463"/>
      <c r="BF180" s="463"/>
      <c r="BG180" s="463"/>
      <c r="BH180" s="463"/>
      <c r="BI180" s="463"/>
      <c r="BJ180" s="463"/>
    </row>
    <row r="181" customFormat="false" ht="20.25" hidden="false" customHeight="true" outlineLevel="0" collapsed="false">
      <c r="A181" s="537" t="s">
        <v>993</v>
      </c>
      <c r="B181" s="465"/>
      <c r="C181" s="451" t="s">
        <v>994</v>
      </c>
      <c r="D181" s="500" t="s">
        <v>995</v>
      </c>
      <c r="E181" s="465" t="s">
        <v>996</v>
      </c>
      <c r="F181" s="465" t="s">
        <v>993</v>
      </c>
      <c r="G181" s="472" t="s">
        <v>997</v>
      </c>
      <c r="H181" s="467" t="n">
        <v>350000</v>
      </c>
      <c r="I181" s="537"/>
      <c r="J181" s="469"/>
      <c r="K181" s="539"/>
      <c r="L181" s="578"/>
      <c r="M181" s="556"/>
      <c r="N181" s="556"/>
      <c r="O181" s="499"/>
    </row>
    <row r="182" customFormat="false" ht="20.25" hidden="false" customHeight="true" outlineLevel="0" collapsed="false">
      <c r="A182" s="465" t="s">
        <v>998</v>
      </c>
      <c r="B182" s="465"/>
      <c r="C182" s="472" t="s">
        <v>999</v>
      </c>
      <c r="D182" s="500" t="s">
        <v>1000</v>
      </c>
      <c r="E182" s="465" t="s">
        <v>158</v>
      </c>
      <c r="F182" s="465" t="s">
        <v>998</v>
      </c>
      <c r="G182" s="472" t="s">
        <v>1001</v>
      </c>
      <c r="H182" s="480" t="n">
        <v>150000</v>
      </c>
      <c r="I182" s="525"/>
      <c r="J182" s="465"/>
      <c r="K182" s="465"/>
      <c r="L182" s="578"/>
      <c r="M182" s="556"/>
      <c r="N182" s="556"/>
      <c r="O182" s="499"/>
      <c r="Q182" s="627"/>
      <c r="R182" s="628"/>
      <c r="S182" s="629"/>
      <c r="T182" s="481"/>
      <c r="U182" s="479"/>
      <c r="V182" s="565"/>
      <c r="Y182" s="630"/>
      <c r="Z182" s="630"/>
      <c r="AA182" s="630"/>
      <c r="AB182" s="630"/>
      <c r="AC182" s="630"/>
      <c r="AD182" s="630"/>
      <c r="AE182" s="630"/>
      <c r="AF182" s="630"/>
      <c r="AG182" s="630"/>
      <c r="AH182" s="630"/>
      <c r="AI182" s="630"/>
      <c r="AJ182" s="630"/>
      <c r="AK182" s="630"/>
      <c r="AL182" s="630"/>
      <c r="AM182" s="630"/>
      <c r="AN182" s="630"/>
      <c r="AO182" s="630"/>
      <c r="AP182" s="630"/>
      <c r="AQ182" s="630"/>
      <c r="AR182" s="630"/>
      <c r="AS182" s="630"/>
      <c r="AT182" s="630"/>
      <c r="AU182" s="630"/>
      <c r="AV182" s="630"/>
      <c r="AW182" s="630"/>
      <c r="AX182" s="630"/>
      <c r="AY182" s="630"/>
      <c r="AZ182" s="630"/>
      <c r="BA182" s="630"/>
      <c r="BB182" s="630"/>
      <c r="BC182" s="630"/>
      <c r="BD182" s="630"/>
      <c r="BE182" s="630"/>
      <c r="BF182" s="630"/>
      <c r="BG182" s="630"/>
      <c r="BH182" s="630"/>
      <c r="BI182" s="630"/>
      <c r="BJ182" s="630"/>
      <c r="BK182" s="630"/>
      <c r="BL182" s="630"/>
      <c r="BM182" s="630"/>
      <c r="BN182" s="630"/>
      <c r="BO182" s="630"/>
      <c r="BP182" s="630"/>
      <c r="BQ182" s="630"/>
      <c r="BR182" s="630"/>
      <c r="BS182" s="630"/>
      <c r="BT182" s="630"/>
      <c r="BU182" s="630"/>
      <c r="BV182" s="630"/>
      <c r="BW182" s="630"/>
      <c r="BX182" s="630"/>
      <c r="BY182" s="630"/>
      <c r="BZ182" s="630"/>
      <c r="CA182" s="630"/>
      <c r="CB182" s="630"/>
      <c r="CC182" s="630"/>
      <c r="CD182" s="630"/>
      <c r="CE182" s="630"/>
      <c r="CF182" s="630"/>
      <c r="CG182" s="630"/>
      <c r="CH182" s="630"/>
      <c r="CI182" s="630"/>
      <c r="CJ182" s="630"/>
      <c r="CK182" s="630"/>
      <c r="CL182" s="630"/>
      <c r="CM182" s="630"/>
      <c r="CN182" s="630"/>
      <c r="CO182" s="630"/>
      <c r="CP182" s="630"/>
      <c r="CQ182" s="630"/>
      <c r="CR182" s="630"/>
      <c r="CS182" s="630"/>
      <c r="CT182" s="630"/>
      <c r="CU182" s="630"/>
      <c r="CV182" s="630"/>
      <c r="CW182" s="630"/>
      <c r="CX182" s="630"/>
      <c r="CY182" s="630"/>
      <c r="CZ182" s="630"/>
      <c r="DA182" s="630"/>
      <c r="DB182" s="630"/>
      <c r="DC182" s="630"/>
      <c r="DD182" s="630"/>
      <c r="DE182" s="630"/>
      <c r="DF182" s="630"/>
      <c r="DG182" s="630"/>
      <c r="DH182" s="630"/>
      <c r="DI182" s="630"/>
      <c r="DJ182" s="630"/>
      <c r="DK182" s="630"/>
      <c r="DL182" s="630"/>
      <c r="DM182" s="630"/>
      <c r="DN182" s="630"/>
      <c r="DO182" s="630"/>
      <c r="DP182" s="630"/>
      <c r="DQ182" s="630"/>
      <c r="DR182" s="630"/>
      <c r="DS182" s="630"/>
      <c r="DT182" s="630"/>
      <c r="DU182" s="630"/>
      <c r="DV182" s="630"/>
      <c r="DW182" s="630"/>
      <c r="DX182" s="630"/>
      <c r="DY182" s="630"/>
      <c r="DZ182" s="630"/>
      <c r="EA182" s="630"/>
      <c r="EB182" s="630"/>
      <c r="EC182" s="630"/>
      <c r="ED182" s="630"/>
      <c r="EE182" s="630"/>
      <c r="EF182" s="630"/>
      <c r="EG182" s="630"/>
      <c r="EH182" s="630"/>
      <c r="EI182" s="630"/>
      <c r="EJ182" s="630"/>
      <c r="EK182" s="630"/>
      <c r="EL182" s="630"/>
      <c r="EM182" s="630"/>
      <c r="EN182" s="630"/>
      <c r="EO182" s="630"/>
      <c r="EP182" s="630"/>
      <c r="EQ182" s="630"/>
      <c r="ER182" s="630"/>
      <c r="ES182" s="630"/>
      <c r="ET182" s="630"/>
      <c r="EU182" s="630"/>
      <c r="EV182" s="630"/>
      <c r="EW182" s="630"/>
      <c r="EX182" s="630"/>
      <c r="EY182" s="630"/>
      <c r="EZ182" s="630"/>
      <c r="FA182" s="630"/>
      <c r="FB182" s="630"/>
      <c r="FC182" s="630"/>
      <c r="FD182" s="630"/>
      <c r="FE182" s="630"/>
      <c r="FF182" s="630"/>
      <c r="FG182" s="630"/>
      <c r="FH182" s="630"/>
      <c r="FI182" s="630"/>
      <c r="FJ182" s="630"/>
      <c r="FK182" s="630"/>
      <c r="FL182" s="630"/>
      <c r="FM182" s="630"/>
      <c r="FN182" s="630"/>
      <c r="FO182" s="630"/>
      <c r="FP182" s="630"/>
      <c r="FQ182" s="630"/>
      <c r="FR182" s="630"/>
      <c r="FS182" s="630"/>
      <c r="FT182" s="630"/>
      <c r="FU182" s="630"/>
      <c r="FV182" s="630"/>
      <c r="FW182" s="630"/>
      <c r="FX182" s="630"/>
      <c r="FY182" s="630"/>
      <c r="FZ182" s="630"/>
      <c r="GA182" s="630"/>
      <c r="GB182" s="630"/>
      <c r="GC182" s="630"/>
      <c r="GD182" s="630"/>
      <c r="GE182" s="630"/>
      <c r="GF182" s="630"/>
      <c r="GG182" s="630"/>
      <c r="GH182" s="630"/>
      <c r="GI182" s="630"/>
      <c r="GJ182" s="630"/>
      <c r="GK182" s="630"/>
      <c r="GL182" s="630"/>
      <c r="GM182" s="630"/>
      <c r="GN182" s="630"/>
      <c r="GO182" s="630"/>
      <c r="GP182" s="630"/>
      <c r="GQ182" s="630"/>
      <c r="GR182" s="630"/>
      <c r="GS182" s="630"/>
      <c r="GT182" s="630"/>
      <c r="GU182" s="630"/>
      <c r="GV182" s="630"/>
      <c r="GW182" s="630"/>
      <c r="GX182" s="630"/>
      <c r="GY182" s="630"/>
      <c r="GZ182" s="630"/>
      <c r="HA182" s="630"/>
      <c r="HB182" s="630"/>
      <c r="HC182" s="630"/>
      <c r="HD182" s="630"/>
      <c r="HE182" s="630"/>
      <c r="HF182" s="630"/>
      <c r="HG182" s="630"/>
      <c r="HH182" s="630"/>
      <c r="HI182" s="630"/>
      <c r="HJ182" s="630"/>
      <c r="HK182" s="630"/>
      <c r="HL182" s="630"/>
      <c r="HM182" s="630"/>
      <c r="HN182" s="630"/>
      <c r="HO182" s="630"/>
      <c r="HP182" s="630"/>
      <c r="HQ182" s="630"/>
      <c r="HR182" s="630"/>
      <c r="HS182" s="630"/>
      <c r="HT182" s="630"/>
      <c r="HU182" s="630"/>
      <c r="HV182" s="630"/>
      <c r="HW182" s="630"/>
      <c r="HX182" s="630"/>
      <c r="HY182" s="630"/>
      <c r="HZ182" s="630"/>
      <c r="IA182" s="630"/>
      <c r="IB182" s="630"/>
      <c r="IC182" s="630"/>
      <c r="ID182" s="630"/>
      <c r="IE182" s="630"/>
      <c r="IF182" s="630"/>
      <c r="IG182" s="630"/>
      <c r="IH182" s="630"/>
      <c r="II182" s="630"/>
      <c r="IJ182" s="630"/>
      <c r="IK182" s="630"/>
      <c r="IL182" s="630"/>
      <c r="IM182" s="630"/>
      <c r="IN182" s="630"/>
      <c r="IO182" s="630"/>
      <c r="IP182" s="630"/>
      <c r="IQ182" s="630"/>
      <c r="IR182" s="630"/>
      <c r="IS182" s="630"/>
      <c r="IT182" s="630"/>
      <c r="IU182" s="630"/>
      <c r="IV182" s="630"/>
    </row>
    <row r="183" customFormat="false" ht="20.25" hidden="false" customHeight="true" outlineLevel="0" collapsed="false">
      <c r="A183" s="465" t="s">
        <v>1002</v>
      </c>
      <c r="B183" s="465"/>
      <c r="C183" s="472" t="s">
        <v>1003</v>
      </c>
      <c r="D183" s="500" t="s">
        <v>1004</v>
      </c>
      <c r="E183" s="465" t="s">
        <v>158</v>
      </c>
      <c r="F183" s="465" t="s">
        <v>1002</v>
      </c>
      <c r="G183" s="472" t="s">
        <v>1005</v>
      </c>
      <c r="H183" s="480" t="n">
        <v>170000</v>
      </c>
      <c r="I183" s="525"/>
      <c r="J183" s="465"/>
      <c r="K183" s="465" t="n">
        <v>55549</v>
      </c>
      <c r="L183" s="500" t="s">
        <v>1006</v>
      </c>
      <c r="M183" s="556"/>
      <c r="N183" s="556"/>
      <c r="O183" s="499"/>
      <c r="P183" s="463"/>
      <c r="Q183" s="477"/>
      <c r="R183" s="477"/>
      <c r="S183" s="559"/>
      <c r="T183" s="481"/>
      <c r="U183" s="479"/>
      <c r="V183" s="498"/>
      <c r="W183" s="463"/>
      <c r="X183" s="463"/>
      <c r="Y183" s="463"/>
      <c r="Z183" s="463"/>
      <c r="AA183" s="463"/>
      <c r="AB183" s="463"/>
      <c r="AC183" s="463"/>
      <c r="AD183" s="463"/>
      <c r="AE183" s="463"/>
      <c r="AF183" s="463"/>
      <c r="AG183" s="463"/>
      <c r="AH183" s="463"/>
      <c r="AI183" s="463"/>
      <c r="AJ183" s="463"/>
      <c r="AK183" s="463"/>
      <c r="AL183" s="463"/>
      <c r="AM183" s="463"/>
      <c r="AN183" s="463"/>
      <c r="AO183" s="463"/>
      <c r="AP183" s="463"/>
      <c r="AQ183" s="463"/>
      <c r="AR183" s="463"/>
      <c r="AS183" s="463"/>
      <c r="AT183" s="463"/>
      <c r="AU183" s="463"/>
      <c r="AV183" s="463"/>
      <c r="AW183" s="463"/>
      <c r="AX183" s="463"/>
      <c r="AY183" s="463"/>
      <c r="AZ183" s="463"/>
      <c r="BA183" s="463"/>
      <c r="BB183" s="463"/>
      <c r="BC183" s="463"/>
      <c r="BD183" s="463"/>
      <c r="BE183" s="463"/>
      <c r="BF183" s="463"/>
      <c r="BG183" s="463"/>
      <c r="BH183" s="463"/>
      <c r="BI183" s="463"/>
      <c r="BJ183" s="463"/>
    </row>
    <row r="184" customFormat="false" ht="20.25" hidden="false" customHeight="true" outlineLevel="0" collapsed="false">
      <c r="A184" s="465" t="s">
        <v>68</v>
      </c>
      <c r="B184" s="465"/>
      <c r="C184" s="472" t="s">
        <v>776</v>
      </c>
      <c r="D184" s="500" t="s">
        <v>1007</v>
      </c>
      <c r="E184" s="465" t="s">
        <v>158</v>
      </c>
      <c r="F184" s="465" t="s">
        <v>68</v>
      </c>
      <c r="G184" s="472" t="s">
        <v>778</v>
      </c>
      <c r="H184" s="480" t="n">
        <v>200000</v>
      </c>
      <c r="I184" s="525"/>
      <c r="J184" s="465"/>
      <c r="K184" s="465" t="n">
        <v>28751</v>
      </c>
      <c r="L184" s="631"/>
      <c r="M184" s="556"/>
      <c r="N184" s="556"/>
      <c r="O184" s="499"/>
      <c r="P184" s="463"/>
      <c r="Q184" s="477"/>
      <c r="R184" s="477"/>
      <c r="S184" s="559"/>
      <c r="T184" s="481"/>
      <c r="U184" s="479"/>
      <c r="V184" s="498"/>
      <c r="W184" s="463"/>
      <c r="X184" s="463"/>
      <c r="Y184" s="463"/>
      <c r="Z184" s="463"/>
      <c r="AA184" s="463"/>
      <c r="AB184" s="463"/>
      <c r="AC184" s="463"/>
      <c r="AD184" s="463"/>
      <c r="AE184" s="463"/>
      <c r="AF184" s="463"/>
      <c r="AG184" s="463"/>
      <c r="AH184" s="463"/>
      <c r="AI184" s="463"/>
      <c r="AJ184" s="463"/>
      <c r="AK184" s="463"/>
      <c r="AL184" s="463"/>
      <c r="AM184" s="463"/>
      <c r="AN184" s="463"/>
      <c r="AO184" s="463"/>
      <c r="AP184" s="463"/>
      <c r="AQ184" s="463"/>
      <c r="AR184" s="463"/>
      <c r="AS184" s="463"/>
      <c r="AT184" s="463"/>
      <c r="AU184" s="463"/>
      <c r="AV184" s="463"/>
      <c r="AW184" s="463"/>
      <c r="AX184" s="463"/>
      <c r="AY184" s="463"/>
      <c r="AZ184" s="463"/>
      <c r="BA184" s="463"/>
      <c r="BB184" s="463"/>
      <c r="BC184" s="463"/>
      <c r="BD184" s="463"/>
      <c r="BE184" s="463"/>
      <c r="BF184" s="463"/>
      <c r="BG184" s="463"/>
      <c r="BH184" s="463"/>
      <c r="BI184" s="463"/>
      <c r="BJ184" s="463"/>
    </row>
    <row r="185" customFormat="false" ht="20.25" hidden="false" customHeight="true" outlineLevel="0" collapsed="false">
      <c r="A185" s="465" t="s">
        <v>75</v>
      </c>
      <c r="B185" s="465"/>
      <c r="C185" s="472" t="s">
        <v>1008</v>
      </c>
      <c r="D185" s="500" t="s">
        <v>1009</v>
      </c>
      <c r="E185" s="465" t="s">
        <v>158</v>
      </c>
      <c r="F185" s="465" t="s">
        <v>75</v>
      </c>
      <c r="G185" s="472" t="s">
        <v>1010</v>
      </c>
      <c r="H185" s="480" t="n">
        <v>170000</v>
      </c>
      <c r="I185" s="525" t="s">
        <v>1011</v>
      </c>
      <c r="J185" s="465"/>
      <c r="K185" s="465"/>
      <c r="L185" s="631"/>
      <c r="M185" s="556"/>
      <c r="N185" s="556"/>
      <c r="O185" s="499"/>
      <c r="P185" s="463"/>
      <c r="Q185" s="477"/>
      <c r="R185" s="477"/>
      <c r="S185" s="559"/>
      <c r="T185" s="481"/>
      <c r="U185" s="479"/>
      <c r="V185" s="498"/>
      <c r="W185" s="463"/>
      <c r="X185" s="463"/>
      <c r="Y185" s="463"/>
      <c r="Z185" s="463"/>
      <c r="AA185" s="463"/>
      <c r="AB185" s="463"/>
      <c r="AC185" s="463"/>
      <c r="AD185" s="463"/>
      <c r="AE185" s="463"/>
      <c r="AF185" s="463"/>
      <c r="AG185" s="463"/>
      <c r="AH185" s="463"/>
      <c r="AI185" s="463"/>
      <c r="AJ185" s="463"/>
      <c r="AK185" s="463"/>
      <c r="AL185" s="463"/>
      <c r="AM185" s="463"/>
      <c r="AN185" s="463"/>
      <c r="AO185" s="463"/>
      <c r="AP185" s="463"/>
      <c r="AQ185" s="463"/>
      <c r="AR185" s="463"/>
      <c r="AS185" s="463"/>
      <c r="AT185" s="463"/>
      <c r="AU185" s="463"/>
      <c r="AV185" s="463"/>
      <c r="AW185" s="463"/>
      <c r="AX185" s="463"/>
      <c r="AY185" s="463"/>
      <c r="AZ185" s="463"/>
      <c r="BA185" s="463"/>
      <c r="BB185" s="463"/>
      <c r="BC185" s="463"/>
      <c r="BD185" s="463"/>
      <c r="BE185" s="463"/>
      <c r="BF185" s="463"/>
      <c r="BG185" s="463"/>
      <c r="BH185" s="463"/>
      <c r="BI185" s="463"/>
      <c r="BJ185" s="463"/>
    </row>
    <row r="186" customFormat="false" ht="20.25" hidden="false" customHeight="true" outlineLevel="0" collapsed="false">
      <c r="A186" s="465" t="s">
        <v>63</v>
      </c>
      <c r="B186" s="465"/>
      <c r="C186" s="472" t="s">
        <v>1012</v>
      </c>
      <c r="D186" s="500" t="s">
        <v>1013</v>
      </c>
      <c r="E186" s="465" t="s">
        <v>863</v>
      </c>
      <c r="F186" s="465" t="s">
        <v>63</v>
      </c>
      <c r="G186" s="472" t="s">
        <v>1014</v>
      </c>
      <c r="H186" s="480" t="n">
        <v>150000</v>
      </c>
      <c r="I186" s="525"/>
      <c r="J186" s="465"/>
      <c r="K186" s="465"/>
      <c r="L186" s="631"/>
      <c r="M186" s="556"/>
      <c r="N186" s="556"/>
      <c r="O186" s="499"/>
      <c r="P186" s="463"/>
      <c r="Q186" s="477"/>
      <c r="R186" s="477"/>
      <c r="S186" s="559"/>
      <c r="T186" s="481"/>
      <c r="U186" s="479"/>
      <c r="V186" s="498"/>
      <c r="W186" s="463"/>
      <c r="X186" s="463"/>
      <c r="Y186" s="463"/>
      <c r="Z186" s="463"/>
      <c r="AA186" s="463"/>
      <c r="AB186" s="463"/>
      <c r="AC186" s="463"/>
      <c r="AD186" s="463"/>
      <c r="AE186" s="463"/>
      <c r="AF186" s="463"/>
      <c r="AG186" s="463"/>
      <c r="AH186" s="463"/>
      <c r="AI186" s="463"/>
      <c r="AJ186" s="463"/>
      <c r="AK186" s="463"/>
      <c r="AL186" s="463"/>
      <c r="AM186" s="463"/>
      <c r="AN186" s="463"/>
      <c r="AO186" s="463"/>
      <c r="AP186" s="463"/>
      <c r="AQ186" s="463"/>
      <c r="AR186" s="463"/>
      <c r="AS186" s="463"/>
      <c r="AT186" s="463"/>
      <c r="AU186" s="463"/>
      <c r="AV186" s="463"/>
      <c r="AW186" s="463"/>
      <c r="AX186" s="463"/>
      <c r="AY186" s="463"/>
      <c r="AZ186" s="463"/>
      <c r="BA186" s="463"/>
      <c r="BB186" s="463"/>
      <c r="BC186" s="463"/>
      <c r="BD186" s="463"/>
      <c r="BE186" s="463"/>
      <c r="BF186" s="463"/>
      <c r="BG186" s="463"/>
      <c r="BH186" s="463"/>
      <c r="BI186" s="463"/>
      <c r="BJ186" s="463"/>
    </row>
    <row r="187" customFormat="false" ht="20.25" hidden="false" customHeight="true" outlineLevel="0" collapsed="false">
      <c r="A187" s="465" t="s">
        <v>1015</v>
      </c>
      <c r="B187" s="465"/>
      <c r="C187" s="472" t="s">
        <v>1016</v>
      </c>
      <c r="D187" s="500" t="s">
        <v>1017</v>
      </c>
      <c r="E187" s="465" t="s">
        <v>353</v>
      </c>
      <c r="F187" s="465" t="s">
        <v>1018</v>
      </c>
      <c r="G187" s="472" t="s">
        <v>1019</v>
      </c>
      <c r="H187" s="480" t="n">
        <v>300000</v>
      </c>
      <c r="I187" s="525"/>
      <c r="J187" s="465"/>
      <c r="K187" s="465"/>
      <c r="L187" s="631"/>
      <c r="M187" s="556"/>
      <c r="N187" s="556"/>
      <c r="O187" s="499"/>
      <c r="P187" s="463"/>
      <c r="Q187" s="477"/>
      <c r="R187" s="477"/>
      <c r="S187" s="559"/>
      <c r="T187" s="481"/>
      <c r="U187" s="479"/>
      <c r="V187" s="498"/>
      <c r="W187" s="463"/>
      <c r="X187" s="463"/>
      <c r="Y187" s="463"/>
      <c r="Z187" s="463"/>
      <c r="AA187" s="463"/>
      <c r="AB187" s="463"/>
      <c r="AC187" s="463"/>
      <c r="AD187" s="463"/>
      <c r="AE187" s="463"/>
      <c r="AF187" s="463"/>
      <c r="AG187" s="463"/>
      <c r="AH187" s="463"/>
      <c r="AI187" s="463"/>
      <c r="AJ187" s="463"/>
      <c r="AK187" s="463"/>
      <c r="AL187" s="463"/>
      <c r="AM187" s="463"/>
      <c r="AN187" s="463"/>
      <c r="AO187" s="463"/>
      <c r="AP187" s="463"/>
      <c r="AQ187" s="463"/>
      <c r="AR187" s="463"/>
      <c r="AS187" s="463"/>
      <c r="AT187" s="463"/>
      <c r="AU187" s="463"/>
      <c r="AV187" s="463"/>
      <c r="AW187" s="463"/>
      <c r="AX187" s="463"/>
      <c r="AY187" s="463"/>
      <c r="AZ187" s="463"/>
      <c r="BA187" s="463"/>
      <c r="BB187" s="463"/>
      <c r="BC187" s="463"/>
      <c r="BD187" s="463"/>
      <c r="BE187" s="463"/>
      <c r="BF187" s="463"/>
      <c r="BG187" s="463"/>
      <c r="BH187" s="463"/>
      <c r="BI187" s="463"/>
      <c r="BJ187" s="463"/>
    </row>
    <row r="188" customFormat="false" ht="20.25" hidden="false" customHeight="true" outlineLevel="0" collapsed="false">
      <c r="A188" s="465" t="s">
        <v>1020</v>
      </c>
      <c r="B188" s="465"/>
      <c r="C188" s="472" t="s">
        <v>1021</v>
      </c>
      <c r="D188" s="500" t="s">
        <v>1022</v>
      </c>
      <c r="E188" s="465" t="s">
        <v>158</v>
      </c>
      <c r="F188" s="465" t="s">
        <v>1020</v>
      </c>
      <c r="G188" s="472" t="s">
        <v>1023</v>
      </c>
      <c r="H188" s="480" t="n">
        <v>300000</v>
      </c>
      <c r="I188" s="525"/>
      <c r="J188" s="465"/>
      <c r="K188" s="465"/>
      <c r="L188" s="631"/>
      <c r="M188" s="556"/>
      <c r="N188" s="556"/>
      <c r="O188" s="499"/>
      <c r="P188" s="463"/>
      <c r="Q188" s="477"/>
      <c r="R188" s="477"/>
      <c r="S188" s="559"/>
      <c r="T188" s="481"/>
      <c r="U188" s="479"/>
      <c r="V188" s="498"/>
      <c r="W188" s="463"/>
      <c r="X188" s="463"/>
      <c r="Y188" s="463"/>
      <c r="Z188" s="463"/>
      <c r="AA188" s="463"/>
      <c r="AB188" s="463"/>
      <c r="AC188" s="463"/>
      <c r="AD188" s="463"/>
      <c r="AE188" s="463"/>
      <c r="AF188" s="463"/>
      <c r="AG188" s="463"/>
      <c r="AH188" s="463"/>
      <c r="AI188" s="463"/>
      <c r="AJ188" s="463"/>
      <c r="AK188" s="463"/>
      <c r="AL188" s="463"/>
      <c r="AM188" s="463"/>
      <c r="AN188" s="463"/>
      <c r="AO188" s="463"/>
      <c r="AP188" s="463"/>
      <c r="AQ188" s="463"/>
      <c r="AR188" s="463"/>
      <c r="AS188" s="463"/>
      <c r="AT188" s="463"/>
      <c r="AU188" s="463"/>
      <c r="AV188" s="463"/>
      <c r="AW188" s="463"/>
      <c r="AX188" s="463"/>
      <c r="AY188" s="463"/>
      <c r="AZ188" s="463"/>
      <c r="BA188" s="463"/>
      <c r="BB188" s="463"/>
      <c r="BC188" s="463"/>
      <c r="BD188" s="463"/>
      <c r="BE188" s="463"/>
      <c r="BF188" s="463"/>
      <c r="BG188" s="463"/>
      <c r="BH188" s="463"/>
      <c r="BI188" s="463"/>
      <c r="BJ188" s="463"/>
    </row>
    <row r="189" customFormat="false" ht="20.25" hidden="false" customHeight="true" outlineLevel="0" collapsed="false">
      <c r="A189" s="465" t="s">
        <v>1024</v>
      </c>
      <c r="B189" s="465"/>
      <c r="C189" s="472" t="s">
        <v>1025</v>
      </c>
      <c r="D189" s="500" t="s">
        <v>1022</v>
      </c>
      <c r="E189" s="465" t="s">
        <v>158</v>
      </c>
      <c r="F189" s="465" t="s">
        <v>1024</v>
      </c>
      <c r="G189" s="472" t="s">
        <v>1026</v>
      </c>
      <c r="H189" s="480" t="n">
        <v>220000</v>
      </c>
      <c r="I189" s="525"/>
      <c r="J189" s="465"/>
      <c r="K189" s="465"/>
      <c r="L189" s="631"/>
      <c r="M189" s="556"/>
      <c r="N189" s="556"/>
      <c r="O189" s="499"/>
      <c r="P189" s="463"/>
      <c r="Q189" s="477"/>
      <c r="R189" s="477"/>
      <c r="S189" s="559"/>
      <c r="T189" s="481"/>
      <c r="U189" s="479"/>
      <c r="V189" s="498"/>
      <c r="W189" s="463"/>
      <c r="X189" s="463"/>
      <c r="Y189" s="463"/>
      <c r="Z189" s="463"/>
      <c r="AA189" s="463"/>
      <c r="AB189" s="463"/>
      <c r="AC189" s="463"/>
      <c r="AD189" s="463"/>
      <c r="AE189" s="463"/>
      <c r="AF189" s="463"/>
      <c r="AG189" s="463"/>
      <c r="AH189" s="463"/>
      <c r="AI189" s="463"/>
      <c r="AJ189" s="463"/>
      <c r="AK189" s="463"/>
      <c r="AL189" s="463"/>
      <c r="AM189" s="463"/>
      <c r="AN189" s="463"/>
      <c r="AO189" s="463"/>
      <c r="AP189" s="463"/>
      <c r="AQ189" s="463"/>
      <c r="AR189" s="463"/>
      <c r="AS189" s="463"/>
      <c r="AT189" s="463"/>
      <c r="AU189" s="463"/>
      <c r="AV189" s="463"/>
      <c r="AW189" s="463"/>
      <c r="AX189" s="463"/>
      <c r="AY189" s="463"/>
      <c r="AZ189" s="463"/>
      <c r="BA189" s="463"/>
      <c r="BB189" s="463"/>
      <c r="BC189" s="463"/>
      <c r="BD189" s="463"/>
      <c r="BE189" s="463"/>
      <c r="BF189" s="463"/>
      <c r="BG189" s="463"/>
      <c r="BH189" s="463"/>
      <c r="BI189" s="463"/>
      <c r="BJ189" s="463"/>
    </row>
    <row r="190" customFormat="false" ht="20.25" hidden="false" customHeight="true" outlineLevel="0" collapsed="false">
      <c r="A190" s="465" t="s">
        <v>1027</v>
      </c>
      <c r="B190" s="465"/>
      <c r="C190" s="472" t="s">
        <v>1028</v>
      </c>
      <c r="D190" s="500" t="s">
        <v>1029</v>
      </c>
      <c r="E190" s="465" t="s">
        <v>158</v>
      </c>
      <c r="F190" s="465" t="s">
        <v>1027</v>
      </c>
      <c r="G190" s="472" t="s">
        <v>1030</v>
      </c>
      <c r="H190" s="480" t="n">
        <v>200000</v>
      </c>
      <c r="I190" s="525"/>
      <c r="J190" s="465"/>
      <c r="K190" s="465"/>
      <c r="L190" s="631"/>
      <c r="M190" s="556"/>
      <c r="N190" s="556"/>
      <c r="O190" s="499"/>
      <c r="P190" s="463"/>
      <c r="Q190" s="477"/>
      <c r="R190" s="477"/>
      <c r="S190" s="559"/>
      <c r="T190" s="481"/>
      <c r="U190" s="479"/>
      <c r="V190" s="498"/>
      <c r="W190" s="463"/>
      <c r="X190" s="463"/>
      <c r="Y190" s="463"/>
      <c r="Z190" s="463"/>
      <c r="AA190" s="463"/>
      <c r="AB190" s="463"/>
      <c r="AC190" s="463"/>
      <c r="AD190" s="463"/>
      <c r="AE190" s="463"/>
      <c r="AF190" s="463"/>
      <c r="AG190" s="463"/>
      <c r="AH190" s="463"/>
      <c r="AI190" s="463"/>
      <c r="AJ190" s="463"/>
      <c r="AK190" s="463"/>
      <c r="AL190" s="463"/>
      <c r="AM190" s="463"/>
      <c r="AN190" s="463"/>
      <c r="AO190" s="463"/>
      <c r="AP190" s="463"/>
      <c r="AQ190" s="463"/>
      <c r="AR190" s="463"/>
      <c r="AS190" s="463"/>
      <c r="AT190" s="463"/>
      <c r="AU190" s="463"/>
      <c r="AV190" s="463"/>
      <c r="AW190" s="463"/>
      <c r="AX190" s="463"/>
      <c r="AY190" s="463"/>
      <c r="AZ190" s="463"/>
      <c r="BA190" s="463"/>
      <c r="BB190" s="463"/>
      <c r="BC190" s="463"/>
      <c r="BD190" s="463"/>
      <c r="BE190" s="463"/>
      <c r="BF190" s="463"/>
      <c r="BG190" s="463"/>
      <c r="BH190" s="463"/>
      <c r="BI190" s="463"/>
      <c r="BJ190" s="463"/>
    </row>
    <row r="191" customFormat="false" ht="20.25" hidden="false" customHeight="true" outlineLevel="0" collapsed="false">
      <c r="A191" s="465" t="s">
        <v>106</v>
      </c>
      <c r="B191" s="465"/>
      <c r="C191" s="465"/>
      <c r="D191" s="500"/>
      <c r="E191" s="465"/>
      <c r="F191" s="465"/>
      <c r="G191" s="465"/>
      <c r="H191" s="480"/>
      <c r="I191" s="525"/>
      <c r="J191" s="465"/>
      <c r="K191" s="465"/>
      <c r="L191" s="631"/>
      <c r="M191" s="556"/>
      <c r="N191" s="556"/>
      <c r="O191" s="499"/>
      <c r="P191" s="463"/>
      <c r="Q191" s="477"/>
      <c r="R191" s="477"/>
      <c r="S191" s="559"/>
      <c r="T191" s="481"/>
      <c r="U191" s="479"/>
      <c r="V191" s="498"/>
      <c r="W191" s="463"/>
      <c r="X191" s="463"/>
      <c r="Y191" s="463"/>
      <c r="Z191" s="463"/>
      <c r="AA191" s="463"/>
      <c r="AB191" s="463"/>
      <c r="AC191" s="463"/>
      <c r="AD191" s="463"/>
      <c r="AE191" s="463"/>
      <c r="AF191" s="463"/>
      <c r="AG191" s="463"/>
      <c r="AH191" s="463"/>
      <c r="AI191" s="463"/>
      <c r="AJ191" s="463"/>
      <c r="AK191" s="463"/>
      <c r="AL191" s="463"/>
      <c r="AM191" s="463"/>
      <c r="AN191" s="463"/>
      <c r="AO191" s="463"/>
      <c r="AP191" s="463"/>
      <c r="AQ191" s="463"/>
      <c r="AR191" s="463"/>
      <c r="AS191" s="463"/>
      <c r="AT191" s="463"/>
      <c r="AU191" s="463"/>
      <c r="AV191" s="463"/>
      <c r="AW191" s="463"/>
      <c r="AX191" s="463"/>
      <c r="AY191" s="463"/>
      <c r="AZ191" s="463"/>
      <c r="BA191" s="463"/>
      <c r="BB191" s="463"/>
      <c r="BC191" s="463"/>
      <c r="BD191" s="463"/>
      <c r="BE191" s="463"/>
      <c r="BF191" s="463"/>
      <c r="BG191" s="463"/>
      <c r="BH191" s="463"/>
      <c r="BI191" s="463"/>
      <c r="BJ191" s="463"/>
    </row>
    <row r="192" customFormat="false" ht="20.25" hidden="false" customHeight="true" outlineLevel="0" collapsed="false">
      <c r="A192" s="465"/>
      <c r="B192" s="465"/>
      <c r="C192" s="465"/>
      <c r="D192" s="500"/>
      <c r="E192" s="465"/>
      <c r="F192" s="465"/>
      <c r="G192" s="465"/>
      <c r="H192" s="480"/>
      <c r="I192" s="525"/>
      <c r="J192" s="465"/>
      <c r="K192" s="465"/>
      <c r="L192" s="631"/>
      <c r="M192" s="556"/>
      <c r="N192" s="556"/>
      <c r="O192" s="499"/>
      <c r="P192" s="463"/>
      <c r="Q192" s="477"/>
      <c r="R192" s="477"/>
      <c r="S192" s="559"/>
      <c r="T192" s="481"/>
      <c r="U192" s="479"/>
      <c r="V192" s="498"/>
      <c r="W192" s="463"/>
      <c r="X192" s="463"/>
      <c r="Y192" s="463"/>
      <c r="Z192" s="463"/>
      <c r="AA192" s="463"/>
      <c r="AB192" s="463"/>
      <c r="AC192" s="463"/>
      <c r="AD192" s="463"/>
      <c r="AE192" s="463"/>
      <c r="AF192" s="463"/>
      <c r="AG192" s="463"/>
      <c r="AH192" s="463"/>
      <c r="AI192" s="463"/>
      <c r="AJ192" s="463"/>
      <c r="AK192" s="463"/>
      <c r="AL192" s="463"/>
      <c r="AM192" s="463"/>
      <c r="AN192" s="463"/>
      <c r="AO192" s="463"/>
      <c r="AP192" s="463"/>
      <c r="AQ192" s="463"/>
      <c r="AR192" s="463"/>
      <c r="AS192" s="463"/>
      <c r="AT192" s="463"/>
      <c r="AU192" s="463"/>
      <c r="AV192" s="463"/>
      <c r="AW192" s="463"/>
      <c r="AX192" s="463"/>
      <c r="AY192" s="463"/>
      <c r="AZ192" s="463"/>
      <c r="BA192" s="463"/>
      <c r="BB192" s="463"/>
      <c r="BC192" s="463"/>
      <c r="BD192" s="463"/>
      <c r="BE192" s="463"/>
      <c r="BF192" s="463"/>
      <c r="BG192" s="463"/>
      <c r="BH192" s="463"/>
      <c r="BI192" s="463"/>
      <c r="BJ192" s="463"/>
    </row>
    <row r="193" customFormat="false" ht="20.25" hidden="false" customHeight="true" outlineLevel="0" collapsed="false">
      <c r="A193" s="465"/>
      <c r="B193" s="465"/>
      <c r="C193" s="465"/>
      <c r="D193" s="500"/>
      <c r="E193" s="465"/>
      <c r="F193" s="465"/>
      <c r="G193" s="465"/>
      <c r="H193" s="480"/>
      <c r="I193" s="525"/>
      <c r="J193" s="465"/>
      <c r="K193" s="465"/>
      <c r="L193" s="631"/>
      <c r="M193" s="556"/>
      <c r="N193" s="556"/>
      <c r="O193" s="499"/>
      <c r="P193" s="463"/>
      <c r="Q193" s="477"/>
      <c r="R193" s="477"/>
      <c r="S193" s="559"/>
      <c r="T193" s="481"/>
      <c r="U193" s="479"/>
      <c r="V193" s="498"/>
      <c r="W193" s="463"/>
      <c r="X193" s="463"/>
      <c r="Y193" s="463"/>
      <c r="Z193" s="463"/>
      <c r="AA193" s="463"/>
      <c r="AB193" s="463"/>
      <c r="AC193" s="463"/>
      <c r="AD193" s="463"/>
      <c r="AE193" s="463"/>
      <c r="AF193" s="463"/>
      <c r="AG193" s="463"/>
      <c r="AH193" s="463"/>
      <c r="AI193" s="463"/>
      <c r="AJ193" s="463"/>
      <c r="AK193" s="463"/>
      <c r="AL193" s="463"/>
      <c r="AM193" s="463"/>
      <c r="AN193" s="463"/>
      <c r="AO193" s="463"/>
      <c r="AP193" s="463"/>
      <c r="AQ193" s="463"/>
      <c r="AR193" s="463"/>
      <c r="AS193" s="463"/>
      <c r="AT193" s="463"/>
      <c r="AU193" s="463"/>
      <c r="AV193" s="463"/>
      <c r="AW193" s="463"/>
      <c r="AX193" s="463"/>
      <c r="AY193" s="463"/>
      <c r="AZ193" s="463"/>
      <c r="BA193" s="463"/>
      <c r="BB193" s="463"/>
      <c r="BC193" s="463"/>
      <c r="BD193" s="463"/>
      <c r="BE193" s="463"/>
      <c r="BF193" s="463"/>
      <c r="BG193" s="463"/>
      <c r="BH193" s="463"/>
      <c r="BI193" s="463"/>
      <c r="BJ193" s="463"/>
    </row>
    <row r="194" customFormat="false" ht="20.25" hidden="false" customHeight="true" outlineLevel="0" collapsed="false">
      <c r="A194" s="465"/>
      <c r="B194" s="465"/>
      <c r="C194" s="465"/>
      <c r="D194" s="500"/>
      <c r="E194" s="465"/>
      <c r="F194" s="465"/>
      <c r="G194" s="465"/>
      <c r="H194" s="480"/>
      <c r="I194" s="525"/>
      <c r="J194" s="465"/>
      <c r="K194" s="465"/>
      <c r="L194" s="578"/>
      <c r="M194" s="556"/>
      <c r="N194" s="556"/>
      <c r="O194" s="499"/>
      <c r="P194" s="463"/>
      <c r="Q194" s="477"/>
      <c r="R194" s="477"/>
      <c r="S194" s="559"/>
      <c r="T194" s="481"/>
      <c r="U194" s="479"/>
      <c r="V194" s="498"/>
      <c r="W194" s="463"/>
      <c r="X194" s="463"/>
      <c r="Y194" s="463"/>
      <c r="Z194" s="463"/>
      <c r="AA194" s="463"/>
      <c r="AB194" s="463"/>
      <c r="AC194" s="463"/>
      <c r="AD194" s="463"/>
      <c r="AE194" s="463"/>
      <c r="AF194" s="463"/>
      <c r="AG194" s="463"/>
      <c r="AH194" s="463"/>
      <c r="AI194" s="463"/>
      <c r="AJ194" s="463"/>
      <c r="AK194" s="463"/>
      <c r="AL194" s="463"/>
      <c r="AM194" s="463"/>
      <c r="AN194" s="463"/>
      <c r="AO194" s="463"/>
      <c r="AP194" s="463"/>
      <c r="AQ194" s="463"/>
      <c r="AR194" s="463"/>
      <c r="AS194" s="463"/>
      <c r="AT194" s="463"/>
      <c r="AU194" s="463"/>
      <c r="AV194" s="463"/>
      <c r="AW194" s="463"/>
      <c r="AX194" s="463"/>
      <c r="AY194" s="463"/>
      <c r="AZ194" s="463"/>
      <c r="BA194" s="463"/>
      <c r="BB194" s="463"/>
      <c r="BC194" s="463"/>
      <c r="BD194" s="463"/>
      <c r="BE194" s="463"/>
      <c r="BF194" s="463"/>
      <c r="BG194" s="463"/>
      <c r="BH194" s="463"/>
      <c r="BI194" s="463"/>
      <c r="BJ194" s="463"/>
    </row>
    <row r="195" customFormat="false" ht="20.25" hidden="false" customHeight="true" outlineLevel="0" collapsed="false">
      <c r="A195" s="465" t="s">
        <v>1031</v>
      </c>
      <c r="B195" s="465"/>
      <c r="C195" s="451" t="s">
        <v>1032</v>
      </c>
      <c r="D195" s="500" t="s">
        <v>1033</v>
      </c>
      <c r="E195" s="465" t="s">
        <v>158</v>
      </c>
      <c r="F195" s="465" t="s">
        <v>1034</v>
      </c>
      <c r="G195" s="472" t="s">
        <v>1035</v>
      </c>
      <c r="H195" s="480" t="n">
        <v>330000</v>
      </c>
      <c r="I195" s="525" t="s">
        <v>1036</v>
      </c>
      <c r="J195" s="465"/>
      <c r="K195" s="465"/>
      <c r="L195" s="499"/>
      <c r="M195" s="556"/>
      <c r="N195" s="556"/>
      <c r="O195" s="499"/>
      <c r="P195" s="463"/>
      <c r="Q195" s="477"/>
      <c r="R195" s="477"/>
      <c r="S195" s="559"/>
      <c r="T195" s="481"/>
      <c r="U195" s="479"/>
      <c r="V195" s="498"/>
      <c r="W195" s="463"/>
      <c r="X195" s="463"/>
      <c r="Y195" s="463"/>
      <c r="Z195" s="463"/>
      <c r="AA195" s="463"/>
      <c r="AB195" s="463"/>
      <c r="AC195" s="463"/>
      <c r="AD195" s="463"/>
      <c r="AE195" s="463"/>
      <c r="AF195" s="463"/>
      <c r="AG195" s="463"/>
      <c r="AH195" s="463"/>
      <c r="AI195" s="463"/>
      <c r="AJ195" s="463"/>
      <c r="AK195" s="463"/>
      <c r="AL195" s="463"/>
      <c r="AM195" s="463"/>
      <c r="AN195" s="463"/>
      <c r="AO195" s="463"/>
      <c r="AP195" s="463"/>
      <c r="AQ195" s="463"/>
      <c r="AR195" s="463"/>
      <c r="AS195" s="463"/>
      <c r="AT195" s="463"/>
      <c r="AU195" s="463"/>
      <c r="AV195" s="463"/>
      <c r="AW195" s="463"/>
      <c r="AX195" s="463"/>
      <c r="AY195" s="463"/>
      <c r="AZ195" s="463"/>
      <c r="BA195" s="463"/>
      <c r="BB195" s="463"/>
      <c r="BC195" s="463"/>
      <c r="BD195" s="463"/>
      <c r="BE195" s="463"/>
      <c r="BF195" s="463"/>
      <c r="BG195" s="463"/>
      <c r="BH195" s="463"/>
      <c r="BI195" s="463"/>
      <c r="BJ195" s="463"/>
    </row>
    <row r="196" customFormat="false" ht="20.25" hidden="false" customHeight="true" outlineLevel="0" collapsed="false">
      <c r="A196" s="465" t="s">
        <v>1037</v>
      </c>
      <c r="B196" s="465"/>
      <c r="C196" s="472" t="s">
        <v>1038</v>
      </c>
      <c r="D196" s="500" t="s">
        <v>1039</v>
      </c>
      <c r="E196" s="465" t="s">
        <v>1040</v>
      </c>
      <c r="F196" s="465" t="s">
        <v>1037</v>
      </c>
      <c r="G196" s="472" t="s">
        <v>1041</v>
      </c>
      <c r="H196" s="480" t="n">
        <v>250000</v>
      </c>
      <c r="I196" s="525" t="s">
        <v>1042</v>
      </c>
      <c r="J196" s="465"/>
      <c r="K196" s="465"/>
      <c r="L196" s="499"/>
      <c r="M196" s="556"/>
      <c r="N196" s="556"/>
      <c r="O196" s="499"/>
      <c r="P196" s="463"/>
      <c r="Q196" s="477"/>
      <c r="R196" s="477"/>
      <c r="S196" s="559"/>
      <c r="T196" s="481"/>
      <c r="U196" s="479"/>
      <c r="V196" s="498"/>
      <c r="W196" s="463"/>
      <c r="X196" s="463"/>
      <c r="Y196" s="463"/>
      <c r="Z196" s="463"/>
      <c r="AA196" s="463"/>
      <c r="AB196" s="463"/>
      <c r="AC196" s="463"/>
      <c r="AD196" s="463"/>
      <c r="AE196" s="463"/>
      <c r="AF196" s="463"/>
      <c r="AG196" s="463"/>
      <c r="AH196" s="463"/>
      <c r="AI196" s="463"/>
      <c r="AJ196" s="463"/>
      <c r="AK196" s="463"/>
      <c r="AL196" s="463"/>
      <c r="AM196" s="463"/>
      <c r="AN196" s="463"/>
      <c r="AO196" s="463"/>
      <c r="AP196" s="463"/>
      <c r="AQ196" s="463"/>
      <c r="AR196" s="463"/>
      <c r="AS196" s="463"/>
      <c r="AT196" s="463"/>
      <c r="AU196" s="463"/>
      <c r="AV196" s="463"/>
      <c r="AW196" s="463"/>
      <c r="AX196" s="463"/>
      <c r="AY196" s="463"/>
      <c r="AZ196" s="463"/>
      <c r="BA196" s="463"/>
      <c r="BB196" s="463"/>
      <c r="BC196" s="463"/>
      <c r="BD196" s="463"/>
      <c r="BE196" s="463"/>
      <c r="BF196" s="463"/>
      <c r="BG196" s="463"/>
      <c r="BH196" s="463"/>
      <c r="BI196" s="463"/>
      <c r="BJ196" s="463"/>
    </row>
    <row r="197" customFormat="false" ht="20.25" hidden="false" customHeight="true" outlineLevel="0" collapsed="false">
      <c r="A197" s="465" t="s">
        <v>1043</v>
      </c>
      <c r="B197" s="465"/>
      <c r="C197" s="472" t="s">
        <v>1044</v>
      </c>
      <c r="D197" s="500" t="s">
        <v>1045</v>
      </c>
      <c r="E197" s="465" t="s">
        <v>996</v>
      </c>
      <c r="F197" s="465" t="s">
        <v>1043</v>
      </c>
      <c r="G197" s="472" t="s">
        <v>1046</v>
      </c>
      <c r="H197" s="480" t="n">
        <v>250000</v>
      </c>
      <c r="I197" s="525" t="s">
        <v>1047</v>
      </c>
      <c r="J197" s="465"/>
      <c r="K197" s="465"/>
      <c r="L197" s="499"/>
      <c r="M197" s="556"/>
      <c r="N197" s="556"/>
      <c r="O197" s="499"/>
      <c r="P197" s="463"/>
      <c r="Q197" s="477"/>
      <c r="R197" s="477"/>
      <c r="S197" s="559"/>
      <c r="T197" s="481"/>
      <c r="U197" s="479"/>
      <c r="V197" s="498"/>
      <c r="W197" s="463"/>
      <c r="X197" s="463"/>
      <c r="Y197" s="463"/>
      <c r="Z197" s="463"/>
      <c r="AA197" s="463"/>
      <c r="AB197" s="463"/>
      <c r="AC197" s="463"/>
      <c r="AD197" s="463"/>
      <c r="AE197" s="463"/>
      <c r="AF197" s="463"/>
      <c r="AG197" s="463"/>
      <c r="AH197" s="463"/>
      <c r="AI197" s="463"/>
      <c r="AJ197" s="463"/>
      <c r="AK197" s="463"/>
      <c r="AL197" s="463"/>
      <c r="AM197" s="463"/>
      <c r="AN197" s="463"/>
      <c r="AO197" s="463"/>
      <c r="AP197" s="463"/>
      <c r="AQ197" s="463"/>
      <c r="AR197" s="463"/>
      <c r="AS197" s="463"/>
      <c r="AT197" s="463"/>
      <c r="AU197" s="463"/>
      <c r="AV197" s="463"/>
      <c r="AW197" s="463"/>
      <c r="AX197" s="463"/>
      <c r="AY197" s="463"/>
      <c r="AZ197" s="463"/>
      <c r="BA197" s="463"/>
      <c r="BB197" s="463"/>
      <c r="BC197" s="463"/>
      <c r="BD197" s="463"/>
      <c r="BE197" s="463"/>
      <c r="BF197" s="463"/>
      <c r="BG197" s="463"/>
      <c r="BH197" s="463"/>
      <c r="BI197" s="463"/>
      <c r="BJ197" s="463"/>
    </row>
    <row r="198" customFormat="false" ht="20.25" hidden="false" customHeight="true" outlineLevel="0" collapsed="false">
      <c r="A198" s="465" t="s">
        <v>1048</v>
      </c>
      <c r="B198" s="465"/>
      <c r="C198" s="472" t="s">
        <v>1049</v>
      </c>
      <c r="D198" s="500" t="s">
        <v>1050</v>
      </c>
      <c r="E198" s="465" t="s">
        <v>353</v>
      </c>
      <c r="F198" s="465" t="s">
        <v>1048</v>
      </c>
      <c r="G198" s="472" t="s">
        <v>1051</v>
      </c>
      <c r="H198" s="480" t="n">
        <v>250000</v>
      </c>
      <c r="I198" s="525" t="s">
        <v>1052</v>
      </c>
      <c r="J198" s="465"/>
      <c r="K198" s="465"/>
      <c r="L198" s="499"/>
      <c r="M198" s="556"/>
      <c r="N198" s="556"/>
      <c r="O198" s="499"/>
      <c r="P198" s="463"/>
      <c r="Q198" s="477"/>
      <c r="R198" s="477"/>
      <c r="S198" s="559"/>
      <c r="T198" s="481"/>
      <c r="U198" s="479"/>
      <c r="V198" s="498"/>
      <c r="W198" s="463"/>
      <c r="X198" s="463"/>
      <c r="Y198" s="463"/>
      <c r="Z198" s="463"/>
      <c r="AA198" s="463"/>
      <c r="AB198" s="463"/>
      <c r="AC198" s="463"/>
      <c r="AD198" s="463"/>
      <c r="AE198" s="463"/>
      <c r="AF198" s="463"/>
      <c r="AG198" s="463"/>
      <c r="AH198" s="463"/>
      <c r="AI198" s="463"/>
      <c r="AJ198" s="463"/>
      <c r="AK198" s="463"/>
      <c r="AL198" s="463"/>
      <c r="AM198" s="463"/>
      <c r="AN198" s="463"/>
      <c r="AO198" s="463"/>
      <c r="AP198" s="463"/>
      <c r="AQ198" s="463"/>
      <c r="AR198" s="463"/>
      <c r="AS198" s="463"/>
      <c r="AT198" s="463"/>
      <c r="AU198" s="463"/>
      <c r="AV198" s="463"/>
      <c r="AW198" s="463"/>
      <c r="AX198" s="463"/>
      <c r="AY198" s="463"/>
      <c r="AZ198" s="463"/>
      <c r="BA198" s="463"/>
      <c r="BB198" s="463"/>
      <c r="BC198" s="463"/>
      <c r="BD198" s="463"/>
      <c r="BE198" s="463"/>
      <c r="BF198" s="463"/>
      <c r="BG198" s="463"/>
      <c r="BH198" s="463"/>
      <c r="BI198" s="463"/>
      <c r="BJ198" s="463"/>
    </row>
    <row r="199" customFormat="false" ht="20.25" hidden="false" customHeight="true" outlineLevel="0" collapsed="false">
      <c r="A199" s="465" t="s">
        <v>1053</v>
      </c>
      <c r="B199" s="465"/>
      <c r="C199" s="472" t="s">
        <v>1054</v>
      </c>
      <c r="D199" s="500" t="s">
        <v>1055</v>
      </c>
      <c r="E199" s="465" t="s">
        <v>863</v>
      </c>
      <c r="F199" s="465" t="s">
        <v>1053</v>
      </c>
      <c r="G199" s="472" t="s">
        <v>1056</v>
      </c>
      <c r="H199" s="480" t="n">
        <v>290000</v>
      </c>
      <c r="I199" s="525" t="s">
        <v>1057</v>
      </c>
      <c r="J199" s="465"/>
      <c r="K199" s="465"/>
      <c r="L199" s="499"/>
      <c r="M199" s="556"/>
      <c r="N199" s="556"/>
      <c r="O199" s="499"/>
      <c r="P199" s="463"/>
      <c r="Q199" s="477"/>
      <c r="R199" s="477"/>
      <c r="S199" s="559"/>
      <c r="T199" s="481"/>
      <c r="U199" s="479"/>
      <c r="V199" s="498"/>
      <c r="W199" s="463"/>
      <c r="X199" s="463"/>
      <c r="Y199" s="463"/>
      <c r="Z199" s="463"/>
      <c r="AA199" s="463"/>
      <c r="AB199" s="463"/>
      <c r="AC199" s="463"/>
      <c r="AD199" s="463"/>
      <c r="AE199" s="463"/>
      <c r="AF199" s="463"/>
      <c r="AG199" s="463"/>
      <c r="AH199" s="463"/>
      <c r="AI199" s="463"/>
      <c r="AJ199" s="463"/>
      <c r="AK199" s="463"/>
      <c r="AL199" s="463"/>
      <c r="AM199" s="463"/>
      <c r="AN199" s="463"/>
      <c r="AO199" s="463"/>
      <c r="AP199" s="463"/>
      <c r="AQ199" s="463"/>
      <c r="AR199" s="463"/>
      <c r="AS199" s="463"/>
      <c r="AT199" s="463"/>
      <c r="AU199" s="463"/>
      <c r="AV199" s="463"/>
      <c r="AW199" s="463"/>
      <c r="AX199" s="463"/>
      <c r="AY199" s="463"/>
      <c r="AZ199" s="463"/>
      <c r="BA199" s="463"/>
      <c r="BB199" s="463"/>
      <c r="BC199" s="463"/>
      <c r="BD199" s="463"/>
      <c r="BE199" s="463"/>
      <c r="BF199" s="463"/>
      <c r="BG199" s="463"/>
      <c r="BH199" s="463"/>
      <c r="BI199" s="463"/>
      <c r="BJ199" s="463"/>
    </row>
    <row r="200" customFormat="false" ht="20.25" hidden="false" customHeight="true" outlineLevel="0" collapsed="false">
      <c r="A200" s="465" t="s">
        <v>1058</v>
      </c>
      <c r="B200" s="465"/>
      <c r="C200" s="472" t="s">
        <v>1059</v>
      </c>
      <c r="D200" s="500" t="s">
        <v>1060</v>
      </c>
      <c r="E200" s="465" t="s">
        <v>1061</v>
      </c>
      <c r="F200" s="465" t="s">
        <v>1058</v>
      </c>
      <c r="G200" s="472" t="s">
        <v>1062</v>
      </c>
      <c r="H200" s="480" t="n">
        <v>250000</v>
      </c>
      <c r="I200" s="525" t="s">
        <v>1063</v>
      </c>
      <c r="J200" s="465"/>
      <c r="K200" s="465"/>
      <c r="L200" s="499"/>
      <c r="M200" s="556"/>
      <c r="N200" s="556"/>
      <c r="O200" s="499"/>
      <c r="P200" s="463"/>
      <c r="Q200" s="463"/>
      <c r="R200" s="463"/>
      <c r="S200" s="463"/>
      <c r="T200" s="463"/>
      <c r="U200" s="463"/>
      <c r="V200" s="463"/>
      <c r="W200" s="463"/>
      <c r="X200" s="463"/>
      <c r="Y200" s="463"/>
      <c r="Z200" s="463"/>
      <c r="AA200" s="463"/>
      <c r="AB200" s="463"/>
      <c r="AC200" s="463"/>
      <c r="AD200" s="463"/>
      <c r="AE200" s="463"/>
      <c r="AF200" s="463"/>
      <c r="AG200" s="463"/>
      <c r="AH200" s="463"/>
      <c r="AI200" s="463"/>
      <c r="AJ200" s="463"/>
      <c r="AK200" s="463"/>
      <c r="AL200" s="463"/>
      <c r="AM200" s="463"/>
      <c r="AN200" s="463"/>
      <c r="AO200" s="463"/>
      <c r="AP200" s="463"/>
      <c r="AQ200" s="463"/>
      <c r="AR200" s="463"/>
      <c r="AS200" s="463"/>
      <c r="AT200" s="463"/>
      <c r="AU200" s="463"/>
      <c r="AV200" s="463"/>
      <c r="AW200" s="463"/>
      <c r="AX200" s="463"/>
      <c r="AY200" s="463"/>
      <c r="AZ200" s="463"/>
      <c r="BA200" s="463"/>
      <c r="BB200" s="463"/>
      <c r="BC200" s="463"/>
      <c r="BD200" s="463"/>
      <c r="BE200" s="463"/>
      <c r="BF200" s="463"/>
      <c r="BG200" s="463"/>
      <c r="BH200" s="463"/>
      <c r="BI200" s="463"/>
      <c r="BJ200" s="463"/>
    </row>
    <row r="201" customFormat="false" ht="20.25" hidden="false" customHeight="true" outlineLevel="0" collapsed="false">
      <c r="A201" s="465" t="s">
        <v>1064</v>
      </c>
      <c r="B201" s="465"/>
      <c r="C201" s="472" t="s">
        <v>1065</v>
      </c>
      <c r="D201" s="500" t="s">
        <v>1066</v>
      </c>
      <c r="E201" s="465" t="s">
        <v>1061</v>
      </c>
      <c r="F201" s="465" t="s">
        <v>1064</v>
      </c>
      <c r="G201" s="472" t="s">
        <v>1067</v>
      </c>
      <c r="H201" s="480" t="n">
        <v>250000</v>
      </c>
      <c r="I201" s="525" t="s">
        <v>1068</v>
      </c>
      <c r="J201" s="465"/>
      <c r="K201" s="465"/>
      <c r="L201" s="499"/>
      <c r="M201" s="556"/>
      <c r="N201" s="556"/>
      <c r="O201" s="499"/>
      <c r="P201" s="463"/>
      <c r="Q201" s="463"/>
      <c r="R201" s="463"/>
      <c r="S201" s="463"/>
      <c r="T201" s="463"/>
      <c r="U201" s="463"/>
      <c r="V201" s="463"/>
      <c r="W201" s="463"/>
      <c r="X201" s="463"/>
      <c r="Y201" s="463"/>
      <c r="Z201" s="463"/>
      <c r="AA201" s="463"/>
      <c r="AB201" s="463"/>
      <c r="AC201" s="463"/>
      <c r="AD201" s="463"/>
      <c r="AE201" s="463"/>
      <c r="AF201" s="463"/>
      <c r="AG201" s="463"/>
      <c r="AH201" s="463"/>
      <c r="AI201" s="463"/>
      <c r="AJ201" s="463"/>
      <c r="AK201" s="463"/>
      <c r="AL201" s="463"/>
      <c r="AM201" s="463"/>
      <c r="AN201" s="463"/>
      <c r="AO201" s="463"/>
      <c r="AP201" s="463"/>
      <c r="AQ201" s="463"/>
      <c r="AR201" s="463"/>
      <c r="AS201" s="463"/>
      <c r="AT201" s="463"/>
      <c r="AU201" s="463"/>
      <c r="AV201" s="463"/>
      <c r="AW201" s="463"/>
      <c r="AX201" s="463"/>
      <c r="AY201" s="463"/>
      <c r="AZ201" s="463"/>
      <c r="BA201" s="463"/>
      <c r="BB201" s="463"/>
      <c r="BC201" s="463"/>
      <c r="BD201" s="463"/>
      <c r="BE201" s="463"/>
      <c r="BF201" s="463"/>
      <c r="BG201" s="463"/>
      <c r="BH201" s="463"/>
      <c r="BI201" s="463"/>
      <c r="BJ201" s="463"/>
    </row>
    <row r="202" customFormat="false" ht="20.25" hidden="false" customHeight="true" outlineLevel="0" collapsed="false">
      <c r="A202" s="465" t="s">
        <v>1069</v>
      </c>
      <c r="B202" s="465"/>
      <c r="C202" s="472" t="s">
        <v>1070</v>
      </c>
      <c r="D202" s="500" t="s">
        <v>1066</v>
      </c>
      <c r="E202" s="465" t="s">
        <v>158</v>
      </c>
      <c r="F202" s="465" t="s">
        <v>1069</v>
      </c>
      <c r="G202" s="465" t="n">
        <v>3560204427083</v>
      </c>
      <c r="H202" s="480" t="n">
        <v>250000</v>
      </c>
      <c r="I202" s="525" t="s">
        <v>1071</v>
      </c>
      <c r="J202" s="465"/>
      <c r="K202" s="465"/>
      <c r="L202" s="499"/>
      <c r="M202" s="556"/>
      <c r="N202" s="556"/>
      <c r="O202" s="499"/>
      <c r="P202" s="463"/>
      <c r="Q202" s="463"/>
      <c r="R202" s="463"/>
      <c r="S202" s="463"/>
      <c r="T202" s="463"/>
      <c r="U202" s="463"/>
      <c r="V202" s="463"/>
      <c r="W202" s="463"/>
      <c r="X202" s="463"/>
      <c r="Y202" s="463"/>
      <c r="Z202" s="463"/>
      <c r="AA202" s="463"/>
      <c r="AB202" s="463"/>
      <c r="AC202" s="463"/>
      <c r="AD202" s="463"/>
      <c r="AE202" s="463"/>
      <c r="AF202" s="463"/>
      <c r="AG202" s="463"/>
      <c r="AH202" s="463"/>
      <c r="AI202" s="463"/>
      <c r="AJ202" s="463"/>
      <c r="AK202" s="463"/>
      <c r="AL202" s="463"/>
      <c r="AM202" s="463"/>
      <c r="AN202" s="463"/>
      <c r="AO202" s="463"/>
      <c r="AP202" s="463"/>
      <c r="AQ202" s="463"/>
      <c r="AR202" s="463"/>
      <c r="AS202" s="463"/>
      <c r="AT202" s="463"/>
      <c r="AU202" s="463"/>
      <c r="AV202" s="463"/>
      <c r="AW202" s="463"/>
      <c r="AX202" s="463"/>
      <c r="AY202" s="463"/>
      <c r="AZ202" s="463"/>
      <c r="BA202" s="463"/>
      <c r="BB202" s="463"/>
      <c r="BC202" s="463"/>
      <c r="BD202" s="463"/>
      <c r="BE202" s="463"/>
      <c r="BF202" s="463"/>
      <c r="BG202" s="463"/>
      <c r="BH202" s="463"/>
      <c r="BI202" s="463"/>
      <c r="BJ202" s="463"/>
    </row>
    <row r="203" customFormat="false" ht="20.25" hidden="false" customHeight="true" outlineLevel="0" collapsed="false">
      <c r="A203" s="465"/>
      <c r="B203" s="465"/>
      <c r="C203" s="465"/>
      <c r="D203" s="500"/>
      <c r="E203" s="465"/>
      <c r="F203" s="465"/>
      <c r="G203" s="465"/>
      <c r="H203" s="480"/>
      <c r="I203" s="525"/>
      <c r="J203" s="465"/>
      <c r="K203" s="465"/>
      <c r="L203" s="499"/>
      <c r="M203" s="556"/>
      <c r="N203" s="556"/>
      <c r="O203" s="499"/>
      <c r="P203" s="463"/>
      <c r="Q203" s="463"/>
      <c r="R203" s="463"/>
      <c r="S203" s="463"/>
      <c r="T203" s="463"/>
      <c r="U203" s="463"/>
      <c r="V203" s="463"/>
      <c r="W203" s="463"/>
      <c r="X203" s="463"/>
      <c r="Y203" s="463"/>
      <c r="Z203" s="463"/>
      <c r="AA203" s="463"/>
      <c r="AB203" s="463"/>
      <c r="AC203" s="463"/>
      <c r="AD203" s="463"/>
      <c r="AE203" s="463"/>
      <c r="AF203" s="463"/>
      <c r="AG203" s="463"/>
      <c r="AH203" s="463"/>
      <c r="AI203" s="463"/>
      <c r="AJ203" s="463"/>
      <c r="AK203" s="463"/>
      <c r="AL203" s="463"/>
      <c r="AM203" s="463"/>
      <c r="AN203" s="463"/>
      <c r="AO203" s="463"/>
      <c r="AP203" s="463"/>
      <c r="AQ203" s="463"/>
      <c r="AR203" s="463"/>
      <c r="AS203" s="463"/>
      <c r="AT203" s="463"/>
      <c r="AU203" s="463"/>
      <c r="AV203" s="463"/>
      <c r="AW203" s="463"/>
      <c r="AX203" s="463"/>
      <c r="AY203" s="463"/>
      <c r="AZ203" s="463"/>
      <c r="BA203" s="463"/>
      <c r="BB203" s="463"/>
      <c r="BC203" s="463"/>
      <c r="BD203" s="463"/>
      <c r="BE203" s="463"/>
      <c r="BF203" s="463"/>
      <c r="BG203" s="463"/>
      <c r="BH203" s="463"/>
      <c r="BI203" s="463"/>
      <c r="BJ203" s="463"/>
    </row>
    <row r="204" customFormat="false" ht="20.25" hidden="false" customHeight="true" outlineLevel="0" collapsed="false">
      <c r="A204" s="465" t="s">
        <v>76</v>
      </c>
      <c r="B204" s="465"/>
      <c r="C204" s="472" t="s">
        <v>1072</v>
      </c>
      <c r="D204" s="500" t="s">
        <v>1073</v>
      </c>
      <c r="E204" s="465" t="s">
        <v>568</v>
      </c>
      <c r="F204" s="465" t="str">
        <f aca="false">A204</f>
        <v>장경훈</v>
      </c>
      <c r="G204" s="472" t="s">
        <v>1074</v>
      </c>
      <c r="H204" s="480" t="n">
        <v>150000</v>
      </c>
      <c r="I204" s="525"/>
      <c r="J204" s="465"/>
      <c r="K204" s="465"/>
      <c r="L204" s="499"/>
      <c r="M204" s="556"/>
      <c r="N204" s="556"/>
      <c r="O204" s="499"/>
      <c r="P204" s="463"/>
      <c r="Q204" s="463"/>
      <c r="R204" s="463"/>
      <c r="S204" s="463"/>
      <c r="T204" s="463"/>
      <c r="U204" s="463"/>
      <c r="V204" s="463"/>
      <c r="W204" s="463"/>
      <c r="X204" s="463"/>
      <c r="Y204" s="463"/>
      <c r="Z204" s="463"/>
      <c r="AA204" s="463"/>
      <c r="AB204" s="463"/>
      <c r="AC204" s="463"/>
      <c r="AD204" s="463"/>
      <c r="AE204" s="463"/>
      <c r="AF204" s="463"/>
      <c r="AG204" s="463"/>
      <c r="AH204" s="463"/>
      <c r="AI204" s="463"/>
      <c r="AJ204" s="463"/>
      <c r="AK204" s="463"/>
      <c r="AL204" s="463"/>
      <c r="AM204" s="463"/>
      <c r="AN204" s="463"/>
      <c r="AO204" s="463"/>
      <c r="AP204" s="463"/>
      <c r="AQ204" s="463"/>
      <c r="AR204" s="463"/>
      <c r="AS204" s="463"/>
      <c r="AT204" s="463"/>
      <c r="AU204" s="463"/>
      <c r="AV204" s="463"/>
      <c r="AW204" s="463"/>
      <c r="AX204" s="463"/>
      <c r="AY204" s="463"/>
      <c r="AZ204" s="463"/>
      <c r="BA204" s="463"/>
      <c r="BB204" s="463"/>
      <c r="BC204" s="463"/>
      <c r="BD204" s="463"/>
      <c r="BE204" s="463"/>
      <c r="BF204" s="463"/>
      <c r="BG204" s="463"/>
      <c r="BH204" s="463"/>
      <c r="BI204" s="463"/>
      <c r="BJ204" s="463"/>
    </row>
    <row r="205" customFormat="false" ht="20.25" hidden="false" customHeight="true" outlineLevel="0" collapsed="false">
      <c r="A205" s="537" t="s">
        <v>77</v>
      </c>
      <c r="B205" s="465"/>
      <c r="C205" s="451" t="s">
        <v>1075</v>
      </c>
      <c r="D205" s="500" t="s">
        <v>1073</v>
      </c>
      <c r="E205" s="465" t="s">
        <v>158</v>
      </c>
      <c r="F205" s="465" t="str">
        <f aca="false">A205</f>
        <v>황지화</v>
      </c>
      <c r="G205" s="472" t="s">
        <v>1076</v>
      </c>
      <c r="H205" s="467" t="n">
        <v>160000</v>
      </c>
      <c r="I205" s="537"/>
      <c r="J205" s="469"/>
      <c r="K205" s="539"/>
      <c r="L205" s="578"/>
      <c r="M205" s="556"/>
      <c r="N205" s="556"/>
      <c r="O205" s="499"/>
    </row>
    <row r="206" customFormat="false" ht="20.25" hidden="false" customHeight="true" outlineLevel="0" collapsed="false">
      <c r="A206" s="465"/>
      <c r="B206" s="465"/>
      <c r="C206" s="465"/>
      <c r="D206" s="500"/>
      <c r="E206" s="465"/>
      <c r="F206" s="465"/>
      <c r="G206" s="465"/>
      <c r="H206" s="480"/>
      <c r="I206" s="467"/>
      <c r="J206" s="465"/>
      <c r="K206" s="539"/>
      <c r="L206" s="578"/>
      <c r="M206" s="556"/>
      <c r="N206" s="556"/>
      <c r="O206" s="499"/>
    </row>
    <row r="207" customFormat="false" ht="20.25" hidden="false" customHeight="true" outlineLevel="0" collapsed="false">
      <c r="A207" s="632" t="s">
        <v>1077</v>
      </c>
      <c r="B207" s="623"/>
      <c r="C207" s="633" t="s">
        <v>1078</v>
      </c>
      <c r="D207" s="500" t="s">
        <v>1079</v>
      </c>
      <c r="E207" s="623"/>
      <c r="F207" s="465"/>
      <c r="G207" s="457"/>
      <c r="H207" s="624" t="n">
        <v>250000</v>
      </c>
      <c r="I207" s="625" t="s">
        <v>1080</v>
      </c>
      <c r="J207" s="611"/>
      <c r="K207" s="612"/>
      <c r="L207" s="529"/>
      <c r="M207" s="556"/>
      <c r="N207" s="556"/>
      <c r="O207" s="499"/>
    </row>
    <row r="208" customFormat="false" ht="20.25" hidden="false" customHeight="true" outlineLevel="0" collapsed="false">
      <c r="A208" s="537" t="s">
        <v>1081</v>
      </c>
      <c r="B208" s="465"/>
      <c r="C208" s="625" t="s">
        <v>1082</v>
      </c>
      <c r="D208" s="499" t="s">
        <v>1083</v>
      </c>
      <c r="E208" s="465"/>
      <c r="F208" s="465"/>
      <c r="G208" s="465"/>
      <c r="H208" s="467" t="n">
        <v>150000</v>
      </c>
      <c r="I208" s="467"/>
      <c r="J208" s="469"/>
      <c r="K208" s="539"/>
      <c r="L208" s="529"/>
      <c r="M208" s="556"/>
      <c r="N208" s="556"/>
      <c r="O208" s="499"/>
    </row>
    <row r="209" customFormat="false" ht="20.25" hidden="false" customHeight="true" outlineLevel="0" collapsed="false">
      <c r="A209" s="537" t="s">
        <v>1084</v>
      </c>
      <c r="B209" s="465"/>
      <c r="C209" s="625" t="s">
        <v>1085</v>
      </c>
      <c r="D209" s="529" t="s">
        <v>1086</v>
      </c>
      <c r="E209" s="465"/>
      <c r="F209" s="465"/>
      <c r="G209" s="465"/>
      <c r="H209" s="467" t="n">
        <v>150000</v>
      </c>
      <c r="I209" s="632"/>
      <c r="J209" s="611"/>
      <c r="K209" s="539"/>
      <c r="L209" s="578"/>
      <c r="M209" s="556"/>
      <c r="N209" s="556"/>
      <c r="O209" s="499"/>
    </row>
    <row r="210" customFormat="false" ht="20.25" hidden="false" customHeight="true" outlineLevel="0" collapsed="false">
      <c r="A210" s="632" t="s">
        <v>1087</v>
      </c>
      <c r="B210" s="623"/>
      <c r="C210" s="633" t="s">
        <v>1088</v>
      </c>
      <c r="D210" s="634" t="s">
        <v>1089</v>
      </c>
      <c r="E210" s="623"/>
      <c r="F210" s="465"/>
      <c r="G210" s="465"/>
      <c r="H210" s="467" t="n">
        <v>150000</v>
      </c>
      <c r="I210" s="537"/>
      <c r="J210" s="469"/>
      <c r="K210" s="539"/>
      <c r="L210" s="603"/>
      <c r="M210" s="556"/>
      <c r="N210" s="556"/>
      <c r="O210" s="499"/>
    </row>
    <row r="211" customFormat="false" ht="20.25" hidden="false" customHeight="true" outlineLevel="0" collapsed="false">
      <c r="A211" s="537"/>
      <c r="B211" s="465"/>
      <c r="C211" s="537"/>
      <c r="D211" s="529"/>
      <c r="E211" s="465"/>
      <c r="F211" s="465"/>
      <c r="G211" s="465"/>
      <c r="H211" s="467"/>
      <c r="I211" s="537"/>
      <c r="J211" s="469"/>
      <c r="K211" s="539"/>
      <c r="L211" s="578"/>
      <c r="M211" s="556"/>
      <c r="N211" s="556"/>
      <c r="O211" s="499"/>
    </row>
    <row r="212" customFormat="false" ht="20.25" hidden="false" customHeight="true" outlineLevel="0" collapsed="false">
      <c r="A212" s="537" t="s">
        <v>1090</v>
      </c>
      <c r="B212" s="465"/>
      <c r="C212" s="625" t="s">
        <v>1091</v>
      </c>
      <c r="D212" s="529" t="s">
        <v>1092</v>
      </c>
      <c r="E212" s="465" t="s">
        <v>158</v>
      </c>
      <c r="F212" s="465" t="s">
        <v>1090</v>
      </c>
      <c r="G212" s="472" t="s">
        <v>1093</v>
      </c>
      <c r="H212" s="467" t="n">
        <v>150000</v>
      </c>
      <c r="I212" s="537"/>
      <c r="J212" s="469"/>
      <c r="K212" s="539"/>
      <c r="L212" s="529" t="s">
        <v>1094</v>
      </c>
      <c r="M212" s="556"/>
      <c r="N212" s="556"/>
      <c r="O212" s="499"/>
    </row>
    <row r="213" customFormat="false" ht="20.25" hidden="false" customHeight="true" outlineLevel="0" collapsed="false">
      <c r="A213" s="537" t="s">
        <v>1095</v>
      </c>
      <c r="B213" s="465"/>
      <c r="C213" s="625" t="s">
        <v>1096</v>
      </c>
      <c r="D213" s="529" t="s">
        <v>1097</v>
      </c>
      <c r="E213" s="465"/>
      <c r="F213" s="465"/>
      <c r="G213" s="465"/>
      <c r="H213" s="467" t="n">
        <v>150000</v>
      </c>
      <c r="I213" s="625" t="s">
        <v>1098</v>
      </c>
      <c r="J213" s="469"/>
      <c r="K213" s="539"/>
      <c r="L213" s="603" t="s">
        <v>1099</v>
      </c>
      <c r="M213" s="556"/>
      <c r="N213" s="556"/>
      <c r="O213" s="499"/>
    </row>
    <row r="214" customFormat="false" ht="20.25" hidden="false" customHeight="true" outlineLevel="0" collapsed="false">
      <c r="A214" s="537" t="s">
        <v>1100</v>
      </c>
      <c r="B214" s="465"/>
      <c r="C214" s="625" t="s">
        <v>1101</v>
      </c>
      <c r="D214" s="529" t="s">
        <v>1102</v>
      </c>
      <c r="E214" s="465"/>
      <c r="F214" s="465"/>
      <c r="G214" s="465"/>
      <c r="H214" s="467" t="n">
        <v>150000</v>
      </c>
      <c r="I214" s="625" t="s">
        <v>1103</v>
      </c>
      <c r="J214" s="469"/>
      <c r="K214" s="539"/>
      <c r="L214" s="578"/>
      <c r="M214" s="556"/>
      <c r="N214" s="556"/>
      <c r="O214" s="499"/>
    </row>
    <row r="215" customFormat="false" ht="20.25" hidden="false" customHeight="true" outlineLevel="0" collapsed="false">
      <c r="A215" s="537"/>
      <c r="B215" s="465"/>
      <c r="C215" s="537"/>
      <c r="D215" s="529"/>
      <c r="E215" s="465"/>
      <c r="F215" s="465"/>
      <c r="G215" s="465"/>
      <c r="H215" s="467"/>
      <c r="I215" s="537"/>
      <c r="J215" s="469"/>
      <c r="K215" s="539"/>
      <c r="L215" s="578"/>
      <c r="M215" s="556"/>
      <c r="N215" s="556"/>
      <c r="O215" s="499"/>
    </row>
    <row r="216" customFormat="false" ht="20.25" hidden="false" customHeight="true" outlineLevel="0" collapsed="false">
      <c r="A216" s="537" t="s">
        <v>78</v>
      </c>
      <c r="B216" s="465"/>
      <c r="C216" s="625" t="s">
        <v>1104</v>
      </c>
      <c r="D216" s="529" t="s">
        <v>1105</v>
      </c>
      <c r="E216" s="465" t="s">
        <v>158</v>
      </c>
      <c r="F216" s="465" t="s">
        <v>78</v>
      </c>
      <c r="G216" s="472" t="s">
        <v>1106</v>
      </c>
      <c r="H216" s="467" t="n">
        <v>170000</v>
      </c>
      <c r="I216" s="625" t="s">
        <v>1107</v>
      </c>
      <c r="J216" s="469"/>
      <c r="K216" s="475" t="s">
        <v>1108</v>
      </c>
      <c r="L216" s="578"/>
      <c r="M216" s="556"/>
      <c r="N216" s="556"/>
      <c r="O216" s="499"/>
    </row>
    <row r="217" customFormat="false" ht="20.25" hidden="false" customHeight="true" outlineLevel="0" collapsed="false">
      <c r="A217" s="537"/>
      <c r="B217" s="465"/>
      <c r="C217" s="537"/>
      <c r="D217" s="529"/>
      <c r="E217" s="465"/>
      <c r="F217" s="465"/>
      <c r="G217" s="465"/>
      <c r="H217" s="467"/>
      <c r="I217" s="537"/>
      <c r="J217" s="469"/>
      <c r="K217" s="539"/>
      <c r="L217" s="578"/>
      <c r="M217" s="556"/>
      <c r="N217" s="556"/>
      <c r="O217" s="499"/>
    </row>
    <row r="218" customFormat="false" ht="20.25" hidden="false" customHeight="true" outlineLevel="0" collapsed="false">
      <c r="A218" s="465" t="s">
        <v>1109</v>
      </c>
      <c r="B218" s="465"/>
      <c r="C218" s="472" t="s">
        <v>1110</v>
      </c>
      <c r="D218" s="500" t="s">
        <v>1111</v>
      </c>
      <c r="E218" s="465" t="s">
        <v>158</v>
      </c>
      <c r="F218" s="465" t="s">
        <v>1109</v>
      </c>
      <c r="G218" s="472" t="s">
        <v>1112</v>
      </c>
      <c r="H218" s="480" t="n">
        <v>150000</v>
      </c>
      <c r="I218" s="525"/>
      <c r="J218" s="465"/>
      <c r="K218" s="472" t="s">
        <v>1113</v>
      </c>
      <c r="L218" s="500" t="s">
        <v>1114</v>
      </c>
      <c r="M218" s="556"/>
      <c r="N218" s="556"/>
      <c r="O218" s="499"/>
    </row>
    <row r="219" customFormat="false" ht="20.25" hidden="false" customHeight="true" outlineLevel="0" collapsed="false">
      <c r="A219" s="465" t="s">
        <v>1115</v>
      </c>
      <c r="B219" s="465"/>
      <c r="C219" s="472" t="s">
        <v>1116</v>
      </c>
      <c r="D219" s="500" t="s">
        <v>1117</v>
      </c>
      <c r="E219" s="465" t="s">
        <v>158</v>
      </c>
      <c r="F219" s="465" t="s">
        <v>1115</v>
      </c>
      <c r="G219" s="472" t="s">
        <v>1118</v>
      </c>
      <c r="H219" s="480" t="n">
        <v>150000</v>
      </c>
      <c r="I219" s="525"/>
      <c r="J219" s="465"/>
      <c r="K219" s="465" t="n">
        <v>29115</v>
      </c>
      <c r="L219" s="499"/>
      <c r="M219" s="556"/>
      <c r="N219" s="556"/>
      <c r="O219" s="499"/>
      <c r="P219" s="463"/>
      <c r="Q219" s="567"/>
      <c r="R219" s="567"/>
      <c r="S219" s="559"/>
      <c r="T219" s="481"/>
      <c r="U219" s="560"/>
      <c r="V219" s="498"/>
      <c r="W219" s="463"/>
      <c r="X219" s="463"/>
      <c r="Y219" s="463"/>
      <c r="Z219" s="463"/>
      <c r="AA219" s="463"/>
      <c r="AB219" s="463"/>
      <c r="AC219" s="463"/>
      <c r="AD219" s="463"/>
      <c r="AE219" s="463"/>
      <c r="AF219" s="463"/>
      <c r="AG219" s="463"/>
      <c r="AH219" s="463"/>
      <c r="AI219" s="463"/>
      <c r="AJ219" s="463"/>
      <c r="AK219" s="463"/>
      <c r="AL219" s="463"/>
      <c r="AM219" s="463"/>
      <c r="AN219" s="463"/>
      <c r="AO219" s="463"/>
      <c r="AP219" s="463"/>
      <c r="AQ219" s="463"/>
      <c r="AR219" s="463"/>
      <c r="AS219" s="463"/>
      <c r="AT219" s="463"/>
      <c r="AU219" s="463"/>
      <c r="AV219" s="463"/>
      <c r="AW219" s="463"/>
      <c r="AX219" s="463"/>
      <c r="AY219" s="463"/>
      <c r="AZ219" s="463"/>
      <c r="BA219" s="463"/>
      <c r="BB219" s="463"/>
      <c r="BC219" s="463"/>
      <c r="BD219" s="463"/>
      <c r="BE219" s="463"/>
      <c r="BF219" s="463"/>
      <c r="BG219" s="463"/>
      <c r="BH219" s="463"/>
      <c r="BI219" s="463"/>
      <c r="BJ219" s="463"/>
    </row>
    <row r="220" customFormat="false" ht="20.25" hidden="false" customHeight="true" outlineLevel="0" collapsed="false">
      <c r="A220" s="465" t="s">
        <v>1119</v>
      </c>
      <c r="B220" s="465"/>
      <c r="C220" s="472" t="s">
        <v>1120</v>
      </c>
      <c r="D220" s="500" t="s">
        <v>1121</v>
      </c>
      <c r="E220" s="465" t="s">
        <v>158</v>
      </c>
      <c r="F220" s="465" t="s">
        <v>1119</v>
      </c>
      <c r="G220" s="472" t="s">
        <v>1122</v>
      </c>
      <c r="H220" s="480" t="n">
        <v>150000</v>
      </c>
      <c r="I220" s="525"/>
      <c r="J220" s="465"/>
      <c r="K220" s="465" t="n">
        <v>17706</v>
      </c>
      <c r="L220" s="499"/>
      <c r="M220" s="556"/>
      <c r="N220" s="556"/>
      <c r="O220" s="499"/>
      <c r="P220" s="463"/>
      <c r="Q220" s="477"/>
      <c r="R220" s="626"/>
      <c r="S220" s="559"/>
      <c r="T220" s="481"/>
      <c r="U220" s="479"/>
      <c r="V220" s="498"/>
      <c r="W220" s="463"/>
      <c r="X220" s="463"/>
      <c r="Y220" s="463"/>
      <c r="Z220" s="463"/>
      <c r="AA220" s="463"/>
      <c r="AB220" s="463"/>
      <c r="AC220" s="463"/>
      <c r="AD220" s="463"/>
      <c r="AE220" s="463"/>
      <c r="AF220" s="463"/>
      <c r="AG220" s="463"/>
      <c r="AH220" s="463"/>
      <c r="AI220" s="463"/>
      <c r="AJ220" s="463"/>
      <c r="AK220" s="463"/>
      <c r="AL220" s="463"/>
      <c r="AM220" s="463"/>
      <c r="AN220" s="463"/>
      <c r="AO220" s="463"/>
      <c r="AP220" s="463"/>
      <c r="AQ220" s="463"/>
      <c r="AR220" s="463"/>
      <c r="AS220" s="463"/>
      <c r="AT220" s="463"/>
      <c r="AU220" s="463"/>
      <c r="AV220" s="463"/>
      <c r="AW220" s="463"/>
      <c r="AX220" s="463"/>
      <c r="AY220" s="463"/>
      <c r="AZ220" s="463"/>
      <c r="BA220" s="463"/>
      <c r="BB220" s="463"/>
      <c r="BC220" s="463"/>
      <c r="BD220" s="463"/>
      <c r="BE220" s="463"/>
      <c r="BF220" s="463"/>
      <c r="BG220" s="463"/>
      <c r="BH220" s="463"/>
      <c r="BI220" s="463"/>
      <c r="BJ220" s="463"/>
    </row>
    <row r="221" customFormat="false" ht="20.25" hidden="false" customHeight="true" outlineLevel="0" collapsed="false">
      <c r="A221" s="465" t="s">
        <v>1123</v>
      </c>
      <c r="B221" s="465"/>
      <c r="C221" s="472" t="s">
        <v>1124</v>
      </c>
      <c r="D221" s="500" t="s">
        <v>1125</v>
      </c>
      <c r="E221" s="465" t="s">
        <v>353</v>
      </c>
      <c r="F221" s="465" t="s">
        <v>1123</v>
      </c>
      <c r="G221" s="451" t="s">
        <v>1126</v>
      </c>
      <c r="H221" s="480" t="n">
        <v>150000</v>
      </c>
      <c r="I221" s="525"/>
      <c r="J221" s="465"/>
      <c r="K221" s="465" t="n">
        <v>29149</v>
      </c>
      <c r="L221" s="499" t="s">
        <v>1127</v>
      </c>
      <c r="M221" s="556"/>
      <c r="N221" s="556"/>
      <c r="O221" s="499"/>
      <c r="P221" s="463"/>
      <c r="Q221" s="477"/>
      <c r="R221" s="477"/>
      <c r="S221" s="559"/>
      <c r="T221" s="481"/>
      <c r="U221" s="479"/>
      <c r="V221" s="498"/>
      <c r="W221" s="463"/>
      <c r="X221" s="463"/>
      <c r="Y221" s="463"/>
      <c r="Z221" s="463"/>
      <c r="AA221" s="463"/>
      <c r="AB221" s="463"/>
      <c r="AC221" s="463"/>
      <c r="AD221" s="463"/>
      <c r="AE221" s="463"/>
      <c r="AF221" s="463"/>
      <c r="AG221" s="463"/>
      <c r="AH221" s="463"/>
      <c r="AI221" s="463"/>
      <c r="AJ221" s="463"/>
      <c r="AK221" s="463"/>
      <c r="AL221" s="463"/>
      <c r="AM221" s="463"/>
      <c r="AN221" s="463"/>
      <c r="AO221" s="463"/>
      <c r="AP221" s="463"/>
      <c r="AQ221" s="463"/>
      <c r="AR221" s="463"/>
      <c r="AS221" s="463"/>
      <c r="AT221" s="463"/>
      <c r="AU221" s="463"/>
      <c r="AV221" s="463"/>
      <c r="AW221" s="463"/>
      <c r="AX221" s="463"/>
      <c r="AY221" s="463"/>
      <c r="AZ221" s="463"/>
      <c r="BA221" s="463"/>
      <c r="BB221" s="463"/>
      <c r="BC221" s="463"/>
      <c r="BD221" s="463"/>
      <c r="BE221" s="463"/>
      <c r="BF221" s="463"/>
      <c r="BG221" s="463"/>
      <c r="BH221" s="463"/>
      <c r="BI221" s="463"/>
      <c r="BJ221" s="463"/>
    </row>
    <row r="222" customFormat="false" ht="20.25" hidden="false" customHeight="true" outlineLevel="0" collapsed="false">
      <c r="A222" s="465" t="s">
        <v>1128</v>
      </c>
      <c r="B222" s="465"/>
      <c r="C222" s="472" t="s">
        <v>1129</v>
      </c>
      <c r="D222" s="500" t="s">
        <v>1130</v>
      </c>
      <c r="E222" s="465" t="s">
        <v>158</v>
      </c>
      <c r="F222" s="465" t="str">
        <f aca="false">A222</f>
        <v>황규석</v>
      </c>
      <c r="G222" s="472" t="s">
        <v>1131</v>
      </c>
      <c r="H222" s="480" t="n">
        <v>250000</v>
      </c>
      <c r="I222" s="525"/>
      <c r="J222" s="465"/>
      <c r="K222" s="465" t="n">
        <v>29129</v>
      </c>
      <c r="L222" s="499"/>
      <c r="M222" s="556"/>
      <c r="N222" s="556"/>
      <c r="O222" s="499"/>
      <c r="P222" s="463"/>
      <c r="Q222" s="477"/>
      <c r="R222" s="477"/>
      <c r="S222" s="559"/>
      <c r="T222" s="481"/>
      <c r="U222" s="479"/>
      <c r="V222" s="498"/>
      <c r="W222" s="463"/>
      <c r="X222" s="463"/>
      <c r="Y222" s="463"/>
      <c r="Z222" s="463"/>
      <c r="AA222" s="463"/>
      <c r="AB222" s="463"/>
      <c r="AC222" s="463"/>
      <c r="AD222" s="463"/>
      <c r="AE222" s="463"/>
      <c r="AF222" s="463"/>
      <c r="AG222" s="463"/>
      <c r="AH222" s="463"/>
      <c r="AI222" s="463"/>
      <c r="AJ222" s="463"/>
      <c r="AK222" s="463"/>
      <c r="AL222" s="463"/>
      <c r="AM222" s="463"/>
      <c r="AN222" s="463"/>
      <c r="AO222" s="463"/>
      <c r="AP222" s="463"/>
      <c r="AQ222" s="463"/>
      <c r="AR222" s="463"/>
      <c r="AS222" s="463"/>
      <c r="AT222" s="463"/>
      <c r="AU222" s="463"/>
      <c r="AV222" s="463"/>
      <c r="AW222" s="463"/>
      <c r="AX222" s="463"/>
      <c r="AY222" s="463"/>
      <c r="AZ222" s="463"/>
      <c r="BA222" s="463"/>
      <c r="BB222" s="463"/>
      <c r="BC222" s="463"/>
      <c r="BD222" s="463"/>
      <c r="BE222" s="463"/>
      <c r="BF222" s="463"/>
      <c r="BG222" s="463"/>
      <c r="BH222" s="463"/>
      <c r="BI222" s="463"/>
      <c r="BJ222" s="463"/>
    </row>
    <row r="223" customFormat="false" ht="20.25" hidden="false" customHeight="true" outlineLevel="0" collapsed="false">
      <c r="A223" s="465" t="s">
        <v>1132</v>
      </c>
      <c r="B223" s="556"/>
      <c r="C223" s="472" t="s">
        <v>1133</v>
      </c>
      <c r="D223" s="500" t="s">
        <v>1134</v>
      </c>
      <c r="E223" s="465" t="s">
        <v>158</v>
      </c>
      <c r="F223" s="465" t="str">
        <f aca="false">A223</f>
        <v>황대영</v>
      </c>
      <c r="G223" s="472" t="s">
        <v>1135</v>
      </c>
      <c r="H223" s="480" t="n">
        <v>200000</v>
      </c>
      <c r="I223" s="525"/>
      <c r="J223" s="465"/>
      <c r="K223" s="465" t="n">
        <v>29129</v>
      </c>
      <c r="L223" s="499"/>
      <c r="M223" s="556"/>
      <c r="N223" s="556"/>
      <c r="O223" s="499"/>
      <c r="P223" s="463"/>
      <c r="Q223" s="477"/>
      <c r="R223" s="477"/>
      <c r="S223" s="559"/>
      <c r="T223" s="481"/>
      <c r="U223" s="479"/>
      <c r="V223" s="498"/>
      <c r="W223" s="463"/>
      <c r="X223" s="463"/>
      <c r="Y223" s="463"/>
      <c r="Z223" s="463"/>
      <c r="AA223" s="463"/>
      <c r="AB223" s="463"/>
      <c r="AC223" s="463"/>
      <c r="AD223" s="463"/>
      <c r="AE223" s="463"/>
      <c r="AF223" s="463"/>
      <c r="AG223" s="463"/>
      <c r="AH223" s="463"/>
      <c r="AI223" s="463"/>
      <c r="AJ223" s="463"/>
      <c r="AK223" s="463"/>
      <c r="AL223" s="463"/>
      <c r="AM223" s="463"/>
      <c r="AN223" s="463"/>
      <c r="AO223" s="463"/>
      <c r="AP223" s="463"/>
      <c r="AQ223" s="463"/>
      <c r="AR223" s="463"/>
      <c r="AS223" s="463"/>
      <c r="AT223" s="463"/>
      <c r="AU223" s="463"/>
      <c r="AV223" s="463"/>
      <c r="AW223" s="463"/>
      <c r="AX223" s="463"/>
      <c r="AY223" s="463"/>
      <c r="AZ223" s="463"/>
      <c r="BA223" s="463"/>
      <c r="BB223" s="463"/>
      <c r="BC223" s="463"/>
      <c r="BD223" s="463"/>
      <c r="BE223" s="463"/>
      <c r="BF223" s="463"/>
      <c r="BG223" s="463"/>
      <c r="BH223" s="463"/>
      <c r="BI223" s="463"/>
      <c r="BJ223" s="463"/>
    </row>
    <row r="224" customFormat="false" ht="20.25" hidden="false" customHeight="true" outlineLevel="0" collapsed="false">
      <c r="A224" s="465" t="s">
        <v>1136</v>
      </c>
      <c r="B224" s="465"/>
      <c r="C224" s="472" t="s">
        <v>1137</v>
      </c>
      <c r="D224" s="500" t="s">
        <v>1138</v>
      </c>
      <c r="E224" s="465" t="s">
        <v>158</v>
      </c>
      <c r="F224" s="465" t="str">
        <f aca="false">A224</f>
        <v>박종섭</v>
      </c>
      <c r="G224" s="472" t="s">
        <v>1139</v>
      </c>
      <c r="H224" s="480" t="n">
        <v>200000</v>
      </c>
      <c r="I224" s="525"/>
      <c r="J224" s="465"/>
      <c r="K224" s="465" t="n">
        <v>29147</v>
      </c>
      <c r="L224" s="499"/>
      <c r="M224" s="556"/>
      <c r="N224" s="556"/>
      <c r="O224" s="499"/>
      <c r="P224" s="463"/>
      <c r="Q224" s="477"/>
      <c r="R224" s="477"/>
      <c r="S224" s="559"/>
      <c r="T224" s="481"/>
      <c r="U224" s="479"/>
      <c r="V224" s="498"/>
      <c r="W224" s="463"/>
      <c r="X224" s="463"/>
      <c r="Y224" s="463"/>
      <c r="Z224" s="463"/>
      <c r="AA224" s="463"/>
      <c r="AB224" s="463"/>
      <c r="AC224" s="463"/>
      <c r="AD224" s="463"/>
      <c r="AE224" s="463"/>
      <c r="AF224" s="463"/>
      <c r="AG224" s="463"/>
      <c r="AH224" s="463"/>
      <c r="AI224" s="463"/>
      <c r="AJ224" s="463"/>
      <c r="AK224" s="463"/>
      <c r="AL224" s="463"/>
      <c r="AM224" s="463"/>
      <c r="AN224" s="463"/>
      <c r="AO224" s="463"/>
      <c r="AP224" s="463"/>
      <c r="AQ224" s="463"/>
      <c r="AR224" s="463"/>
      <c r="AS224" s="463"/>
      <c r="AT224" s="463"/>
      <c r="AU224" s="463"/>
      <c r="AV224" s="463"/>
      <c r="AW224" s="463"/>
      <c r="AX224" s="463"/>
      <c r="AY224" s="463"/>
      <c r="AZ224" s="463"/>
      <c r="BA224" s="463"/>
      <c r="BB224" s="463"/>
      <c r="BC224" s="463"/>
      <c r="BD224" s="463"/>
      <c r="BE224" s="463"/>
      <c r="BF224" s="463"/>
      <c r="BG224" s="463"/>
      <c r="BH224" s="463"/>
      <c r="BI224" s="463"/>
      <c r="BJ224" s="463"/>
    </row>
    <row r="225" customFormat="false" ht="20.25" hidden="false" customHeight="true" outlineLevel="0" collapsed="false">
      <c r="A225" s="465" t="s">
        <v>62</v>
      </c>
      <c r="B225" s="465"/>
      <c r="C225" s="472" t="s">
        <v>1140</v>
      </c>
      <c r="D225" s="500" t="s">
        <v>1141</v>
      </c>
      <c r="E225" s="465" t="s">
        <v>158</v>
      </c>
      <c r="F225" s="465" t="s">
        <v>62</v>
      </c>
      <c r="G225" s="472" t="s">
        <v>1142</v>
      </c>
      <c r="H225" s="480" t="n">
        <v>150000</v>
      </c>
      <c r="I225" s="525" t="s">
        <v>1143</v>
      </c>
      <c r="J225" s="465"/>
      <c r="K225" s="465" t="n">
        <v>29150</v>
      </c>
      <c r="L225" s="499"/>
      <c r="M225" s="556"/>
      <c r="N225" s="556"/>
      <c r="O225" s="499"/>
      <c r="P225" s="463"/>
      <c r="Q225" s="477"/>
      <c r="R225" s="477"/>
      <c r="S225" s="559"/>
      <c r="T225" s="481"/>
      <c r="U225" s="479"/>
      <c r="V225" s="498"/>
      <c r="W225" s="463"/>
      <c r="X225" s="463"/>
      <c r="Y225" s="463"/>
      <c r="Z225" s="463"/>
      <c r="AA225" s="463"/>
      <c r="AB225" s="463"/>
      <c r="AC225" s="463"/>
      <c r="AD225" s="463"/>
      <c r="AE225" s="463"/>
      <c r="AF225" s="463"/>
      <c r="AG225" s="463"/>
      <c r="AH225" s="463"/>
      <c r="AI225" s="463"/>
      <c r="AJ225" s="463"/>
      <c r="AK225" s="463"/>
      <c r="AL225" s="463"/>
      <c r="AM225" s="463"/>
      <c r="AN225" s="463"/>
      <c r="AO225" s="463"/>
      <c r="AP225" s="463"/>
      <c r="AQ225" s="463"/>
      <c r="AR225" s="463"/>
      <c r="AS225" s="463"/>
      <c r="AT225" s="463"/>
      <c r="AU225" s="463"/>
      <c r="AV225" s="463"/>
      <c r="AW225" s="463"/>
      <c r="AX225" s="463"/>
      <c r="AY225" s="463"/>
      <c r="AZ225" s="463"/>
      <c r="BA225" s="463"/>
      <c r="BB225" s="463"/>
      <c r="BC225" s="463"/>
      <c r="BD225" s="463"/>
      <c r="BE225" s="463"/>
      <c r="BF225" s="463"/>
      <c r="BG225" s="463"/>
      <c r="BH225" s="463"/>
      <c r="BI225" s="463"/>
      <c r="BJ225" s="463"/>
    </row>
    <row r="226" customFormat="false" ht="20.25" hidden="false" customHeight="true" outlineLevel="0" collapsed="false">
      <c r="A226" s="465" t="s">
        <v>1144</v>
      </c>
      <c r="B226" s="465"/>
      <c r="C226" s="472" t="s">
        <v>1145</v>
      </c>
      <c r="D226" s="500" t="s">
        <v>1146</v>
      </c>
      <c r="E226" s="465" t="s">
        <v>245</v>
      </c>
      <c r="F226" s="465" t="s">
        <v>1144</v>
      </c>
      <c r="G226" s="472" t="s">
        <v>1147</v>
      </c>
      <c r="H226" s="480" t="n">
        <v>150000</v>
      </c>
      <c r="I226" s="525" t="s">
        <v>1148</v>
      </c>
      <c r="J226" s="465"/>
      <c r="K226" s="465" t="n">
        <v>28748</v>
      </c>
      <c r="L226" s="499"/>
      <c r="M226" s="556"/>
      <c r="N226" s="556"/>
      <c r="O226" s="499"/>
      <c r="P226" s="463"/>
      <c r="Q226" s="477"/>
      <c r="R226" s="477"/>
      <c r="S226" s="559"/>
      <c r="T226" s="481"/>
      <c r="U226" s="479"/>
      <c r="V226" s="498"/>
      <c r="W226" s="463"/>
      <c r="X226" s="463"/>
      <c r="Y226" s="463"/>
      <c r="Z226" s="463"/>
      <c r="AA226" s="463"/>
      <c r="AB226" s="463"/>
      <c r="AC226" s="463"/>
      <c r="AD226" s="463"/>
      <c r="AE226" s="463"/>
      <c r="AF226" s="463"/>
      <c r="AG226" s="463"/>
      <c r="AH226" s="463"/>
      <c r="AI226" s="463"/>
      <c r="AJ226" s="463"/>
      <c r="AK226" s="463"/>
      <c r="AL226" s="463"/>
      <c r="AM226" s="463"/>
      <c r="AN226" s="463"/>
      <c r="AO226" s="463"/>
      <c r="AP226" s="463"/>
      <c r="AQ226" s="463"/>
      <c r="AR226" s="463"/>
      <c r="AS226" s="463"/>
      <c r="AT226" s="463"/>
      <c r="AU226" s="463"/>
      <c r="AV226" s="463"/>
      <c r="AW226" s="463"/>
      <c r="AX226" s="463"/>
      <c r="AY226" s="463"/>
      <c r="AZ226" s="463"/>
      <c r="BA226" s="463"/>
      <c r="BB226" s="463"/>
      <c r="BC226" s="463"/>
      <c r="BD226" s="463"/>
      <c r="BE226" s="463"/>
      <c r="BF226" s="463"/>
      <c r="BG226" s="463"/>
      <c r="BH226" s="463"/>
      <c r="BI226" s="463"/>
      <c r="BJ226" s="463"/>
    </row>
    <row r="227" customFormat="false" ht="20.25" hidden="false" customHeight="true" outlineLevel="0" collapsed="false">
      <c r="A227" s="465" t="s">
        <v>1149</v>
      </c>
      <c r="B227" s="465"/>
      <c r="C227" s="472" t="s">
        <v>1150</v>
      </c>
      <c r="D227" s="500" t="s">
        <v>1151</v>
      </c>
      <c r="E227" s="465" t="s">
        <v>158</v>
      </c>
      <c r="F227" s="465" t="s">
        <v>1149</v>
      </c>
      <c r="G227" s="472" t="s">
        <v>1152</v>
      </c>
      <c r="H227" s="480" t="n">
        <v>230000</v>
      </c>
      <c r="I227" s="525" t="s">
        <v>1153</v>
      </c>
      <c r="J227" s="465"/>
      <c r="K227" s="465" t="n">
        <v>28206</v>
      </c>
      <c r="L227" s="499"/>
      <c r="M227" s="556"/>
      <c r="N227" s="556"/>
      <c r="O227" s="499"/>
      <c r="P227" s="463"/>
      <c r="Q227" s="477"/>
      <c r="R227" s="477"/>
      <c r="S227" s="559"/>
      <c r="T227" s="481"/>
      <c r="U227" s="479"/>
      <c r="V227" s="498"/>
      <c r="W227" s="463"/>
      <c r="X227" s="463"/>
      <c r="Y227" s="463"/>
      <c r="Z227" s="463"/>
      <c r="AA227" s="463"/>
      <c r="AB227" s="463"/>
      <c r="AC227" s="463"/>
      <c r="AD227" s="463"/>
      <c r="AE227" s="463"/>
      <c r="AF227" s="463"/>
      <c r="AG227" s="463"/>
      <c r="AH227" s="463"/>
      <c r="AI227" s="463"/>
      <c r="AJ227" s="463"/>
      <c r="AK227" s="463"/>
      <c r="AL227" s="463"/>
      <c r="AM227" s="463"/>
      <c r="AN227" s="463"/>
      <c r="AO227" s="463"/>
      <c r="AP227" s="463"/>
      <c r="AQ227" s="463"/>
      <c r="AR227" s="463"/>
      <c r="AS227" s="463"/>
      <c r="AT227" s="463"/>
      <c r="AU227" s="463"/>
      <c r="AV227" s="463"/>
      <c r="AW227" s="463"/>
      <c r="AX227" s="463"/>
      <c r="AY227" s="463"/>
      <c r="AZ227" s="463"/>
      <c r="BA227" s="463"/>
      <c r="BB227" s="463"/>
      <c r="BC227" s="463"/>
      <c r="BD227" s="463"/>
      <c r="BE227" s="463"/>
      <c r="BF227" s="463"/>
      <c r="BG227" s="463"/>
      <c r="BH227" s="463"/>
      <c r="BI227" s="463"/>
      <c r="BJ227" s="463"/>
    </row>
    <row r="228" customFormat="false" ht="20.25" hidden="false" customHeight="true" outlineLevel="0" collapsed="false">
      <c r="A228" s="465" t="s">
        <v>69</v>
      </c>
      <c r="B228" s="465"/>
      <c r="C228" s="472" t="s">
        <v>1154</v>
      </c>
      <c r="D228" s="500" t="s">
        <v>1155</v>
      </c>
      <c r="E228" s="465" t="s">
        <v>318</v>
      </c>
      <c r="F228" s="465" t="s">
        <v>69</v>
      </c>
      <c r="G228" s="472" t="s">
        <v>1156</v>
      </c>
      <c r="H228" s="480" t="n">
        <v>250000</v>
      </c>
      <c r="I228" s="480"/>
      <c r="J228" s="465"/>
      <c r="K228" s="465" t="n">
        <v>28686</v>
      </c>
      <c r="L228" s="500" t="s">
        <v>1157</v>
      </c>
      <c r="M228" s="556"/>
      <c r="N228" s="556"/>
      <c r="O228" s="499"/>
      <c r="P228" s="463"/>
      <c r="Q228" s="463"/>
      <c r="R228" s="463"/>
      <c r="S228" s="463"/>
      <c r="T228" s="463"/>
      <c r="U228" s="463"/>
      <c r="V228" s="463"/>
      <c r="W228" s="463"/>
      <c r="X228" s="463"/>
      <c r="Y228" s="463"/>
      <c r="Z228" s="463"/>
      <c r="AA228" s="463"/>
      <c r="AB228" s="463"/>
      <c r="AC228" s="463"/>
      <c r="AD228" s="463"/>
      <c r="AE228" s="463"/>
      <c r="AF228" s="463"/>
      <c r="AG228" s="463"/>
      <c r="AH228" s="463"/>
      <c r="AI228" s="463"/>
      <c r="AJ228" s="463"/>
      <c r="AK228" s="463"/>
      <c r="AL228" s="463"/>
      <c r="AM228" s="463"/>
      <c r="AN228" s="463"/>
      <c r="AO228" s="463"/>
      <c r="AP228" s="463"/>
      <c r="AQ228" s="463"/>
      <c r="AR228" s="463"/>
      <c r="AS228" s="463"/>
      <c r="AT228" s="463"/>
      <c r="AU228" s="463"/>
      <c r="AV228" s="463"/>
      <c r="AW228" s="463"/>
      <c r="AX228" s="463"/>
      <c r="AY228" s="463"/>
      <c r="AZ228" s="463"/>
      <c r="BA228" s="463"/>
      <c r="BB228" s="463"/>
      <c r="BC228" s="463"/>
      <c r="BD228" s="463"/>
      <c r="BE228" s="463"/>
      <c r="BF228" s="463"/>
      <c r="BG228" s="463"/>
      <c r="BH228" s="463"/>
      <c r="BI228" s="463"/>
      <c r="BJ228" s="463"/>
    </row>
    <row r="229" customFormat="false" ht="20.25" hidden="false" customHeight="true" outlineLevel="0" collapsed="false">
      <c r="A229" s="465" t="s">
        <v>70</v>
      </c>
      <c r="B229" s="465"/>
      <c r="C229" s="472" t="s">
        <v>1158</v>
      </c>
      <c r="D229" s="500" t="s">
        <v>1159</v>
      </c>
      <c r="E229" s="465" t="s">
        <v>158</v>
      </c>
      <c r="F229" s="465" t="s">
        <v>70</v>
      </c>
      <c r="G229" s="472" t="s">
        <v>1160</v>
      </c>
      <c r="H229" s="480" t="n">
        <v>250000</v>
      </c>
      <c r="I229" s="525"/>
      <c r="J229" s="465"/>
      <c r="K229" s="465" t="n">
        <v>28187</v>
      </c>
      <c r="L229" s="499"/>
      <c r="M229" s="556"/>
      <c r="N229" s="556"/>
      <c r="O229" s="499"/>
      <c r="P229" s="463"/>
      <c r="Q229" s="463"/>
      <c r="R229" s="463"/>
      <c r="S229" s="463"/>
      <c r="T229" s="463"/>
      <c r="U229" s="463"/>
      <c r="V229" s="463"/>
      <c r="W229" s="463"/>
      <c r="X229" s="463"/>
      <c r="Y229" s="463"/>
      <c r="Z229" s="463"/>
      <c r="AA229" s="463"/>
      <c r="AB229" s="463"/>
      <c r="AC229" s="463"/>
      <c r="AD229" s="463"/>
      <c r="AE229" s="463"/>
      <c r="AF229" s="463"/>
      <c r="AG229" s="463"/>
      <c r="AH229" s="463"/>
      <c r="AI229" s="463"/>
      <c r="AJ229" s="463"/>
      <c r="AK229" s="463"/>
      <c r="AL229" s="463"/>
      <c r="AM229" s="463"/>
      <c r="AN229" s="463"/>
      <c r="AO229" s="463"/>
      <c r="AP229" s="463"/>
      <c r="AQ229" s="463"/>
      <c r="AR229" s="463"/>
      <c r="AS229" s="463"/>
      <c r="AT229" s="463"/>
      <c r="AU229" s="463"/>
      <c r="AV229" s="463"/>
      <c r="AW229" s="463"/>
      <c r="AX229" s="463"/>
      <c r="AY229" s="463"/>
      <c r="AZ229" s="463"/>
      <c r="BA229" s="463"/>
      <c r="BB229" s="463"/>
      <c r="BC229" s="463"/>
      <c r="BD229" s="463"/>
      <c r="BE229" s="463"/>
      <c r="BF229" s="463"/>
      <c r="BG229" s="463"/>
      <c r="BH229" s="463"/>
      <c r="BI229" s="463"/>
      <c r="BJ229" s="463"/>
    </row>
    <row r="230" customFormat="false" ht="20.25" hidden="false" customHeight="true" outlineLevel="0" collapsed="false">
      <c r="A230" s="537" t="s">
        <v>71</v>
      </c>
      <c r="B230" s="465"/>
      <c r="C230" s="625" t="s">
        <v>1161</v>
      </c>
      <c r="D230" s="529" t="s">
        <v>1162</v>
      </c>
      <c r="E230" s="465" t="s">
        <v>568</v>
      </c>
      <c r="F230" s="465" t="s">
        <v>71</v>
      </c>
      <c r="G230" s="472" t="s">
        <v>1163</v>
      </c>
      <c r="H230" s="480" t="n">
        <v>250000</v>
      </c>
      <c r="I230" s="537"/>
      <c r="J230" s="465"/>
      <c r="K230" s="475" t="s">
        <v>1164</v>
      </c>
      <c r="L230" s="499"/>
      <c r="M230" s="556"/>
      <c r="N230" s="556"/>
      <c r="O230" s="499"/>
    </row>
    <row r="231" customFormat="false" ht="20.25" hidden="false" customHeight="true" outlineLevel="0" collapsed="false">
      <c r="A231" s="465" t="s">
        <v>72</v>
      </c>
      <c r="B231" s="465"/>
      <c r="C231" s="472" t="s">
        <v>1165</v>
      </c>
      <c r="D231" s="500" t="s">
        <v>1166</v>
      </c>
      <c r="E231" s="465" t="s">
        <v>158</v>
      </c>
      <c r="F231" s="465" t="s">
        <v>72</v>
      </c>
      <c r="G231" s="472" t="s">
        <v>1167</v>
      </c>
      <c r="H231" s="480" t="n">
        <v>200000</v>
      </c>
      <c r="I231" s="525" t="s">
        <v>1168</v>
      </c>
      <c r="J231" s="465"/>
      <c r="K231" s="465" t="n">
        <v>29058</v>
      </c>
      <c r="L231" s="499"/>
      <c r="M231" s="556"/>
      <c r="N231" s="556"/>
      <c r="O231" s="499"/>
      <c r="P231" s="463"/>
      <c r="Q231" s="477"/>
      <c r="R231" s="477"/>
      <c r="S231" s="559"/>
      <c r="T231" s="481"/>
      <c r="U231" s="479"/>
      <c r="V231" s="498"/>
      <c r="W231" s="463"/>
      <c r="X231" s="463"/>
      <c r="Y231" s="463"/>
      <c r="Z231" s="463"/>
      <c r="AA231" s="463"/>
      <c r="AB231" s="463"/>
      <c r="AC231" s="463"/>
      <c r="AD231" s="463"/>
      <c r="AE231" s="463"/>
      <c r="AF231" s="463"/>
      <c r="AG231" s="463"/>
      <c r="AH231" s="463"/>
      <c r="AI231" s="463"/>
      <c r="AJ231" s="463"/>
      <c r="AK231" s="463"/>
      <c r="AL231" s="463"/>
      <c r="AM231" s="463"/>
      <c r="AN231" s="463"/>
      <c r="AO231" s="463"/>
      <c r="AP231" s="463"/>
      <c r="AQ231" s="463"/>
      <c r="AR231" s="463"/>
      <c r="AS231" s="463"/>
      <c r="AT231" s="463"/>
      <c r="AU231" s="463"/>
      <c r="AV231" s="463"/>
      <c r="AW231" s="463"/>
      <c r="AX231" s="463"/>
      <c r="AY231" s="463"/>
      <c r="AZ231" s="463"/>
      <c r="BA231" s="463"/>
      <c r="BB231" s="463"/>
      <c r="BC231" s="463"/>
      <c r="BD231" s="463"/>
      <c r="BE231" s="463"/>
      <c r="BF231" s="463"/>
      <c r="BG231" s="463"/>
      <c r="BH231" s="463"/>
      <c r="BI231" s="463"/>
      <c r="BJ231" s="463"/>
    </row>
    <row r="232" customFormat="false" ht="20.25" hidden="false" customHeight="true" outlineLevel="0" collapsed="false">
      <c r="A232" s="465" t="s">
        <v>73</v>
      </c>
      <c r="B232" s="465"/>
      <c r="C232" s="472" t="s">
        <v>1169</v>
      </c>
      <c r="D232" s="500"/>
      <c r="E232" s="465" t="s">
        <v>158</v>
      </c>
      <c r="F232" s="465" t="s">
        <v>73</v>
      </c>
      <c r="G232" s="472" t="s">
        <v>1170</v>
      </c>
      <c r="H232" s="480" t="n">
        <v>200000</v>
      </c>
      <c r="I232" s="525"/>
      <c r="J232" s="465"/>
      <c r="K232" s="465"/>
      <c r="L232" s="499"/>
      <c r="M232" s="556"/>
      <c r="N232" s="556"/>
      <c r="O232" s="499"/>
      <c r="P232" s="463"/>
      <c r="Q232" s="477"/>
      <c r="R232" s="477"/>
      <c r="S232" s="559"/>
      <c r="T232" s="481"/>
      <c r="U232" s="479"/>
      <c r="V232" s="498"/>
      <c r="W232" s="463"/>
      <c r="X232" s="463"/>
      <c r="Y232" s="463"/>
      <c r="Z232" s="463"/>
      <c r="AA232" s="463"/>
      <c r="AB232" s="463"/>
      <c r="AC232" s="463"/>
      <c r="AD232" s="463"/>
      <c r="AE232" s="463"/>
      <c r="AF232" s="463"/>
      <c r="AG232" s="463"/>
      <c r="AH232" s="463"/>
      <c r="AI232" s="463"/>
      <c r="AJ232" s="463"/>
      <c r="AK232" s="463"/>
      <c r="AL232" s="463"/>
      <c r="AM232" s="463"/>
      <c r="AN232" s="463"/>
      <c r="AO232" s="463"/>
      <c r="AP232" s="463"/>
      <c r="AQ232" s="463"/>
      <c r="AR232" s="463"/>
      <c r="AS232" s="463"/>
      <c r="AT232" s="463"/>
      <c r="AU232" s="463"/>
      <c r="AV232" s="463"/>
      <c r="AW232" s="463"/>
      <c r="AX232" s="463"/>
      <c r="AY232" s="463"/>
      <c r="AZ232" s="463"/>
      <c r="BA232" s="463"/>
      <c r="BB232" s="463"/>
      <c r="BC232" s="463"/>
      <c r="BD232" s="463"/>
      <c r="BE232" s="463"/>
      <c r="BF232" s="463"/>
      <c r="BG232" s="463"/>
      <c r="BH232" s="463"/>
      <c r="BI232" s="463"/>
      <c r="BJ232" s="463"/>
    </row>
    <row r="233" customFormat="false" ht="20.25" hidden="false" customHeight="true" outlineLevel="0" collapsed="false">
      <c r="A233" s="465" t="s">
        <v>74</v>
      </c>
      <c r="B233" s="465"/>
      <c r="C233" s="472" t="s">
        <v>1171</v>
      </c>
      <c r="D233" s="500" t="s">
        <v>1166</v>
      </c>
      <c r="E233" s="465" t="s">
        <v>158</v>
      </c>
      <c r="F233" s="465" t="s">
        <v>74</v>
      </c>
      <c r="G233" s="472" t="s">
        <v>1172</v>
      </c>
      <c r="H233" s="480" t="n">
        <v>200000</v>
      </c>
      <c r="I233" s="525" t="s">
        <v>1173</v>
      </c>
      <c r="J233" s="465"/>
      <c r="K233" s="465" t="n">
        <v>29058</v>
      </c>
      <c r="L233" s="499"/>
      <c r="M233" s="556"/>
      <c r="N233" s="556"/>
      <c r="O233" s="499"/>
      <c r="P233" s="463"/>
      <c r="Q233" s="477"/>
      <c r="R233" s="477"/>
      <c r="S233" s="559"/>
      <c r="T233" s="481"/>
      <c r="U233" s="479"/>
      <c r="V233" s="498"/>
      <c r="W233" s="463"/>
      <c r="X233" s="463"/>
      <c r="Y233" s="463"/>
      <c r="Z233" s="463"/>
      <c r="AA233" s="463"/>
      <c r="AB233" s="463"/>
      <c r="AC233" s="463"/>
      <c r="AD233" s="463"/>
      <c r="AE233" s="463"/>
      <c r="AF233" s="463"/>
      <c r="AG233" s="463"/>
      <c r="AH233" s="463"/>
      <c r="AI233" s="463"/>
      <c r="AJ233" s="463"/>
      <c r="AK233" s="463"/>
      <c r="AL233" s="463"/>
      <c r="AM233" s="463"/>
      <c r="AN233" s="463"/>
      <c r="AO233" s="463"/>
      <c r="AP233" s="463"/>
      <c r="AQ233" s="463"/>
      <c r="AR233" s="463"/>
      <c r="AS233" s="463"/>
      <c r="AT233" s="463"/>
      <c r="AU233" s="463"/>
      <c r="AV233" s="463"/>
      <c r="AW233" s="463"/>
      <c r="AX233" s="463"/>
      <c r="AY233" s="463"/>
      <c r="AZ233" s="463"/>
      <c r="BA233" s="463"/>
      <c r="BB233" s="463"/>
      <c r="BC233" s="463"/>
      <c r="BD233" s="463"/>
      <c r="BE233" s="463"/>
      <c r="BF233" s="463"/>
      <c r="BG233" s="463"/>
      <c r="BH233" s="463"/>
      <c r="BI233" s="463"/>
      <c r="BJ233" s="463"/>
    </row>
    <row r="234" customFormat="false" ht="19.5" hidden="false" customHeight="true" outlineLevel="0" collapsed="false">
      <c r="A234" s="465"/>
      <c r="B234" s="465"/>
      <c r="C234" s="465"/>
      <c r="D234" s="500"/>
      <c r="E234" s="465"/>
      <c r="F234" s="465"/>
      <c r="G234" s="465"/>
      <c r="H234" s="480"/>
      <c r="I234" s="525"/>
      <c r="J234" s="465"/>
      <c r="K234" s="465"/>
      <c r="L234" s="499"/>
      <c r="M234" s="556"/>
      <c r="N234" s="556"/>
      <c r="O234" s="499"/>
      <c r="P234" s="463"/>
      <c r="Q234" s="477"/>
      <c r="R234" s="477"/>
      <c r="S234" s="559"/>
      <c r="T234" s="481"/>
      <c r="U234" s="479"/>
      <c r="V234" s="498"/>
      <c r="W234" s="463"/>
      <c r="X234" s="463"/>
      <c r="Y234" s="463"/>
      <c r="Z234" s="463"/>
      <c r="AA234" s="463"/>
      <c r="AB234" s="463"/>
      <c r="AC234" s="463"/>
      <c r="AD234" s="463"/>
      <c r="AE234" s="463"/>
      <c r="AF234" s="463"/>
      <c r="AG234" s="463"/>
      <c r="AH234" s="463"/>
      <c r="AI234" s="463"/>
      <c r="AJ234" s="463"/>
      <c r="AK234" s="463"/>
      <c r="AL234" s="463"/>
      <c r="AM234" s="463"/>
      <c r="AN234" s="463"/>
      <c r="AO234" s="463"/>
      <c r="AP234" s="463"/>
      <c r="AQ234" s="463"/>
      <c r="AR234" s="463"/>
      <c r="AS234" s="463"/>
      <c r="AT234" s="463"/>
      <c r="AU234" s="463"/>
      <c r="AV234" s="463"/>
      <c r="AW234" s="463"/>
      <c r="AX234" s="463"/>
      <c r="AY234" s="463"/>
      <c r="AZ234" s="463"/>
      <c r="BA234" s="463"/>
      <c r="BB234" s="463"/>
      <c r="BC234" s="463"/>
      <c r="BD234" s="463"/>
      <c r="BE234" s="463"/>
      <c r="BF234" s="463"/>
      <c r="BG234" s="463"/>
      <c r="BH234" s="463"/>
      <c r="BI234" s="463"/>
      <c r="BJ234" s="463"/>
    </row>
    <row r="235" customFormat="false" ht="19.5" hidden="false" customHeight="true" outlineLevel="0" collapsed="false">
      <c r="A235" s="465" t="s">
        <v>1174</v>
      </c>
      <c r="B235" s="465"/>
      <c r="C235" s="472" t="s">
        <v>1175</v>
      </c>
      <c r="D235" s="500" t="s">
        <v>1176</v>
      </c>
      <c r="E235" s="465" t="s">
        <v>158</v>
      </c>
      <c r="F235" s="465" t="s">
        <v>1174</v>
      </c>
      <c r="G235" s="472" t="s">
        <v>1177</v>
      </c>
      <c r="H235" s="480" t="n">
        <v>280000</v>
      </c>
      <c r="I235" s="525" t="s">
        <v>1178</v>
      </c>
      <c r="J235" s="465"/>
      <c r="K235" s="465" t="n">
        <v>13274</v>
      </c>
      <c r="L235" s="499"/>
      <c r="M235" s="556"/>
      <c r="N235" s="556"/>
      <c r="O235" s="499"/>
      <c r="P235" s="463"/>
      <c r="Q235" s="477"/>
      <c r="R235" s="477"/>
      <c r="S235" s="559"/>
      <c r="T235" s="481"/>
      <c r="U235" s="479"/>
      <c r="V235" s="498"/>
      <c r="W235" s="463"/>
      <c r="X235" s="463"/>
      <c r="Y235" s="463"/>
      <c r="Z235" s="463"/>
      <c r="AA235" s="463"/>
      <c r="AB235" s="463"/>
      <c r="AC235" s="463"/>
      <c r="AD235" s="463"/>
      <c r="AE235" s="463"/>
      <c r="AF235" s="463"/>
      <c r="AG235" s="463"/>
      <c r="AH235" s="463"/>
      <c r="AI235" s="463"/>
      <c r="AJ235" s="463"/>
      <c r="AK235" s="463"/>
      <c r="AL235" s="463"/>
      <c r="AM235" s="463"/>
      <c r="AN235" s="463"/>
      <c r="AO235" s="463"/>
      <c r="AP235" s="463"/>
      <c r="AQ235" s="463"/>
      <c r="AR235" s="463"/>
      <c r="AS235" s="463"/>
      <c r="AT235" s="463"/>
      <c r="AU235" s="463"/>
      <c r="AV235" s="463"/>
      <c r="AW235" s="463"/>
      <c r="AX235" s="463"/>
      <c r="AY235" s="463"/>
      <c r="AZ235" s="463"/>
      <c r="BA235" s="463"/>
      <c r="BB235" s="463"/>
      <c r="BC235" s="463"/>
      <c r="BD235" s="463"/>
      <c r="BE235" s="463"/>
      <c r="BF235" s="463"/>
      <c r="BG235" s="463"/>
      <c r="BH235" s="463"/>
      <c r="BI235" s="463"/>
      <c r="BJ235" s="463"/>
    </row>
    <row r="236" customFormat="false" ht="19.5" hidden="false" customHeight="true" outlineLevel="0" collapsed="false">
      <c r="A236" s="465" t="s">
        <v>1179</v>
      </c>
      <c r="B236" s="465"/>
      <c r="C236" s="472" t="s">
        <v>1180</v>
      </c>
      <c r="D236" s="500" t="s">
        <v>1181</v>
      </c>
      <c r="E236" s="465" t="s">
        <v>863</v>
      </c>
      <c r="F236" s="465" t="s">
        <v>1182</v>
      </c>
      <c r="G236" s="472" t="s">
        <v>1183</v>
      </c>
      <c r="H236" s="480" t="n">
        <v>250000</v>
      </c>
      <c r="I236" s="525" t="s">
        <v>1184</v>
      </c>
      <c r="J236" s="465"/>
      <c r="K236" s="465" t="n">
        <v>34555</v>
      </c>
      <c r="L236" s="499" t="s">
        <v>1185</v>
      </c>
      <c r="M236" s="556"/>
      <c r="N236" s="556"/>
      <c r="O236" s="499"/>
      <c r="P236" s="463"/>
      <c r="Q236" s="477"/>
      <c r="R236" s="477"/>
      <c r="S236" s="559"/>
      <c r="T236" s="481"/>
      <c r="U236" s="479"/>
      <c r="V236" s="498"/>
      <c r="W236" s="463"/>
      <c r="X236" s="463"/>
      <c r="Y236" s="463"/>
      <c r="Z236" s="463"/>
      <c r="AA236" s="463"/>
      <c r="AB236" s="463"/>
      <c r="AC236" s="463"/>
      <c r="AD236" s="463"/>
      <c r="AE236" s="463"/>
      <c r="AF236" s="463"/>
      <c r="AG236" s="463"/>
      <c r="AH236" s="463"/>
      <c r="AI236" s="463"/>
      <c r="AJ236" s="463"/>
      <c r="AK236" s="463"/>
      <c r="AL236" s="463"/>
      <c r="AM236" s="463"/>
      <c r="AN236" s="463"/>
      <c r="AO236" s="463"/>
      <c r="AP236" s="463"/>
      <c r="AQ236" s="463"/>
      <c r="AR236" s="463"/>
      <c r="AS236" s="463"/>
      <c r="AT236" s="463"/>
      <c r="AU236" s="463"/>
      <c r="AV236" s="463"/>
      <c r="AW236" s="463"/>
      <c r="AX236" s="463"/>
      <c r="AY236" s="463"/>
      <c r="AZ236" s="463"/>
      <c r="BA236" s="463"/>
      <c r="BB236" s="463"/>
      <c r="BC236" s="463"/>
      <c r="BD236" s="463"/>
      <c r="BE236" s="463"/>
      <c r="BF236" s="463"/>
      <c r="BG236" s="463"/>
      <c r="BH236" s="463"/>
      <c r="BI236" s="463"/>
      <c r="BJ236" s="463"/>
    </row>
    <row r="237" customFormat="false" ht="19.5" hidden="false" customHeight="true" outlineLevel="0" collapsed="false">
      <c r="A237" s="465" t="s">
        <v>1186</v>
      </c>
      <c r="B237" s="465"/>
      <c r="C237" s="472" t="s">
        <v>1187</v>
      </c>
      <c r="D237" s="500" t="s">
        <v>1188</v>
      </c>
      <c r="E237" s="465" t="s">
        <v>996</v>
      </c>
      <c r="F237" s="465" t="s">
        <v>1186</v>
      </c>
      <c r="G237" s="472" t="s">
        <v>1189</v>
      </c>
      <c r="H237" s="480" t="n">
        <v>250000</v>
      </c>
      <c r="I237" s="525" t="s">
        <v>1190</v>
      </c>
      <c r="J237" s="465"/>
      <c r="K237" s="465" t="n">
        <v>35026</v>
      </c>
      <c r="L237" s="500" t="s">
        <v>1191</v>
      </c>
      <c r="M237" s="556"/>
      <c r="N237" s="556"/>
      <c r="O237" s="499"/>
      <c r="P237" s="463"/>
      <c r="Q237" s="477"/>
      <c r="R237" s="477"/>
      <c r="S237" s="559"/>
      <c r="T237" s="481"/>
      <c r="U237" s="479"/>
      <c r="V237" s="498"/>
      <c r="W237" s="463"/>
      <c r="X237" s="463"/>
      <c r="Y237" s="463"/>
      <c r="Z237" s="463"/>
      <c r="AA237" s="463"/>
      <c r="AB237" s="463"/>
      <c r="AC237" s="463"/>
      <c r="AD237" s="463"/>
      <c r="AE237" s="463"/>
      <c r="AF237" s="463"/>
      <c r="AG237" s="463"/>
      <c r="AH237" s="463"/>
      <c r="AI237" s="463"/>
      <c r="AJ237" s="463"/>
      <c r="AK237" s="463"/>
      <c r="AL237" s="463"/>
      <c r="AM237" s="463"/>
      <c r="AN237" s="463"/>
      <c r="AO237" s="463"/>
      <c r="AP237" s="463"/>
      <c r="AQ237" s="463"/>
      <c r="AR237" s="463"/>
      <c r="AS237" s="463"/>
      <c r="AT237" s="463"/>
      <c r="AU237" s="463"/>
      <c r="AV237" s="463"/>
      <c r="AW237" s="463"/>
      <c r="AX237" s="463"/>
      <c r="AY237" s="463"/>
      <c r="AZ237" s="463"/>
      <c r="BA237" s="463"/>
      <c r="BB237" s="463"/>
      <c r="BC237" s="463"/>
      <c r="BD237" s="463"/>
      <c r="BE237" s="463"/>
      <c r="BF237" s="463"/>
      <c r="BG237" s="463"/>
      <c r="BH237" s="463"/>
      <c r="BI237" s="463"/>
      <c r="BJ237" s="463"/>
    </row>
    <row r="238" customFormat="false" ht="19.5" hidden="false" customHeight="true" outlineLevel="0" collapsed="false">
      <c r="A238" s="465" t="s">
        <v>1192</v>
      </c>
      <c r="B238" s="465"/>
      <c r="C238" s="472" t="s">
        <v>1193</v>
      </c>
      <c r="D238" s="635" t="s">
        <v>1194</v>
      </c>
      <c r="E238" s="465" t="s">
        <v>353</v>
      </c>
      <c r="F238" s="465" t="s">
        <v>1192</v>
      </c>
      <c r="G238" s="472" t="s">
        <v>1195</v>
      </c>
      <c r="H238" s="480" t="n">
        <v>180000</v>
      </c>
      <c r="I238" s="525" t="s">
        <v>1196</v>
      </c>
      <c r="J238" s="465"/>
      <c r="K238" s="465" t="n">
        <v>28782</v>
      </c>
      <c r="L238" s="499"/>
      <c r="M238" s="556"/>
      <c r="N238" s="556"/>
      <c r="O238" s="499"/>
      <c r="P238" s="463"/>
      <c r="Q238" s="477"/>
      <c r="R238" s="477"/>
      <c r="S238" s="559"/>
      <c r="T238" s="481"/>
      <c r="U238" s="479"/>
      <c r="V238" s="498"/>
      <c r="W238" s="463"/>
      <c r="X238" s="463"/>
      <c r="Y238" s="463"/>
      <c r="Z238" s="463"/>
      <c r="AA238" s="463"/>
      <c r="AB238" s="463"/>
      <c r="AC238" s="463"/>
      <c r="AD238" s="463"/>
      <c r="AE238" s="463"/>
      <c r="AF238" s="463"/>
      <c r="AG238" s="463"/>
      <c r="AH238" s="463"/>
      <c r="AI238" s="463"/>
      <c r="AJ238" s="463"/>
      <c r="AK238" s="463"/>
      <c r="AL238" s="463"/>
      <c r="AM238" s="463"/>
      <c r="AN238" s="463"/>
      <c r="AO238" s="463"/>
      <c r="AP238" s="463"/>
      <c r="AQ238" s="463"/>
      <c r="AR238" s="463"/>
      <c r="AS238" s="463"/>
      <c r="AT238" s="463"/>
      <c r="AU238" s="463"/>
      <c r="AV238" s="463"/>
      <c r="AW238" s="463"/>
      <c r="AX238" s="463"/>
      <c r="AY238" s="463"/>
      <c r="AZ238" s="463"/>
      <c r="BA238" s="463"/>
      <c r="BB238" s="463"/>
      <c r="BC238" s="463"/>
      <c r="BD238" s="463"/>
      <c r="BE238" s="463"/>
      <c r="BF238" s="463"/>
      <c r="BG238" s="463"/>
      <c r="BH238" s="463"/>
      <c r="BI238" s="463"/>
      <c r="BJ238" s="463"/>
    </row>
    <row r="239" customFormat="false" ht="20.25" hidden="false" customHeight="true" outlineLevel="0" collapsed="false">
      <c r="A239" s="465"/>
      <c r="B239" s="465"/>
      <c r="C239" s="465"/>
      <c r="D239" s="500"/>
      <c r="E239" s="465"/>
      <c r="F239" s="465"/>
      <c r="G239" s="465"/>
      <c r="H239" s="480"/>
      <c r="I239" s="525"/>
      <c r="J239" s="465"/>
      <c r="K239" s="465"/>
      <c r="L239" s="499"/>
      <c r="M239" s="556"/>
      <c r="N239" s="556"/>
      <c r="O239" s="499"/>
      <c r="P239" s="463"/>
      <c r="Q239" s="477"/>
      <c r="R239" s="477"/>
      <c r="S239" s="559"/>
      <c r="T239" s="481"/>
      <c r="U239" s="479"/>
      <c r="V239" s="498"/>
      <c r="W239" s="463"/>
      <c r="X239" s="463"/>
      <c r="Y239" s="463"/>
      <c r="Z239" s="463"/>
      <c r="AA239" s="463"/>
      <c r="AB239" s="463"/>
      <c r="AC239" s="463"/>
      <c r="AD239" s="463"/>
      <c r="AE239" s="463"/>
      <c r="AF239" s="463"/>
      <c r="AG239" s="463"/>
      <c r="AH239" s="463"/>
      <c r="AI239" s="463"/>
      <c r="AJ239" s="463"/>
      <c r="AK239" s="463"/>
      <c r="AL239" s="463"/>
      <c r="AM239" s="463"/>
      <c r="AN239" s="463"/>
      <c r="AO239" s="463"/>
      <c r="AP239" s="463"/>
      <c r="AQ239" s="463"/>
      <c r="AR239" s="463"/>
      <c r="AS239" s="463"/>
      <c r="AT239" s="463"/>
      <c r="AU239" s="463"/>
      <c r="AV239" s="463"/>
      <c r="AW239" s="463"/>
      <c r="AX239" s="463"/>
      <c r="AY239" s="463"/>
      <c r="AZ239" s="463"/>
      <c r="BA239" s="463"/>
      <c r="BB239" s="463"/>
      <c r="BC239" s="463"/>
      <c r="BD239" s="463"/>
      <c r="BE239" s="463"/>
      <c r="BF239" s="463"/>
      <c r="BG239" s="463"/>
      <c r="BH239" s="463"/>
      <c r="BI239" s="463"/>
      <c r="BJ239" s="463"/>
    </row>
    <row r="240" customFormat="false" ht="20.25" hidden="false" customHeight="true" outlineLevel="0" collapsed="false">
      <c r="A240" s="465"/>
      <c r="B240" s="465"/>
      <c r="C240" s="465"/>
      <c r="D240" s="500"/>
      <c r="E240" s="465"/>
      <c r="F240" s="465"/>
      <c r="G240" s="465"/>
      <c r="H240" s="480"/>
      <c r="I240" s="525"/>
      <c r="J240" s="465"/>
      <c r="K240" s="465"/>
      <c r="L240" s="499"/>
      <c r="M240" s="556"/>
      <c r="N240" s="556"/>
      <c r="O240" s="499"/>
      <c r="P240" s="463"/>
      <c r="Q240" s="477"/>
      <c r="R240" s="477"/>
      <c r="S240" s="559"/>
      <c r="T240" s="481"/>
      <c r="U240" s="479"/>
      <c r="V240" s="498"/>
      <c r="W240" s="463"/>
      <c r="X240" s="463"/>
      <c r="Y240" s="463"/>
      <c r="Z240" s="463"/>
      <c r="AA240" s="463"/>
      <c r="AB240" s="463"/>
      <c r="AC240" s="463"/>
      <c r="AD240" s="463"/>
      <c r="AE240" s="463"/>
      <c r="AF240" s="463"/>
      <c r="AG240" s="463"/>
      <c r="AH240" s="463"/>
      <c r="AI240" s="463"/>
      <c r="AJ240" s="463"/>
      <c r="AK240" s="463"/>
      <c r="AL240" s="463"/>
      <c r="AM240" s="463"/>
      <c r="AN240" s="463"/>
      <c r="AO240" s="463"/>
      <c r="AP240" s="463"/>
      <c r="AQ240" s="463"/>
      <c r="AR240" s="463"/>
      <c r="AS240" s="463"/>
      <c r="AT240" s="463"/>
      <c r="AU240" s="463"/>
      <c r="AV240" s="463"/>
      <c r="AW240" s="463"/>
      <c r="AX240" s="463"/>
      <c r="AY240" s="463"/>
      <c r="AZ240" s="463"/>
      <c r="BA240" s="463"/>
      <c r="BB240" s="463"/>
      <c r="BC240" s="463"/>
      <c r="BD240" s="463"/>
      <c r="BE240" s="463"/>
      <c r="BF240" s="463"/>
      <c r="BG240" s="463"/>
      <c r="BH240" s="463"/>
      <c r="BI240" s="463"/>
      <c r="BJ240" s="463"/>
    </row>
    <row r="241" customFormat="false" ht="20.25" hidden="false" customHeight="true" outlineLevel="0" collapsed="false">
      <c r="A241" s="465"/>
      <c r="B241" s="465"/>
      <c r="C241" s="465"/>
      <c r="D241" s="500"/>
      <c r="E241" s="465"/>
      <c r="F241" s="465"/>
      <c r="G241" s="465"/>
      <c r="H241" s="480"/>
      <c r="I241" s="525"/>
      <c r="J241" s="465"/>
      <c r="K241" s="465"/>
      <c r="L241" s="499"/>
      <c r="M241" s="556"/>
      <c r="N241" s="556"/>
      <c r="O241" s="499"/>
      <c r="P241" s="463"/>
      <c r="Q241" s="477"/>
      <c r="R241" s="477"/>
      <c r="S241" s="559"/>
      <c r="T241" s="481"/>
      <c r="U241" s="479"/>
      <c r="V241" s="498"/>
      <c r="W241" s="463"/>
      <c r="X241" s="463"/>
      <c r="Y241" s="463"/>
      <c r="Z241" s="463"/>
      <c r="AA241" s="463"/>
      <c r="AB241" s="463"/>
      <c r="AC241" s="463"/>
      <c r="AD241" s="463"/>
      <c r="AE241" s="463"/>
      <c r="AF241" s="463"/>
      <c r="AG241" s="463"/>
      <c r="AH241" s="463"/>
      <c r="AI241" s="463"/>
      <c r="AJ241" s="463"/>
      <c r="AK241" s="463"/>
      <c r="AL241" s="463"/>
      <c r="AM241" s="463"/>
      <c r="AN241" s="463"/>
      <c r="AO241" s="463"/>
      <c r="AP241" s="463"/>
      <c r="AQ241" s="463"/>
      <c r="AR241" s="463"/>
      <c r="AS241" s="463"/>
      <c r="AT241" s="463"/>
      <c r="AU241" s="463"/>
      <c r="AV241" s="463"/>
      <c r="AW241" s="463"/>
      <c r="AX241" s="463"/>
      <c r="AY241" s="463"/>
      <c r="AZ241" s="463"/>
      <c r="BA241" s="463"/>
      <c r="BB241" s="463"/>
      <c r="BC241" s="463"/>
      <c r="BD241" s="463"/>
      <c r="BE241" s="463"/>
      <c r="BF241" s="463"/>
      <c r="BG241" s="463"/>
      <c r="BH241" s="463"/>
      <c r="BI241" s="463"/>
      <c r="BJ241" s="463"/>
    </row>
    <row r="242" customFormat="false" ht="20.25" hidden="false" customHeight="true" outlineLevel="0" collapsed="false">
      <c r="A242" s="465"/>
      <c r="B242" s="465"/>
      <c r="C242" s="465"/>
      <c r="D242" s="500"/>
      <c r="E242" s="465"/>
      <c r="F242" s="465"/>
      <c r="G242" s="465"/>
      <c r="H242" s="480"/>
      <c r="I242" s="525"/>
      <c r="J242" s="465"/>
      <c r="K242" s="465"/>
      <c r="L242" s="499"/>
      <c r="M242" s="556"/>
      <c r="N242" s="556"/>
      <c r="O242" s="499"/>
      <c r="P242" s="463"/>
      <c r="Q242" s="477"/>
      <c r="R242" s="477"/>
      <c r="S242" s="559"/>
      <c r="T242" s="481"/>
      <c r="U242" s="479"/>
      <c r="V242" s="498"/>
      <c r="W242" s="463"/>
      <c r="X242" s="463"/>
      <c r="Y242" s="463"/>
      <c r="Z242" s="463"/>
      <c r="AA242" s="463"/>
      <c r="AB242" s="463"/>
      <c r="AC242" s="463"/>
      <c r="AD242" s="463"/>
      <c r="AE242" s="463"/>
      <c r="AF242" s="463"/>
      <c r="AG242" s="463"/>
      <c r="AH242" s="463"/>
      <c r="AI242" s="463"/>
      <c r="AJ242" s="463"/>
      <c r="AK242" s="463"/>
      <c r="AL242" s="463"/>
      <c r="AM242" s="463"/>
      <c r="AN242" s="463"/>
      <c r="AO242" s="463"/>
      <c r="AP242" s="463"/>
      <c r="AQ242" s="463"/>
      <c r="AR242" s="463"/>
      <c r="AS242" s="463"/>
      <c r="AT242" s="463"/>
      <c r="AU242" s="463"/>
      <c r="AV242" s="463"/>
      <c r="AW242" s="463"/>
      <c r="AX242" s="463"/>
      <c r="AY242" s="463"/>
      <c r="AZ242" s="463"/>
      <c r="BA242" s="463"/>
      <c r="BB242" s="463"/>
      <c r="BC242" s="463"/>
      <c r="BD242" s="463"/>
      <c r="BE242" s="463"/>
      <c r="BF242" s="463"/>
      <c r="BG242" s="463"/>
      <c r="BH242" s="463"/>
      <c r="BI242" s="463"/>
      <c r="BJ242" s="463"/>
    </row>
    <row r="243" customFormat="false" ht="20.25" hidden="false" customHeight="true" outlineLevel="0" collapsed="false">
      <c r="A243" s="465"/>
      <c r="B243" s="465"/>
      <c r="C243" s="465"/>
      <c r="D243" s="500"/>
      <c r="E243" s="465"/>
      <c r="F243" s="465"/>
      <c r="G243" s="465"/>
      <c r="H243" s="480"/>
      <c r="I243" s="525"/>
      <c r="J243" s="465"/>
      <c r="K243" s="465"/>
      <c r="L243" s="499"/>
      <c r="M243" s="556"/>
      <c r="N243" s="556"/>
      <c r="O243" s="499"/>
      <c r="P243" s="463"/>
      <c r="Q243" s="477"/>
      <c r="R243" s="477"/>
      <c r="S243" s="559"/>
      <c r="T243" s="481"/>
      <c r="U243" s="479"/>
      <c r="V243" s="498"/>
      <c r="W243" s="463"/>
      <c r="X243" s="463"/>
      <c r="Y243" s="463"/>
      <c r="Z243" s="463"/>
      <c r="AA243" s="463"/>
      <c r="AB243" s="463"/>
      <c r="AC243" s="463"/>
      <c r="AD243" s="463"/>
      <c r="AE243" s="463"/>
      <c r="AF243" s="463"/>
      <c r="AG243" s="463"/>
      <c r="AH243" s="463"/>
      <c r="AI243" s="463"/>
      <c r="AJ243" s="463"/>
      <c r="AK243" s="463"/>
      <c r="AL243" s="463"/>
      <c r="AM243" s="463"/>
      <c r="AN243" s="463"/>
      <c r="AO243" s="463"/>
      <c r="AP243" s="463"/>
      <c r="AQ243" s="463"/>
      <c r="AR243" s="463"/>
      <c r="AS243" s="463"/>
      <c r="AT243" s="463"/>
      <c r="AU243" s="463"/>
      <c r="AV243" s="463"/>
      <c r="AW243" s="463"/>
      <c r="AX243" s="463"/>
      <c r="AY243" s="463"/>
      <c r="AZ243" s="463"/>
      <c r="BA243" s="463"/>
      <c r="BB243" s="463"/>
      <c r="BC243" s="463"/>
      <c r="BD243" s="463"/>
      <c r="BE243" s="463"/>
      <c r="BF243" s="463"/>
      <c r="BG243" s="463"/>
      <c r="BH243" s="463"/>
      <c r="BI243" s="463"/>
      <c r="BJ243" s="463"/>
    </row>
    <row r="244" customFormat="false" ht="20.25" hidden="false" customHeight="true" outlineLevel="0" collapsed="false">
      <c r="A244" s="537" t="s">
        <v>1197</v>
      </c>
      <c r="B244" s="465"/>
      <c r="C244" s="451" t="s">
        <v>1198</v>
      </c>
      <c r="D244" s="529" t="s">
        <v>1199</v>
      </c>
      <c r="E244" s="465" t="s">
        <v>158</v>
      </c>
      <c r="F244" s="537" t="s">
        <v>1197</v>
      </c>
      <c r="G244" s="472" t="s">
        <v>1200</v>
      </c>
      <c r="H244" s="467" t="n">
        <v>160000</v>
      </c>
      <c r="I244" s="625" t="s">
        <v>1201</v>
      </c>
      <c r="J244" s="469" t="s">
        <v>1202</v>
      </c>
      <c r="K244" s="539"/>
      <c r="L244" s="499"/>
      <c r="M244" s="556"/>
      <c r="N244" s="556"/>
      <c r="O244" s="499"/>
    </row>
    <row r="245" customFormat="false" ht="20.25" hidden="false" customHeight="true" outlineLevel="0" collapsed="false">
      <c r="A245" s="465" t="s">
        <v>1203</v>
      </c>
      <c r="B245" s="465"/>
      <c r="C245" s="472" t="s">
        <v>1204</v>
      </c>
      <c r="D245" s="500" t="s">
        <v>1205</v>
      </c>
      <c r="E245" s="465" t="s">
        <v>158</v>
      </c>
      <c r="F245" s="465" t="s">
        <v>1203</v>
      </c>
      <c r="G245" s="472" t="s">
        <v>1206</v>
      </c>
      <c r="H245" s="467" t="n">
        <v>160000</v>
      </c>
      <c r="I245" s="517" t="s">
        <v>1207</v>
      </c>
      <c r="J245" s="469" t="s">
        <v>1202</v>
      </c>
      <c r="K245" s="539"/>
      <c r="L245" s="499"/>
      <c r="M245" s="556"/>
      <c r="N245" s="556"/>
      <c r="O245" s="499"/>
    </row>
    <row r="246" customFormat="false" ht="20.25" hidden="false" customHeight="true" outlineLevel="0" collapsed="false">
      <c r="A246" s="632" t="s">
        <v>1208</v>
      </c>
      <c r="B246" s="623"/>
      <c r="C246" s="633" t="s">
        <v>1209</v>
      </c>
      <c r="D246" s="500" t="s">
        <v>1210</v>
      </c>
      <c r="E246" s="623" t="s">
        <v>158</v>
      </c>
      <c r="F246" s="632" t="s">
        <v>1208</v>
      </c>
      <c r="G246" s="472" t="s">
        <v>1211</v>
      </c>
      <c r="H246" s="467" t="n">
        <v>160000</v>
      </c>
      <c r="I246" s="625" t="s">
        <v>1212</v>
      </c>
      <c r="J246" s="469" t="s">
        <v>1202</v>
      </c>
      <c r="K246" s="612"/>
      <c r="L246" s="499"/>
      <c r="M246" s="556"/>
      <c r="N246" s="556"/>
      <c r="O246" s="499"/>
    </row>
    <row r="247" customFormat="false" ht="20.25" hidden="false" customHeight="true" outlineLevel="0" collapsed="false">
      <c r="A247" s="537" t="s">
        <v>1213</v>
      </c>
      <c r="B247" s="465"/>
      <c r="C247" s="625" t="s">
        <v>1214</v>
      </c>
      <c r="D247" s="499" t="s">
        <v>1215</v>
      </c>
      <c r="E247" s="465" t="s">
        <v>158</v>
      </c>
      <c r="F247" s="537" t="s">
        <v>1213</v>
      </c>
      <c r="G247" s="472" t="s">
        <v>1216</v>
      </c>
      <c r="H247" s="467" t="n">
        <v>160000</v>
      </c>
      <c r="I247" s="467"/>
      <c r="J247" s="469" t="s">
        <v>1202</v>
      </c>
      <c r="K247" s="539"/>
      <c r="L247" s="499"/>
      <c r="M247" s="556"/>
      <c r="N247" s="556"/>
      <c r="O247" s="499"/>
    </row>
    <row r="248" customFormat="false" ht="20.25" hidden="false" customHeight="true" outlineLevel="0" collapsed="false">
      <c r="A248" s="537" t="s">
        <v>1217</v>
      </c>
      <c r="B248" s="465"/>
      <c r="C248" s="625" t="s">
        <v>1218</v>
      </c>
      <c r="D248" s="529" t="s">
        <v>1219</v>
      </c>
      <c r="E248" s="465" t="s">
        <v>158</v>
      </c>
      <c r="F248" s="537" t="s">
        <v>1217</v>
      </c>
      <c r="G248" s="472" t="s">
        <v>1220</v>
      </c>
      <c r="H248" s="467" t="n">
        <v>160000</v>
      </c>
      <c r="I248" s="633" t="s">
        <v>1221</v>
      </c>
      <c r="J248" s="469" t="s">
        <v>1202</v>
      </c>
      <c r="K248" s="539"/>
      <c r="L248" s="499"/>
      <c r="M248" s="556"/>
      <c r="N248" s="556"/>
      <c r="O248" s="499"/>
    </row>
    <row r="249" customFormat="false" ht="20.25" hidden="false" customHeight="true" outlineLevel="0" collapsed="false">
      <c r="A249" s="465" t="s">
        <v>1222</v>
      </c>
      <c r="B249" s="465"/>
      <c r="C249" s="472" t="s">
        <v>1223</v>
      </c>
      <c r="D249" s="500" t="s">
        <v>1224</v>
      </c>
      <c r="E249" s="465" t="s">
        <v>353</v>
      </c>
      <c r="F249" s="465" t="s">
        <v>1225</v>
      </c>
      <c r="G249" s="472" t="s">
        <v>1226</v>
      </c>
      <c r="H249" s="467" t="n">
        <v>160000</v>
      </c>
      <c r="I249" s="632"/>
      <c r="J249" s="469" t="s">
        <v>1202</v>
      </c>
      <c r="K249" s="539"/>
      <c r="L249" s="499"/>
      <c r="M249" s="556"/>
      <c r="N249" s="556"/>
      <c r="O249" s="499"/>
      <c r="Y249" s="630"/>
      <c r="Z249" s="630"/>
      <c r="AA249" s="630"/>
      <c r="AB249" s="630"/>
      <c r="AC249" s="630"/>
      <c r="AD249" s="630"/>
      <c r="AE249" s="630"/>
      <c r="AF249" s="630"/>
      <c r="AG249" s="630"/>
      <c r="AH249" s="630"/>
      <c r="AI249" s="630"/>
      <c r="AJ249" s="630"/>
      <c r="AK249" s="630"/>
      <c r="AL249" s="630"/>
      <c r="AM249" s="630"/>
      <c r="AN249" s="630"/>
      <c r="AO249" s="630"/>
      <c r="AP249" s="630"/>
      <c r="AQ249" s="630"/>
      <c r="AR249" s="630"/>
      <c r="AS249" s="630"/>
      <c r="AT249" s="630"/>
      <c r="AU249" s="630"/>
      <c r="AV249" s="630"/>
      <c r="AW249" s="630"/>
      <c r="AX249" s="630"/>
      <c r="AY249" s="630"/>
      <c r="AZ249" s="630"/>
      <c r="BA249" s="630"/>
      <c r="BB249" s="630"/>
      <c r="BC249" s="630"/>
      <c r="BD249" s="630"/>
      <c r="BE249" s="630"/>
      <c r="BF249" s="630"/>
      <c r="BG249" s="630"/>
      <c r="BH249" s="630"/>
      <c r="BI249" s="630"/>
      <c r="BJ249" s="630"/>
      <c r="BK249" s="630"/>
      <c r="BL249" s="630"/>
      <c r="BM249" s="630"/>
      <c r="BN249" s="630"/>
      <c r="BO249" s="630"/>
      <c r="BP249" s="630"/>
      <c r="BQ249" s="630"/>
      <c r="BR249" s="630"/>
      <c r="BS249" s="630"/>
      <c r="BT249" s="630"/>
      <c r="BU249" s="630"/>
      <c r="BV249" s="630"/>
      <c r="BW249" s="630"/>
      <c r="BX249" s="630"/>
      <c r="BY249" s="630"/>
      <c r="BZ249" s="630"/>
      <c r="CA249" s="630"/>
      <c r="CB249" s="630"/>
      <c r="CC249" s="630"/>
      <c r="CD249" s="630"/>
      <c r="CE249" s="630"/>
      <c r="CF249" s="630"/>
      <c r="CG249" s="630"/>
      <c r="CH249" s="630"/>
      <c r="CI249" s="630"/>
      <c r="CJ249" s="630"/>
      <c r="CK249" s="630"/>
      <c r="CL249" s="630"/>
      <c r="CM249" s="630"/>
      <c r="CN249" s="630"/>
      <c r="CO249" s="630"/>
      <c r="CP249" s="630"/>
      <c r="CQ249" s="630"/>
      <c r="CR249" s="630"/>
      <c r="CS249" s="630"/>
      <c r="CT249" s="630"/>
      <c r="CU249" s="630"/>
      <c r="CV249" s="630"/>
      <c r="CW249" s="630"/>
      <c r="CX249" s="630"/>
      <c r="CY249" s="630"/>
      <c r="CZ249" s="630"/>
      <c r="DA249" s="630"/>
      <c r="DB249" s="630"/>
      <c r="DC249" s="630"/>
      <c r="DD249" s="630"/>
      <c r="DE249" s="630"/>
      <c r="DF249" s="630"/>
      <c r="DG249" s="630"/>
      <c r="DH249" s="630"/>
      <c r="DI249" s="630"/>
      <c r="DJ249" s="630"/>
      <c r="DK249" s="630"/>
      <c r="DL249" s="630"/>
      <c r="DM249" s="630"/>
      <c r="DN249" s="630"/>
      <c r="DO249" s="630"/>
      <c r="DP249" s="630"/>
      <c r="DQ249" s="630"/>
      <c r="DR249" s="630"/>
      <c r="DS249" s="630"/>
      <c r="DT249" s="630"/>
      <c r="DU249" s="630"/>
      <c r="DV249" s="630"/>
      <c r="DW249" s="630"/>
      <c r="DX249" s="630"/>
      <c r="DY249" s="630"/>
      <c r="DZ249" s="630"/>
      <c r="EA249" s="630"/>
      <c r="EB249" s="630"/>
      <c r="EC249" s="630"/>
      <c r="ED249" s="630"/>
      <c r="EE249" s="630"/>
      <c r="EF249" s="630"/>
      <c r="EG249" s="630"/>
      <c r="EH249" s="630"/>
      <c r="EI249" s="630"/>
      <c r="EJ249" s="630"/>
      <c r="EK249" s="630"/>
      <c r="EL249" s="630"/>
      <c r="EM249" s="630"/>
      <c r="EN249" s="630"/>
      <c r="EO249" s="630"/>
      <c r="EP249" s="630"/>
      <c r="EQ249" s="630"/>
      <c r="ER249" s="630"/>
      <c r="ES249" s="630"/>
      <c r="ET249" s="630"/>
      <c r="EU249" s="630"/>
      <c r="EV249" s="630"/>
      <c r="EW249" s="630"/>
      <c r="EX249" s="630"/>
      <c r="EY249" s="630"/>
      <c r="EZ249" s="630"/>
      <c r="FA249" s="630"/>
      <c r="FB249" s="630"/>
      <c r="FC249" s="630"/>
      <c r="FD249" s="630"/>
      <c r="FE249" s="630"/>
      <c r="FF249" s="630"/>
      <c r="FG249" s="630"/>
      <c r="FH249" s="630"/>
      <c r="FI249" s="630"/>
      <c r="FJ249" s="630"/>
      <c r="FK249" s="630"/>
      <c r="FL249" s="630"/>
      <c r="FM249" s="630"/>
      <c r="FN249" s="630"/>
      <c r="FO249" s="630"/>
      <c r="FP249" s="630"/>
      <c r="FQ249" s="630"/>
      <c r="FR249" s="630"/>
      <c r="FS249" s="630"/>
      <c r="FT249" s="630"/>
      <c r="FU249" s="630"/>
      <c r="FV249" s="630"/>
      <c r="FW249" s="630"/>
      <c r="FX249" s="630"/>
      <c r="FY249" s="630"/>
      <c r="FZ249" s="630"/>
      <c r="GA249" s="630"/>
      <c r="GB249" s="630"/>
      <c r="GC249" s="630"/>
      <c r="GD249" s="630"/>
      <c r="GE249" s="630"/>
      <c r="GF249" s="630"/>
      <c r="GG249" s="630"/>
      <c r="GH249" s="630"/>
      <c r="GI249" s="630"/>
      <c r="GJ249" s="630"/>
      <c r="GK249" s="630"/>
      <c r="GL249" s="630"/>
      <c r="GM249" s="630"/>
      <c r="GN249" s="630"/>
      <c r="GO249" s="630"/>
      <c r="GP249" s="630"/>
      <c r="GQ249" s="630"/>
      <c r="GR249" s="630"/>
      <c r="GS249" s="630"/>
      <c r="GT249" s="630"/>
      <c r="GU249" s="630"/>
      <c r="GV249" s="630"/>
      <c r="GW249" s="630"/>
      <c r="GX249" s="630"/>
      <c r="GY249" s="630"/>
      <c r="GZ249" s="630"/>
      <c r="HA249" s="630"/>
      <c r="HB249" s="630"/>
      <c r="HC249" s="630"/>
      <c r="HD249" s="630"/>
      <c r="HE249" s="630"/>
      <c r="HF249" s="630"/>
      <c r="HG249" s="630"/>
      <c r="HH249" s="630"/>
      <c r="HI249" s="630"/>
      <c r="HJ249" s="630"/>
      <c r="HK249" s="630"/>
      <c r="HL249" s="630"/>
      <c r="HM249" s="630"/>
      <c r="HN249" s="630"/>
      <c r="HO249" s="630"/>
      <c r="HP249" s="630"/>
      <c r="HQ249" s="630"/>
      <c r="HR249" s="630"/>
      <c r="HS249" s="630"/>
      <c r="HT249" s="630"/>
      <c r="HU249" s="630"/>
      <c r="HV249" s="630"/>
      <c r="HW249" s="630"/>
      <c r="HX249" s="630"/>
      <c r="HY249" s="630"/>
      <c r="HZ249" s="630"/>
      <c r="IA249" s="630"/>
      <c r="IB249" s="630"/>
      <c r="IC249" s="630"/>
      <c r="ID249" s="630"/>
      <c r="IE249" s="630"/>
      <c r="IF249" s="630"/>
      <c r="IG249" s="630"/>
      <c r="IH249" s="630"/>
      <c r="II249" s="630"/>
      <c r="IJ249" s="630"/>
      <c r="IK249" s="630"/>
      <c r="IL249" s="630"/>
      <c r="IM249" s="630"/>
      <c r="IN249" s="630"/>
      <c r="IO249" s="630"/>
      <c r="IP249" s="630"/>
      <c r="IQ249" s="630"/>
      <c r="IR249" s="630"/>
      <c r="IS249" s="630"/>
      <c r="IT249" s="630"/>
      <c r="IU249" s="630"/>
      <c r="IV249" s="630"/>
    </row>
    <row r="250" customFormat="false" ht="20.25" hidden="false" customHeight="true" outlineLevel="0" collapsed="false">
      <c r="A250" s="632" t="s">
        <v>1227</v>
      </c>
      <c r="B250" s="623"/>
      <c r="C250" s="633" t="s">
        <v>1228</v>
      </c>
      <c r="D250" s="634" t="s">
        <v>1229</v>
      </c>
      <c r="E250" s="623" t="s">
        <v>353</v>
      </c>
      <c r="F250" s="632" t="s">
        <v>1227</v>
      </c>
      <c r="G250" s="472" t="s">
        <v>1230</v>
      </c>
      <c r="H250" s="467" t="n">
        <v>160000</v>
      </c>
      <c r="I250" s="537"/>
      <c r="J250" s="469" t="s">
        <v>1202</v>
      </c>
      <c r="K250" s="539"/>
      <c r="L250" s="499"/>
      <c r="M250" s="556"/>
      <c r="N250" s="556"/>
      <c r="O250" s="499"/>
    </row>
    <row r="251" customFormat="false" ht="20.25" hidden="false" customHeight="true" outlineLevel="0" collapsed="false">
      <c r="A251" s="537" t="s">
        <v>1231</v>
      </c>
      <c r="B251" s="465"/>
      <c r="C251" s="625" t="s">
        <v>1232</v>
      </c>
      <c r="D251" s="529" t="s">
        <v>1233</v>
      </c>
      <c r="E251" s="465" t="s">
        <v>158</v>
      </c>
      <c r="F251" s="537" t="s">
        <v>1231</v>
      </c>
      <c r="G251" s="472" t="s">
        <v>1234</v>
      </c>
      <c r="H251" s="467" t="n">
        <v>160000</v>
      </c>
      <c r="I251" s="625" t="s">
        <v>1235</v>
      </c>
      <c r="J251" s="469" t="s">
        <v>1202</v>
      </c>
      <c r="K251" s="539"/>
      <c r="L251" s="499"/>
      <c r="M251" s="556"/>
      <c r="N251" s="556"/>
      <c r="O251" s="499"/>
      <c r="P251" s="463"/>
      <c r="Q251" s="477"/>
      <c r="R251" s="477"/>
      <c r="S251" s="559"/>
      <c r="T251" s="481"/>
      <c r="U251" s="479"/>
      <c r="V251" s="498"/>
      <c r="W251" s="463"/>
      <c r="X251" s="463"/>
      <c r="Y251" s="463"/>
      <c r="Z251" s="463"/>
      <c r="AA251" s="463"/>
      <c r="AB251" s="463"/>
      <c r="AC251" s="463"/>
      <c r="AD251" s="463"/>
      <c r="AE251" s="463"/>
      <c r="AF251" s="463"/>
      <c r="AG251" s="463"/>
      <c r="AH251" s="463"/>
      <c r="AI251" s="463"/>
      <c r="AJ251" s="463"/>
      <c r="AK251" s="463"/>
      <c r="AL251" s="463"/>
      <c r="AM251" s="463"/>
      <c r="AN251" s="463"/>
      <c r="AO251" s="463"/>
      <c r="AP251" s="463"/>
      <c r="AQ251" s="463"/>
      <c r="AR251" s="463"/>
      <c r="AS251" s="463"/>
      <c r="AT251" s="463"/>
      <c r="AU251" s="463"/>
      <c r="AV251" s="463"/>
      <c r="AW251" s="463"/>
      <c r="AX251" s="463"/>
      <c r="AY251" s="463"/>
      <c r="AZ251" s="463"/>
      <c r="BA251" s="463"/>
      <c r="BB251" s="463"/>
      <c r="BC251" s="463"/>
      <c r="BD251" s="463"/>
      <c r="BE251" s="463"/>
      <c r="BF251" s="463"/>
      <c r="BG251" s="463"/>
      <c r="BH251" s="463"/>
      <c r="BI251" s="463"/>
      <c r="BJ251" s="463"/>
    </row>
    <row r="252" customFormat="false" ht="20.25" hidden="false" customHeight="true" outlineLevel="0" collapsed="false">
      <c r="A252" s="537" t="s">
        <v>1236</v>
      </c>
      <c r="B252" s="465"/>
      <c r="C252" s="625" t="s">
        <v>1237</v>
      </c>
      <c r="D252" s="529" t="s">
        <v>1238</v>
      </c>
      <c r="E252" s="465" t="s">
        <v>158</v>
      </c>
      <c r="F252" s="537" t="s">
        <v>1236</v>
      </c>
      <c r="G252" s="472" t="s">
        <v>1239</v>
      </c>
      <c r="H252" s="467" t="n">
        <v>350000</v>
      </c>
      <c r="I252" s="537"/>
      <c r="J252" s="469" t="s">
        <v>1202</v>
      </c>
      <c r="K252" s="539"/>
      <c r="L252" s="499"/>
      <c r="M252" s="556"/>
      <c r="N252" s="556"/>
      <c r="O252" s="499"/>
      <c r="P252" s="463"/>
      <c r="Q252" s="477"/>
      <c r="R252" s="477"/>
      <c r="S252" s="559"/>
      <c r="T252" s="481"/>
      <c r="U252" s="479"/>
      <c r="V252" s="498"/>
      <c r="W252" s="463"/>
      <c r="X252" s="463"/>
      <c r="Y252" s="463"/>
      <c r="Z252" s="463"/>
      <c r="AA252" s="463"/>
      <c r="AB252" s="463"/>
      <c r="AC252" s="463"/>
      <c r="AD252" s="463"/>
      <c r="AE252" s="463"/>
      <c r="AF252" s="463"/>
      <c r="AG252" s="463"/>
      <c r="AH252" s="463"/>
      <c r="AI252" s="463"/>
      <c r="AJ252" s="463"/>
      <c r="AK252" s="463"/>
      <c r="AL252" s="463"/>
      <c r="AM252" s="463"/>
      <c r="AN252" s="463"/>
      <c r="AO252" s="463"/>
      <c r="AP252" s="463"/>
      <c r="AQ252" s="463"/>
      <c r="AR252" s="463"/>
      <c r="AS252" s="463"/>
      <c r="AT252" s="463"/>
      <c r="AU252" s="463"/>
      <c r="AV252" s="463"/>
      <c r="AW252" s="463"/>
      <c r="AX252" s="463"/>
      <c r="AY252" s="463"/>
      <c r="AZ252" s="463"/>
      <c r="BA252" s="463"/>
      <c r="BB252" s="463"/>
      <c r="BC252" s="463"/>
      <c r="BD252" s="463"/>
      <c r="BE252" s="463"/>
      <c r="BF252" s="463"/>
      <c r="BG252" s="463"/>
      <c r="BH252" s="463"/>
      <c r="BI252" s="463"/>
      <c r="BJ252" s="463"/>
    </row>
    <row r="253" customFormat="false" ht="20.25" hidden="false" customHeight="true" outlineLevel="0" collapsed="false">
      <c r="A253" s="465"/>
      <c r="B253" s="465"/>
      <c r="C253" s="465"/>
      <c r="D253" s="500"/>
      <c r="E253" s="465"/>
      <c r="F253" s="465"/>
      <c r="G253" s="465"/>
      <c r="H253" s="480"/>
      <c r="I253" s="525"/>
      <c r="J253" s="465"/>
      <c r="K253" s="465"/>
      <c r="L253" s="499"/>
      <c r="M253" s="556"/>
      <c r="N253" s="556"/>
      <c r="O253" s="499"/>
      <c r="P253" s="463"/>
      <c r="Q253" s="477"/>
      <c r="R253" s="477"/>
      <c r="S253" s="559"/>
      <c r="T253" s="481"/>
      <c r="U253" s="479"/>
      <c r="V253" s="498"/>
      <c r="W253" s="463"/>
      <c r="X253" s="463"/>
      <c r="Y253" s="463"/>
      <c r="Z253" s="463"/>
      <c r="AA253" s="463"/>
      <c r="AB253" s="463"/>
      <c r="AC253" s="463"/>
      <c r="AD253" s="463"/>
      <c r="AE253" s="463"/>
      <c r="AF253" s="463"/>
      <c r="AG253" s="463"/>
      <c r="AH253" s="463"/>
      <c r="AI253" s="463"/>
      <c r="AJ253" s="463"/>
      <c r="AK253" s="463"/>
      <c r="AL253" s="463"/>
      <c r="AM253" s="463"/>
      <c r="AN253" s="463"/>
      <c r="AO253" s="463"/>
      <c r="AP253" s="463"/>
      <c r="AQ253" s="463"/>
      <c r="AR253" s="463"/>
      <c r="AS253" s="463"/>
      <c r="AT253" s="463"/>
      <c r="AU253" s="463"/>
      <c r="AV253" s="463"/>
      <c r="AW253" s="463"/>
      <c r="AX253" s="463"/>
      <c r="AY253" s="463"/>
      <c r="AZ253" s="463"/>
      <c r="BA253" s="463"/>
      <c r="BB253" s="463"/>
      <c r="BC253" s="463"/>
      <c r="BD253" s="463"/>
      <c r="BE253" s="463"/>
      <c r="BF253" s="463"/>
      <c r="BG253" s="463"/>
      <c r="BH253" s="463"/>
      <c r="BI253" s="463"/>
      <c r="BJ253" s="463"/>
    </row>
    <row r="254" customFormat="false" ht="20.25" hidden="false" customHeight="true" outlineLevel="0" collapsed="false">
      <c r="A254" s="537" t="s">
        <v>1240</v>
      </c>
      <c r="B254" s="465"/>
      <c r="C254" s="451" t="s">
        <v>1241</v>
      </c>
      <c r="D254" s="529" t="s">
        <v>1242</v>
      </c>
      <c r="E254" s="465"/>
      <c r="F254" s="465" t="s">
        <v>107</v>
      </c>
      <c r="G254" s="465"/>
      <c r="H254" s="467" t="n">
        <v>150000</v>
      </c>
      <c r="I254" s="625" t="s">
        <v>1243</v>
      </c>
      <c r="J254" s="469" t="s">
        <v>107</v>
      </c>
      <c r="K254" s="475" t="s">
        <v>804</v>
      </c>
      <c r="L254" s="578"/>
      <c r="M254" s="556"/>
      <c r="N254" s="556"/>
      <c r="O254" s="499"/>
    </row>
    <row r="255" customFormat="false" ht="20.25" hidden="false" customHeight="true" outlineLevel="0" collapsed="false">
      <c r="A255" s="465" t="s">
        <v>1244</v>
      </c>
      <c r="B255" s="465"/>
      <c r="C255" s="472" t="s">
        <v>1245</v>
      </c>
      <c r="D255" s="500" t="s">
        <v>1246</v>
      </c>
      <c r="E255" s="465"/>
      <c r="F255" s="465" t="s">
        <v>107</v>
      </c>
      <c r="G255" s="465"/>
      <c r="H255" s="480" t="n">
        <v>150000</v>
      </c>
      <c r="I255" s="517" t="s">
        <v>1247</v>
      </c>
      <c r="J255" s="465" t="s">
        <v>107</v>
      </c>
      <c r="K255" s="475" t="s">
        <v>1248</v>
      </c>
      <c r="L255" s="578"/>
      <c r="M255" s="556"/>
      <c r="N255" s="556"/>
      <c r="O255" s="499"/>
    </row>
    <row r="256" customFormat="false" ht="20.25" hidden="false" customHeight="true" outlineLevel="0" collapsed="false">
      <c r="A256" s="632" t="s">
        <v>1249</v>
      </c>
      <c r="B256" s="623"/>
      <c r="C256" s="633" t="s">
        <v>1250</v>
      </c>
      <c r="D256" s="500" t="s">
        <v>1251</v>
      </c>
      <c r="E256" s="623"/>
      <c r="F256" s="465" t="s">
        <v>107</v>
      </c>
      <c r="G256" s="457"/>
      <c r="H256" s="624" t="n">
        <v>150000</v>
      </c>
      <c r="I256" s="537"/>
      <c r="J256" s="636" t="s">
        <v>107</v>
      </c>
      <c r="K256" s="612" t="s">
        <v>1252</v>
      </c>
      <c r="L256" s="529" t="s">
        <v>1253</v>
      </c>
      <c r="M256" s="556"/>
      <c r="N256" s="556"/>
      <c r="O256" s="499"/>
    </row>
    <row r="257" customFormat="false" ht="20.25" hidden="false" customHeight="true" outlineLevel="0" collapsed="false">
      <c r="A257" s="537" t="s">
        <v>1254</v>
      </c>
      <c r="B257" s="465"/>
      <c r="C257" s="625" t="s">
        <v>1255</v>
      </c>
      <c r="D257" s="529" t="s">
        <v>1256</v>
      </c>
      <c r="E257" s="465"/>
      <c r="F257" s="465" t="s">
        <v>107</v>
      </c>
      <c r="G257" s="465"/>
      <c r="H257" s="467" t="n">
        <v>150000</v>
      </c>
      <c r="I257" s="632"/>
      <c r="J257" s="636" t="s">
        <v>107</v>
      </c>
      <c r="K257" s="475" t="s">
        <v>1257</v>
      </c>
      <c r="L257" s="578"/>
      <c r="M257" s="556"/>
      <c r="N257" s="556"/>
      <c r="O257" s="499"/>
    </row>
    <row r="258" customFormat="false" ht="20.25" hidden="false" customHeight="true" outlineLevel="0" collapsed="false">
      <c r="A258" s="632" t="s">
        <v>1258</v>
      </c>
      <c r="B258" s="623"/>
      <c r="C258" s="633" t="s">
        <v>1259</v>
      </c>
      <c r="D258" s="634" t="s">
        <v>1260</v>
      </c>
      <c r="E258" s="623"/>
      <c r="F258" s="465" t="s">
        <v>107</v>
      </c>
      <c r="G258" s="465"/>
      <c r="H258" s="624" t="n">
        <v>150000</v>
      </c>
      <c r="I258" s="537"/>
      <c r="J258" s="469" t="s">
        <v>107</v>
      </c>
      <c r="K258" s="475" t="s">
        <v>1261</v>
      </c>
      <c r="L258" s="603" t="s">
        <v>1262</v>
      </c>
      <c r="M258" s="556"/>
      <c r="N258" s="556"/>
      <c r="O258" s="499"/>
    </row>
    <row r="259" customFormat="false" ht="20.25" hidden="false" customHeight="true" outlineLevel="0" collapsed="false">
      <c r="A259" s="632" t="s">
        <v>1263</v>
      </c>
      <c r="B259" s="623"/>
      <c r="C259" s="633" t="s">
        <v>1264</v>
      </c>
      <c r="D259" s="634" t="s">
        <v>1265</v>
      </c>
      <c r="E259" s="623"/>
      <c r="F259" s="465" t="s">
        <v>107</v>
      </c>
      <c r="G259" s="465"/>
      <c r="H259" s="467" t="n">
        <v>150000</v>
      </c>
      <c r="I259" s="632"/>
      <c r="J259" s="469" t="s">
        <v>107</v>
      </c>
      <c r="K259" s="475" t="s">
        <v>1266</v>
      </c>
      <c r="L259" s="637"/>
      <c r="M259" s="556"/>
      <c r="N259" s="556"/>
      <c r="O259" s="499"/>
    </row>
    <row r="260" customFormat="false" ht="20.25" hidden="false" customHeight="true" outlineLevel="0" collapsed="false">
      <c r="A260" s="632" t="s">
        <v>1267</v>
      </c>
      <c r="B260" s="623"/>
      <c r="C260" s="633" t="s">
        <v>1268</v>
      </c>
      <c r="D260" s="634" t="s">
        <v>1269</v>
      </c>
      <c r="E260" s="623"/>
      <c r="F260" s="465" t="s">
        <v>107</v>
      </c>
      <c r="G260" s="465"/>
      <c r="H260" s="624" t="n">
        <v>170000</v>
      </c>
      <c r="I260" s="537"/>
      <c r="J260" s="469" t="s">
        <v>107</v>
      </c>
      <c r="K260" s="475" t="s">
        <v>1270</v>
      </c>
      <c r="L260" s="637"/>
      <c r="M260" s="556"/>
      <c r="N260" s="556"/>
      <c r="O260" s="499"/>
    </row>
    <row r="261" customFormat="false" ht="20.25" hidden="false" customHeight="true" outlineLevel="0" collapsed="false">
      <c r="A261" s="537" t="s">
        <v>1271</v>
      </c>
      <c r="B261" s="465"/>
      <c r="C261" s="625" t="s">
        <v>1272</v>
      </c>
      <c r="D261" s="499" t="s">
        <v>1273</v>
      </c>
      <c r="E261" s="465" t="s">
        <v>318</v>
      </c>
      <c r="F261" s="465" t="s">
        <v>1271</v>
      </c>
      <c r="G261" s="472" t="s">
        <v>1274</v>
      </c>
      <c r="H261" s="467" t="n">
        <v>170000</v>
      </c>
      <c r="I261" s="467"/>
      <c r="J261" s="469" t="s">
        <v>107</v>
      </c>
      <c r="K261" s="475" t="s">
        <v>1275</v>
      </c>
      <c r="L261" s="529"/>
      <c r="M261" s="556"/>
      <c r="N261" s="556"/>
      <c r="O261" s="499"/>
    </row>
    <row r="262" customFormat="false" ht="20.25" hidden="false" customHeight="true" outlineLevel="0" collapsed="false">
      <c r="A262" s="537" t="s">
        <v>1276</v>
      </c>
      <c r="B262" s="465"/>
      <c r="C262" s="625" t="s">
        <v>1277</v>
      </c>
      <c r="D262" s="529" t="s">
        <v>1278</v>
      </c>
      <c r="E262" s="465" t="s">
        <v>245</v>
      </c>
      <c r="F262" s="465" t="s">
        <v>1276</v>
      </c>
      <c r="G262" s="472" t="s">
        <v>1279</v>
      </c>
      <c r="H262" s="467" t="n">
        <v>170000</v>
      </c>
      <c r="I262" s="537"/>
      <c r="J262" s="469" t="s">
        <v>107</v>
      </c>
      <c r="K262" s="475" t="s">
        <v>804</v>
      </c>
      <c r="L262" s="578"/>
      <c r="M262" s="556"/>
      <c r="N262" s="556"/>
      <c r="O262" s="499"/>
    </row>
    <row r="263" customFormat="false" ht="20.25" hidden="false" customHeight="true" outlineLevel="0" collapsed="false">
      <c r="A263" s="537" t="s">
        <v>79</v>
      </c>
      <c r="B263" s="465"/>
      <c r="C263" s="625" t="s">
        <v>1280</v>
      </c>
      <c r="D263" s="529" t="s">
        <v>1281</v>
      </c>
      <c r="E263" s="465" t="s">
        <v>353</v>
      </c>
      <c r="F263" s="465" t="s">
        <v>79</v>
      </c>
      <c r="G263" s="472" t="s">
        <v>1282</v>
      </c>
      <c r="H263" s="467" t="n">
        <v>170000</v>
      </c>
      <c r="I263" s="537"/>
      <c r="J263" s="469" t="s">
        <v>107</v>
      </c>
      <c r="K263" s="475" t="s">
        <v>1283</v>
      </c>
      <c r="L263" s="578"/>
      <c r="M263" s="556"/>
      <c r="N263" s="556"/>
      <c r="O263" s="499"/>
    </row>
    <row r="264" customFormat="false" ht="20.25" hidden="false" customHeight="true" outlineLevel="0" collapsed="false">
      <c r="A264" s="537" t="s">
        <v>95</v>
      </c>
      <c r="B264" s="465"/>
      <c r="C264" s="625" t="s">
        <v>1284</v>
      </c>
      <c r="D264" s="529" t="s">
        <v>1285</v>
      </c>
      <c r="E264" s="465" t="s">
        <v>158</v>
      </c>
      <c r="F264" s="465" t="s">
        <v>95</v>
      </c>
      <c r="G264" s="472" t="s">
        <v>1286</v>
      </c>
      <c r="H264" s="467" t="n">
        <v>200000</v>
      </c>
      <c r="I264" s="537"/>
      <c r="J264" s="469" t="s">
        <v>1287</v>
      </c>
      <c r="K264" s="539"/>
      <c r="L264" s="578"/>
      <c r="M264" s="556"/>
      <c r="N264" s="556"/>
      <c r="O264" s="499"/>
    </row>
    <row r="265" customFormat="false" ht="20.25" hidden="false" customHeight="true" outlineLevel="0" collapsed="false">
      <c r="A265" s="537"/>
      <c r="B265" s="465"/>
      <c r="C265" s="537"/>
      <c r="D265" s="529"/>
      <c r="E265" s="465"/>
      <c r="F265" s="465"/>
      <c r="G265" s="465"/>
      <c r="H265" s="467"/>
      <c r="I265" s="537"/>
      <c r="J265" s="469"/>
      <c r="K265" s="539"/>
      <c r="L265" s="578"/>
      <c r="M265" s="556"/>
      <c r="N265" s="556"/>
      <c r="O265" s="499"/>
    </row>
    <row r="266" customFormat="false" ht="20.25" hidden="false" customHeight="true" outlineLevel="0" collapsed="false">
      <c r="A266" s="537"/>
      <c r="B266" s="465"/>
      <c r="C266" s="537"/>
      <c r="D266" s="529"/>
      <c r="E266" s="465"/>
      <c r="F266" s="465"/>
      <c r="G266" s="465"/>
      <c r="H266" s="467"/>
      <c r="I266" s="537"/>
      <c r="J266" s="469"/>
      <c r="K266" s="539"/>
      <c r="L266" s="578"/>
      <c r="M266" s="556"/>
      <c r="N266" s="556"/>
      <c r="O266" s="499"/>
    </row>
    <row r="267" customFormat="false" ht="20.25" hidden="false" customHeight="true" outlineLevel="0" collapsed="false">
      <c r="A267" s="537" t="s">
        <v>1288</v>
      </c>
      <c r="B267" s="465"/>
      <c r="C267" s="625" t="s">
        <v>1289</v>
      </c>
      <c r="D267" s="529" t="s">
        <v>1290</v>
      </c>
      <c r="E267" s="465" t="s">
        <v>158</v>
      </c>
      <c r="F267" s="537" t="s">
        <v>1291</v>
      </c>
      <c r="G267" s="472" t="s">
        <v>361</v>
      </c>
      <c r="H267" s="467" t="n">
        <v>160000</v>
      </c>
      <c r="I267" s="625" t="s">
        <v>1292</v>
      </c>
      <c r="J267" s="469" t="s">
        <v>363</v>
      </c>
      <c r="K267" s="475" t="s">
        <v>799</v>
      </c>
      <c r="L267" s="578"/>
      <c r="M267" s="556"/>
      <c r="N267" s="556"/>
      <c r="O267" s="499"/>
    </row>
    <row r="268" customFormat="false" ht="20.25" hidden="false" customHeight="true" outlineLevel="0" collapsed="false">
      <c r="A268" s="537" t="s">
        <v>1293</v>
      </c>
      <c r="B268" s="465"/>
      <c r="C268" s="625" t="s">
        <v>1294</v>
      </c>
      <c r="D268" s="529" t="s">
        <v>1295</v>
      </c>
      <c r="E268" s="465" t="s">
        <v>158</v>
      </c>
      <c r="F268" s="537" t="s">
        <v>1291</v>
      </c>
      <c r="G268" s="472" t="s">
        <v>361</v>
      </c>
      <c r="H268" s="467" t="n">
        <v>170000</v>
      </c>
      <c r="I268" s="625" t="s">
        <v>1296</v>
      </c>
      <c r="J268" s="469" t="s">
        <v>363</v>
      </c>
      <c r="K268" s="475" t="s">
        <v>474</v>
      </c>
      <c r="L268" s="578"/>
      <c r="M268" s="556"/>
      <c r="N268" s="556"/>
      <c r="O268" s="499"/>
    </row>
    <row r="269" customFormat="false" ht="20.25" hidden="false" customHeight="true" outlineLevel="0" collapsed="false">
      <c r="A269" s="537" t="s">
        <v>1297</v>
      </c>
      <c r="B269" s="465"/>
      <c r="C269" s="625" t="s">
        <v>1298</v>
      </c>
      <c r="D269" s="529" t="s">
        <v>1299</v>
      </c>
      <c r="E269" s="465" t="s">
        <v>158</v>
      </c>
      <c r="F269" s="537" t="s">
        <v>1291</v>
      </c>
      <c r="G269" s="472" t="s">
        <v>361</v>
      </c>
      <c r="H269" s="480" t="n">
        <v>150000</v>
      </c>
      <c r="I269" s="625" t="s">
        <v>1300</v>
      </c>
      <c r="J269" s="469" t="s">
        <v>363</v>
      </c>
      <c r="K269" s="475" t="s">
        <v>474</v>
      </c>
      <c r="L269" s="578"/>
      <c r="M269" s="556"/>
      <c r="N269" s="556"/>
      <c r="O269" s="499"/>
    </row>
    <row r="270" customFormat="false" ht="20.25" hidden="false" customHeight="true" outlineLevel="0" collapsed="false">
      <c r="A270" s="537" t="s">
        <v>1301</v>
      </c>
      <c r="B270" s="465"/>
      <c r="C270" s="625" t="s">
        <v>1302</v>
      </c>
      <c r="D270" s="638" t="s">
        <v>1303</v>
      </c>
      <c r="E270" s="465" t="s">
        <v>158</v>
      </c>
      <c r="F270" s="537" t="s">
        <v>1291</v>
      </c>
      <c r="G270" s="472" t="s">
        <v>361</v>
      </c>
      <c r="H270" s="480" t="n">
        <v>170000</v>
      </c>
      <c r="I270" s="625" t="s">
        <v>1304</v>
      </c>
      <c r="J270" s="469" t="s">
        <v>332</v>
      </c>
      <c r="K270" s="475" t="s">
        <v>1305</v>
      </c>
      <c r="L270" s="578"/>
      <c r="M270" s="556"/>
      <c r="N270" s="556"/>
      <c r="O270" s="499"/>
    </row>
    <row r="271" customFormat="false" ht="20.25" hidden="false" customHeight="true" outlineLevel="0" collapsed="false">
      <c r="A271" s="537" t="s">
        <v>1306</v>
      </c>
      <c r="B271" s="465"/>
      <c r="C271" s="625" t="s">
        <v>1307</v>
      </c>
      <c r="D271" s="638" t="s">
        <v>1308</v>
      </c>
      <c r="E271" s="465" t="s">
        <v>158</v>
      </c>
      <c r="F271" s="537" t="s">
        <v>1291</v>
      </c>
      <c r="G271" s="472" t="s">
        <v>361</v>
      </c>
      <c r="H271" s="480" t="n">
        <v>160000</v>
      </c>
      <c r="I271" s="537"/>
      <c r="J271" s="469" t="s">
        <v>332</v>
      </c>
      <c r="K271" s="475" t="s">
        <v>1309</v>
      </c>
      <c r="L271" s="578"/>
      <c r="M271" s="556"/>
      <c r="N271" s="556"/>
      <c r="O271" s="499"/>
    </row>
    <row r="272" customFormat="false" ht="20.25" hidden="false" customHeight="true" outlineLevel="0" collapsed="false">
      <c r="A272" s="537" t="s">
        <v>1310</v>
      </c>
      <c r="B272" s="465"/>
      <c r="C272" s="625" t="s">
        <v>1311</v>
      </c>
      <c r="D272" s="638" t="s">
        <v>1312</v>
      </c>
      <c r="E272" s="465" t="s">
        <v>158</v>
      </c>
      <c r="F272" s="465" t="s">
        <v>1310</v>
      </c>
      <c r="G272" s="472" t="s">
        <v>1313</v>
      </c>
      <c r="H272" s="480" t="n">
        <v>150000</v>
      </c>
      <c r="I272" s="537"/>
      <c r="J272" s="469" t="s">
        <v>332</v>
      </c>
      <c r="K272" s="475" t="s">
        <v>1314</v>
      </c>
      <c r="L272" s="578"/>
      <c r="M272" s="556"/>
      <c r="N272" s="556"/>
      <c r="O272" s="499"/>
    </row>
    <row r="273" customFormat="false" ht="20.25" hidden="false" customHeight="true" outlineLevel="0" collapsed="false">
      <c r="A273" s="573" t="s">
        <v>1315</v>
      </c>
      <c r="B273" s="465"/>
      <c r="C273" s="566" t="s">
        <v>1316</v>
      </c>
      <c r="D273" s="639" t="s">
        <v>1317</v>
      </c>
      <c r="E273" s="465" t="s">
        <v>158</v>
      </c>
      <c r="F273" s="465" t="s">
        <v>1315</v>
      </c>
      <c r="G273" s="472" t="s">
        <v>1318</v>
      </c>
      <c r="H273" s="480" t="n">
        <v>150000</v>
      </c>
      <c r="I273" s="573"/>
      <c r="J273" s="469" t="s">
        <v>332</v>
      </c>
      <c r="K273" s="475" t="s">
        <v>193</v>
      </c>
      <c r="L273" s="499"/>
      <c r="M273" s="556"/>
      <c r="N273" s="556"/>
      <c r="O273" s="499"/>
    </row>
    <row r="274" customFormat="false" ht="20.25" hidden="false" customHeight="true" outlineLevel="0" collapsed="false">
      <c r="A274" s="573" t="s">
        <v>1319</v>
      </c>
      <c r="B274" s="465"/>
      <c r="C274" s="566" t="s">
        <v>1320</v>
      </c>
      <c r="D274" s="639" t="s">
        <v>1321</v>
      </c>
      <c r="E274" s="465" t="s">
        <v>158</v>
      </c>
      <c r="F274" s="465" t="s">
        <v>1319</v>
      </c>
      <c r="G274" s="472" t="s">
        <v>1322</v>
      </c>
      <c r="H274" s="480" t="n">
        <v>150000</v>
      </c>
      <c r="I274" s="566" t="s">
        <v>1323</v>
      </c>
      <c r="J274" s="469" t="s">
        <v>332</v>
      </c>
      <c r="K274" s="475" t="s">
        <v>1324</v>
      </c>
      <c r="L274" s="499"/>
      <c r="M274" s="556"/>
      <c r="N274" s="556"/>
      <c r="O274" s="499"/>
    </row>
    <row r="275" customFormat="false" ht="20.25" hidden="false" customHeight="true" outlineLevel="0" collapsed="false">
      <c r="A275" s="573" t="s">
        <v>1325</v>
      </c>
      <c r="B275" s="465"/>
      <c r="C275" s="566" t="s">
        <v>1326</v>
      </c>
      <c r="D275" s="639" t="s">
        <v>1327</v>
      </c>
      <c r="E275" s="465" t="s">
        <v>158</v>
      </c>
      <c r="F275" s="465" t="s">
        <v>1325</v>
      </c>
      <c r="G275" s="451" t="s">
        <v>1328</v>
      </c>
      <c r="H275" s="480" t="n">
        <v>150000</v>
      </c>
      <c r="I275" s="566" t="s">
        <v>1329</v>
      </c>
      <c r="J275" s="469" t="s">
        <v>332</v>
      </c>
      <c r="K275" s="475" t="s">
        <v>514</v>
      </c>
      <c r="L275" s="499"/>
      <c r="M275" s="556"/>
      <c r="N275" s="556"/>
      <c r="O275" s="499"/>
    </row>
    <row r="276" customFormat="false" ht="20.25" hidden="false" customHeight="true" outlineLevel="0" collapsed="false">
      <c r="A276" s="573" t="s">
        <v>1330</v>
      </c>
      <c r="B276" s="465"/>
      <c r="C276" s="566" t="s">
        <v>1331</v>
      </c>
      <c r="D276" s="639" t="s">
        <v>1332</v>
      </c>
      <c r="E276" s="465" t="s">
        <v>158</v>
      </c>
      <c r="F276" s="465" t="s">
        <v>1330</v>
      </c>
      <c r="G276" s="472" t="s">
        <v>1333</v>
      </c>
      <c r="H276" s="480" t="n">
        <v>150000</v>
      </c>
      <c r="I276" s="573"/>
      <c r="J276" s="469" t="s">
        <v>332</v>
      </c>
      <c r="K276" s="475" t="s">
        <v>1334</v>
      </c>
      <c r="L276" s="499"/>
      <c r="M276" s="556"/>
      <c r="N276" s="556"/>
      <c r="O276" s="499"/>
    </row>
    <row r="277" customFormat="false" ht="20.25" hidden="false" customHeight="true" outlineLevel="0" collapsed="false">
      <c r="A277" s="573" t="s">
        <v>1335</v>
      </c>
      <c r="B277" s="465"/>
      <c r="C277" s="566" t="s">
        <v>1336</v>
      </c>
      <c r="D277" s="639" t="s">
        <v>1337</v>
      </c>
      <c r="E277" s="465" t="s">
        <v>996</v>
      </c>
      <c r="F277" s="465" t="s">
        <v>1335</v>
      </c>
      <c r="G277" s="472" t="s">
        <v>1338</v>
      </c>
      <c r="H277" s="480" t="n">
        <v>150000</v>
      </c>
      <c r="I277" s="566" t="s">
        <v>1339</v>
      </c>
      <c r="J277" s="469" t="s">
        <v>332</v>
      </c>
      <c r="K277" s="475" t="s">
        <v>200</v>
      </c>
      <c r="L277" s="640" t="s">
        <v>1340</v>
      </c>
      <c r="M277" s="465" t="s">
        <v>1341</v>
      </c>
      <c r="N277" s="566" t="s">
        <v>1342</v>
      </c>
      <c r="O277" s="499"/>
    </row>
    <row r="278" customFormat="false" ht="20.25" hidden="false" customHeight="true" outlineLevel="0" collapsed="false">
      <c r="A278" s="573" t="s">
        <v>1343</v>
      </c>
      <c r="B278" s="465"/>
      <c r="C278" s="451" t="s">
        <v>1344</v>
      </c>
      <c r="D278" s="639" t="s">
        <v>1345</v>
      </c>
      <c r="E278" s="465" t="s">
        <v>166</v>
      </c>
      <c r="F278" s="465" t="s">
        <v>1346</v>
      </c>
      <c r="G278" s="472" t="s">
        <v>1347</v>
      </c>
      <c r="H278" s="480" t="n">
        <v>150000</v>
      </c>
      <c r="I278" s="573"/>
      <c r="J278" s="641"/>
      <c r="K278" s="475" t="s">
        <v>799</v>
      </c>
      <c r="L278" s="499"/>
      <c r="M278" s="556"/>
      <c r="N278" s="556"/>
      <c r="O278" s="499"/>
    </row>
    <row r="279" customFormat="false" ht="20.25" hidden="false" customHeight="true" outlineLevel="0" collapsed="false">
      <c r="A279" s="573" t="s">
        <v>1348</v>
      </c>
      <c r="B279" s="465"/>
      <c r="C279" s="566" t="s">
        <v>1349</v>
      </c>
      <c r="D279" s="639" t="s">
        <v>1350</v>
      </c>
      <c r="E279" s="465" t="s">
        <v>158</v>
      </c>
      <c r="F279" s="465" t="s">
        <v>1348</v>
      </c>
      <c r="G279" s="472" t="s">
        <v>1351</v>
      </c>
      <c r="H279" s="480" t="n">
        <v>150000</v>
      </c>
      <c r="I279" s="642" t="s">
        <v>1352</v>
      </c>
      <c r="J279" s="641"/>
      <c r="K279" s="475" t="s">
        <v>1353</v>
      </c>
      <c r="L279" s="578"/>
      <c r="M279" s="556"/>
      <c r="N279" s="556"/>
      <c r="O279" s="499"/>
    </row>
    <row r="280" customFormat="false" ht="20.25" hidden="false" customHeight="true" outlineLevel="0" collapsed="false">
      <c r="A280" s="643" t="s">
        <v>1354</v>
      </c>
      <c r="B280" s="643"/>
      <c r="C280" s="642" t="s">
        <v>1355</v>
      </c>
      <c r="D280" s="644" t="s">
        <v>1356</v>
      </c>
      <c r="E280" s="645" t="s">
        <v>158</v>
      </c>
      <c r="F280" s="643" t="s">
        <v>1354</v>
      </c>
      <c r="G280" s="646" t="s">
        <v>1357</v>
      </c>
      <c r="H280" s="647" t="n">
        <v>150000</v>
      </c>
      <c r="I280" s="643"/>
      <c r="J280" s="641"/>
      <c r="K280" s="475" t="s">
        <v>1358</v>
      </c>
      <c r="L280" s="578"/>
      <c r="M280" s="556"/>
      <c r="N280" s="556"/>
      <c r="O280" s="499"/>
    </row>
    <row r="281" customFormat="false" ht="20.25" hidden="false" customHeight="true" outlineLevel="0" collapsed="false">
      <c r="A281" s="643" t="s">
        <v>800</v>
      </c>
      <c r="B281" s="643"/>
      <c r="C281" s="642" t="s">
        <v>1359</v>
      </c>
      <c r="D281" s="644" t="s">
        <v>1360</v>
      </c>
      <c r="E281" s="645" t="s">
        <v>158</v>
      </c>
      <c r="F281" s="643" t="s">
        <v>800</v>
      </c>
      <c r="G281" s="646" t="s">
        <v>1361</v>
      </c>
      <c r="H281" s="647" t="n">
        <v>150000</v>
      </c>
      <c r="I281" s="643"/>
      <c r="J281" s="648"/>
      <c r="K281" s="475" t="s">
        <v>200</v>
      </c>
      <c r="L281" s="578"/>
      <c r="M281" s="556"/>
      <c r="N281" s="556"/>
      <c r="O281" s="499"/>
    </row>
    <row r="282" customFormat="false" ht="20.25" hidden="false" customHeight="true" outlineLevel="0" collapsed="false">
      <c r="A282" s="643" t="s">
        <v>1362</v>
      </c>
      <c r="B282" s="643"/>
      <c r="C282" s="642" t="s">
        <v>1363</v>
      </c>
      <c r="D282" s="644" t="s">
        <v>1364</v>
      </c>
      <c r="E282" s="645" t="s">
        <v>158</v>
      </c>
      <c r="F282" s="643" t="s">
        <v>1362</v>
      </c>
      <c r="G282" s="646" t="s">
        <v>1365</v>
      </c>
      <c r="H282" s="647" t="n">
        <v>150000</v>
      </c>
      <c r="I282" s="649"/>
      <c r="J282" s="641"/>
      <c r="K282" s="475" t="s">
        <v>200</v>
      </c>
      <c r="L282" s="578" t="s">
        <v>1366</v>
      </c>
      <c r="M282" s="556"/>
      <c r="N282" s="556"/>
      <c r="O282" s="499"/>
    </row>
    <row r="283" customFormat="false" ht="20.25" hidden="false" customHeight="true" outlineLevel="0" collapsed="false">
      <c r="A283" s="650" t="s">
        <v>1367</v>
      </c>
      <c r="B283" s="650"/>
      <c r="C283" s="649" t="s">
        <v>1368</v>
      </c>
      <c r="D283" s="651" t="s">
        <v>1369</v>
      </c>
      <c r="E283" s="652" t="s">
        <v>166</v>
      </c>
      <c r="F283" s="650" t="s">
        <v>1367</v>
      </c>
      <c r="G283" s="653" t="s">
        <v>1370</v>
      </c>
      <c r="H283" s="654" t="n">
        <v>150000</v>
      </c>
      <c r="I283" s="646" t="s">
        <v>1371</v>
      </c>
      <c r="J283" s="641"/>
      <c r="K283" s="475" t="s">
        <v>1372</v>
      </c>
      <c r="L283" s="575"/>
      <c r="M283" s="530"/>
      <c r="N283" s="530"/>
      <c r="O283" s="499"/>
    </row>
    <row r="284" customFormat="false" ht="20.25" hidden="false" customHeight="true" outlineLevel="0" collapsed="false">
      <c r="A284" s="645" t="s">
        <v>1373</v>
      </c>
      <c r="B284" s="645"/>
      <c r="C284" s="646" t="s">
        <v>1374</v>
      </c>
      <c r="D284" s="655" t="s">
        <v>1375</v>
      </c>
      <c r="E284" s="645" t="s">
        <v>158</v>
      </c>
      <c r="F284" s="645" t="s">
        <v>1373</v>
      </c>
      <c r="G284" s="646" t="s">
        <v>1376</v>
      </c>
      <c r="H284" s="656" t="n">
        <v>150000</v>
      </c>
      <c r="I284" s="643"/>
      <c r="J284" s="657"/>
      <c r="K284" s="475" t="s">
        <v>1358</v>
      </c>
      <c r="L284" s="578"/>
      <c r="M284" s="556"/>
      <c r="N284" s="556"/>
      <c r="O284" s="499"/>
    </row>
    <row r="285" customFormat="false" ht="20.25" hidden="false" customHeight="true" outlineLevel="0" collapsed="false">
      <c r="A285" s="643" t="s">
        <v>1377</v>
      </c>
      <c r="B285" s="643"/>
      <c r="C285" s="642" t="s">
        <v>1378</v>
      </c>
      <c r="D285" s="658" t="s">
        <v>1379</v>
      </c>
      <c r="E285" s="645" t="s">
        <v>158</v>
      </c>
      <c r="F285" s="643" t="s">
        <v>1377</v>
      </c>
      <c r="G285" s="646" t="s">
        <v>1380</v>
      </c>
      <c r="H285" s="647" t="n">
        <v>150000</v>
      </c>
      <c r="I285" s="650"/>
      <c r="J285" s="641"/>
      <c r="K285" s="659" t="s">
        <v>1381</v>
      </c>
      <c r="L285" s="578"/>
      <c r="M285" s="556"/>
      <c r="N285" s="556"/>
      <c r="O285" s="499"/>
    </row>
    <row r="286" customFormat="false" ht="20.25" hidden="false" customHeight="true" outlineLevel="0" collapsed="false">
      <c r="A286" s="650" t="s">
        <v>56</v>
      </c>
      <c r="B286" s="650"/>
      <c r="C286" s="649" t="s">
        <v>1382</v>
      </c>
      <c r="D286" s="651" t="s">
        <v>1383</v>
      </c>
      <c r="E286" s="650" t="s">
        <v>158</v>
      </c>
      <c r="F286" s="650" t="s">
        <v>56</v>
      </c>
      <c r="G286" s="649" t="s">
        <v>1384</v>
      </c>
      <c r="H286" s="654" t="n">
        <v>150000</v>
      </c>
      <c r="I286" s="642" t="s">
        <v>1385</v>
      </c>
      <c r="J286" s="660"/>
      <c r="K286" s="659" t="s">
        <v>1386</v>
      </c>
      <c r="L286" s="578"/>
      <c r="M286" s="556"/>
      <c r="N286" s="556"/>
      <c r="O286" s="499"/>
    </row>
    <row r="287" customFormat="false" ht="20.25" hidden="false" customHeight="true" outlineLevel="0" collapsed="false">
      <c r="A287" s="643" t="s">
        <v>1387</v>
      </c>
      <c r="B287" s="643"/>
      <c r="C287" s="642" t="s">
        <v>1388</v>
      </c>
      <c r="D287" s="658" t="s">
        <v>1389</v>
      </c>
      <c r="E287" s="645"/>
      <c r="F287" s="643"/>
      <c r="G287" s="645"/>
      <c r="H287" s="647" t="n">
        <v>150000</v>
      </c>
      <c r="I287" s="661" t="s">
        <v>1390</v>
      </c>
      <c r="J287" s="660"/>
      <c r="K287" s="659" t="s">
        <v>1386</v>
      </c>
      <c r="L287" s="578"/>
      <c r="M287" s="556"/>
      <c r="N287" s="556"/>
      <c r="O287" s="499"/>
    </row>
    <row r="288" customFormat="false" ht="19.5" hidden="false" customHeight="true" outlineLevel="0" collapsed="false">
      <c r="A288" s="643" t="s">
        <v>1391</v>
      </c>
      <c r="B288" s="643"/>
      <c r="C288" s="642" t="s">
        <v>1392</v>
      </c>
      <c r="D288" s="658" t="s">
        <v>1393</v>
      </c>
      <c r="E288" s="643" t="s">
        <v>158</v>
      </c>
      <c r="F288" s="643" t="s">
        <v>1391</v>
      </c>
      <c r="G288" s="642" t="s">
        <v>1394</v>
      </c>
      <c r="H288" s="647" t="n">
        <v>150000</v>
      </c>
      <c r="I288" s="643"/>
      <c r="J288" s="643"/>
      <c r="K288" s="659" t="s">
        <v>1395</v>
      </c>
      <c r="L288" s="578"/>
      <c r="M288" s="556"/>
      <c r="N288" s="556"/>
      <c r="O288" s="499"/>
    </row>
    <row r="289" customFormat="false" ht="19.5" hidden="false" customHeight="true" outlineLevel="0" collapsed="false">
      <c r="A289" s="662" t="s">
        <v>1396</v>
      </c>
      <c r="B289" s="662"/>
      <c r="C289" s="663" t="s">
        <v>1397</v>
      </c>
      <c r="D289" s="664" t="s">
        <v>1398</v>
      </c>
      <c r="E289" s="665" t="s">
        <v>158</v>
      </c>
      <c r="F289" s="662" t="s">
        <v>1396</v>
      </c>
      <c r="G289" s="666" t="s">
        <v>1399</v>
      </c>
      <c r="H289" s="667" t="n">
        <v>150000</v>
      </c>
      <c r="I289" s="663" t="s">
        <v>858</v>
      </c>
      <c r="J289" s="668"/>
      <c r="K289" s="669" t="s">
        <v>1400</v>
      </c>
      <c r="L289" s="670" t="s">
        <v>1401</v>
      </c>
      <c r="M289" s="556"/>
      <c r="N289" s="556"/>
      <c r="O289" s="499"/>
    </row>
    <row r="290" customFormat="false" ht="20.25" hidden="false" customHeight="true" outlineLevel="0" collapsed="false">
      <c r="A290" s="613" t="s">
        <v>1402</v>
      </c>
      <c r="B290" s="613"/>
      <c r="C290" s="614" t="s">
        <v>1403</v>
      </c>
      <c r="D290" s="615" t="s">
        <v>1404</v>
      </c>
      <c r="E290" s="613" t="s">
        <v>353</v>
      </c>
      <c r="F290" s="613" t="s">
        <v>1402</v>
      </c>
      <c r="G290" s="614" t="s">
        <v>1405</v>
      </c>
      <c r="H290" s="616" t="n">
        <v>150000</v>
      </c>
      <c r="I290" s="671"/>
      <c r="J290" s="662"/>
      <c r="K290" s="669" t="s">
        <v>1406</v>
      </c>
      <c r="L290" s="670" t="s">
        <v>1401</v>
      </c>
      <c r="M290" s="556"/>
      <c r="N290" s="556"/>
      <c r="O290" s="499"/>
    </row>
    <row r="291" customFormat="false" ht="20.25" hidden="false" customHeight="true" outlineLevel="0" collapsed="false">
      <c r="A291" s="613" t="s">
        <v>1407</v>
      </c>
      <c r="B291" s="613"/>
      <c r="C291" s="614" t="s">
        <v>1408</v>
      </c>
      <c r="D291" s="615" t="s">
        <v>1409</v>
      </c>
      <c r="E291" s="613" t="s">
        <v>158</v>
      </c>
      <c r="F291" s="613" t="s">
        <v>1407</v>
      </c>
      <c r="G291" s="614" t="s">
        <v>1410</v>
      </c>
      <c r="H291" s="616" t="n">
        <v>150000</v>
      </c>
      <c r="I291" s="663" t="s">
        <v>1411</v>
      </c>
      <c r="J291" s="662"/>
      <c r="K291" s="669" t="s">
        <v>531</v>
      </c>
      <c r="L291" s="670" t="s">
        <v>1401</v>
      </c>
      <c r="M291" s="556"/>
      <c r="N291" s="556"/>
      <c r="O291" s="499"/>
    </row>
    <row r="292" customFormat="false" ht="20.25" hidden="false" customHeight="true" outlineLevel="0" collapsed="false">
      <c r="A292" s="662" t="s">
        <v>1412</v>
      </c>
      <c r="B292" s="662"/>
      <c r="C292" s="663" t="s">
        <v>1413</v>
      </c>
      <c r="D292" s="672" t="s">
        <v>1414</v>
      </c>
      <c r="E292" s="662" t="s">
        <v>158</v>
      </c>
      <c r="F292" s="662" t="s">
        <v>1412</v>
      </c>
      <c r="G292" s="663" t="s">
        <v>1415</v>
      </c>
      <c r="H292" s="667" t="n">
        <v>150000</v>
      </c>
      <c r="I292" s="673" t="s">
        <v>1416</v>
      </c>
      <c r="J292" s="613"/>
      <c r="K292" s="613"/>
      <c r="L292" s="670" t="s">
        <v>1401</v>
      </c>
      <c r="M292" s="556"/>
      <c r="N292" s="556"/>
      <c r="O292" s="499"/>
    </row>
    <row r="293" customFormat="false" ht="20.25" hidden="false" customHeight="true" outlineLevel="0" collapsed="false">
      <c r="A293" s="594" t="s">
        <v>64</v>
      </c>
      <c r="B293" s="594"/>
      <c r="C293" s="584" t="s">
        <v>1417</v>
      </c>
      <c r="D293" s="587" t="s">
        <v>1418</v>
      </c>
      <c r="E293" s="594" t="s">
        <v>158</v>
      </c>
      <c r="F293" s="594" t="s">
        <v>64</v>
      </c>
      <c r="G293" s="584" t="s">
        <v>1419</v>
      </c>
      <c r="H293" s="486" t="n">
        <v>150000</v>
      </c>
      <c r="I293" s="525" t="s">
        <v>1420</v>
      </c>
      <c r="J293" s="465"/>
      <c r="K293" s="465"/>
      <c r="L293" s="499"/>
      <c r="M293" s="556"/>
      <c r="N293" s="556"/>
      <c r="O293" s="499"/>
    </row>
    <row r="294" customFormat="false" ht="20.25" hidden="false" customHeight="true" outlineLevel="0" collapsed="false">
      <c r="A294" s="465" t="s">
        <v>1421</v>
      </c>
      <c r="B294" s="465"/>
      <c r="C294" s="472" t="s">
        <v>1422</v>
      </c>
      <c r="D294" s="500" t="s">
        <v>1423</v>
      </c>
      <c r="E294" s="465"/>
      <c r="F294" s="465"/>
      <c r="G294" s="465"/>
      <c r="H294" s="480" t="n">
        <v>150000</v>
      </c>
      <c r="I294" s="525"/>
      <c r="J294" s="465"/>
      <c r="K294" s="465" t="n">
        <v>29111</v>
      </c>
      <c r="L294" s="578"/>
      <c r="M294" s="556"/>
      <c r="N294" s="556"/>
      <c r="O294" s="499"/>
    </row>
    <row r="295" customFormat="false" ht="20.25" hidden="false" customHeight="true" outlineLevel="0" collapsed="false">
      <c r="A295" s="465"/>
      <c r="B295" s="465"/>
      <c r="C295" s="465"/>
      <c r="D295" s="500"/>
      <c r="E295" s="465"/>
      <c r="F295" s="465"/>
      <c r="G295" s="465"/>
      <c r="H295" s="480"/>
      <c r="I295" s="525"/>
      <c r="J295" s="465"/>
      <c r="K295" s="465"/>
      <c r="L295" s="499"/>
      <c r="M295" s="556"/>
      <c r="N295" s="556"/>
      <c r="O295" s="499"/>
    </row>
    <row r="296" customFormat="false" ht="20.25" hidden="false" customHeight="true" outlineLevel="0" collapsed="false">
      <c r="A296" s="465"/>
      <c r="B296" s="465"/>
      <c r="C296" s="465"/>
      <c r="D296" s="500"/>
      <c r="E296" s="465"/>
      <c r="F296" s="465"/>
      <c r="G296" s="465"/>
      <c r="H296" s="480"/>
      <c r="I296" s="525"/>
      <c r="J296" s="465"/>
      <c r="K296" s="465"/>
      <c r="L296" s="457"/>
      <c r="M296" s="457"/>
      <c r="N296" s="556"/>
      <c r="O296" s="499"/>
    </row>
    <row r="297" customFormat="false" ht="20.25" hidden="false" customHeight="true" outlineLevel="0" collapsed="false">
      <c r="A297" s="465"/>
      <c r="B297" s="465"/>
      <c r="C297" s="465"/>
      <c r="D297" s="500"/>
      <c r="E297" s="465"/>
      <c r="F297" s="465"/>
      <c r="G297" s="465"/>
      <c r="H297" s="480"/>
      <c r="I297" s="465"/>
      <c r="J297" s="465"/>
      <c r="K297" s="465"/>
      <c r="L297" s="457"/>
      <c r="M297" s="457"/>
      <c r="N297" s="556"/>
      <c r="O297" s="499"/>
    </row>
    <row r="298" customFormat="false" ht="20.25" hidden="false" customHeight="true" outlineLevel="0" collapsed="false">
      <c r="A298" s="674" t="s">
        <v>486</v>
      </c>
      <c r="B298" s="465"/>
      <c r="C298" s="675" t="s">
        <v>1424</v>
      </c>
      <c r="D298" s="676" t="s">
        <v>1425</v>
      </c>
      <c r="E298" s="465" t="s">
        <v>614</v>
      </c>
      <c r="F298" s="465" t="s">
        <v>1426</v>
      </c>
      <c r="G298" s="472" t="s">
        <v>1427</v>
      </c>
      <c r="H298" s="467" t="n">
        <v>180000</v>
      </c>
      <c r="I298" s="465"/>
      <c r="J298" s="465"/>
      <c r="K298" s="465"/>
      <c r="L298" s="457"/>
      <c r="M298" s="457"/>
      <c r="N298" s="556"/>
      <c r="O298" s="499"/>
    </row>
    <row r="299" customFormat="false" ht="20.25" hidden="false" customHeight="true" outlineLevel="0" collapsed="false">
      <c r="A299" s="674" t="s">
        <v>1428</v>
      </c>
      <c r="B299" s="465"/>
      <c r="C299" s="677" t="s">
        <v>1429</v>
      </c>
      <c r="D299" s="678" t="s">
        <v>1430</v>
      </c>
      <c r="E299" s="465" t="s">
        <v>614</v>
      </c>
      <c r="F299" s="465" t="s">
        <v>1426</v>
      </c>
      <c r="G299" s="472" t="s">
        <v>1427</v>
      </c>
      <c r="H299" s="467" t="n">
        <v>180000</v>
      </c>
      <c r="I299" s="465"/>
      <c r="J299" s="465"/>
      <c r="K299" s="465"/>
      <c r="L299" s="457"/>
      <c r="M299" s="457"/>
      <c r="N299" s="556"/>
      <c r="O299" s="499"/>
    </row>
    <row r="300" customFormat="false" ht="20.25" hidden="false" customHeight="true" outlineLevel="0" collapsed="false">
      <c r="A300" s="674" t="s">
        <v>1431</v>
      </c>
      <c r="B300" s="465"/>
      <c r="C300" s="677" t="s">
        <v>1432</v>
      </c>
      <c r="D300" s="678" t="s">
        <v>1433</v>
      </c>
      <c r="E300" s="465" t="s">
        <v>614</v>
      </c>
      <c r="F300" s="465" t="s">
        <v>1426</v>
      </c>
      <c r="G300" s="472" t="s">
        <v>1427</v>
      </c>
      <c r="H300" s="467" t="n">
        <v>180000</v>
      </c>
      <c r="I300" s="465"/>
      <c r="J300" s="465"/>
      <c r="K300" s="465"/>
      <c r="L300" s="457"/>
      <c r="M300" s="457"/>
      <c r="N300" s="556"/>
      <c r="O300" s="499"/>
    </row>
    <row r="301" customFormat="false" ht="20.25" hidden="false" customHeight="true" outlineLevel="0" collapsed="false">
      <c r="A301" s="674" t="s">
        <v>1434</v>
      </c>
      <c r="B301" s="465"/>
      <c r="C301" s="677" t="s">
        <v>1435</v>
      </c>
      <c r="D301" s="678" t="s">
        <v>1436</v>
      </c>
      <c r="E301" s="465" t="s">
        <v>614</v>
      </c>
      <c r="F301" s="465" t="s">
        <v>1426</v>
      </c>
      <c r="G301" s="472" t="s">
        <v>1427</v>
      </c>
      <c r="H301" s="467" t="n">
        <v>180000</v>
      </c>
      <c r="I301" s="465"/>
      <c r="J301" s="465"/>
      <c r="K301" s="465"/>
      <c r="L301" s="499"/>
      <c r="M301" s="556"/>
      <c r="N301" s="556"/>
      <c r="O301" s="499"/>
    </row>
    <row r="302" customFormat="false" ht="20.25" hidden="false" customHeight="true" outlineLevel="0" collapsed="false">
      <c r="A302" s="674" t="s">
        <v>1437</v>
      </c>
      <c r="B302" s="465"/>
      <c r="C302" s="677" t="s">
        <v>1438</v>
      </c>
      <c r="D302" s="678" t="s">
        <v>1439</v>
      </c>
      <c r="E302" s="465" t="s">
        <v>614</v>
      </c>
      <c r="F302" s="465" t="s">
        <v>1426</v>
      </c>
      <c r="G302" s="472" t="s">
        <v>1427</v>
      </c>
      <c r="H302" s="467" t="n">
        <v>180000</v>
      </c>
      <c r="I302" s="465"/>
      <c r="J302" s="465"/>
      <c r="K302" s="465"/>
      <c r="L302" s="499"/>
      <c r="M302" s="556"/>
      <c r="N302" s="556"/>
      <c r="O302" s="499"/>
    </row>
    <row r="303" customFormat="false" ht="20.25" hidden="false" customHeight="true" outlineLevel="0" collapsed="false">
      <c r="A303" s="679" t="s">
        <v>1440</v>
      </c>
      <c r="B303" s="465"/>
      <c r="C303" s="680" t="s">
        <v>1441</v>
      </c>
      <c r="D303" s="681" t="s">
        <v>1442</v>
      </c>
      <c r="E303" s="465" t="s">
        <v>614</v>
      </c>
      <c r="F303" s="465" t="s">
        <v>1426</v>
      </c>
      <c r="G303" s="472" t="s">
        <v>1427</v>
      </c>
      <c r="H303" s="467" t="n">
        <v>180000</v>
      </c>
      <c r="I303" s="465"/>
      <c r="J303" s="465"/>
      <c r="K303" s="465"/>
      <c r="L303" s="499"/>
      <c r="M303" s="556"/>
      <c r="N303" s="556"/>
      <c r="O303" s="499"/>
    </row>
    <row r="304" customFormat="false" ht="20.25" hidden="false" customHeight="true" outlineLevel="0" collapsed="false">
      <c r="A304" s="679" t="s">
        <v>1443</v>
      </c>
      <c r="B304" s="465"/>
      <c r="C304" s="680" t="s">
        <v>1444</v>
      </c>
      <c r="D304" s="681" t="s">
        <v>1445</v>
      </c>
      <c r="E304" s="465" t="s">
        <v>614</v>
      </c>
      <c r="F304" s="465" t="s">
        <v>1426</v>
      </c>
      <c r="G304" s="472" t="s">
        <v>1427</v>
      </c>
      <c r="H304" s="467" t="n">
        <v>180000</v>
      </c>
      <c r="I304" s="465"/>
      <c r="J304" s="465"/>
      <c r="K304" s="465"/>
      <c r="L304" s="499"/>
      <c r="M304" s="556"/>
      <c r="N304" s="556"/>
      <c r="O304" s="499"/>
    </row>
    <row r="305" customFormat="false" ht="20.25" hidden="false" customHeight="true" outlineLevel="0" collapsed="false">
      <c r="A305" s="679" t="s">
        <v>1446</v>
      </c>
      <c r="B305" s="465"/>
      <c r="C305" s="680" t="s">
        <v>1447</v>
      </c>
      <c r="D305" s="681" t="s">
        <v>1448</v>
      </c>
      <c r="E305" s="465" t="s">
        <v>614</v>
      </c>
      <c r="F305" s="465" t="s">
        <v>1426</v>
      </c>
      <c r="G305" s="472" t="s">
        <v>1427</v>
      </c>
      <c r="H305" s="467" t="n">
        <v>180000</v>
      </c>
      <c r="I305" s="465"/>
      <c r="J305" s="465"/>
      <c r="K305" s="465"/>
      <c r="L305" s="499"/>
      <c r="M305" s="556"/>
      <c r="N305" s="556"/>
      <c r="O305" s="499"/>
    </row>
    <row r="306" customFormat="false" ht="20.25" hidden="false" customHeight="true" outlineLevel="0" collapsed="false">
      <c r="A306" s="679" t="s">
        <v>1449</v>
      </c>
      <c r="B306" s="465"/>
      <c r="C306" s="680" t="s">
        <v>1450</v>
      </c>
      <c r="D306" s="681" t="s">
        <v>1451</v>
      </c>
      <c r="E306" s="465" t="s">
        <v>614</v>
      </c>
      <c r="F306" s="465" t="s">
        <v>1426</v>
      </c>
      <c r="G306" s="472" t="s">
        <v>1427</v>
      </c>
      <c r="H306" s="467" t="n">
        <v>180000</v>
      </c>
      <c r="I306" s="465"/>
      <c r="J306" s="465"/>
      <c r="K306" s="465"/>
      <c r="L306" s="499"/>
      <c r="M306" s="556"/>
      <c r="N306" s="556"/>
      <c r="O306" s="499"/>
    </row>
    <row r="307" customFormat="false" ht="20.25" hidden="false" customHeight="true" outlineLevel="0" collapsed="false">
      <c r="A307" s="674" t="s">
        <v>1452</v>
      </c>
      <c r="B307" s="465"/>
      <c r="C307" s="677" t="s">
        <v>1453</v>
      </c>
      <c r="D307" s="678" t="s">
        <v>1454</v>
      </c>
      <c r="E307" s="465" t="s">
        <v>614</v>
      </c>
      <c r="F307" s="465" t="s">
        <v>1426</v>
      </c>
      <c r="G307" s="472" t="s">
        <v>1427</v>
      </c>
      <c r="H307" s="467" t="n">
        <v>180000</v>
      </c>
      <c r="I307" s="465"/>
      <c r="J307" s="465"/>
      <c r="K307" s="465"/>
      <c r="L307" s="499"/>
      <c r="M307" s="556"/>
      <c r="N307" s="556"/>
      <c r="O307" s="499"/>
    </row>
    <row r="308" customFormat="false" ht="20.25" hidden="false" customHeight="true" outlineLevel="0" collapsed="false">
      <c r="A308" s="674" t="s">
        <v>1455</v>
      </c>
      <c r="B308" s="465"/>
      <c r="C308" s="677" t="s">
        <v>1456</v>
      </c>
      <c r="D308" s="678" t="s">
        <v>1457</v>
      </c>
      <c r="E308" s="465" t="s">
        <v>614</v>
      </c>
      <c r="F308" s="465" t="s">
        <v>1426</v>
      </c>
      <c r="G308" s="472" t="s">
        <v>1427</v>
      </c>
      <c r="H308" s="467" t="n">
        <v>180000</v>
      </c>
      <c r="I308" s="525"/>
      <c r="J308" s="465"/>
      <c r="K308" s="465"/>
      <c r="L308" s="499"/>
      <c r="M308" s="556"/>
      <c r="N308" s="556"/>
      <c r="O308" s="499"/>
    </row>
    <row r="309" customFormat="false" ht="20.25" hidden="false" customHeight="true" outlineLevel="0" collapsed="false">
      <c r="A309" s="457"/>
      <c r="B309" s="457"/>
      <c r="C309" s="457"/>
      <c r="D309" s="499"/>
      <c r="E309" s="457"/>
      <c r="F309" s="457"/>
      <c r="G309" s="457"/>
      <c r="J309" s="457"/>
      <c r="K309" s="457"/>
      <c r="L309" s="499"/>
      <c r="M309" s="556"/>
      <c r="N309" s="556"/>
      <c r="O309" s="499"/>
    </row>
    <row r="310" customFormat="false" ht="20.25" hidden="false" customHeight="true" outlineLevel="0" collapsed="false">
      <c r="A310" s="457"/>
      <c r="B310" s="457"/>
      <c r="C310" s="457"/>
      <c r="D310" s="499"/>
      <c r="E310" s="457"/>
      <c r="F310" s="457"/>
      <c r="G310" s="457"/>
      <c r="J310" s="457"/>
      <c r="K310" s="457"/>
      <c r="L310" s="499"/>
      <c r="M310" s="556"/>
      <c r="N310" s="556"/>
      <c r="O310" s="499"/>
    </row>
    <row r="311" customFormat="false" ht="20.25" hidden="false" customHeight="true" outlineLevel="0" collapsed="false">
      <c r="A311" s="457"/>
      <c r="B311" s="457"/>
      <c r="C311" s="457"/>
      <c r="D311" s="499"/>
      <c r="E311" s="457"/>
      <c r="F311" s="457"/>
      <c r="G311" s="457"/>
      <c r="J311" s="457"/>
      <c r="K311" s="457"/>
      <c r="L311" s="499"/>
      <c r="M311" s="556"/>
      <c r="N311" s="556"/>
      <c r="O311" s="499"/>
    </row>
    <row r="312" customFormat="false" ht="20.25" hidden="false" customHeight="true" outlineLevel="0" collapsed="false">
      <c r="A312" s="457"/>
      <c r="B312" s="457"/>
      <c r="C312" s="457"/>
      <c r="D312" s="499"/>
      <c r="E312" s="457"/>
      <c r="F312" s="457"/>
      <c r="G312" s="457"/>
      <c r="J312" s="457"/>
      <c r="K312" s="457"/>
      <c r="L312" s="499"/>
      <c r="M312" s="556"/>
      <c r="N312" s="556"/>
      <c r="O312" s="499"/>
    </row>
    <row r="313" customFormat="false" ht="20.25" hidden="false" customHeight="true" outlineLevel="0" collapsed="false">
      <c r="A313" s="457"/>
      <c r="B313" s="457"/>
      <c r="C313" s="457"/>
      <c r="D313" s="499"/>
      <c r="E313" s="457"/>
      <c r="F313" s="457"/>
      <c r="G313" s="457"/>
      <c r="J313" s="457"/>
      <c r="K313" s="457"/>
      <c r="L313" s="499"/>
      <c r="M313" s="556"/>
      <c r="N313" s="556"/>
      <c r="O313" s="499"/>
    </row>
    <row r="314" customFormat="false" ht="20.25" hidden="false" customHeight="true" outlineLevel="0" collapsed="false">
      <c r="A314" s="457"/>
      <c r="B314" s="457"/>
      <c r="C314" s="457"/>
      <c r="D314" s="499"/>
      <c r="E314" s="457"/>
      <c r="F314" s="457"/>
      <c r="G314" s="457"/>
      <c r="J314" s="457"/>
      <c r="K314" s="457"/>
      <c r="L314" s="499"/>
      <c r="M314" s="556"/>
      <c r="N314" s="556"/>
      <c r="O314" s="499"/>
    </row>
    <row r="315" customFormat="false" ht="20.25" hidden="false" customHeight="true" outlineLevel="0" collapsed="false">
      <c r="A315" s="457"/>
      <c r="B315" s="457"/>
      <c r="C315" s="457"/>
      <c r="D315" s="499"/>
      <c r="E315" s="457"/>
      <c r="F315" s="457"/>
      <c r="G315" s="457"/>
      <c r="J315" s="457"/>
      <c r="K315" s="457"/>
      <c r="L315" s="499"/>
      <c r="M315" s="556"/>
      <c r="N315" s="556"/>
      <c r="O315" s="499"/>
    </row>
    <row r="316" customFormat="false" ht="20.25" hidden="false" customHeight="true" outlineLevel="0" collapsed="false">
      <c r="A316" s="457"/>
      <c r="B316" s="457"/>
      <c r="C316" s="457"/>
      <c r="D316" s="499"/>
      <c r="E316" s="457"/>
      <c r="F316" s="457"/>
      <c r="G316" s="457"/>
      <c r="J316" s="457"/>
      <c r="K316" s="457"/>
      <c r="L316" s="499"/>
      <c r="M316" s="556"/>
      <c r="N316" s="556"/>
      <c r="O316" s="499"/>
    </row>
    <row r="317" customFormat="false" ht="20.25" hidden="false" customHeight="true" outlineLevel="0" collapsed="false">
      <c r="A317" s="457"/>
      <c r="B317" s="457"/>
      <c r="C317" s="457"/>
      <c r="D317" s="499"/>
      <c r="E317" s="457"/>
      <c r="F317" s="457"/>
      <c r="G317" s="457"/>
      <c r="J317" s="457"/>
      <c r="K317" s="457"/>
      <c r="L317" s="499"/>
      <c r="M317" s="556"/>
      <c r="N317" s="556"/>
      <c r="O317" s="499"/>
    </row>
    <row r="318" customFormat="false" ht="20.25" hidden="false" customHeight="true" outlineLevel="0" collapsed="false">
      <c r="A318" s="457"/>
      <c r="B318" s="457"/>
      <c r="C318" s="457"/>
      <c r="D318" s="499"/>
      <c r="E318" s="457"/>
      <c r="F318" s="457"/>
      <c r="G318" s="457"/>
      <c r="J318" s="457"/>
      <c r="K318" s="457"/>
      <c r="L318" s="499"/>
      <c r="M318" s="556"/>
      <c r="N318" s="556"/>
      <c r="O318" s="499"/>
    </row>
    <row r="319" customFormat="false" ht="20.25" hidden="false" customHeight="true" outlineLevel="0" collapsed="false">
      <c r="A319" s="457"/>
      <c r="B319" s="457"/>
      <c r="C319" s="457"/>
      <c r="D319" s="499"/>
      <c r="E319" s="457"/>
      <c r="F319" s="457"/>
      <c r="G319" s="457"/>
      <c r="J319" s="457"/>
      <c r="K319" s="457"/>
      <c r="L319" s="499"/>
      <c r="M319" s="556"/>
      <c r="N319" s="556"/>
      <c r="O319" s="499"/>
    </row>
    <row r="320" customFormat="false" ht="20.25" hidden="false" customHeight="true" outlineLevel="0" collapsed="false">
      <c r="A320" s="457"/>
      <c r="B320" s="457"/>
      <c r="C320" s="457"/>
      <c r="D320" s="499"/>
      <c r="E320" s="457"/>
      <c r="F320" s="457"/>
      <c r="G320" s="457"/>
      <c r="J320" s="457"/>
      <c r="K320" s="457"/>
      <c r="L320" s="499"/>
      <c r="M320" s="556"/>
      <c r="N320" s="556"/>
      <c r="O320" s="499"/>
    </row>
    <row r="321" customFormat="false" ht="20.25" hidden="false" customHeight="true" outlineLevel="0" collapsed="false">
      <c r="A321" s="457"/>
      <c r="B321" s="457"/>
      <c r="C321" s="457"/>
      <c r="D321" s="499"/>
      <c r="E321" s="457"/>
      <c r="F321" s="457"/>
      <c r="G321" s="457"/>
      <c r="J321" s="457"/>
      <c r="K321" s="457"/>
      <c r="L321" s="499"/>
      <c r="M321" s="556"/>
      <c r="N321" s="556"/>
      <c r="O321" s="499"/>
    </row>
    <row r="322" customFormat="false" ht="20.25" hidden="false" customHeight="true" outlineLevel="0" collapsed="false">
      <c r="A322" s="457"/>
      <c r="B322" s="457"/>
      <c r="C322" s="457"/>
      <c r="D322" s="499"/>
      <c r="E322" s="457"/>
      <c r="F322" s="457"/>
      <c r="G322" s="457"/>
      <c r="J322" s="457"/>
      <c r="K322" s="457"/>
      <c r="L322" s="499"/>
      <c r="M322" s="556"/>
      <c r="N322" s="556"/>
      <c r="O322" s="499"/>
    </row>
    <row r="323" customFormat="false" ht="20.25" hidden="false" customHeight="true" outlineLevel="0" collapsed="false">
      <c r="A323" s="457"/>
      <c r="B323" s="457"/>
      <c r="C323" s="457"/>
      <c r="D323" s="499"/>
      <c r="E323" s="457"/>
      <c r="F323" s="457"/>
      <c r="G323" s="457"/>
      <c r="J323" s="457"/>
      <c r="K323" s="457"/>
      <c r="L323" s="499"/>
      <c r="M323" s="556"/>
      <c r="N323" s="556"/>
      <c r="O323" s="499"/>
    </row>
    <row r="324" customFormat="false" ht="20.25" hidden="false" customHeight="true" outlineLevel="0" collapsed="false">
      <c r="A324" s="457"/>
      <c r="B324" s="457"/>
      <c r="C324" s="457"/>
      <c r="D324" s="499"/>
      <c r="E324" s="457"/>
      <c r="F324" s="457"/>
      <c r="G324" s="457"/>
      <c r="J324" s="457"/>
      <c r="K324" s="457"/>
      <c r="L324" s="499"/>
      <c r="M324" s="556"/>
      <c r="N324" s="556"/>
      <c r="O324" s="499"/>
    </row>
    <row r="325" customFormat="false" ht="20.25" hidden="false" customHeight="true" outlineLevel="0" collapsed="false">
      <c r="A325" s="457"/>
      <c r="B325" s="457"/>
      <c r="C325" s="457"/>
      <c r="D325" s="499"/>
      <c r="E325" s="457"/>
      <c r="F325" s="457"/>
      <c r="G325" s="457"/>
      <c r="J325" s="457"/>
      <c r="K325" s="457"/>
      <c r="L325" s="499"/>
      <c r="M325" s="556"/>
      <c r="N325" s="556"/>
      <c r="O325" s="499"/>
    </row>
    <row r="326" customFormat="false" ht="20.25" hidden="false" customHeight="true" outlineLevel="0" collapsed="false">
      <c r="A326" s="457"/>
      <c r="B326" s="457"/>
      <c r="C326" s="457"/>
      <c r="D326" s="499"/>
      <c r="E326" s="457"/>
      <c r="F326" s="457"/>
      <c r="G326" s="457"/>
      <c r="J326" s="457"/>
      <c r="K326" s="457"/>
      <c r="L326" s="499"/>
      <c r="M326" s="556"/>
      <c r="N326" s="556"/>
      <c r="O326" s="499"/>
    </row>
    <row r="327" customFormat="false" ht="20.25" hidden="false" customHeight="true" outlineLevel="0" collapsed="false">
      <c r="A327" s="457"/>
      <c r="B327" s="457"/>
      <c r="C327" s="457"/>
      <c r="D327" s="499"/>
      <c r="E327" s="457"/>
      <c r="F327" s="457"/>
      <c r="G327" s="457"/>
      <c r="J327" s="457"/>
      <c r="K327" s="457"/>
      <c r="L327" s="499"/>
      <c r="M327" s="556"/>
      <c r="N327" s="556"/>
      <c r="O327" s="499"/>
    </row>
    <row r="328" customFormat="false" ht="20.25" hidden="false" customHeight="true" outlineLevel="0" collapsed="false">
      <c r="A328" s="457"/>
      <c r="B328" s="457"/>
      <c r="C328" s="457"/>
      <c r="D328" s="499"/>
      <c r="E328" s="457"/>
      <c r="F328" s="457"/>
      <c r="G328" s="457"/>
      <c r="J328" s="457"/>
      <c r="K328" s="457"/>
      <c r="L328" s="499"/>
      <c r="M328" s="556"/>
      <c r="N328" s="556"/>
      <c r="O328" s="499"/>
    </row>
    <row r="329" customFormat="false" ht="20.25" hidden="false" customHeight="true" outlineLevel="0" collapsed="false">
      <c r="A329" s="457"/>
      <c r="B329" s="457"/>
      <c r="C329" s="457"/>
      <c r="D329" s="499"/>
      <c r="E329" s="457"/>
      <c r="F329" s="457"/>
      <c r="G329" s="457"/>
      <c r="J329" s="457"/>
      <c r="K329" s="457"/>
      <c r="L329" s="499"/>
      <c r="M329" s="556"/>
      <c r="N329" s="556"/>
      <c r="O329" s="499"/>
    </row>
    <row r="330" customFormat="false" ht="20.25" hidden="false" customHeight="true" outlineLevel="0" collapsed="false">
      <c r="A330" s="457"/>
      <c r="B330" s="457"/>
      <c r="C330" s="457"/>
      <c r="D330" s="499"/>
      <c r="E330" s="457"/>
      <c r="F330" s="457"/>
      <c r="G330" s="457"/>
      <c r="J330" s="457"/>
      <c r="K330" s="457"/>
      <c r="L330" s="499"/>
      <c r="M330" s="556"/>
      <c r="N330" s="556"/>
      <c r="O330" s="499"/>
    </row>
    <row r="331" customFormat="false" ht="20.25" hidden="false" customHeight="true" outlineLevel="0" collapsed="false">
      <c r="A331" s="457"/>
      <c r="B331" s="457"/>
      <c r="C331" s="457"/>
      <c r="D331" s="499"/>
      <c r="E331" s="457"/>
      <c r="F331" s="457"/>
      <c r="G331" s="457"/>
      <c r="J331" s="457"/>
      <c r="K331" s="457"/>
      <c r="L331" s="499"/>
      <c r="M331" s="556"/>
      <c r="N331" s="556"/>
      <c r="O331" s="499"/>
    </row>
    <row r="332" customFormat="false" ht="20.25" hidden="false" customHeight="true" outlineLevel="0" collapsed="false">
      <c r="A332" s="457"/>
      <c r="B332" s="457"/>
      <c r="C332" s="457"/>
      <c r="D332" s="499"/>
      <c r="E332" s="457"/>
      <c r="F332" s="457"/>
      <c r="G332" s="457"/>
      <c r="J332" s="457"/>
      <c r="K332" s="457"/>
      <c r="L332" s="499"/>
      <c r="M332" s="556"/>
      <c r="N332" s="556"/>
      <c r="O332" s="499"/>
    </row>
    <row r="333" customFormat="false" ht="20.25" hidden="false" customHeight="true" outlineLevel="0" collapsed="false">
      <c r="A333" s="457"/>
      <c r="B333" s="457"/>
      <c r="C333" s="457"/>
      <c r="D333" s="499"/>
      <c r="E333" s="457"/>
      <c r="F333" s="457"/>
      <c r="G333" s="457"/>
      <c r="J333" s="457"/>
      <c r="K333" s="457"/>
      <c r="L333" s="499"/>
      <c r="M333" s="556"/>
      <c r="N333" s="556"/>
      <c r="O333" s="499"/>
    </row>
    <row r="334" customFormat="false" ht="20.25" hidden="false" customHeight="true" outlineLevel="0" collapsed="false">
      <c r="A334" s="457"/>
      <c r="B334" s="457"/>
      <c r="C334" s="457"/>
      <c r="D334" s="499"/>
      <c r="E334" s="457"/>
      <c r="F334" s="457"/>
      <c r="G334" s="457"/>
      <c r="J334" s="457"/>
      <c r="K334" s="457"/>
      <c r="L334" s="499"/>
      <c r="M334" s="556"/>
      <c r="N334" s="556"/>
      <c r="O334" s="499"/>
    </row>
    <row r="335" customFormat="false" ht="20.25" hidden="false" customHeight="true" outlineLevel="0" collapsed="false">
      <c r="A335" s="457"/>
      <c r="B335" s="457"/>
      <c r="C335" s="457"/>
      <c r="D335" s="499"/>
      <c r="E335" s="457"/>
      <c r="F335" s="457"/>
      <c r="G335" s="457"/>
      <c r="J335" s="457"/>
      <c r="K335" s="457"/>
      <c r="L335" s="499"/>
      <c r="M335" s="556"/>
      <c r="N335" s="556"/>
      <c r="O335" s="499"/>
    </row>
    <row r="336" customFormat="false" ht="20.25" hidden="false" customHeight="true" outlineLevel="0" collapsed="false">
      <c r="A336" s="457"/>
      <c r="B336" s="457"/>
      <c r="C336" s="457"/>
      <c r="D336" s="499"/>
      <c r="E336" s="457"/>
      <c r="F336" s="457"/>
      <c r="G336" s="457"/>
      <c r="J336" s="457"/>
      <c r="K336" s="457"/>
      <c r="L336" s="499"/>
      <c r="M336" s="556"/>
      <c r="N336" s="556"/>
      <c r="O336" s="499"/>
    </row>
    <row r="337" customFormat="false" ht="20.25" hidden="false" customHeight="true" outlineLevel="0" collapsed="false">
      <c r="A337" s="457"/>
      <c r="B337" s="457"/>
      <c r="C337" s="457"/>
      <c r="D337" s="499"/>
      <c r="E337" s="457"/>
      <c r="F337" s="457"/>
      <c r="G337" s="457"/>
      <c r="J337" s="457"/>
      <c r="K337" s="457"/>
      <c r="L337" s="499"/>
      <c r="M337" s="556"/>
      <c r="N337" s="556"/>
      <c r="O337" s="499"/>
    </row>
    <row r="338" customFormat="false" ht="20.25" hidden="false" customHeight="true" outlineLevel="0" collapsed="false">
      <c r="A338" s="457"/>
      <c r="B338" s="457"/>
      <c r="C338" s="457"/>
      <c r="D338" s="499"/>
      <c r="E338" s="457"/>
      <c r="F338" s="457"/>
      <c r="G338" s="457"/>
      <c r="J338" s="457"/>
      <c r="K338" s="457"/>
      <c r="L338" s="499"/>
      <c r="M338" s="556"/>
      <c r="N338" s="556"/>
      <c r="O338" s="499"/>
    </row>
    <row r="339" customFormat="false" ht="20.25" hidden="false" customHeight="true" outlineLevel="0" collapsed="false">
      <c r="A339" s="457"/>
      <c r="B339" s="457"/>
      <c r="C339" s="457"/>
      <c r="D339" s="499"/>
      <c r="E339" s="457"/>
      <c r="F339" s="457"/>
      <c r="G339" s="457"/>
      <c r="J339" s="457"/>
      <c r="K339" s="457"/>
      <c r="L339" s="499"/>
      <c r="M339" s="556"/>
      <c r="N339" s="556"/>
      <c r="O339" s="499"/>
    </row>
    <row r="340" customFormat="false" ht="20.25" hidden="false" customHeight="true" outlineLevel="0" collapsed="false">
      <c r="A340" s="457"/>
      <c r="B340" s="457"/>
      <c r="C340" s="457"/>
      <c r="D340" s="499"/>
      <c r="E340" s="457"/>
      <c r="F340" s="457"/>
      <c r="G340" s="457"/>
      <c r="J340" s="457"/>
      <c r="K340" s="457"/>
      <c r="L340" s="499"/>
      <c r="M340" s="556"/>
      <c r="N340" s="556"/>
      <c r="O340" s="499"/>
    </row>
    <row r="341" customFormat="false" ht="20.25" hidden="false" customHeight="true" outlineLevel="0" collapsed="false">
      <c r="A341" s="457"/>
      <c r="B341" s="457"/>
      <c r="C341" s="457"/>
      <c r="D341" s="499"/>
      <c r="E341" s="457"/>
      <c r="F341" s="457"/>
      <c r="G341" s="457"/>
      <c r="J341" s="457"/>
      <c r="K341" s="457"/>
      <c r="L341" s="499"/>
      <c r="M341" s="556"/>
      <c r="N341" s="556"/>
      <c r="O341" s="499"/>
    </row>
    <row r="342" customFormat="false" ht="20.25" hidden="false" customHeight="true" outlineLevel="0" collapsed="false">
      <c r="A342" s="457"/>
      <c r="B342" s="457"/>
      <c r="C342" s="457"/>
      <c r="D342" s="499"/>
      <c r="E342" s="457"/>
      <c r="F342" s="457"/>
      <c r="G342" s="457"/>
      <c r="J342" s="457"/>
      <c r="K342" s="457"/>
      <c r="L342" s="499"/>
      <c r="M342" s="556"/>
      <c r="N342" s="556"/>
      <c r="O342" s="499"/>
    </row>
    <row r="343" customFormat="false" ht="20.25" hidden="false" customHeight="true" outlineLevel="0" collapsed="false">
      <c r="A343" s="457"/>
      <c r="B343" s="457"/>
      <c r="C343" s="457"/>
      <c r="D343" s="499"/>
      <c r="E343" s="457"/>
      <c r="F343" s="457"/>
      <c r="G343" s="457"/>
      <c r="J343" s="457"/>
      <c r="K343" s="457"/>
      <c r="L343" s="499"/>
      <c r="M343" s="556"/>
      <c r="N343" s="556"/>
      <c r="O343" s="499"/>
    </row>
    <row r="344" customFormat="false" ht="20.25" hidden="false" customHeight="true" outlineLevel="0" collapsed="false">
      <c r="A344" s="457"/>
      <c r="B344" s="457"/>
      <c r="C344" s="457"/>
      <c r="D344" s="499"/>
      <c r="E344" s="457"/>
      <c r="F344" s="457"/>
      <c r="G344" s="457"/>
      <c r="J344" s="457"/>
      <c r="K344" s="457"/>
      <c r="L344" s="499"/>
      <c r="M344" s="556"/>
      <c r="N344" s="556"/>
      <c r="O344" s="499"/>
    </row>
    <row r="345" customFormat="false" ht="20.25" hidden="false" customHeight="true" outlineLevel="0" collapsed="false">
      <c r="A345" s="457"/>
      <c r="B345" s="457"/>
      <c r="C345" s="457"/>
      <c r="D345" s="499"/>
      <c r="E345" s="457"/>
      <c r="F345" s="457"/>
      <c r="G345" s="457"/>
      <c r="J345" s="457"/>
      <c r="K345" s="457"/>
      <c r="L345" s="499"/>
      <c r="M345" s="556"/>
      <c r="N345" s="556"/>
      <c r="O345" s="499"/>
    </row>
    <row r="346" customFormat="false" ht="20.25" hidden="false" customHeight="true" outlineLevel="0" collapsed="false">
      <c r="A346" s="457"/>
      <c r="B346" s="457"/>
      <c r="C346" s="457"/>
      <c r="D346" s="499"/>
      <c r="E346" s="457"/>
      <c r="F346" s="457"/>
      <c r="G346" s="457"/>
      <c r="J346" s="457"/>
      <c r="K346" s="457"/>
      <c r="L346" s="499"/>
      <c r="M346" s="556"/>
      <c r="N346" s="556"/>
      <c r="O346" s="499"/>
    </row>
    <row r="347" customFormat="false" ht="20.25" hidden="false" customHeight="true" outlineLevel="0" collapsed="false">
      <c r="A347" s="457"/>
      <c r="B347" s="457"/>
      <c r="C347" s="457"/>
      <c r="D347" s="499"/>
      <c r="E347" s="457"/>
      <c r="F347" s="457"/>
      <c r="G347" s="457"/>
      <c r="J347" s="457"/>
      <c r="K347" s="457"/>
      <c r="L347" s="499"/>
      <c r="M347" s="556"/>
      <c r="N347" s="556"/>
      <c r="O347" s="499"/>
    </row>
    <row r="348" customFormat="false" ht="20.25" hidden="false" customHeight="true" outlineLevel="0" collapsed="false">
      <c r="A348" s="457"/>
      <c r="B348" s="457"/>
      <c r="C348" s="457"/>
      <c r="D348" s="499"/>
      <c r="E348" s="457"/>
      <c r="F348" s="457"/>
      <c r="G348" s="457"/>
      <c r="J348" s="457"/>
      <c r="K348" s="457"/>
      <c r="L348" s="499"/>
      <c r="M348" s="556"/>
      <c r="N348" s="556"/>
      <c r="O348" s="499"/>
    </row>
    <row r="349" customFormat="false" ht="20.25" hidden="false" customHeight="true" outlineLevel="0" collapsed="false">
      <c r="A349" s="457"/>
      <c r="B349" s="457"/>
      <c r="C349" s="457"/>
      <c r="D349" s="499"/>
      <c r="E349" s="457"/>
      <c r="F349" s="457"/>
      <c r="G349" s="457"/>
      <c r="J349" s="457"/>
      <c r="K349" s="457"/>
      <c r="L349" s="499"/>
      <c r="M349" s="556"/>
      <c r="N349" s="556"/>
      <c r="O349" s="499"/>
    </row>
    <row r="350" customFormat="false" ht="20.25" hidden="false" customHeight="true" outlineLevel="0" collapsed="false">
      <c r="A350" s="457"/>
      <c r="B350" s="457"/>
      <c r="C350" s="457"/>
      <c r="D350" s="499"/>
      <c r="E350" s="457"/>
      <c r="F350" s="457"/>
      <c r="G350" s="457"/>
      <c r="J350" s="457"/>
      <c r="K350" s="457"/>
      <c r="L350" s="499"/>
      <c r="M350" s="556"/>
      <c r="N350" s="556"/>
      <c r="O350" s="499"/>
    </row>
    <row r="351" customFormat="false" ht="20.25" hidden="false" customHeight="true" outlineLevel="0" collapsed="false">
      <c r="A351" s="457"/>
      <c r="B351" s="457"/>
      <c r="C351" s="457"/>
      <c r="D351" s="499"/>
      <c r="E351" s="457"/>
      <c r="F351" s="457"/>
      <c r="G351" s="457"/>
      <c r="J351" s="457"/>
      <c r="K351" s="457"/>
      <c r="L351" s="499"/>
      <c r="M351" s="556"/>
      <c r="N351" s="556"/>
      <c r="O351" s="499"/>
    </row>
    <row r="352" customFormat="false" ht="20.25" hidden="false" customHeight="true" outlineLevel="0" collapsed="false">
      <c r="A352" s="457"/>
      <c r="B352" s="457"/>
      <c r="C352" s="457"/>
      <c r="D352" s="499"/>
      <c r="E352" s="457"/>
      <c r="F352" s="457"/>
      <c r="G352" s="457"/>
      <c r="J352" s="457"/>
      <c r="K352" s="457"/>
      <c r="L352" s="499"/>
      <c r="M352" s="556"/>
      <c r="N352" s="556"/>
      <c r="O352" s="499"/>
    </row>
    <row r="353" customFormat="false" ht="20.25" hidden="false" customHeight="true" outlineLevel="0" collapsed="false">
      <c r="A353" s="457"/>
      <c r="B353" s="457"/>
      <c r="C353" s="457"/>
      <c r="D353" s="499"/>
      <c r="E353" s="457"/>
      <c r="F353" s="457"/>
      <c r="G353" s="457"/>
      <c r="J353" s="457"/>
      <c r="K353" s="457"/>
      <c r="L353" s="499"/>
      <c r="M353" s="556"/>
      <c r="N353" s="556"/>
      <c r="O353" s="499"/>
    </row>
    <row r="354" customFormat="false" ht="20.25" hidden="false" customHeight="true" outlineLevel="0" collapsed="false">
      <c r="A354" s="457"/>
      <c r="B354" s="457"/>
      <c r="C354" s="457"/>
      <c r="D354" s="499"/>
      <c r="E354" s="457"/>
      <c r="F354" s="457"/>
      <c r="G354" s="457"/>
      <c r="J354" s="457"/>
      <c r="K354" s="457"/>
      <c r="L354" s="499"/>
      <c r="M354" s="556"/>
      <c r="N354" s="556"/>
      <c r="O354" s="499"/>
    </row>
    <row r="355" customFormat="false" ht="20.25" hidden="false" customHeight="true" outlineLevel="0" collapsed="false">
      <c r="A355" s="457"/>
      <c r="B355" s="457"/>
      <c r="C355" s="457"/>
      <c r="D355" s="499"/>
      <c r="E355" s="457"/>
      <c r="F355" s="457"/>
      <c r="G355" s="457"/>
      <c r="J355" s="457"/>
      <c r="K355" s="457"/>
      <c r="L355" s="499"/>
      <c r="M355" s="556"/>
      <c r="N355" s="556"/>
      <c r="O355" s="499"/>
    </row>
    <row r="356" customFormat="false" ht="20.25" hidden="false" customHeight="true" outlineLevel="0" collapsed="false">
      <c r="A356" s="457"/>
      <c r="B356" s="457"/>
      <c r="C356" s="457"/>
      <c r="D356" s="499"/>
      <c r="E356" s="457"/>
      <c r="F356" s="457"/>
      <c r="G356" s="457"/>
      <c r="J356" s="457"/>
      <c r="K356" s="457"/>
      <c r="L356" s="499"/>
      <c r="M356" s="556"/>
      <c r="N356" s="556"/>
      <c r="O356" s="499"/>
    </row>
    <row r="357" customFormat="false" ht="20.25" hidden="false" customHeight="true" outlineLevel="0" collapsed="false">
      <c r="A357" s="457"/>
      <c r="B357" s="457"/>
      <c r="C357" s="457"/>
      <c r="D357" s="499"/>
      <c r="E357" s="457"/>
      <c r="F357" s="457"/>
      <c r="G357" s="457"/>
      <c r="J357" s="457"/>
      <c r="K357" s="457"/>
      <c r="L357" s="499"/>
      <c r="M357" s="556"/>
      <c r="N357" s="556"/>
      <c r="O357" s="499"/>
    </row>
    <row r="358" customFormat="false" ht="20.25" hidden="false" customHeight="true" outlineLevel="0" collapsed="false">
      <c r="A358" s="457"/>
      <c r="B358" s="457"/>
      <c r="C358" s="457"/>
      <c r="D358" s="499"/>
      <c r="E358" s="457"/>
      <c r="F358" s="457"/>
      <c r="G358" s="457"/>
      <c r="J358" s="457"/>
      <c r="K358" s="457"/>
      <c r="L358" s="499"/>
      <c r="M358" s="556"/>
      <c r="N358" s="556"/>
      <c r="O358" s="499"/>
    </row>
    <row r="359" customFormat="false" ht="20.25" hidden="false" customHeight="true" outlineLevel="0" collapsed="false">
      <c r="A359" s="457"/>
      <c r="B359" s="457"/>
      <c r="C359" s="457"/>
      <c r="D359" s="499"/>
      <c r="E359" s="457"/>
      <c r="F359" s="457"/>
      <c r="G359" s="457"/>
      <c r="J359" s="457"/>
      <c r="K359" s="457"/>
      <c r="L359" s="499"/>
      <c r="M359" s="556"/>
      <c r="N359" s="556"/>
      <c r="O359" s="499"/>
    </row>
    <row r="360" customFormat="false" ht="20.25" hidden="false" customHeight="true" outlineLevel="0" collapsed="false">
      <c r="A360" s="457"/>
      <c r="B360" s="457"/>
      <c r="C360" s="457"/>
      <c r="D360" s="499"/>
      <c r="E360" s="457"/>
      <c r="F360" s="457"/>
      <c r="G360" s="457"/>
      <c r="J360" s="457"/>
      <c r="K360" s="457"/>
      <c r="L360" s="499"/>
      <c r="M360" s="556"/>
      <c r="N360" s="556"/>
      <c r="O360" s="499"/>
    </row>
    <row r="361" customFormat="false" ht="20.25" hidden="false" customHeight="true" outlineLevel="0" collapsed="false">
      <c r="A361" s="457"/>
      <c r="B361" s="457"/>
      <c r="C361" s="457"/>
      <c r="D361" s="499"/>
      <c r="E361" s="457"/>
      <c r="F361" s="457"/>
      <c r="G361" s="457"/>
      <c r="J361" s="457"/>
      <c r="K361" s="457"/>
      <c r="L361" s="499"/>
      <c r="M361" s="556"/>
      <c r="N361" s="556"/>
      <c r="O361" s="499"/>
    </row>
    <row r="362" customFormat="false" ht="20.25" hidden="false" customHeight="true" outlineLevel="0" collapsed="false">
      <c r="A362" s="457"/>
      <c r="B362" s="457"/>
      <c r="C362" s="457"/>
      <c r="D362" s="499"/>
      <c r="E362" s="457"/>
      <c r="F362" s="457"/>
      <c r="G362" s="457"/>
      <c r="J362" s="457"/>
      <c r="K362" s="457"/>
      <c r="L362" s="499"/>
      <c r="M362" s="556"/>
      <c r="N362" s="556"/>
      <c r="O362" s="499"/>
    </row>
    <row r="363" customFormat="false" ht="20.25" hidden="false" customHeight="true" outlineLevel="0" collapsed="false">
      <c r="A363" s="457"/>
      <c r="B363" s="457"/>
      <c r="C363" s="457"/>
      <c r="D363" s="499"/>
      <c r="E363" s="457"/>
      <c r="F363" s="457"/>
      <c r="G363" s="457"/>
      <c r="J363" s="457"/>
      <c r="K363" s="457"/>
      <c r="L363" s="499"/>
      <c r="M363" s="556"/>
      <c r="N363" s="556"/>
      <c r="O363" s="499"/>
    </row>
    <row r="364" customFormat="false" ht="20.25" hidden="false" customHeight="true" outlineLevel="0" collapsed="false">
      <c r="A364" s="457"/>
      <c r="B364" s="457"/>
      <c r="C364" s="457"/>
      <c r="D364" s="499"/>
      <c r="E364" s="457"/>
      <c r="F364" s="457"/>
      <c r="G364" s="457"/>
      <c r="J364" s="457"/>
      <c r="K364" s="457"/>
      <c r="L364" s="499"/>
      <c r="M364" s="556"/>
      <c r="N364" s="556"/>
      <c r="O364" s="499"/>
    </row>
    <row r="365" customFormat="false" ht="20.25" hidden="false" customHeight="true" outlineLevel="0" collapsed="false">
      <c r="A365" s="457"/>
      <c r="B365" s="457"/>
      <c r="C365" s="457"/>
      <c r="D365" s="499"/>
      <c r="E365" s="457"/>
      <c r="F365" s="457"/>
      <c r="G365" s="457"/>
      <c r="J365" s="457"/>
      <c r="K365" s="457"/>
      <c r="L365" s="499"/>
      <c r="M365" s="556"/>
      <c r="N365" s="556"/>
      <c r="O365" s="499"/>
    </row>
    <row r="366" customFormat="false" ht="20.25" hidden="false" customHeight="true" outlineLevel="0" collapsed="false">
      <c r="A366" s="457"/>
      <c r="B366" s="457"/>
      <c r="C366" s="457"/>
      <c r="D366" s="499"/>
      <c r="E366" s="457"/>
      <c r="F366" s="457"/>
      <c r="G366" s="457"/>
      <c r="J366" s="457"/>
      <c r="K366" s="457"/>
      <c r="L366" s="499"/>
      <c r="M366" s="556"/>
      <c r="N366" s="556"/>
      <c r="O366" s="499"/>
    </row>
    <row r="367" customFormat="false" ht="20.25" hidden="false" customHeight="true" outlineLevel="0" collapsed="false">
      <c r="A367" s="457"/>
      <c r="B367" s="457"/>
      <c r="C367" s="457"/>
      <c r="D367" s="499"/>
      <c r="E367" s="457"/>
      <c r="F367" s="457"/>
      <c r="G367" s="457"/>
      <c r="J367" s="457"/>
      <c r="K367" s="457"/>
      <c r="L367" s="499"/>
      <c r="M367" s="556"/>
      <c r="N367" s="556"/>
      <c r="O367" s="499"/>
    </row>
    <row r="368" customFormat="false" ht="20.25" hidden="false" customHeight="true" outlineLevel="0" collapsed="false">
      <c r="A368" s="457"/>
      <c r="B368" s="457"/>
      <c r="C368" s="457"/>
      <c r="D368" s="499"/>
      <c r="E368" s="457"/>
      <c r="F368" s="457"/>
      <c r="G368" s="457"/>
      <c r="J368" s="457"/>
      <c r="K368" s="457"/>
      <c r="L368" s="499"/>
      <c r="M368" s="556"/>
      <c r="N368" s="556"/>
      <c r="O368" s="499"/>
    </row>
    <row r="369" customFormat="false" ht="20.25" hidden="false" customHeight="true" outlineLevel="0" collapsed="false">
      <c r="A369" s="457"/>
      <c r="B369" s="457"/>
      <c r="C369" s="457"/>
      <c r="D369" s="499"/>
      <c r="E369" s="457"/>
      <c r="F369" s="457"/>
      <c r="G369" s="457"/>
      <c r="J369" s="457"/>
      <c r="K369" s="457"/>
      <c r="L369" s="499"/>
      <c r="M369" s="556"/>
      <c r="N369" s="556"/>
      <c r="O369" s="499"/>
    </row>
    <row r="370" customFormat="false" ht="20.25" hidden="false" customHeight="true" outlineLevel="0" collapsed="false">
      <c r="A370" s="457"/>
      <c r="B370" s="457"/>
      <c r="C370" s="457"/>
      <c r="D370" s="499"/>
      <c r="E370" s="457"/>
      <c r="F370" s="457"/>
      <c r="G370" s="457"/>
      <c r="J370" s="457"/>
      <c r="K370" s="457"/>
      <c r="L370" s="499"/>
      <c r="M370" s="556"/>
      <c r="N370" s="556"/>
      <c r="O370" s="499"/>
    </row>
    <row r="371" customFormat="false" ht="20.25" hidden="false" customHeight="true" outlineLevel="0" collapsed="false">
      <c r="A371" s="457"/>
      <c r="B371" s="457"/>
      <c r="C371" s="457"/>
      <c r="D371" s="499"/>
      <c r="E371" s="457"/>
      <c r="F371" s="457"/>
      <c r="G371" s="457"/>
      <c r="J371" s="457"/>
      <c r="K371" s="457"/>
      <c r="L371" s="499"/>
      <c r="M371" s="556"/>
      <c r="N371" s="556"/>
      <c r="O371" s="499"/>
    </row>
    <row r="372" customFormat="false" ht="20.25" hidden="false" customHeight="true" outlineLevel="0" collapsed="false">
      <c r="A372" s="457"/>
      <c r="B372" s="457"/>
      <c r="C372" s="457"/>
      <c r="D372" s="499"/>
      <c r="E372" s="457"/>
      <c r="F372" s="457"/>
      <c r="G372" s="457"/>
      <c r="J372" s="457"/>
      <c r="K372" s="457"/>
      <c r="L372" s="499"/>
      <c r="M372" s="556"/>
      <c r="N372" s="556"/>
      <c r="O372" s="499"/>
    </row>
    <row r="373" customFormat="false" ht="20.25" hidden="false" customHeight="true" outlineLevel="0" collapsed="false">
      <c r="A373" s="457"/>
      <c r="B373" s="457"/>
      <c r="C373" s="457"/>
      <c r="D373" s="499"/>
      <c r="E373" s="457"/>
      <c r="F373" s="457"/>
      <c r="G373" s="457"/>
      <c r="J373" s="457"/>
      <c r="K373" s="457"/>
      <c r="L373" s="499"/>
      <c r="M373" s="556"/>
      <c r="N373" s="556"/>
      <c r="O373" s="499"/>
    </row>
    <row r="374" customFormat="false" ht="20.25" hidden="false" customHeight="true" outlineLevel="0" collapsed="false">
      <c r="A374" s="457"/>
      <c r="B374" s="457"/>
      <c r="C374" s="457"/>
      <c r="D374" s="499"/>
      <c r="E374" s="457"/>
      <c r="F374" s="457"/>
      <c r="G374" s="457"/>
      <c r="J374" s="457"/>
      <c r="K374" s="457"/>
      <c r="L374" s="499"/>
      <c r="M374" s="556"/>
      <c r="N374" s="556"/>
      <c r="O374" s="499"/>
    </row>
    <row r="375" customFormat="false" ht="20.25" hidden="false" customHeight="true" outlineLevel="0" collapsed="false">
      <c r="A375" s="457"/>
      <c r="B375" s="457"/>
      <c r="C375" s="457"/>
      <c r="D375" s="499"/>
      <c r="E375" s="457"/>
      <c r="F375" s="457"/>
      <c r="G375" s="457"/>
      <c r="J375" s="457"/>
      <c r="K375" s="457"/>
      <c r="L375" s="499"/>
      <c r="M375" s="556"/>
      <c r="N375" s="556"/>
      <c r="O375" s="499"/>
    </row>
    <row r="376" customFormat="false" ht="20.25" hidden="false" customHeight="true" outlineLevel="0" collapsed="false">
      <c r="A376" s="457"/>
      <c r="B376" s="457"/>
      <c r="C376" s="457"/>
      <c r="D376" s="499"/>
      <c r="E376" s="457"/>
      <c r="F376" s="457"/>
      <c r="G376" s="457"/>
      <c r="J376" s="457"/>
      <c r="K376" s="457"/>
      <c r="L376" s="499"/>
      <c r="M376" s="556"/>
      <c r="N376" s="556"/>
      <c r="O376" s="499"/>
    </row>
    <row r="377" customFormat="false" ht="20.25" hidden="false" customHeight="true" outlineLevel="0" collapsed="false">
      <c r="A377" s="457"/>
      <c r="B377" s="457"/>
      <c r="C377" s="457"/>
      <c r="D377" s="499"/>
      <c r="E377" s="457"/>
      <c r="F377" s="457"/>
      <c r="G377" s="457"/>
      <c r="J377" s="457"/>
      <c r="K377" s="457"/>
      <c r="L377" s="499"/>
      <c r="M377" s="556"/>
      <c r="N377" s="556"/>
      <c r="O377" s="499"/>
    </row>
    <row r="378" customFormat="false" ht="20.25" hidden="false" customHeight="true" outlineLevel="0" collapsed="false">
      <c r="A378" s="457"/>
      <c r="B378" s="457"/>
      <c r="C378" s="457"/>
      <c r="D378" s="499"/>
      <c r="E378" s="457"/>
      <c r="F378" s="457"/>
      <c r="G378" s="457"/>
      <c r="J378" s="457"/>
      <c r="K378" s="457"/>
      <c r="L378" s="499"/>
      <c r="M378" s="556"/>
      <c r="N378" s="556"/>
      <c r="O378" s="499"/>
    </row>
    <row r="379" customFormat="false" ht="20.25" hidden="false" customHeight="true" outlineLevel="0" collapsed="false">
      <c r="A379" s="457"/>
      <c r="B379" s="457"/>
      <c r="C379" s="457"/>
      <c r="D379" s="499"/>
      <c r="E379" s="457"/>
      <c r="F379" s="457"/>
      <c r="G379" s="457"/>
      <c r="J379" s="457"/>
      <c r="K379" s="457"/>
      <c r="L379" s="499"/>
      <c r="M379" s="556"/>
      <c r="N379" s="556"/>
      <c r="O379" s="499"/>
    </row>
    <row r="380" customFormat="false" ht="20.25" hidden="false" customHeight="true" outlineLevel="0" collapsed="false">
      <c r="A380" s="457"/>
      <c r="B380" s="457"/>
      <c r="C380" s="457"/>
      <c r="D380" s="499"/>
      <c r="E380" s="457"/>
      <c r="F380" s="457"/>
      <c r="G380" s="457"/>
      <c r="J380" s="457"/>
      <c r="K380" s="457"/>
      <c r="L380" s="499"/>
      <c r="M380" s="556"/>
      <c r="N380" s="556"/>
      <c r="O380" s="499"/>
    </row>
    <row r="381" customFormat="false" ht="20.25" hidden="false" customHeight="true" outlineLevel="0" collapsed="false">
      <c r="A381" s="457"/>
      <c r="B381" s="457"/>
      <c r="C381" s="457"/>
      <c r="D381" s="499"/>
      <c r="E381" s="457"/>
      <c r="F381" s="457"/>
      <c r="G381" s="457"/>
      <c r="J381" s="457"/>
      <c r="K381" s="457"/>
      <c r="L381" s="499"/>
      <c r="M381" s="556"/>
      <c r="N381" s="556"/>
      <c r="O381" s="499"/>
    </row>
    <row r="382" customFormat="false" ht="20.25" hidden="false" customHeight="true" outlineLevel="0" collapsed="false">
      <c r="A382" s="457"/>
      <c r="B382" s="457"/>
      <c r="C382" s="457"/>
      <c r="D382" s="499"/>
      <c r="E382" s="457"/>
      <c r="F382" s="457"/>
      <c r="G382" s="457"/>
      <c r="J382" s="457"/>
      <c r="K382" s="457"/>
      <c r="L382" s="499"/>
      <c r="M382" s="556"/>
      <c r="N382" s="556"/>
      <c r="O382" s="499"/>
    </row>
    <row r="383" customFormat="false" ht="20.25" hidden="false" customHeight="true" outlineLevel="0" collapsed="false">
      <c r="A383" s="457"/>
      <c r="B383" s="457"/>
      <c r="C383" s="457"/>
      <c r="D383" s="499"/>
      <c r="E383" s="457"/>
      <c r="F383" s="457"/>
      <c r="G383" s="457"/>
      <c r="J383" s="457"/>
      <c r="K383" s="457"/>
      <c r="L383" s="499"/>
      <c r="M383" s="556"/>
      <c r="N383" s="556"/>
      <c r="O383" s="499"/>
    </row>
    <row r="384" customFormat="false" ht="20.25" hidden="false" customHeight="true" outlineLevel="0" collapsed="false">
      <c r="A384" s="457"/>
      <c r="B384" s="457"/>
      <c r="C384" s="457"/>
      <c r="D384" s="499"/>
      <c r="E384" s="457"/>
      <c r="F384" s="457"/>
      <c r="G384" s="457"/>
      <c r="J384" s="457"/>
      <c r="K384" s="457"/>
      <c r="L384" s="499"/>
      <c r="M384" s="556"/>
      <c r="N384" s="556"/>
      <c r="O384" s="499"/>
    </row>
    <row r="385" customFormat="false" ht="20.25" hidden="false" customHeight="true" outlineLevel="0" collapsed="false">
      <c r="A385" s="457"/>
      <c r="B385" s="457"/>
      <c r="C385" s="457"/>
      <c r="D385" s="499"/>
      <c r="E385" s="457"/>
      <c r="F385" s="457"/>
      <c r="G385" s="457"/>
      <c r="J385" s="457"/>
      <c r="K385" s="457"/>
      <c r="L385" s="499"/>
      <c r="M385" s="556"/>
      <c r="N385" s="556"/>
      <c r="O385" s="499"/>
    </row>
    <row r="386" customFormat="false" ht="20.25" hidden="false" customHeight="true" outlineLevel="0" collapsed="false">
      <c r="A386" s="457"/>
      <c r="B386" s="457"/>
      <c r="C386" s="457"/>
      <c r="D386" s="499"/>
      <c r="E386" s="457"/>
      <c r="F386" s="457"/>
      <c r="G386" s="457"/>
      <c r="J386" s="457"/>
      <c r="K386" s="457"/>
      <c r="L386" s="499"/>
      <c r="M386" s="556"/>
      <c r="N386" s="556"/>
      <c r="O386" s="499"/>
    </row>
    <row r="387" customFormat="false" ht="20.25" hidden="false" customHeight="true" outlineLevel="0" collapsed="false">
      <c r="A387" s="457"/>
      <c r="B387" s="457"/>
      <c r="C387" s="457"/>
      <c r="D387" s="499"/>
      <c r="E387" s="457"/>
      <c r="F387" s="457"/>
      <c r="G387" s="457"/>
      <c r="J387" s="457"/>
      <c r="K387" s="457"/>
      <c r="L387" s="499"/>
      <c r="M387" s="556"/>
      <c r="N387" s="556"/>
      <c r="O387" s="499"/>
    </row>
    <row r="388" customFormat="false" ht="20.25" hidden="false" customHeight="true" outlineLevel="0" collapsed="false">
      <c r="A388" s="457"/>
      <c r="B388" s="457"/>
      <c r="C388" s="457"/>
      <c r="D388" s="499"/>
      <c r="E388" s="457"/>
      <c r="F388" s="457"/>
      <c r="G388" s="457"/>
      <c r="J388" s="457"/>
      <c r="K388" s="457"/>
      <c r="L388" s="499"/>
      <c r="M388" s="556"/>
      <c r="N388" s="556"/>
      <c r="O388" s="499"/>
    </row>
    <row r="389" customFormat="false" ht="20.25" hidden="false" customHeight="true" outlineLevel="0" collapsed="false">
      <c r="A389" s="457"/>
      <c r="B389" s="457"/>
      <c r="C389" s="457"/>
      <c r="D389" s="499"/>
      <c r="E389" s="457"/>
      <c r="F389" s="457"/>
      <c r="G389" s="457"/>
      <c r="J389" s="457"/>
      <c r="K389" s="457"/>
      <c r="L389" s="499"/>
      <c r="M389" s="556"/>
      <c r="N389" s="556"/>
      <c r="O389" s="499"/>
    </row>
    <row r="390" customFormat="false" ht="20.25" hidden="false" customHeight="true" outlineLevel="0" collapsed="false">
      <c r="A390" s="457"/>
      <c r="B390" s="457"/>
      <c r="C390" s="457"/>
      <c r="D390" s="499"/>
      <c r="E390" s="457"/>
      <c r="F390" s="457"/>
      <c r="G390" s="457"/>
      <c r="J390" s="457"/>
      <c r="K390" s="457"/>
      <c r="L390" s="499"/>
      <c r="M390" s="556"/>
      <c r="N390" s="556"/>
      <c r="O390" s="499"/>
    </row>
    <row r="391" customFormat="false" ht="20.25" hidden="false" customHeight="true" outlineLevel="0" collapsed="false">
      <c r="A391" s="457"/>
      <c r="B391" s="457"/>
      <c r="C391" s="457"/>
      <c r="D391" s="499"/>
      <c r="E391" s="457"/>
      <c r="F391" s="457"/>
      <c r="G391" s="457"/>
      <c r="J391" s="457"/>
      <c r="K391" s="457"/>
      <c r="L391" s="499"/>
      <c r="M391" s="556"/>
      <c r="N391" s="556"/>
      <c r="O391" s="499"/>
    </row>
    <row r="392" customFormat="false" ht="20.25" hidden="false" customHeight="true" outlineLevel="0" collapsed="false">
      <c r="A392" s="457"/>
      <c r="B392" s="457"/>
      <c r="C392" s="457"/>
      <c r="D392" s="499"/>
      <c r="E392" s="457"/>
      <c r="F392" s="457"/>
      <c r="G392" s="457"/>
      <c r="J392" s="457"/>
      <c r="K392" s="457"/>
      <c r="L392" s="499"/>
      <c r="M392" s="556"/>
      <c r="N392" s="556"/>
      <c r="O392" s="499"/>
    </row>
    <row r="393" customFormat="false" ht="20.25" hidden="false" customHeight="true" outlineLevel="0" collapsed="false">
      <c r="A393" s="457"/>
      <c r="B393" s="457"/>
      <c r="C393" s="457"/>
      <c r="D393" s="499"/>
      <c r="E393" s="457"/>
      <c r="F393" s="457"/>
      <c r="G393" s="457"/>
      <c r="J393" s="457"/>
      <c r="K393" s="457"/>
      <c r="L393" s="499"/>
      <c r="M393" s="556"/>
      <c r="N393" s="556"/>
      <c r="O393" s="499"/>
    </row>
    <row r="394" customFormat="false" ht="20.25" hidden="false" customHeight="true" outlineLevel="0" collapsed="false">
      <c r="A394" s="457"/>
      <c r="B394" s="457"/>
      <c r="C394" s="457"/>
      <c r="D394" s="499"/>
      <c r="E394" s="457"/>
      <c r="F394" s="457"/>
      <c r="G394" s="457"/>
      <c r="J394" s="457"/>
      <c r="K394" s="457"/>
      <c r="L394" s="499"/>
      <c r="M394" s="556"/>
      <c r="N394" s="556"/>
      <c r="O394" s="499"/>
    </row>
    <row r="395" customFormat="false" ht="20.25" hidden="false" customHeight="true" outlineLevel="0" collapsed="false">
      <c r="A395" s="457"/>
      <c r="B395" s="457"/>
      <c r="C395" s="457"/>
      <c r="D395" s="499"/>
      <c r="E395" s="457"/>
      <c r="F395" s="457"/>
      <c r="G395" s="457"/>
      <c r="J395" s="457"/>
      <c r="K395" s="457"/>
      <c r="L395" s="499"/>
      <c r="M395" s="556"/>
      <c r="N395" s="556"/>
      <c r="O395" s="499"/>
    </row>
    <row r="396" customFormat="false" ht="20.25" hidden="false" customHeight="true" outlineLevel="0" collapsed="false">
      <c r="A396" s="457"/>
      <c r="B396" s="457"/>
      <c r="C396" s="457"/>
      <c r="D396" s="499"/>
      <c r="E396" s="457"/>
      <c r="F396" s="457"/>
      <c r="G396" s="457"/>
      <c r="J396" s="457"/>
      <c r="K396" s="457"/>
      <c r="L396" s="499"/>
      <c r="M396" s="556"/>
      <c r="N396" s="556"/>
      <c r="O396" s="499"/>
    </row>
    <row r="397" customFormat="false" ht="20.25" hidden="false" customHeight="true" outlineLevel="0" collapsed="false">
      <c r="A397" s="457"/>
      <c r="B397" s="457"/>
      <c r="C397" s="457"/>
      <c r="D397" s="499"/>
      <c r="E397" s="457"/>
      <c r="F397" s="457"/>
      <c r="G397" s="457"/>
      <c r="J397" s="457"/>
      <c r="K397" s="457"/>
      <c r="L397" s="499"/>
      <c r="M397" s="556"/>
      <c r="N397" s="556"/>
      <c r="O397" s="499"/>
    </row>
    <row r="398" customFormat="false" ht="20.25" hidden="false" customHeight="true" outlineLevel="0" collapsed="false">
      <c r="A398" s="457"/>
      <c r="B398" s="457"/>
      <c r="C398" s="457"/>
      <c r="D398" s="499"/>
      <c r="E398" s="457"/>
      <c r="F398" s="457"/>
      <c r="G398" s="457"/>
      <c r="J398" s="457"/>
      <c r="K398" s="457"/>
      <c r="L398" s="499"/>
      <c r="M398" s="556"/>
      <c r="N398" s="556"/>
      <c r="O398" s="499"/>
    </row>
    <row r="399" customFormat="false" ht="20.25" hidden="false" customHeight="true" outlineLevel="0" collapsed="false">
      <c r="A399" s="457"/>
      <c r="B399" s="457"/>
      <c r="C399" s="457"/>
      <c r="D399" s="499"/>
      <c r="E399" s="457"/>
      <c r="F399" s="457"/>
      <c r="G399" s="457"/>
      <c r="J399" s="457"/>
      <c r="K399" s="457"/>
      <c r="L399" s="499"/>
      <c r="M399" s="556"/>
      <c r="N399" s="556"/>
      <c r="O399" s="499"/>
    </row>
    <row r="400" customFormat="false" ht="20.25" hidden="false" customHeight="true" outlineLevel="0" collapsed="false">
      <c r="A400" s="457"/>
      <c r="B400" s="457"/>
      <c r="C400" s="457"/>
      <c r="D400" s="499"/>
      <c r="E400" s="457"/>
      <c r="F400" s="457"/>
      <c r="G400" s="457"/>
      <c r="J400" s="457"/>
      <c r="K400" s="457"/>
      <c r="L400" s="499"/>
      <c r="M400" s="556"/>
      <c r="N400" s="556"/>
      <c r="O400" s="499"/>
    </row>
    <row r="401" customFormat="false" ht="20.25" hidden="false" customHeight="true" outlineLevel="0" collapsed="false">
      <c r="A401" s="457"/>
      <c r="B401" s="457"/>
      <c r="C401" s="457"/>
      <c r="D401" s="499"/>
      <c r="E401" s="457"/>
      <c r="F401" s="457"/>
      <c r="G401" s="457"/>
      <c r="J401" s="457"/>
      <c r="K401" s="457"/>
      <c r="L401" s="499"/>
      <c r="M401" s="556"/>
      <c r="N401" s="556"/>
      <c r="O401" s="499"/>
    </row>
    <row r="402" customFormat="false" ht="20.25" hidden="false" customHeight="true" outlineLevel="0" collapsed="false">
      <c r="A402" s="457"/>
      <c r="B402" s="457"/>
      <c r="C402" s="457"/>
      <c r="D402" s="499"/>
      <c r="E402" s="457"/>
      <c r="F402" s="457"/>
      <c r="G402" s="457"/>
      <c r="J402" s="457"/>
      <c r="K402" s="457"/>
      <c r="L402" s="499"/>
      <c r="M402" s="556"/>
      <c r="N402" s="556"/>
      <c r="O402" s="499"/>
    </row>
    <row r="403" customFormat="false" ht="20.25" hidden="false" customHeight="true" outlineLevel="0" collapsed="false">
      <c r="A403" s="457"/>
      <c r="B403" s="457"/>
      <c r="C403" s="457"/>
      <c r="D403" s="499"/>
      <c r="E403" s="457"/>
      <c r="F403" s="457"/>
      <c r="G403" s="457"/>
      <c r="J403" s="457"/>
      <c r="K403" s="457"/>
      <c r="L403" s="499"/>
      <c r="M403" s="556"/>
      <c r="N403" s="556"/>
      <c r="O403" s="499"/>
    </row>
    <row r="404" customFormat="false" ht="20.25" hidden="false" customHeight="true" outlineLevel="0" collapsed="false">
      <c r="A404" s="457"/>
      <c r="B404" s="457"/>
      <c r="C404" s="457"/>
      <c r="D404" s="499"/>
      <c r="E404" s="457"/>
      <c r="F404" s="457"/>
      <c r="G404" s="457"/>
      <c r="J404" s="457"/>
      <c r="K404" s="457"/>
      <c r="L404" s="499"/>
      <c r="M404" s="556"/>
      <c r="N404" s="556"/>
      <c r="O404" s="499"/>
    </row>
    <row r="405" customFormat="false" ht="20.25" hidden="false" customHeight="true" outlineLevel="0" collapsed="false">
      <c r="A405" s="457"/>
      <c r="B405" s="457"/>
      <c r="C405" s="457"/>
      <c r="D405" s="499"/>
      <c r="E405" s="457"/>
      <c r="F405" s="457"/>
      <c r="G405" s="457"/>
      <c r="J405" s="457"/>
      <c r="K405" s="457"/>
      <c r="L405" s="499"/>
      <c r="M405" s="556"/>
      <c r="N405" s="556"/>
      <c r="O405" s="499"/>
    </row>
    <row r="406" customFormat="false" ht="20.25" hidden="false" customHeight="true" outlineLevel="0" collapsed="false">
      <c r="A406" s="457"/>
      <c r="B406" s="457"/>
      <c r="C406" s="457"/>
      <c r="D406" s="499"/>
      <c r="E406" s="457"/>
      <c r="F406" s="457"/>
      <c r="G406" s="457"/>
      <c r="J406" s="457"/>
      <c r="K406" s="457"/>
      <c r="L406" s="499"/>
      <c r="M406" s="556"/>
      <c r="N406" s="556"/>
      <c r="O406" s="499"/>
    </row>
    <row r="407" customFormat="false" ht="20.25" hidden="false" customHeight="true" outlineLevel="0" collapsed="false">
      <c r="A407" s="457"/>
      <c r="B407" s="457"/>
      <c r="C407" s="457"/>
      <c r="D407" s="499"/>
      <c r="E407" s="457"/>
      <c r="F407" s="457"/>
      <c r="G407" s="457"/>
      <c r="J407" s="457"/>
      <c r="K407" s="457"/>
      <c r="L407" s="499"/>
      <c r="M407" s="556"/>
      <c r="N407" s="556"/>
      <c r="O407" s="499"/>
    </row>
    <row r="408" customFormat="false" ht="20.25" hidden="false" customHeight="true" outlineLevel="0" collapsed="false">
      <c r="A408" s="457"/>
      <c r="B408" s="457"/>
      <c r="C408" s="457"/>
      <c r="D408" s="499"/>
      <c r="E408" s="457"/>
      <c r="F408" s="457"/>
      <c r="G408" s="457"/>
      <c r="J408" s="457"/>
      <c r="K408" s="457"/>
      <c r="L408" s="499"/>
      <c r="M408" s="556"/>
      <c r="N408" s="556"/>
      <c r="O408" s="499"/>
    </row>
    <row r="409" customFormat="false" ht="20.25" hidden="false" customHeight="true" outlineLevel="0" collapsed="false">
      <c r="A409" s="457"/>
      <c r="B409" s="457"/>
      <c r="C409" s="457"/>
      <c r="D409" s="499"/>
      <c r="E409" s="457"/>
      <c r="F409" s="457"/>
      <c r="G409" s="457"/>
      <c r="J409" s="457"/>
      <c r="K409" s="457"/>
      <c r="L409" s="499"/>
      <c r="M409" s="556"/>
      <c r="N409" s="556"/>
      <c r="O409" s="499"/>
    </row>
    <row r="410" customFormat="false" ht="20.25" hidden="false" customHeight="true" outlineLevel="0" collapsed="false">
      <c r="A410" s="457"/>
      <c r="B410" s="457"/>
      <c r="C410" s="457"/>
      <c r="D410" s="499"/>
      <c r="E410" s="457"/>
      <c r="F410" s="457"/>
      <c r="G410" s="457"/>
      <c r="J410" s="457"/>
      <c r="K410" s="457"/>
      <c r="L410" s="499"/>
      <c r="M410" s="556"/>
      <c r="N410" s="556"/>
      <c r="O410" s="499"/>
    </row>
    <row r="411" customFormat="false" ht="20.25" hidden="false" customHeight="true" outlineLevel="0" collapsed="false">
      <c r="A411" s="457"/>
      <c r="B411" s="457"/>
      <c r="C411" s="457"/>
      <c r="D411" s="499"/>
      <c r="E411" s="457"/>
      <c r="F411" s="457"/>
      <c r="G411" s="457"/>
      <c r="J411" s="457"/>
      <c r="K411" s="457"/>
      <c r="L411" s="499"/>
      <c r="M411" s="556"/>
      <c r="N411" s="556"/>
      <c r="O411" s="499"/>
    </row>
    <row r="412" customFormat="false" ht="20.25" hidden="false" customHeight="true" outlineLevel="0" collapsed="false">
      <c r="A412" s="457"/>
      <c r="B412" s="457"/>
      <c r="C412" s="457"/>
      <c r="D412" s="499"/>
      <c r="E412" s="457"/>
      <c r="F412" s="457"/>
      <c r="G412" s="457"/>
      <c r="J412" s="457"/>
      <c r="K412" s="457"/>
      <c r="L412" s="499"/>
      <c r="M412" s="556"/>
      <c r="N412" s="556"/>
      <c r="O412" s="499"/>
    </row>
    <row r="413" customFormat="false" ht="20.25" hidden="false" customHeight="true" outlineLevel="0" collapsed="false">
      <c r="A413" s="457"/>
      <c r="B413" s="457"/>
      <c r="C413" s="457"/>
      <c r="D413" s="499"/>
      <c r="E413" s="457"/>
      <c r="F413" s="457"/>
      <c r="G413" s="457"/>
      <c r="J413" s="457"/>
      <c r="K413" s="457"/>
      <c r="L413" s="499"/>
      <c r="M413" s="556"/>
      <c r="N413" s="556"/>
      <c r="O413" s="499"/>
    </row>
    <row r="414" customFormat="false" ht="20.25" hidden="false" customHeight="true" outlineLevel="0" collapsed="false">
      <c r="A414" s="457"/>
      <c r="B414" s="457"/>
      <c r="C414" s="457"/>
      <c r="D414" s="499"/>
      <c r="E414" s="457"/>
      <c r="F414" s="457"/>
      <c r="G414" s="457"/>
      <c r="J414" s="457"/>
      <c r="K414" s="457"/>
      <c r="L414" s="499"/>
      <c r="M414" s="556"/>
      <c r="N414" s="556"/>
      <c r="O414" s="499"/>
    </row>
    <row r="415" customFormat="false" ht="20.25" hidden="false" customHeight="true" outlineLevel="0" collapsed="false">
      <c r="A415" s="457"/>
      <c r="B415" s="457"/>
      <c r="C415" s="457"/>
      <c r="D415" s="499"/>
      <c r="E415" s="457"/>
      <c r="F415" s="457"/>
      <c r="G415" s="457"/>
      <c r="J415" s="457"/>
      <c r="K415" s="457"/>
      <c r="L415" s="499"/>
      <c r="M415" s="556"/>
      <c r="N415" s="556"/>
      <c r="O415" s="499"/>
    </row>
    <row r="416" customFormat="false" ht="20.25" hidden="false" customHeight="true" outlineLevel="0" collapsed="false">
      <c r="A416" s="457"/>
      <c r="B416" s="457"/>
      <c r="C416" s="457"/>
      <c r="D416" s="499"/>
      <c r="E416" s="457"/>
      <c r="F416" s="457"/>
      <c r="G416" s="457"/>
      <c r="J416" s="457"/>
      <c r="K416" s="457"/>
      <c r="L416" s="499"/>
      <c r="M416" s="556"/>
      <c r="N416" s="556"/>
      <c r="O416" s="499"/>
    </row>
    <row r="417" customFormat="false" ht="20.25" hidden="false" customHeight="true" outlineLevel="0" collapsed="false">
      <c r="A417" s="457"/>
      <c r="B417" s="457"/>
      <c r="C417" s="457"/>
      <c r="D417" s="499"/>
      <c r="E417" s="457"/>
      <c r="F417" s="457"/>
      <c r="G417" s="457"/>
      <c r="J417" s="457"/>
      <c r="K417" s="457"/>
      <c r="L417" s="499"/>
      <c r="M417" s="556"/>
      <c r="N417" s="556"/>
      <c r="O417" s="499"/>
    </row>
    <row r="418" customFormat="false" ht="20.25" hidden="false" customHeight="true" outlineLevel="0" collapsed="false">
      <c r="A418" s="457"/>
      <c r="B418" s="457"/>
      <c r="C418" s="457"/>
      <c r="D418" s="499"/>
      <c r="E418" s="457"/>
      <c r="F418" s="457"/>
      <c r="G418" s="457"/>
      <c r="J418" s="457"/>
      <c r="K418" s="457"/>
      <c r="L418" s="499"/>
      <c r="M418" s="556"/>
      <c r="N418" s="556"/>
      <c r="O418" s="499"/>
    </row>
    <row r="419" customFormat="false" ht="20.25" hidden="false" customHeight="true" outlineLevel="0" collapsed="false">
      <c r="A419" s="457"/>
      <c r="B419" s="457"/>
      <c r="C419" s="457"/>
      <c r="D419" s="499"/>
      <c r="E419" s="457"/>
      <c r="F419" s="457"/>
      <c r="G419" s="457"/>
      <c r="J419" s="457"/>
      <c r="K419" s="457"/>
      <c r="L419" s="499"/>
      <c r="M419" s="556"/>
      <c r="N419" s="556"/>
      <c r="O419" s="499"/>
    </row>
    <row r="420" customFormat="false" ht="20.25" hidden="false" customHeight="true" outlineLevel="0" collapsed="false">
      <c r="A420" s="457"/>
      <c r="B420" s="457"/>
      <c r="C420" s="457"/>
      <c r="D420" s="499"/>
      <c r="E420" s="457"/>
      <c r="F420" s="457"/>
      <c r="G420" s="457"/>
      <c r="J420" s="457"/>
      <c r="K420" s="457"/>
      <c r="L420" s="499"/>
      <c r="M420" s="556"/>
      <c r="N420" s="556"/>
      <c r="O420" s="499"/>
    </row>
    <row r="421" customFormat="false" ht="20.25" hidden="false" customHeight="true" outlineLevel="0" collapsed="false">
      <c r="A421" s="457"/>
      <c r="B421" s="457"/>
      <c r="C421" s="457"/>
      <c r="D421" s="499"/>
      <c r="E421" s="457"/>
      <c r="F421" s="457"/>
      <c r="G421" s="457"/>
      <c r="J421" s="457"/>
      <c r="K421" s="457"/>
      <c r="L421" s="499"/>
      <c r="M421" s="556"/>
      <c r="N421" s="556"/>
      <c r="O421" s="499"/>
    </row>
    <row r="422" customFormat="false" ht="20.25" hidden="false" customHeight="true" outlineLevel="0" collapsed="false">
      <c r="A422" s="457"/>
      <c r="B422" s="457"/>
      <c r="C422" s="457"/>
      <c r="D422" s="499"/>
      <c r="E422" s="457"/>
      <c r="F422" s="457"/>
      <c r="G422" s="457"/>
      <c r="J422" s="457"/>
      <c r="K422" s="457"/>
      <c r="L422" s="499"/>
      <c r="M422" s="556"/>
      <c r="N422" s="556"/>
      <c r="O422" s="499"/>
    </row>
    <row r="423" customFormat="false" ht="20.25" hidden="false" customHeight="true" outlineLevel="0" collapsed="false">
      <c r="A423" s="457"/>
      <c r="B423" s="457"/>
      <c r="C423" s="457"/>
      <c r="D423" s="499"/>
      <c r="E423" s="457"/>
      <c r="F423" s="457"/>
      <c r="G423" s="457"/>
      <c r="J423" s="457"/>
      <c r="K423" s="457"/>
      <c r="L423" s="499"/>
      <c r="M423" s="556"/>
      <c r="N423" s="556"/>
      <c r="O423" s="499"/>
    </row>
    <row r="424" customFormat="false" ht="20.25" hidden="false" customHeight="true" outlineLevel="0" collapsed="false">
      <c r="A424" s="457"/>
      <c r="B424" s="457"/>
      <c r="C424" s="457"/>
      <c r="D424" s="499"/>
      <c r="E424" s="457"/>
      <c r="F424" s="457"/>
      <c r="G424" s="457"/>
      <c r="J424" s="457"/>
      <c r="K424" s="457"/>
      <c r="L424" s="499"/>
      <c r="M424" s="556"/>
      <c r="N424" s="556"/>
      <c r="O424" s="499"/>
    </row>
    <row r="425" customFormat="false" ht="20.25" hidden="false" customHeight="true" outlineLevel="0" collapsed="false">
      <c r="A425" s="457"/>
      <c r="B425" s="457"/>
      <c r="C425" s="457"/>
      <c r="D425" s="499"/>
      <c r="E425" s="457"/>
      <c r="F425" s="457"/>
      <c r="G425" s="457"/>
      <c r="J425" s="457"/>
      <c r="K425" s="457"/>
      <c r="L425" s="499"/>
      <c r="M425" s="556"/>
      <c r="N425" s="556"/>
      <c r="O425" s="499"/>
    </row>
    <row r="426" customFormat="false" ht="20.25" hidden="false" customHeight="true" outlineLevel="0" collapsed="false">
      <c r="A426" s="457"/>
      <c r="B426" s="457"/>
      <c r="C426" s="457"/>
      <c r="D426" s="499"/>
      <c r="E426" s="457"/>
      <c r="F426" s="457"/>
      <c r="G426" s="457"/>
      <c r="J426" s="457"/>
      <c r="K426" s="457"/>
      <c r="L426" s="499"/>
      <c r="M426" s="556"/>
      <c r="N426" s="556"/>
      <c r="O426" s="499"/>
    </row>
    <row r="427" customFormat="false" ht="20.25" hidden="false" customHeight="true" outlineLevel="0" collapsed="false">
      <c r="A427" s="457"/>
      <c r="B427" s="457"/>
      <c r="C427" s="457"/>
      <c r="D427" s="499"/>
      <c r="E427" s="457"/>
      <c r="F427" s="457"/>
      <c r="G427" s="457"/>
      <c r="J427" s="457"/>
      <c r="K427" s="457"/>
      <c r="L427" s="499"/>
      <c r="M427" s="556"/>
      <c r="N427" s="556"/>
      <c r="O427" s="499"/>
    </row>
    <row r="428" customFormat="false" ht="20.25" hidden="false" customHeight="true" outlineLevel="0" collapsed="false">
      <c r="A428" s="457"/>
      <c r="B428" s="457"/>
      <c r="C428" s="457"/>
      <c r="D428" s="499"/>
      <c r="E428" s="457"/>
      <c r="F428" s="457"/>
      <c r="G428" s="457"/>
      <c r="J428" s="457"/>
      <c r="K428" s="457"/>
      <c r="L428" s="499"/>
      <c r="M428" s="556"/>
      <c r="N428" s="556"/>
      <c r="O428" s="499"/>
    </row>
    <row r="429" customFormat="false" ht="20.25" hidden="false" customHeight="true" outlineLevel="0" collapsed="false">
      <c r="A429" s="457"/>
      <c r="B429" s="457"/>
      <c r="C429" s="457"/>
      <c r="D429" s="499"/>
      <c r="E429" s="457"/>
      <c r="F429" s="457"/>
      <c r="G429" s="457"/>
      <c r="J429" s="457"/>
      <c r="K429" s="457"/>
      <c r="L429" s="499"/>
      <c r="M429" s="556"/>
      <c r="N429" s="556"/>
      <c r="O429" s="499"/>
    </row>
    <row r="430" customFormat="false" ht="20.25" hidden="false" customHeight="true" outlineLevel="0" collapsed="false">
      <c r="A430" s="457"/>
      <c r="B430" s="457"/>
      <c r="C430" s="457"/>
      <c r="D430" s="499"/>
      <c r="E430" s="457"/>
      <c r="F430" s="457"/>
      <c r="G430" s="457"/>
      <c r="J430" s="457"/>
      <c r="K430" s="457"/>
      <c r="L430" s="499"/>
      <c r="M430" s="556"/>
      <c r="N430" s="556"/>
      <c r="O430" s="499"/>
    </row>
    <row r="431" customFormat="false" ht="20.25" hidden="false" customHeight="true" outlineLevel="0" collapsed="false">
      <c r="A431" s="457"/>
      <c r="B431" s="457"/>
      <c r="C431" s="457"/>
      <c r="D431" s="499"/>
      <c r="E431" s="457"/>
      <c r="F431" s="457"/>
      <c r="G431" s="457"/>
      <c r="J431" s="457"/>
      <c r="K431" s="457"/>
      <c r="L431" s="499"/>
      <c r="M431" s="556"/>
      <c r="N431" s="556"/>
      <c r="O431" s="499"/>
    </row>
    <row r="432" customFormat="false" ht="20.25" hidden="false" customHeight="true" outlineLevel="0" collapsed="false">
      <c r="A432" s="457"/>
      <c r="B432" s="457"/>
      <c r="C432" s="457"/>
      <c r="D432" s="499"/>
      <c r="E432" s="457"/>
      <c r="F432" s="457"/>
      <c r="G432" s="457"/>
      <c r="J432" s="457"/>
      <c r="K432" s="457"/>
      <c r="L432" s="499"/>
      <c r="M432" s="556"/>
      <c r="N432" s="556"/>
      <c r="O432" s="499"/>
    </row>
    <row r="433" customFormat="false" ht="20.25" hidden="false" customHeight="true" outlineLevel="0" collapsed="false">
      <c r="A433" s="457"/>
      <c r="B433" s="457"/>
      <c r="C433" s="457"/>
      <c r="D433" s="499"/>
      <c r="E433" s="457"/>
      <c r="F433" s="457"/>
      <c r="G433" s="457"/>
      <c r="J433" s="457"/>
      <c r="K433" s="457"/>
      <c r="L433" s="499"/>
      <c r="M433" s="556"/>
      <c r="N433" s="556"/>
      <c r="O433" s="499"/>
    </row>
    <row r="434" customFormat="false" ht="20.25" hidden="false" customHeight="true" outlineLevel="0" collapsed="false">
      <c r="A434" s="457"/>
      <c r="B434" s="457"/>
      <c r="C434" s="457"/>
      <c r="D434" s="499"/>
      <c r="E434" s="457"/>
      <c r="F434" s="457"/>
      <c r="G434" s="457"/>
      <c r="J434" s="457"/>
      <c r="K434" s="457"/>
      <c r="L434" s="499"/>
      <c r="M434" s="556"/>
      <c r="N434" s="556"/>
      <c r="O434" s="499"/>
    </row>
    <row r="435" customFormat="false" ht="20.25" hidden="false" customHeight="true" outlineLevel="0" collapsed="false">
      <c r="A435" s="457"/>
      <c r="B435" s="457"/>
      <c r="C435" s="457"/>
      <c r="D435" s="499"/>
      <c r="E435" s="457"/>
      <c r="F435" s="457"/>
      <c r="G435" s="457"/>
      <c r="J435" s="457"/>
      <c r="K435" s="457"/>
      <c r="L435" s="499"/>
      <c r="M435" s="556"/>
      <c r="N435" s="556"/>
      <c r="O435" s="499"/>
    </row>
    <row r="436" customFormat="false" ht="20.25" hidden="false" customHeight="true" outlineLevel="0" collapsed="false">
      <c r="A436" s="457"/>
      <c r="B436" s="457"/>
      <c r="C436" s="457"/>
      <c r="D436" s="499"/>
      <c r="E436" s="457"/>
      <c r="F436" s="457"/>
      <c r="G436" s="457"/>
      <c r="J436" s="457"/>
      <c r="K436" s="457"/>
      <c r="L436" s="499"/>
      <c r="M436" s="556"/>
      <c r="N436" s="556"/>
      <c r="O436" s="499"/>
    </row>
    <row r="437" customFormat="false" ht="20.25" hidden="false" customHeight="true" outlineLevel="0" collapsed="false">
      <c r="A437" s="457"/>
      <c r="B437" s="457"/>
      <c r="C437" s="457"/>
      <c r="D437" s="499"/>
      <c r="E437" s="457"/>
      <c r="F437" s="457"/>
      <c r="G437" s="457"/>
      <c r="J437" s="457"/>
      <c r="K437" s="457"/>
      <c r="L437" s="499"/>
      <c r="M437" s="556"/>
      <c r="N437" s="556"/>
      <c r="O437" s="499"/>
    </row>
    <row r="438" customFormat="false" ht="20.25" hidden="false" customHeight="true" outlineLevel="0" collapsed="false">
      <c r="A438" s="457"/>
      <c r="B438" s="457"/>
      <c r="C438" s="457"/>
      <c r="D438" s="499"/>
      <c r="E438" s="457"/>
      <c r="F438" s="457"/>
      <c r="G438" s="457"/>
      <c r="J438" s="457"/>
      <c r="K438" s="457"/>
      <c r="L438" s="499"/>
      <c r="M438" s="556"/>
      <c r="N438" s="556"/>
      <c r="O438" s="499"/>
    </row>
    <row r="439" customFormat="false" ht="20.25" hidden="false" customHeight="true" outlineLevel="0" collapsed="false">
      <c r="A439" s="457"/>
      <c r="B439" s="457"/>
      <c r="C439" s="457"/>
      <c r="D439" s="499"/>
      <c r="E439" s="457"/>
      <c r="F439" s="457"/>
      <c r="G439" s="457"/>
      <c r="J439" s="457"/>
      <c r="K439" s="457"/>
      <c r="L439" s="499"/>
      <c r="M439" s="556"/>
      <c r="N439" s="556"/>
      <c r="O439" s="499"/>
    </row>
    <row r="440" customFormat="false" ht="20.25" hidden="false" customHeight="true" outlineLevel="0" collapsed="false">
      <c r="A440" s="457"/>
      <c r="B440" s="457"/>
      <c r="C440" s="457"/>
      <c r="D440" s="499"/>
      <c r="E440" s="457"/>
      <c r="F440" s="457"/>
      <c r="G440" s="457"/>
      <c r="J440" s="457"/>
      <c r="K440" s="457"/>
      <c r="L440" s="499"/>
      <c r="M440" s="556"/>
      <c r="N440" s="556"/>
      <c r="O440" s="499"/>
    </row>
    <row r="441" customFormat="false" ht="20.25" hidden="false" customHeight="true" outlineLevel="0" collapsed="false">
      <c r="A441" s="457"/>
      <c r="B441" s="457"/>
      <c r="C441" s="457"/>
      <c r="D441" s="499"/>
      <c r="E441" s="457"/>
      <c r="F441" s="457"/>
      <c r="G441" s="457"/>
      <c r="J441" s="457"/>
      <c r="K441" s="457"/>
      <c r="L441" s="499"/>
      <c r="M441" s="556"/>
      <c r="N441" s="556"/>
      <c r="O441" s="499"/>
    </row>
    <row r="442" customFormat="false" ht="20.25" hidden="false" customHeight="true" outlineLevel="0" collapsed="false">
      <c r="A442" s="457"/>
      <c r="B442" s="457"/>
      <c r="C442" s="457"/>
      <c r="D442" s="499"/>
      <c r="E442" s="457"/>
      <c r="F442" s="457"/>
      <c r="G442" s="457"/>
      <c r="J442" s="457"/>
      <c r="K442" s="457"/>
      <c r="L442" s="499"/>
      <c r="M442" s="556"/>
      <c r="N442" s="556"/>
      <c r="O442" s="499"/>
    </row>
    <row r="443" customFormat="false" ht="20.25" hidden="false" customHeight="true" outlineLevel="0" collapsed="false">
      <c r="A443" s="457"/>
      <c r="B443" s="457"/>
      <c r="C443" s="457"/>
      <c r="D443" s="499"/>
      <c r="E443" s="457"/>
      <c r="F443" s="457"/>
      <c r="G443" s="457"/>
      <c r="J443" s="457"/>
      <c r="K443" s="457"/>
      <c r="L443" s="499"/>
      <c r="M443" s="556"/>
      <c r="N443" s="556"/>
      <c r="O443" s="499"/>
    </row>
    <row r="444" customFormat="false" ht="20.25" hidden="false" customHeight="true" outlineLevel="0" collapsed="false">
      <c r="A444" s="457"/>
      <c r="B444" s="457"/>
      <c r="C444" s="457"/>
      <c r="D444" s="499"/>
      <c r="E444" s="457"/>
      <c r="F444" s="457"/>
      <c r="G444" s="457"/>
      <c r="J444" s="457"/>
      <c r="K444" s="457"/>
      <c r="L444" s="499"/>
      <c r="M444" s="556"/>
      <c r="N444" s="556"/>
      <c r="O444" s="499"/>
    </row>
    <row r="445" customFormat="false" ht="20.25" hidden="false" customHeight="true" outlineLevel="0" collapsed="false">
      <c r="A445" s="457"/>
      <c r="B445" s="457"/>
      <c r="C445" s="457"/>
      <c r="D445" s="499"/>
      <c r="E445" s="457"/>
      <c r="F445" s="457"/>
      <c r="G445" s="457"/>
      <c r="J445" s="457"/>
      <c r="K445" s="457"/>
      <c r="L445" s="499"/>
      <c r="M445" s="556"/>
      <c r="N445" s="556"/>
      <c r="O445" s="499"/>
    </row>
    <row r="446" customFormat="false" ht="20.25" hidden="false" customHeight="true" outlineLevel="0" collapsed="false">
      <c r="A446" s="457"/>
      <c r="B446" s="457"/>
      <c r="C446" s="457"/>
      <c r="D446" s="499"/>
      <c r="E446" s="457"/>
      <c r="F446" s="457"/>
      <c r="G446" s="457"/>
      <c r="J446" s="457"/>
      <c r="K446" s="457"/>
      <c r="L446" s="499"/>
      <c r="M446" s="556"/>
      <c r="N446" s="556"/>
      <c r="O446" s="499"/>
    </row>
    <row r="447" customFormat="false" ht="20.25" hidden="false" customHeight="true" outlineLevel="0" collapsed="false">
      <c r="A447" s="457"/>
      <c r="B447" s="457"/>
      <c r="C447" s="457"/>
      <c r="D447" s="499"/>
      <c r="E447" s="457"/>
      <c r="F447" s="457"/>
      <c r="G447" s="457"/>
      <c r="J447" s="457"/>
      <c r="K447" s="457"/>
      <c r="L447" s="499"/>
      <c r="M447" s="556"/>
      <c r="N447" s="556"/>
      <c r="O447" s="499"/>
    </row>
    <row r="448" customFormat="false" ht="20.25" hidden="false" customHeight="true" outlineLevel="0" collapsed="false">
      <c r="A448" s="457"/>
      <c r="B448" s="457"/>
      <c r="C448" s="457"/>
      <c r="D448" s="499"/>
      <c r="E448" s="457"/>
      <c r="F448" s="457"/>
      <c r="G448" s="457"/>
      <c r="J448" s="457"/>
      <c r="K448" s="457"/>
      <c r="L448" s="499"/>
      <c r="M448" s="556"/>
      <c r="N448" s="556"/>
      <c r="O448" s="499"/>
    </row>
    <row r="449" customFormat="false" ht="20.25" hidden="false" customHeight="true" outlineLevel="0" collapsed="false">
      <c r="A449" s="457"/>
      <c r="B449" s="457"/>
      <c r="C449" s="457"/>
      <c r="D449" s="499"/>
      <c r="E449" s="457"/>
      <c r="F449" s="457"/>
      <c r="G449" s="457"/>
      <c r="J449" s="457"/>
      <c r="K449" s="457"/>
      <c r="L449" s="499"/>
      <c r="M449" s="556"/>
      <c r="N449" s="556"/>
      <c r="O449" s="499"/>
    </row>
    <row r="450" customFormat="false" ht="20.25" hidden="false" customHeight="true" outlineLevel="0" collapsed="false">
      <c r="A450" s="457"/>
      <c r="B450" s="457"/>
      <c r="C450" s="457"/>
      <c r="D450" s="499"/>
      <c r="E450" s="457"/>
      <c r="F450" s="457"/>
      <c r="G450" s="457"/>
      <c r="J450" s="457"/>
      <c r="K450" s="457"/>
      <c r="L450" s="499"/>
      <c r="M450" s="556"/>
      <c r="N450" s="556"/>
      <c r="O450" s="499"/>
    </row>
    <row r="451" customFormat="false" ht="20.25" hidden="false" customHeight="true" outlineLevel="0" collapsed="false">
      <c r="A451" s="457"/>
      <c r="B451" s="457"/>
      <c r="C451" s="457"/>
      <c r="D451" s="499"/>
      <c r="E451" s="457"/>
      <c r="F451" s="457"/>
      <c r="G451" s="457"/>
      <c r="J451" s="457"/>
      <c r="K451" s="457"/>
      <c r="L451" s="499"/>
      <c r="M451" s="556"/>
      <c r="N451" s="556"/>
      <c r="O451" s="499"/>
    </row>
    <row r="452" customFormat="false" ht="20.25" hidden="false" customHeight="true" outlineLevel="0" collapsed="false">
      <c r="A452" s="457"/>
      <c r="B452" s="457"/>
      <c r="C452" s="457"/>
      <c r="D452" s="499"/>
      <c r="E452" s="457"/>
      <c r="F452" s="457"/>
      <c r="G452" s="457"/>
      <c r="J452" s="457"/>
      <c r="K452" s="457"/>
      <c r="L452" s="499"/>
      <c r="M452" s="556"/>
      <c r="N452" s="556"/>
      <c r="O452" s="499"/>
    </row>
    <row r="453" customFormat="false" ht="20.25" hidden="false" customHeight="true" outlineLevel="0" collapsed="false">
      <c r="A453" s="457"/>
      <c r="B453" s="457"/>
      <c r="C453" s="457"/>
      <c r="D453" s="499"/>
      <c r="E453" s="457"/>
      <c r="F453" s="457"/>
      <c r="G453" s="457"/>
      <c r="J453" s="457"/>
      <c r="K453" s="457"/>
      <c r="L453" s="499"/>
      <c r="M453" s="556"/>
      <c r="N453" s="556"/>
      <c r="O453" s="499"/>
    </row>
    <row r="454" customFormat="false" ht="20.25" hidden="false" customHeight="true" outlineLevel="0" collapsed="false">
      <c r="A454" s="457"/>
      <c r="B454" s="457"/>
      <c r="C454" s="457"/>
      <c r="D454" s="499"/>
      <c r="E454" s="457"/>
      <c r="F454" s="457"/>
      <c r="G454" s="457"/>
      <c r="J454" s="457"/>
      <c r="K454" s="457"/>
      <c r="L454" s="499"/>
      <c r="M454" s="556"/>
      <c r="N454" s="556"/>
      <c r="O454" s="499"/>
    </row>
    <row r="455" customFormat="false" ht="20.25" hidden="false" customHeight="true" outlineLevel="0" collapsed="false">
      <c r="A455" s="457"/>
      <c r="B455" s="457"/>
      <c r="C455" s="457"/>
      <c r="D455" s="499"/>
      <c r="E455" s="457"/>
      <c r="F455" s="457"/>
      <c r="G455" s="457"/>
      <c r="J455" s="457"/>
      <c r="K455" s="457"/>
      <c r="L455" s="499"/>
      <c r="M455" s="556"/>
      <c r="N455" s="556"/>
      <c r="O455" s="499"/>
    </row>
    <row r="456" customFormat="false" ht="20.25" hidden="false" customHeight="true" outlineLevel="0" collapsed="false">
      <c r="A456" s="457"/>
      <c r="B456" s="457"/>
      <c r="C456" s="457"/>
      <c r="D456" s="499"/>
      <c r="E456" s="457"/>
      <c r="F456" s="457"/>
      <c r="G456" s="457"/>
      <c r="J456" s="457"/>
      <c r="K456" s="457"/>
      <c r="L456" s="499"/>
      <c r="M456" s="556"/>
      <c r="N456" s="556"/>
      <c r="O456" s="499"/>
    </row>
    <row r="457" customFormat="false" ht="20.25" hidden="false" customHeight="true" outlineLevel="0" collapsed="false">
      <c r="A457" s="457"/>
      <c r="B457" s="457"/>
      <c r="C457" s="457"/>
      <c r="D457" s="499"/>
      <c r="E457" s="457"/>
      <c r="F457" s="457"/>
      <c r="G457" s="457"/>
      <c r="J457" s="457"/>
      <c r="K457" s="457"/>
      <c r="L457" s="499"/>
      <c r="M457" s="556"/>
      <c r="N457" s="556"/>
      <c r="O457" s="499"/>
    </row>
    <row r="458" customFormat="false" ht="20.25" hidden="false" customHeight="true" outlineLevel="0" collapsed="false">
      <c r="A458" s="457"/>
      <c r="B458" s="457"/>
      <c r="C458" s="457"/>
      <c r="D458" s="499"/>
      <c r="E458" s="457"/>
      <c r="F458" s="457"/>
      <c r="G458" s="457"/>
      <c r="J458" s="457"/>
      <c r="K458" s="457"/>
      <c r="L458" s="499"/>
      <c r="M458" s="556"/>
      <c r="N458" s="556"/>
      <c r="O458" s="499"/>
    </row>
    <row r="459" customFormat="false" ht="20.25" hidden="false" customHeight="true" outlineLevel="0" collapsed="false">
      <c r="A459" s="457"/>
      <c r="B459" s="457"/>
      <c r="C459" s="457"/>
      <c r="D459" s="499"/>
      <c r="E459" s="457"/>
      <c r="F459" s="457"/>
      <c r="G459" s="457"/>
      <c r="J459" s="457"/>
      <c r="K459" s="457"/>
      <c r="L459" s="499"/>
      <c r="M459" s="556"/>
      <c r="N459" s="556"/>
      <c r="O459" s="499"/>
    </row>
    <row r="460" customFormat="false" ht="20.25" hidden="false" customHeight="true" outlineLevel="0" collapsed="false">
      <c r="A460" s="457"/>
      <c r="B460" s="457"/>
      <c r="C460" s="457"/>
      <c r="D460" s="499"/>
      <c r="E460" s="457"/>
      <c r="F460" s="457"/>
      <c r="G460" s="457"/>
      <c r="J460" s="457"/>
      <c r="K460" s="457"/>
      <c r="L460" s="499"/>
      <c r="M460" s="556"/>
      <c r="N460" s="556"/>
      <c r="O460" s="499"/>
    </row>
    <row r="461" customFormat="false" ht="20.25" hidden="false" customHeight="true" outlineLevel="0" collapsed="false">
      <c r="A461" s="457"/>
      <c r="B461" s="457"/>
      <c r="C461" s="457"/>
      <c r="D461" s="499"/>
      <c r="E461" s="457"/>
      <c r="F461" s="457"/>
      <c r="G461" s="457"/>
      <c r="J461" s="457"/>
      <c r="K461" s="457"/>
      <c r="L461" s="499"/>
      <c r="M461" s="556"/>
      <c r="N461" s="556"/>
      <c r="O461" s="499"/>
    </row>
    <row r="462" customFormat="false" ht="20.25" hidden="false" customHeight="true" outlineLevel="0" collapsed="false">
      <c r="A462" s="457"/>
      <c r="B462" s="457"/>
      <c r="C462" s="457"/>
      <c r="D462" s="499"/>
      <c r="E462" s="457"/>
      <c r="F462" s="457"/>
      <c r="G462" s="457"/>
      <c r="J462" s="457"/>
      <c r="K462" s="457"/>
      <c r="L462" s="499"/>
      <c r="M462" s="556"/>
      <c r="N462" s="556"/>
      <c r="O462" s="499"/>
    </row>
    <row r="463" customFormat="false" ht="20.25" hidden="false" customHeight="true" outlineLevel="0" collapsed="false">
      <c r="A463" s="457"/>
      <c r="B463" s="457"/>
      <c r="C463" s="457"/>
      <c r="D463" s="499"/>
      <c r="E463" s="457"/>
      <c r="F463" s="457"/>
      <c r="G463" s="457"/>
      <c r="J463" s="457"/>
      <c r="K463" s="457"/>
      <c r="L463" s="499"/>
      <c r="M463" s="556"/>
      <c r="N463" s="556"/>
      <c r="O463" s="499"/>
    </row>
    <row r="464" customFormat="false" ht="20.25" hidden="false" customHeight="true" outlineLevel="0" collapsed="false">
      <c r="A464" s="457"/>
      <c r="B464" s="457"/>
      <c r="C464" s="457"/>
      <c r="D464" s="499"/>
      <c r="E464" s="457"/>
      <c r="F464" s="457"/>
      <c r="G464" s="457"/>
      <c r="J464" s="457"/>
      <c r="K464" s="457"/>
      <c r="L464" s="499"/>
      <c r="M464" s="556"/>
      <c r="N464" s="556"/>
      <c r="O464" s="499"/>
    </row>
    <row r="465" customFormat="false" ht="20.25" hidden="false" customHeight="true" outlineLevel="0" collapsed="false">
      <c r="A465" s="457"/>
      <c r="B465" s="457"/>
      <c r="C465" s="457"/>
      <c r="D465" s="499"/>
      <c r="E465" s="457"/>
      <c r="F465" s="457"/>
      <c r="G465" s="457"/>
      <c r="J465" s="457"/>
      <c r="K465" s="457"/>
      <c r="L465" s="499"/>
      <c r="M465" s="556"/>
      <c r="N465" s="556"/>
      <c r="O465" s="499"/>
    </row>
    <row r="466" customFormat="false" ht="20.25" hidden="false" customHeight="true" outlineLevel="0" collapsed="false">
      <c r="A466" s="457"/>
      <c r="B466" s="457"/>
      <c r="C466" s="457"/>
      <c r="D466" s="499"/>
      <c r="E466" s="457"/>
      <c r="F466" s="457"/>
      <c r="G466" s="457"/>
      <c r="J466" s="457"/>
      <c r="K466" s="457"/>
      <c r="L466" s="499"/>
      <c r="M466" s="556"/>
      <c r="N466" s="556"/>
      <c r="O466" s="499"/>
    </row>
    <row r="467" customFormat="false" ht="20.25" hidden="false" customHeight="true" outlineLevel="0" collapsed="false">
      <c r="A467" s="457"/>
      <c r="B467" s="457"/>
      <c r="C467" s="457"/>
      <c r="D467" s="499"/>
      <c r="E467" s="457"/>
      <c r="F467" s="457"/>
      <c r="G467" s="457"/>
      <c r="J467" s="457"/>
      <c r="K467" s="457"/>
      <c r="L467" s="499"/>
      <c r="M467" s="556"/>
      <c r="N467" s="556"/>
      <c r="O467" s="499"/>
    </row>
    <row r="468" customFormat="false" ht="20.25" hidden="false" customHeight="true" outlineLevel="0" collapsed="false">
      <c r="A468" s="457"/>
      <c r="B468" s="457"/>
      <c r="C468" s="457"/>
      <c r="D468" s="499"/>
      <c r="E468" s="457"/>
      <c r="F468" s="457"/>
      <c r="G468" s="457"/>
      <c r="J468" s="457"/>
      <c r="K468" s="457"/>
      <c r="L468" s="499"/>
      <c r="M468" s="556"/>
      <c r="N468" s="556"/>
      <c r="O468" s="499"/>
    </row>
    <row r="469" customFormat="false" ht="20.25" hidden="false" customHeight="true" outlineLevel="0" collapsed="false">
      <c r="A469" s="457"/>
      <c r="B469" s="457"/>
      <c r="C469" s="457"/>
      <c r="D469" s="499"/>
      <c r="E469" s="457"/>
      <c r="F469" s="457"/>
      <c r="G469" s="457"/>
      <c r="J469" s="457"/>
      <c r="K469" s="457"/>
      <c r="L469" s="499"/>
      <c r="M469" s="556"/>
      <c r="N469" s="556"/>
      <c r="O469" s="499"/>
    </row>
    <row r="470" customFormat="false" ht="20.25" hidden="false" customHeight="true" outlineLevel="0" collapsed="false">
      <c r="A470" s="457"/>
      <c r="B470" s="457"/>
      <c r="C470" s="457"/>
      <c r="D470" s="499"/>
      <c r="E470" s="457"/>
      <c r="F470" s="457"/>
      <c r="G470" s="457"/>
      <c r="J470" s="457"/>
      <c r="K470" s="457"/>
      <c r="L470" s="499"/>
      <c r="M470" s="556"/>
      <c r="N470" s="556"/>
      <c r="O470" s="499"/>
    </row>
    <row r="471" customFormat="false" ht="20.25" hidden="false" customHeight="true" outlineLevel="0" collapsed="false">
      <c r="A471" s="457"/>
      <c r="B471" s="457"/>
      <c r="C471" s="457"/>
      <c r="D471" s="499"/>
      <c r="E471" s="457"/>
      <c r="F471" s="457"/>
      <c r="G471" s="457"/>
      <c r="J471" s="457"/>
      <c r="K471" s="457"/>
      <c r="L471" s="499"/>
      <c r="M471" s="556"/>
      <c r="N471" s="556"/>
      <c r="O471" s="499"/>
    </row>
    <row r="472" customFormat="false" ht="20.25" hidden="false" customHeight="true" outlineLevel="0" collapsed="false">
      <c r="A472" s="457"/>
      <c r="B472" s="457"/>
      <c r="C472" s="457"/>
      <c r="D472" s="499"/>
      <c r="E472" s="457"/>
      <c r="F472" s="457"/>
      <c r="G472" s="457"/>
      <c r="J472" s="457"/>
      <c r="K472" s="457"/>
      <c r="L472" s="499"/>
      <c r="M472" s="556"/>
      <c r="N472" s="556"/>
      <c r="O472" s="499"/>
    </row>
    <row r="473" customFormat="false" ht="20.25" hidden="false" customHeight="true" outlineLevel="0" collapsed="false">
      <c r="A473" s="457"/>
      <c r="B473" s="457"/>
      <c r="C473" s="457"/>
      <c r="D473" s="499"/>
      <c r="E473" s="457"/>
      <c r="F473" s="457"/>
      <c r="G473" s="457"/>
      <c r="J473" s="457"/>
      <c r="K473" s="457"/>
      <c r="L473" s="499"/>
      <c r="M473" s="556"/>
      <c r="N473" s="556"/>
      <c r="O473" s="499"/>
    </row>
    <row r="474" customFormat="false" ht="20.25" hidden="false" customHeight="true" outlineLevel="0" collapsed="false">
      <c r="A474" s="457"/>
      <c r="B474" s="457"/>
      <c r="C474" s="457"/>
      <c r="D474" s="499"/>
      <c r="E474" s="457"/>
      <c r="F474" s="457"/>
      <c r="G474" s="457"/>
      <c r="J474" s="457"/>
      <c r="K474" s="457"/>
      <c r="L474" s="499"/>
      <c r="M474" s="556"/>
      <c r="N474" s="556"/>
      <c r="O474" s="499"/>
    </row>
    <row r="475" customFormat="false" ht="20.25" hidden="false" customHeight="true" outlineLevel="0" collapsed="false">
      <c r="A475" s="457"/>
      <c r="B475" s="457"/>
      <c r="C475" s="457"/>
      <c r="D475" s="499"/>
      <c r="E475" s="457"/>
      <c r="F475" s="457"/>
      <c r="G475" s="457"/>
      <c r="J475" s="457"/>
      <c r="K475" s="457"/>
      <c r="L475" s="499"/>
      <c r="M475" s="556"/>
      <c r="N475" s="556"/>
      <c r="O475" s="499"/>
    </row>
    <row r="476" customFormat="false" ht="20.25" hidden="false" customHeight="true" outlineLevel="0" collapsed="false">
      <c r="A476" s="457"/>
      <c r="B476" s="457"/>
      <c r="C476" s="457"/>
      <c r="D476" s="499"/>
      <c r="E476" s="457"/>
      <c r="F476" s="457"/>
      <c r="G476" s="457"/>
      <c r="J476" s="457"/>
      <c r="K476" s="457"/>
      <c r="L476" s="499"/>
      <c r="M476" s="556"/>
      <c r="N476" s="556"/>
      <c r="O476" s="499"/>
    </row>
    <row r="477" customFormat="false" ht="20.25" hidden="false" customHeight="true" outlineLevel="0" collapsed="false">
      <c r="A477" s="457"/>
      <c r="B477" s="457"/>
      <c r="C477" s="457"/>
      <c r="D477" s="499"/>
      <c r="E477" s="457"/>
      <c r="F477" s="457"/>
      <c r="G477" s="457"/>
      <c r="J477" s="457"/>
      <c r="K477" s="457"/>
      <c r="L477" s="499"/>
      <c r="M477" s="556"/>
      <c r="N477" s="556"/>
      <c r="O477" s="499"/>
    </row>
    <row r="478" customFormat="false" ht="20.25" hidden="false" customHeight="true" outlineLevel="0" collapsed="false">
      <c r="A478" s="457"/>
      <c r="B478" s="457"/>
      <c r="C478" s="457"/>
      <c r="D478" s="499"/>
      <c r="E478" s="457"/>
      <c r="F478" s="457"/>
      <c r="G478" s="457"/>
      <c r="J478" s="457"/>
      <c r="K478" s="457"/>
      <c r="L478" s="499"/>
      <c r="M478" s="556"/>
      <c r="N478" s="556"/>
      <c r="O478" s="499"/>
    </row>
    <row r="479" customFormat="false" ht="20.25" hidden="false" customHeight="true" outlineLevel="0" collapsed="false">
      <c r="A479" s="457"/>
      <c r="B479" s="457"/>
      <c r="C479" s="457"/>
      <c r="D479" s="499"/>
      <c r="E479" s="457"/>
      <c r="F479" s="457"/>
      <c r="G479" s="457"/>
      <c r="J479" s="457"/>
      <c r="K479" s="457"/>
      <c r="L479" s="499"/>
      <c r="M479" s="556"/>
      <c r="N479" s="556"/>
      <c r="O479" s="499"/>
    </row>
    <row r="480" customFormat="false" ht="20.25" hidden="false" customHeight="true" outlineLevel="0" collapsed="false">
      <c r="A480" s="457"/>
      <c r="B480" s="457"/>
      <c r="C480" s="457"/>
      <c r="D480" s="499"/>
      <c r="E480" s="457"/>
      <c r="F480" s="457"/>
      <c r="G480" s="457"/>
      <c r="J480" s="457"/>
      <c r="K480" s="457"/>
      <c r="L480" s="499"/>
      <c r="M480" s="556"/>
      <c r="N480" s="556"/>
      <c r="O480" s="499"/>
    </row>
    <row r="481" customFormat="false" ht="20.25" hidden="false" customHeight="true" outlineLevel="0" collapsed="false">
      <c r="A481" s="457"/>
      <c r="B481" s="457"/>
      <c r="C481" s="457"/>
      <c r="D481" s="499"/>
      <c r="E481" s="457"/>
      <c r="F481" s="457"/>
      <c r="G481" s="457"/>
      <c r="J481" s="457"/>
      <c r="K481" s="457"/>
      <c r="L481" s="499"/>
      <c r="M481" s="556"/>
      <c r="N481" s="556"/>
      <c r="O481" s="499"/>
    </row>
    <row r="482" customFormat="false" ht="20.25" hidden="false" customHeight="true" outlineLevel="0" collapsed="false">
      <c r="A482" s="457"/>
      <c r="B482" s="457"/>
      <c r="C482" s="457"/>
      <c r="D482" s="499"/>
      <c r="E482" s="457"/>
      <c r="F482" s="457"/>
      <c r="G482" s="457"/>
      <c r="J482" s="457"/>
      <c r="K482" s="457"/>
      <c r="L482" s="499"/>
      <c r="M482" s="556"/>
      <c r="N482" s="556"/>
      <c r="O482" s="499"/>
    </row>
    <row r="483" customFormat="false" ht="20.25" hidden="false" customHeight="true" outlineLevel="0" collapsed="false">
      <c r="A483" s="457"/>
      <c r="B483" s="457"/>
      <c r="C483" s="457"/>
      <c r="D483" s="499"/>
      <c r="E483" s="457"/>
      <c r="F483" s="457"/>
      <c r="G483" s="457"/>
      <c r="J483" s="457"/>
      <c r="K483" s="457"/>
      <c r="L483" s="499"/>
      <c r="M483" s="556"/>
      <c r="N483" s="556"/>
      <c r="O483" s="499"/>
    </row>
    <row r="484" customFormat="false" ht="20.25" hidden="false" customHeight="true" outlineLevel="0" collapsed="false">
      <c r="A484" s="457"/>
      <c r="B484" s="457"/>
      <c r="C484" s="457"/>
      <c r="D484" s="499"/>
      <c r="E484" s="457"/>
      <c r="F484" s="457"/>
      <c r="G484" s="457"/>
      <c r="J484" s="457"/>
      <c r="K484" s="457"/>
      <c r="L484" s="499"/>
      <c r="M484" s="556"/>
      <c r="N484" s="556"/>
      <c r="O484" s="499"/>
    </row>
    <row r="485" customFormat="false" ht="20.25" hidden="false" customHeight="true" outlineLevel="0" collapsed="false">
      <c r="A485" s="457"/>
      <c r="B485" s="457"/>
      <c r="C485" s="457"/>
      <c r="D485" s="499"/>
      <c r="E485" s="457"/>
      <c r="F485" s="457"/>
      <c r="G485" s="457"/>
      <c r="J485" s="457"/>
      <c r="K485" s="457"/>
      <c r="L485" s="499"/>
      <c r="M485" s="556"/>
      <c r="N485" s="556"/>
      <c r="O485" s="499"/>
    </row>
    <row r="486" customFormat="false" ht="20.25" hidden="false" customHeight="true" outlineLevel="0" collapsed="false">
      <c r="A486" s="457"/>
      <c r="B486" s="457"/>
      <c r="C486" s="457"/>
      <c r="D486" s="499"/>
      <c r="E486" s="457"/>
      <c r="F486" s="457"/>
      <c r="G486" s="457"/>
      <c r="J486" s="457"/>
      <c r="K486" s="457"/>
      <c r="L486" s="499"/>
      <c r="M486" s="556"/>
      <c r="N486" s="556"/>
      <c r="O486" s="499"/>
    </row>
    <row r="487" customFormat="false" ht="20.25" hidden="false" customHeight="true" outlineLevel="0" collapsed="false">
      <c r="A487" s="457"/>
      <c r="B487" s="457"/>
      <c r="C487" s="457"/>
      <c r="D487" s="499"/>
      <c r="E487" s="457"/>
      <c r="F487" s="457"/>
      <c r="G487" s="457"/>
      <c r="J487" s="457"/>
      <c r="K487" s="457"/>
      <c r="L487" s="499"/>
      <c r="M487" s="556"/>
      <c r="N487" s="556"/>
      <c r="O487" s="499"/>
    </row>
    <row r="488" customFormat="false" ht="20.25" hidden="false" customHeight="true" outlineLevel="0" collapsed="false">
      <c r="A488" s="457"/>
      <c r="B488" s="457"/>
      <c r="C488" s="457"/>
      <c r="D488" s="499"/>
      <c r="E488" s="457"/>
      <c r="F488" s="457"/>
      <c r="G488" s="457"/>
      <c r="J488" s="457"/>
      <c r="K488" s="457"/>
      <c r="L488" s="499"/>
      <c r="M488" s="556"/>
      <c r="N488" s="556"/>
      <c r="O488" s="499"/>
    </row>
    <row r="489" customFormat="false" ht="20.25" hidden="false" customHeight="true" outlineLevel="0" collapsed="false">
      <c r="A489" s="457"/>
      <c r="B489" s="457"/>
      <c r="C489" s="457"/>
      <c r="D489" s="499"/>
      <c r="E489" s="457"/>
      <c r="F489" s="457"/>
      <c r="G489" s="457"/>
      <c r="J489" s="457"/>
      <c r="K489" s="457"/>
      <c r="L489" s="499"/>
      <c r="M489" s="556"/>
      <c r="N489" s="556"/>
      <c r="O489" s="499"/>
    </row>
    <row r="490" customFormat="false" ht="20.25" hidden="false" customHeight="true" outlineLevel="0" collapsed="false">
      <c r="A490" s="457"/>
      <c r="B490" s="457"/>
      <c r="C490" s="457"/>
      <c r="D490" s="499"/>
      <c r="E490" s="457"/>
      <c r="F490" s="457"/>
      <c r="G490" s="457"/>
      <c r="J490" s="457"/>
      <c r="K490" s="457"/>
      <c r="L490" s="499"/>
      <c r="M490" s="556"/>
      <c r="N490" s="556"/>
      <c r="O490" s="499"/>
    </row>
    <row r="491" customFormat="false" ht="20.25" hidden="false" customHeight="true" outlineLevel="0" collapsed="false">
      <c r="A491" s="457"/>
      <c r="B491" s="457"/>
      <c r="C491" s="457"/>
      <c r="D491" s="499"/>
      <c r="E491" s="457"/>
      <c r="F491" s="457"/>
      <c r="G491" s="457"/>
      <c r="J491" s="457"/>
      <c r="K491" s="457"/>
      <c r="L491" s="499"/>
      <c r="M491" s="556"/>
      <c r="N491" s="556"/>
      <c r="O491" s="499"/>
    </row>
    <row r="492" customFormat="false" ht="20.25" hidden="false" customHeight="true" outlineLevel="0" collapsed="false">
      <c r="A492" s="457"/>
      <c r="B492" s="457"/>
      <c r="C492" s="457"/>
      <c r="D492" s="499"/>
      <c r="E492" s="457"/>
      <c r="F492" s="457"/>
      <c r="G492" s="457"/>
      <c r="J492" s="457"/>
      <c r="K492" s="457"/>
      <c r="L492" s="499"/>
      <c r="M492" s="556"/>
      <c r="N492" s="556"/>
      <c r="O492" s="499"/>
    </row>
    <row r="493" customFormat="false" ht="20.25" hidden="false" customHeight="true" outlineLevel="0" collapsed="false">
      <c r="A493" s="457"/>
      <c r="B493" s="457"/>
      <c r="C493" s="457"/>
      <c r="D493" s="499"/>
      <c r="E493" s="457"/>
      <c r="F493" s="457"/>
      <c r="G493" s="457"/>
      <c r="J493" s="457"/>
      <c r="K493" s="457"/>
      <c r="L493" s="499"/>
      <c r="M493" s="556"/>
      <c r="N493" s="556"/>
      <c r="O493" s="499"/>
    </row>
    <row r="494" customFormat="false" ht="20.25" hidden="false" customHeight="true" outlineLevel="0" collapsed="false">
      <c r="A494" s="457"/>
      <c r="B494" s="457"/>
      <c r="C494" s="457"/>
      <c r="D494" s="499"/>
      <c r="E494" s="457"/>
      <c r="F494" s="457"/>
      <c r="G494" s="457"/>
      <c r="J494" s="457"/>
      <c r="K494" s="457"/>
      <c r="L494" s="499"/>
      <c r="M494" s="556"/>
      <c r="N494" s="556"/>
      <c r="O494" s="499"/>
    </row>
    <row r="495" customFormat="false" ht="20.25" hidden="false" customHeight="true" outlineLevel="0" collapsed="false">
      <c r="A495" s="457"/>
      <c r="B495" s="457"/>
      <c r="C495" s="457"/>
      <c r="D495" s="499"/>
      <c r="E495" s="457"/>
      <c r="F495" s="457"/>
      <c r="G495" s="457"/>
      <c r="J495" s="457"/>
      <c r="K495" s="457"/>
      <c r="L495" s="499"/>
      <c r="M495" s="556"/>
      <c r="N495" s="556"/>
      <c r="O495" s="499"/>
    </row>
    <row r="496" customFormat="false" ht="20.25" hidden="false" customHeight="true" outlineLevel="0" collapsed="false">
      <c r="A496" s="457"/>
      <c r="B496" s="457"/>
      <c r="C496" s="457"/>
      <c r="D496" s="499"/>
      <c r="E496" s="457"/>
      <c r="F496" s="457"/>
      <c r="G496" s="457"/>
      <c r="J496" s="457"/>
      <c r="K496" s="457"/>
      <c r="L496" s="499"/>
      <c r="M496" s="556"/>
      <c r="N496" s="556"/>
      <c r="O496" s="499"/>
    </row>
    <row r="497" customFormat="false" ht="20.25" hidden="false" customHeight="true" outlineLevel="0" collapsed="false">
      <c r="A497" s="457"/>
      <c r="B497" s="457"/>
      <c r="C497" s="457"/>
      <c r="D497" s="499"/>
      <c r="E497" s="457"/>
      <c r="F497" s="457"/>
      <c r="G497" s="457"/>
      <c r="J497" s="457"/>
      <c r="K497" s="457"/>
      <c r="L497" s="499"/>
      <c r="M497" s="556"/>
      <c r="N497" s="556"/>
      <c r="O497" s="499"/>
    </row>
    <row r="498" customFormat="false" ht="20.25" hidden="false" customHeight="true" outlineLevel="0" collapsed="false">
      <c r="A498" s="457"/>
      <c r="B498" s="457"/>
      <c r="C498" s="457"/>
      <c r="D498" s="499"/>
      <c r="E498" s="457"/>
      <c r="F498" s="457"/>
      <c r="G498" s="457"/>
      <c r="J498" s="457"/>
      <c r="K498" s="457"/>
      <c r="L498" s="499"/>
      <c r="M498" s="556"/>
      <c r="N498" s="556"/>
      <c r="O498" s="499"/>
    </row>
    <row r="499" customFormat="false" ht="20.25" hidden="false" customHeight="true" outlineLevel="0" collapsed="false">
      <c r="A499" s="457"/>
      <c r="B499" s="457"/>
      <c r="C499" s="457"/>
      <c r="D499" s="499"/>
      <c r="E499" s="457"/>
      <c r="F499" s="457"/>
      <c r="G499" s="457"/>
      <c r="J499" s="457"/>
      <c r="K499" s="457"/>
      <c r="L499" s="499"/>
      <c r="M499" s="556"/>
      <c r="N499" s="556"/>
      <c r="O499" s="499"/>
    </row>
    <row r="500" customFormat="false" ht="20.25" hidden="false" customHeight="true" outlineLevel="0" collapsed="false">
      <c r="A500" s="457"/>
      <c r="B500" s="457"/>
      <c r="C500" s="457"/>
      <c r="D500" s="499"/>
      <c r="E500" s="457"/>
      <c r="F500" s="457"/>
      <c r="G500" s="457"/>
      <c r="J500" s="457"/>
      <c r="K500" s="457"/>
      <c r="L500" s="499"/>
      <c r="M500" s="556"/>
      <c r="N500" s="556"/>
      <c r="O500" s="499"/>
    </row>
    <row r="501" customFormat="false" ht="20.25" hidden="false" customHeight="true" outlineLevel="0" collapsed="false">
      <c r="A501" s="457"/>
      <c r="B501" s="457"/>
      <c r="C501" s="457"/>
      <c r="D501" s="499"/>
      <c r="E501" s="457"/>
      <c r="F501" s="457"/>
      <c r="G501" s="457"/>
      <c r="J501" s="457"/>
      <c r="K501" s="457"/>
      <c r="L501" s="499"/>
      <c r="M501" s="556"/>
      <c r="N501" s="556"/>
      <c r="O501" s="499"/>
    </row>
    <row r="502" customFormat="false" ht="20.25" hidden="false" customHeight="true" outlineLevel="0" collapsed="false">
      <c r="A502" s="457"/>
      <c r="B502" s="457"/>
      <c r="C502" s="457"/>
      <c r="D502" s="499"/>
      <c r="E502" s="457"/>
      <c r="F502" s="457"/>
      <c r="G502" s="457"/>
      <c r="J502" s="457"/>
      <c r="K502" s="457"/>
      <c r="L502" s="499"/>
      <c r="M502" s="556"/>
      <c r="N502" s="556"/>
      <c r="O502" s="499"/>
    </row>
    <row r="503" customFormat="false" ht="20.25" hidden="false" customHeight="true" outlineLevel="0" collapsed="false">
      <c r="A503" s="457"/>
      <c r="B503" s="457"/>
      <c r="C503" s="457"/>
      <c r="D503" s="499"/>
      <c r="E503" s="457"/>
      <c r="F503" s="457"/>
      <c r="G503" s="457"/>
      <c r="J503" s="457"/>
      <c r="K503" s="457"/>
      <c r="L503" s="499"/>
      <c r="M503" s="556"/>
      <c r="N503" s="556"/>
      <c r="O503" s="499"/>
    </row>
    <row r="504" customFormat="false" ht="20.25" hidden="false" customHeight="true" outlineLevel="0" collapsed="false">
      <c r="A504" s="457"/>
      <c r="B504" s="457"/>
      <c r="C504" s="457"/>
      <c r="D504" s="499"/>
      <c r="E504" s="457"/>
      <c r="F504" s="457"/>
      <c r="G504" s="457"/>
      <c r="J504" s="457"/>
      <c r="K504" s="457"/>
      <c r="L504" s="499"/>
      <c r="M504" s="556"/>
      <c r="N504" s="556"/>
      <c r="O504" s="499"/>
    </row>
    <row r="505" customFormat="false" ht="20.25" hidden="false" customHeight="true" outlineLevel="0" collapsed="false">
      <c r="A505" s="457"/>
      <c r="B505" s="457"/>
      <c r="C505" s="457"/>
      <c r="D505" s="499"/>
      <c r="E505" s="457"/>
      <c r="F505" s="457"/>
      <c r="G505" s="457"/>
      <c r="J505" s="457"/>
      <c r="K505" s="457"/>
      <c r="L505" s="499"/>
      <c r="M505" s="556"/>
      <c r="N505" s="556"/>
      <c r="O505" s="499"/>
    </row>
    <row r="506" customFormat="false" ht="20.25" hidden="false" customHeight="true" outlineLevel="0" collapsed="false">
      <c r="A506" s="457"/>
      <c r="B506" s="457"/>
      <c r="C506" s="457"/>
      <c r="D506" s="499"/>
      <c r="E506" s="457"/>
      <c r="F506" s="457"/>
      <c r="G506" s="457"/>
      <c r="J506" s="457"/>
      <c r="K506" s="457"/>
      <c r="L506" s="499"/>
      <c r="M506" s="556"/>
      <c r="N506" s="556"/>
      <c r="O506" s="499"/>
    </row>
    <row r="507" customFormat="false" ht="20.25" hidden="false" customHeight="true" outlineLevel="0" collapsed="false">
      <c r="A507" s="457"/>
      <c r="B507" s="457"/>
      <c r="C507" s="457"/>
      <c r="D507" s="499"/>
      <c r="E507" s="457"/>
      <c r="F507" s="457"/>
      <c r="G507" s="457"/>
      <c r="J507" s="457"/>
      <c r="K507" s="457"/>
      <c r="L507" s="499"/>
      <c r="M507" s="556"/>
      <c r="N507" s="556"/>
      <c r="O507" s="499"/>
    </row>
    <row r="508" customFormat="false" ht="20.25" hidden="false" customHeight="true" outlineLevel="0" collapsed="false">
      <c r="A508" s="457"/>
      <c r="B508" s="457"/>
      <c r="C508" s="457"/>
      <c r="D508" s="499"/>
      <c r="E508" s="457"/>
      <c r="F508" s="457"/>
      <c r="G508" s="457"/>
      <c r="J508" s="457"/>
      <c r="K508" s="457"/>
      <c r="L508" s="499"/>
      <c r="M508" s="556"/>
      <c r="N508" s="556"/>
      <c r="O508" s="499"/>
    </row>
    <row r="509" customFormat="false" ht="20.25" hidden="false" customHeight="true" outlineLevel="0" collapsed="false">
      <c r="A509" s="457"/>
      <c r="B509" s="457"/>
      <c r="C509" s="457"/>
      <c r="D509" s="499"/>
      <c r="E509" s="457"/>
      <c r="F509" s="457"/>
      <c r="G509" s="457"/>
      <c r="J509" s="457"/>
      <c r="K509" s="457"/>
      <c r="L509" s="499"/>
      <c r="M509" s="556"/>
      <c r="N509" s="556"/>
      <c r="O509" s="499"/>
    </row>
    <row r="510" customFormat="false" ht="20.25" hidden="false" customHeight="true" outlineLevel="0" collapsed="false">
      <c r="A510" s="457"/>
      <c r="B510" s="457"/>
      <c r="C510" s="457"/>
      <c r="D510" s="499"/>
      <c r="E510" s="457"/>
      <c r="F510" s="457"/>
      <c r="G510" s="457"/>
      <c r="J510" s="457"/>
      <c r="K510" s="457"/>
      <c r="L510" s="499"/>
      <c r="M510" s="556"/>
      <c r="N510" s="556"/>
      <c r="O510" s="499"/>
    </row>
    <row r="511" customFormat="false" ht="20.25" hidden="false" customHeight="true" outlineLevel="0" collapsed="false">
      <c r="A511" s="457"/>
      <c r="B511" s="457"/>
      <c r="C511" s="457"/>
      <c r="D511" s="499"/>
      <c r="E511" s="457"/>
      <c r="F511" s="457"/>
      <c r="G511" s="457"/>
      <c r="J511" s="457"/>
      <c r="K511" s="457"/>
      <c r="L511" s="499"/>
      <c r="M511" s="556"/>
      <c r="N511" s="556"/>
      <c r="O511" s="499"/>
    </row>
    <row r="512" customFormat="false" ht="20.25" hidden="false" customHeight="true" outlineLevel="0" collapsed="false">
      <c r="A512" s="457"/>
      <c r="B512" s="457"/>
      <c r="C512" s="457"/>
      <c r="D512" s="499"/>
      <c r="E512" s="457"/>
      <c r="F512" s="457"/>
      <c r="G512" s="457"/>
      <c r="J512" s="457"/>
      <c r="K512" s="457"/>
      <c r="L512" s="499"/>
      <c r="M512" s="556"/>
      <c r="N512" s="556"/>
      <c r="O512" s="499"/>
    </row>
    <row r="513" customFormat="false" ht="20.25" hidden="false" customHeight="true" outlineLevel="0" collapsed="false">
      <c r="A513" s="457"/>
      <c r="B513" s="457"/>
      <c r="C513" s="457"/>
      <c r="D513" s="499"/>
      <c r="E513" s="457"/>
      <c r="F513" s="457"/>
      <c r="G513" s="457"/>
      <c r="J513" s="457"/>
      <c r="K513" s="457"/>
      <c r="L513" s="499"/>
      <c r="M513" s="556"/>
      <c r="N513" s="556"/>
      <c r="O513" s="499"/>
    </row>
    <row r="514" customFormat="false" ht="20.25" hidden="false" customHeight="true" outlineLevel="0" collapsed="false">
      <c r="A514" s="457"/>
      <c r="B514" s="457"/>
      <c r="C514" s="457"/>
      <c r="D514" s="499"/>
      <c r="E514" s="457"/>
      <c r="F514" s="457"/>
      <c r="G514" s="457"/>
      <c r="J514" s="457"/>
      <c r="K514" s="457"/>
      <c r="L514" s="499"/>
      <c r="M514" s="556"/>
      <c r="N514" s="556"/>
      <c r="O514" s="499"/>
    </row>
    <row r="515" customFormat="false" ht="20.25" hidden="false" customHeight="true" outlineLevel="0" collapsed="false">
      <c r="A515" s="457"/>
      <c r="B515" s="457"/>
      <c r="C515" s="457"/>
      <c r="D515" s="499"/>
      <c r="E515" s="457"/>
      <c r="F515" s="457"/>
      <c r="G515" s="457"/>
      <c r="J515" s="457"/>
      <c r="K515" s="457"/>
      <c r="L515" s="499"/>
      <c r="M515" s="556"/>
      <c r="N515" s="556"/>
      <c r="O515" s="499"/>
    </row>
    <row r="516" customFormat="false" ht="20.25" hidden="false" customHeight="true" outlineLevel="0" collapsed="false">
      <c r="A516" s="457"/>
      <c r="B516" s="457"/>
      <c r="C516" s="457"/>
      <c r="D516" s="499"/>
      <c r="E516" s="457"/>
      <c r="F516" s="457"/>
      <c r="G516" s="457"/>
      <c r="J516" s="457"/>
      <c r="K516" s="457"/>
      <c r="L516" s="499"/>
      <c r="M516" s="556"/>
      <c r="N516" s="556"/>
      <c r="O516" s="499"/>
    </row>
    <row r="517" customFormat="false" ht="20.25" hidden="false" customHeight="true" outlineLevel="0" collapsed="false">
      <c r="A517" s="457"/>
      <c r="B517" s="457"/>
      <c r="C517" s="457"/>
      <c r="D517" s="499"/>
      <c r="E517" s="457"/>
      <c r="F517" s="457"/>
      <c r="G517" s="457"/>
      <c r="J517" s="457"/>
      <c r="K517" s="457"/>
      <c r="L517" s="499"/>
      <c r="M517" s="556"/>
      <c r="N517" s="556"/>
      <c r="O517" s="499"/>
    </row>
    <row r="518" customFormat="false" ht="20.25" hidden="false" customHeight="true" outlineLevel="0" collapsed="false">
      <c r="A518" s="457"/>
      <c r="B518" s="457"/>
      <c r="C518" s="457"/>
      <c r="D518" s="499"/>
      <c r="E518" s="457"/>
      <c r="F518" s="457"/>
      <c r="G518" s="457"/>
      <c r="J518" s="457"/>
      <c r="K518" s="457"/>
      <c r="L518" s="499"/>
      <c r="M518" s="556"/>
      <c r="N518" s="556"/>
      <c r="O518" s="499"/>
    </row>
    <row r="519" customFormat="false" ht="20.25" hidden="false" customHeight="true" outlineLevel="0" collapsed="false">
      <c r="A519" s="457"/>
      <c r="B519" s="457"/>
      <c r="C519" s="457"/>
      <c r="D519" s="499"/>
      <c r="E519" s="457"/>
      <c r="F519" s="457"/>
      <c r="G519" s="457"/>
      <c r="J519" s="457"/>
      <c r="K519" s="457"/>
      <c r="L519" s="499"/>
      <c r="M519" s="556"/>
      <c r="N519" s="556"/>
      <c r="O519" s="499"/>
    </row>
    <row r="520" customFormat="false" ht="20.25" hidden="false" customHeight="true" outlineLevel="0" collapsed="false">
      <c r="A520" s="457"/>
      <c r="B520" s="457"/>
      <c r="C520" s="457"/>
      <c r="D520" s="499"/>
      <c r="E520" s="457"/>
      <c r="F520" s="457"/>
      <c r="G520" s="457"/>
      <c r="J520" s="457"/>
      <c r="K520" s="457"/>
      <c r="L520" s="499"/>
      <c r="M520" s="556"/>
      <c r="N520" s="556"/>
      <c r="O520" s="499"/>
    </row>
    <row r="521" customFormat="false" ht="20.25" hidden="false" customHeight="true" outlineLevel="0" collapsed="false">
      <c r="A521" s="457"/>
      <c r="B521" s="457"/>
      <c r="C521" s="457"/>
      <c r="D521" s="499"/>
      <c r="E521" s="457"/>
      <c r="F521" s="457"/>
      <c r="G521" s="457"/>
      <c r="J521" s="457"/>
      <c r="K521" s="457"/>
      <c r="L521" s="499"/>
      <c r="M521" s="556"/>
      <c r="N521" s="556"/>
      <c r="O521" s="499"/>
    </row>
    <row r="522" customFormat="false" ht="20.25" hidden="false" customHeight="true" outlineLevel="0" collapsed="false">
      <c r="A522" s="457"/>
      <c r="B522" s="457"/>
      <c r="C522" s="457"/>
      <c r="D522" s="499"/>
      <c r="E522" s="457"/>
      <c r="F522" s="457"/>
      <c r="G522" s="457"/>
      <c r="J522" s="457"/>
      <c r="K522" s="457"/>
      <c r="L522" s="499"/>
      <c r="M522" s="556"/>
      <c r="N522" s="556"/>
      <c r="O522" s="499"/>
    </row>
    <row r="523" customFormat="false" ht="20.25" hidden="false" customHeight="true" outlineLevel="0" collapsed="false">
      <c r="A523" s="457"/>
      <c r="B523" s="457"/>
      <c r="C523" s="457"/>
      <c r="D523" s="499"/>
      <c r="E523" s="457"/>
      <c r="F523" s="457"/>
      <c r="G523" s="457"/>
      <c r="J523" s="457"/>
      <c r="K523" s="457"/>
      <c r="L523" s="499"/>
      <c r="M523" s="556"/>
      <c r="N523" s="556"/>
      <c r="O523" s="499"/>
    </row>
    <row r="524" customFormat="false" ht="20.25" hidden="false" customHeight="true" outlineLevel="0" collapsed="false">
      <c r="A524" s="457"/>
      <c r="B524" s="457"/>
      <c r="C524" s="457"/>
      <c r="D524" s="499"/>
      <c r="E524" s="457"/>
      <c r="F524" s="457"/>
      <c r="G524" s="457"/>
      <c r="J524" s="457"/>
      <c r="K524" s="457"/>
      <c r="L524" s="499"/>
      <c r="M524" s="556"/>
      <c r="N524" s="556"/>
      <c r="O524" s="499"/>
    </row>
    <row r="525" customFormat="false" ht="20.25" hidden="false" customHeight="true" outlineLevel="0" collapsed="false">
      <c r="A525" s="457"/>
      <c r="B525" s="457"/>
      <c r="C525" s="457"/>
      <c r="D525" s="499"/>
      <c r="E525" s="457"/>
      <c r="F525" s="457"/>
      <c r="G525" s="457"/>
      <c r="J525" s="457"/>
      <c r="K525" s="457"/>
      <c r="L525" s="499"/>
      <c r="M525" s="556"/>
      <c r="N525" s="556"/>
      <c r="O525" s="499"/>
    </row>
    <row r="526" customFormat="false" ht="20.25" hidden="false" customHeight="true" outlineLevel="0" collapsed="false">
      <c r="A526" s="457"/>
      <c r="B526" s="457"/>
      <c r="C526" s="457"/>
      <c r="D526" s="499"/>
      <c r="E526" s="457"/>
      <c r="F526" s="457"/>
      <c r="G526" s="457"/>
      <c r="J526" s="457"/>
      <c r="K526" s="457"/>
      <c r="L526" s="499"/>
      <c r="M526" s="556"/>
      <c r="N526" s="556"/>
      <c r="O526" s="499"/>
    </row>
    <row r="527" customFormat="false" ht="20.25" hidden="false" customHeight="true" outlineLevel="0" collapsed="false">
      <c r="A527" s="457"/>
      <c r="B527" s="457"/>
      <c r="C527" s="457"/>
      <c r="D527" s="499"/>
      <c r="E527" s="457"/>
      <c r="F527" s="457"/>
      <c r="G527" s="457"/>
      <c r="J527" s="457"/>
      <c r="K527" s="457"/>
      <c r="L527" s="499"/>
      <c r="M527" s="556"/>
      <c r="N527" s="556"/>
      <c r="O527" s="499"/>
    </row>
    <row r="528" customFormat="false" ht="20.25" hidden="false" customHeight="true" outlineLevel="0" collapsed="false">
      <c r="A528" s="457"/>
      <c r="B528" s="457"/>
      <c r="C528" s="457"/>
      <c r="D528" s="499"/>
      <c r="E528" s="457"/>
      <c r="F528" s="457"/>
      <c r="G528" s="457"/>
      <c r="J528" s="457"/>
      <c r="K528" s="457"/>
      <c r="L528" s="499"/>
      <c r="M528" s="556"/>
      <c r="N528" s="556"/>
      <c r="O528" s="499"/>
    </row>
    <row r="529" customFormat="false" ht="20.25" hidden="false" customHeight="true" outlineLevel="0" collapsed="false">
      <c r="A529" s="457"/>
      <c r="B529" s="457"/>
      <c r="C529" s="457"/>
      <c r="D529" s="499"/>
      <c r="E529" s="457"/>
      <c r="F529" s="457"/>
      <c r="G529" s="457"/>
      <c r="J529" s="457"/>
      <c r="K529" s="457"/>
      <c r="L529" s="499"/>
      <c r="M529" s="556"/>
      <c r="N529" s="556"/>
      <c r="O529" s="499"/>
    </row>
    <row r="530" customFormat="false" ht="20.25" hidden="false" customHeight="true" outlineLevel="0" collapsed="false">
      <c r="A530" s="457"/>
      <c r="B530" s="457"/>
      <c r="C530" s="457"/>
      <c r="D530" s="499"/>
      <c r="E530" s="457"/>
      <c r="F530" s="457"/>
      <c r="G530" s="457"/>
      <c r="J530" s="457"/>
      <c r="K530" s="457"/>
      <c r="L530" s="499"/>
      <c r="M530" s="556"/>
      <c r="N530" s="556"/>
      <c r="O530" s="499"/>
    </row>
    <row r="531" customFormat="false" ht="20.25" hidden="false" customHeight="true" outlineLevel="0" collapsed="false">
      <c r="A531" s="457"/>
      <c r="B531" s="457"/>
      <c r="C531" s="457"/>
      <c r="D531" s="499"/>
      <c r="E531" s="457"/>
      <c r="F531" s="457"/>
      <c r="G531" s="457"/>
      <c r="J531" s="457"/>
      <c r="K531" s="457"/>
      <c r="L531" s="499"/>
      <c r="M531" s="556"/>
      <c r="N531" s="556"/>
      <c r="O531" s="499"/>
    </row>
    <row r="532" customFormat="false" ht="20.25" hidden="false" customHeight="true" outlineLevel="0" collapsed="false">
      <c r="A532" s="457"/>
      <c r="B532" s="457"/>
      <c r="C532" s="457"/>
      <c r="D532" s="499"/>
      <c r="E532" s="457"/>
      <c r="F532" s="457"/>
      <c r="G532" s="457"/>
      <c r="J532" s="457"/>
      <c r="K532" s="457"/>
      <c r="L532" s="499"/>
      <c r="M532" s="556"/>
      <c r="N532" s="556"/>
      <c r="O532" s="499"/>
    </row>
    <row r="533" customFormat="false" ht="20.25" hidden="false" customHeight="true" outlineLevel="0" collapsed="false">
      <c r="A533" s="457"/>
      <c r="B533" s="457"/>
      <c r="C533" s="457"/>
      <c r="D533" s="499"/>
      <c r="E533" s="457"/>
      <c r="F533" s="457"/>
      <c r="G533" s="457"/>
      <c r="J533" s="457"/>
      <c r="K533" s="457"/>
      <c r="L533" s="499"/>
      <c r="M533" s="556"/>
      <c r="N533" s="556"/>
      <c r="O533" s="499"/>
    </row>
    <row r="534" customFormat="false" ht="20.25" hidden="false" customHeight="true" outlineLevel="0" collapsed="false">
      <c r="A534" s="457"/>
      <c r="B534" s="457"/>
      <c r="C534" s="457"/>
      <c r="D534" s="499"/>
      <c r="E534" s="457"/>
      <c r="F534" s="457"/>
      <c r="G534" s="457"/>
      <c r="J534" s="457"/>
      <c r="K534" s="457"/>
      <c r="L534" s="499"/>
      <c r="M534" s="556"/>
      <c r="N534" s="556"/>
      <c r="O534" s="499"/>
    </row>
    <row r="535" customFormat="false" ht="20.25" hidden="false" customHeight="true" outlineLevel="0" collapsed="false">
      <c r="A535" s="457"/>
      <c r="B535" s="457"/>
      <c r="C535" s="457"/>
      <c r="D535" s="499"/>
      <c r="E535" s="457"/>
      <c r="F535" s="457"/>
      <c r="G535" s="457"/>
      <c r="J535" s="457"/>
      <c r="K535" s="457"/>
      <c r="L535" s="499"/>
      <c r="M535" s="556"/>
      <c r="N535" s="556"/>
      <c r="O535" s="499"/>
    </row>
    <row r="536" customFormat="false" ht="20.25" hidden="false" customHeight="true" outlineLevel="0" collapsed="false">
      <c r="A536" s="457"/>
      <c r="B536" s="457"/>
      <c r="C536" s="457"/>
      <c r="D536" s="499"/>
      <c r="E536" s="457"/>
      <c r="F536" s="457"/>
      <c r="G536" s="457"/>
      <c r="J536" s="457"/>
      <c r="K536" s="457"/>
      <c r="L536" s="499"/>
      <c r="M536" s="556"/>
      <c r="N536" s="556"/>
      <c r="O536" s="499"/>
    </row>
    <row r="537" customFormat="false" ht="20.25" hidden="false" customHeight="true" outlineLevel="0" collapsed="false">
      <c r="A537" s="457"/>
      <c r="B537" s="457"/>
      <c r="C537" s="457"/>
      <c r="D537" s="499"/>
      <c r="E537" s="457"/>
      <c r="F537" s="457"/>
      <c r="G537" s="457"/>
      <c r="J537" s="457"/>
      <c r="K537" s="457"/>
      <c r="L537" s="499"/>
      <c r="M537" s="556"/>
      <c r="N537" s="556"/>
      <c r="O537" s="499"/>
    </row>
    <row r="538" customFormat="false" ht="20.25" hidden="false" customHeight="true" outlineLevel="0" collapsed="false">
      <c r="A538" s="457"/>
      <c r="B538" s="457"/>
      <c r="C538" s="457"/>
      <c r="D538" s="499"/>
      <c r="E538" s="457"/>
      <c r="F538" s="457"/>
      <c r="G538" s="457"/>
      <c r="J538" s="457"/>
      <c r="K538" s="457"/>
      <c r="L538" s="499"/>
      <c r="M538" s="556"/>
      <c r="N538" s="556"/>
      <c r="O538" s="499"/>
    </row>
    <row r="539" customFormat="false" ht="20.25" hidden="false" customHeight="true" outlineLevel="0" collapsed="false">
      <c r="A539" s="457"/>
      <c r="B539" s="457"/>
      <c r="C539" s="457"/>
      <c r="D539" s="499"/>
      <c r="E539" s="457"/>
      <c r="F539" s="457"/>
      <c r="G539" s="457"/>
      <c r="J539" s="457"/>
      <c r="K539" s="457"/>
      <c r="L539" s="499"/>
      <c r="M539" s="556"/>
      <c r="N539" s="556"/>
      <c r="O539" s="499"/>
    </row>
    <row r="540" customFormat="false" ht="20.25" hidden="false" customHeight="true" outlineLevel="0" collapsed="false">
      <c r="A540" s="457"/>
      <c r="B540" s="457"/>
      <c r="C540" s="457"/>
      <c r="D540" s="499"/>
      <c r="E540" s="457"/>
      <c r="F540" s="457"/>
      <c r="G540" s="457"/>
      <c r="J540" s="457"/>
      <c r="K540" s="457"/>
      <c r="L540" s="499"/>
      <c r="M540" s="556"/>
      <c r="N540" s="556"/>
      <c r="O540" s="499"/>
    </row>
    <row r="541" customFormat="false" ht="20.25" hidden="false" customHeight="true" outlineLevel="0" collapsed="false">
      <c r="A541" s="457"/>
      <c r="B541" s="457"/>
      <c r="C541" s="457"/>
      <c r="D541" s="499"/>
      <c r="E541" s="457"/>
      <c r="F541" s="457"/>
      <c r="G541" s="457"/>
      <c r="J541" s="457"/>
      <c r="K541" s="457"/>
      <c r="L541" s="499"/>
      <c r="M541" s="556"/>
      <c r="N541" s="556"/>
      <c r="O541" s="499"/>
    </row>
    <row r="542" customFormat="false" ht="20.25" hidden="false" customHeight="true" outlineLevel="0" collapsed="false">
      <c r="A542" s="457"/>
      <c r="B542" s="457"/>
      <c r="C542" s="457"/>
      <c r="D542" s="499"/>
      <c r="E542" s="457"/>
      <c r="F542" s="457"/>
      <c r="G542" s="457"/>
      <c r="J542" s="457"/>
      <c r="K542" s="457"/>
      <c r="L542" s="499"/>
      <c r="M542" s="556"/>
      <c r="N542" s="556"/>
      <c r="O542" s="499"/>
    </row>
    <row r="543" customFormat="false" ht="20.25" hidden="false" customHeight="true" outlineLevel="0" collapsed="false">
      <c r="A543" s="457"/>
      <c r="B543" s="457"/>
      <c r="C543" s="457"/>
      <c r="D543" s="499"/>
      <c r="E543" s="457"/>
      <c r="F543" s="457"/>
      <c r="G543" s="457"/>
      <c r="J543" s="457"/>
      <c r="K543" s="457"/>
      <c r="L543" s="499"/>
      <c r="M543" s="556"/>
      <c r="N543" s="556"/>
      <c r="O543" s="499"/>
    </row>
    <row r="544" customFormat="false" ht="20.25" hidden="false" customHeight="true" outlineLevel="0" collapsed="false">
      <c r="A544" s="457"/>
      <c r="B544" s="457"/>
      <c r="C544" s="457"/>
      <c r="D544" s="499"/>
      <c r="E544" s="457"/>
      <c r="F544" s="457"/>
      <c r="G544" s="457"/>
      <c r="J544" s="457"/>
      <c r="K544" s="457"/>
      <c r="L544" s="499"/>
      <c r="M544" s="556"/>
      <c r="N544" s="556"/>
      <c r="O544" s="499"/>
    </row>
    <row r="545" customFormat="false" ht="20.25" hidden="false" customHeight="true" outlineLevel="0" collapsed="false">
      <c r="A545" s="457"/>
      <c r="B545" s="457"/>
      <c r="C545" s="457"/>
      <c r="D545" s="499"/>
      <c r="E545" s="457"/>
      <c r="F545" s="457"/>
      <c r="G545" s="457"/>
      <c r="J545" s="457"/>
      <c r="K545" s="457"/>
      <c r="L545" s="499"/>
      <c r="M545" s="556"/>
      <c r="N545" s="556"/>
      <c r="O545" s="499"/>
    </row>
    <row r="546" customFormat="false" ht="20.25" hidden="false" customHeight="true" outlineLevel="0" collapsed="false">
      <c r="A546" s="457"/>
      <c r="B546" s="457"/>
      <c r="C546" s="457"/>
      <c r="D546" s="499"/>
      <c r="E546" s="457"/>
      <c r="F546" s="457"/>
      <c r="G546" s="457"/>
      <c r="J546" s="457"/>
      <c r="K546" s="457"/>
      <c r="L546" s="499"/>
      <c r="M546" s="556"/>
      <c r="N546" s="556"/>
      <c r="O546" s="499"/>
    </row>
    <row r="547" customFormat="false" ht="20.25" hidden="false" customHeight="true" outlineLevel="0" collapsed="false">
      <c r="A547" s="457"/>
      <c r="B547" s="457"/>
      <c r="C547" s="457"/>
      <c r="D547" s="499"/>
      <c r="E547" s="457"/>
      <c r="F547" s="457"/>
      <c r="G547" s="457"/>
      <c r="J547" s="457"/>
      <c r="K547" s="457"/>
      <c r="L547" s="499"/>
      <c r="M547" s="556"/>
      <c r="N547" s="556"/>
      <c r="O547" s="499"/>
    </row>
    <row r="548" customFormat="false" ht="20.25" hidden="false" customHeight="true" outlineLevel="0" collapsed="false">
      <c r="A548" s="457"/>
      <c r="B548" s="457"/>
      <c r="C548" s="457"/>
      <c r="D548" s="499"/>
      <c r="E548" s="457"/>
      <c r="F548" s="457"/>
      <c r="G548" s="457"/>
      <c r="J548" s="457"/>
      <c r="K548" s="457"/>
      <c r="L548" s="499"/>
      <c r="M548" s="556"/>
      <c r="N548" s="556"/>
      <c r="O548" s="499"/>
    </row>
    <row r="549" customFormat="false" ht="20.25" hidden="false" customHeight="true" outlineLevel="0" collapsed="false">
      <c r="A549" s="457"/>
      <c r="B549" s="457"/>
      <c r="C549" s="457"/>
      <c r="D549" s="499"/>
      <c r="E549" s="457"/>
      <c r="F549" s="457"/>
      <c r="G549" s="457"/>
      <c r="J549" s="457"/>
      <c r="K549" s="457"/>
      <c r="L549" s="499"/>
      <c r="M549" s="556"/>
      <c r="N549" s="556"/>
      <c r="O549" s="499"/>
    </row>
    <row r="550" customFormat="false" ht="20.25" hidden="false" customHeight="true" outlineLevel="0" collapsed="false">
      <c r="A550" s="457"/>
      <c r="B550" s="457"/>
      <c r="C550" s="457"/>
      <c r="D550" s="499"/>
      <c r="E550" s="457"/>
      <c r="F550" s="457"/>
      <c r="G550" s="457"/>
      <c r="J550" s="457"/>
      <c r="K550" s="457"/>
      <c r="L550" s="499"/>
      <c r="M550" s="556"/>
      <c r="N550" s="556"/>
      <c r="O550" s="499"/>
    </row>
    <row r="551" customFormat="false" ht="20.25" hidden="false" customHeight="true" outlineLevel="0" collapsed="false">
      <c r="A551" s="457"/>
      <c r="B551" s="457"/>
      <c r="C551" s="457"/>
      <c r="D551" s="499"/>
      <c r="E551" s="457"/>
      <c r="F551" s="457"/>
      <c r="G551" s="457"/>
      <c r="J551" s="457"/>
      <c r="K551" s="457"/>
      <c r="L551" s="499"/>
      <c r="M551" s="556"/>
      <c r="N551" s="556"/>
      <c r="O551" s="499"/>
    </row>
    <row r="552" customFormat="false" ht="20.25" hidden="false" customHeight="true" outlineLevel="0" collapsed="false">
      <c r="A552" s="457"/>
      <c r="B552" s="457"/>
      <c r="C552" s="457"/>
      <c r="D552" s="499"/>
      <c r="E552" s="457"/>
      <c r="F552" s="457"/>
      <c r="G552" s="457"/>
      <c r="J552" s="457"/>
      <c r="K552" s="457"/>
      <c r="L552" s="499"/>
      <c r="M552" s="556"/>
      <c r="N552" s="556"/>
      <c r="O552" s="499"/>
    </row>
    <row r="553" customFormat="false" ht="20.25" hidden="false" customHeight="true" outlineLevel="0" collapsed="false">
      <c r="A553" s="457"/>
      <c r="B553" s="457"/>
      <c r="C553" s="457"/>
      <c r="D553" s="499"/>
      <c r="E553" s="457"/>
      <c r="F553" s="457"/>
      <c r="G553" s="457"/>
      <c r="J553" s="457"/>
      <c r="K553" s="457"/>
      <c r="L553" s="499"/>
      <c r="M553" s="556"/>
      <c r="N553" s="556"/>
      <c r="O553" s="499"/>
    </row>
    <row r="554" customFormat="false" ht="20.25" hidden="false" customHeight="true" outlineLevel="0" collapsed="false">
      <c r="A554" s="457"/>
      <c r="B554" s="457"/>
      <c r="C554" s="457"/>
      <c r="D554" s="499"/>
      <c r="E554" s="457"/>
      <c r="F554" s="457"/>
      <c r="G554" s="457"/>
      <c r="J554" s="457"/>
      <c r="K554" s="457"/>
      <c r="L554" s="499"/>
      <c r="M554" s="556"/>
      <c r="N554" s="556"/>
      <c r="O554" s="499"/>
    </row>
    <row r="555" customFormat="false" ht="20.25" hidden="false" customHeight="true" outlineLevel="0" collapsed="false">
      <c r="A555" s="457"/>
      <c r="B555" s="457"/>
      <c r="C555" s="457"/>
      <c r="D555" s="499"/>
      <c r="E555" s="457"/>
      <c r="F555" s="457"/>
      <c r="G555" s="457"/>
      <c r="J555" s="457"/>
      <c r="K555" s="457"/>
      <c r="L555" s="499"/>
      <c r="M555" s="556"/>
      <c r="N555" s="556"/>
      <c r="O555" s="499"/>
    </row>
    <row r="556" customFormat="false" ht="20.25" hidden="false" customHeight="true" outlineLevel="0" collapsed="false">
      <c r="A556" s="457"/>
      <c r="B556" s="457"/>
      <c r="C556" s="457"/>
      <c r="D556" s="499"/>
      <c r="E556" s="457"/>
      <c r="F556" s="457"/>
      <c r="G556" s="457"/>
      <c r="J556" s="457"/>
      <c r="K556" s="457"/>
      <c r="L556" s="499"/>
      <c r="M556" s="556"/>
      <c r="N556" s="556"/>
      <c r="O556" s="499"/>
    </row>
    <row r="557" customFormat="false" ht="20.25" hidden="false" customHeight="true" outlineLevel="0" collapsed="false">
      <c r="A557" s="457"/>
      <c r="B557" s="457"/>
      <c r="C557" s="457"/>
      <c r="D557" s="499"/>
      <c r="E557" s="457"/>
      <c r="F557" s="457"/>
      <c r="G557" s="457"/>
      <c r="J557" s="457"/>
      <c r="K557" s="457"/>
      <c r="L557" s="499"/>
      <c r="M557" s="556"/>
      <c r="N557" s="556"/>
      <c r="O557" s="499"/>
    </row>
    <row r="558" customFormat="false" ht="20.25" hidden="false" customHeight="true" outlineLevel="0" collapsed="false">
      <c r="A558" s="457"/>
      <c r="B558" s="457"/>
      <c r="C558" s="457"/>
      <c r="D558" s="499"/>
      <c r="E558" s="457"/>
      <c r="F558" s="457"/>
      <c r="G558" s="457"/>
      <c r="J558" s="457"/>
      <c r="K558" s="457"/>
      <c r="L558" s="499"/>
      <c r="M558" s="556"/>
      <c r="N558" s="556"/>
      <c r="O558" s="499"/>
    </row>
    <row r="559" customFormat="false" ht="20.25" hidden="false" customHeight="true" outlineLevel="0" collapsed="false">
      <c r="A559" s="457"/>
      <c r="B559" s="457"/>
      <c r="C559" s="457"/>
      <c r="D559" s="499"/>
      <c r="E559" s="457"/>
      <c r="F559" s="457"/>
      <c r="G559" s="457"/>
      <c r="J559" s="457"/>
      <c r="K559" s="457"/>
      <c r="L559" s="499"/>
      <c r="M559" s="556"/>
      <c r="N559" s="556"/>
      <c r="O559" s="499"/>
    </row>
    <row r="560" customFormat="false" ht="20.25" hidden="false" customHeight="true" outlineLevel="0" collapsed="false">
      <c r="A560" s="457"/>
      <c r="B560" s="457"/>
      <c r="C560" s="457"/>
      <c r="D560" s="499"/>
      <c r="E560" s="457"/>
      <c r="F560" s="457"/>
      <c r="G560" s="457"/>
      <c r="J560" s="457"/>
      <c r="K560" s="457"/>
      <c r="L560" s="499"/>
      <c r="M560" s="556"/>
      <c r="N560" s="556"/>
      <c r="O560" s="499"/>
    </row>
    <row r="561" customFormat="false" ht="20.25" hidden="false" customHeight="true" outlineLevel="0" collapsed="false">
      <c r="A561" s="457"/>
      <c r="B561" s="457"/>
      <c r="C561" s="457"/>
      <c r="D561" s="499"/>
      <c r="E561" s="457"/>
      <c r="F561" s="457"/>
      <c r="G561" s="457"/>
      <c r="J561" s="457"/>
      <c r="K561" s="457"/>
      <c r="L561" s="499"/>
      <c r="M561" s="556"/>
      <c r="N561" s="556"/>
      <c r="O561" s="499"/>
    </row>
    <row r="562" customFormat="false" ht="20.25" hidden="false" customHeight="true" outlineLevel="0" collapsed="false">
      <c r="A562" s="457"/>
      <c r="B562" s="457"/>
      <c r="C562" s="457"/>
      <c r="D562" s="499"/>
      <c r="E562" s="457"/>
      <c r="F562" s="457"/>
      <c r="G562" s="457"/>
      <c r="J562" s="457"/>
      <c r="K562" s="457"/>
      <c r="L562" s="499"/>
      <c r="M562" s="556"/>
      <c r="N562" s="556"/>
      <c r="O562" s="499"/>
    </row>
    <row r="563" customFormat="false" ht="20.25" hidden="false" customHeight="true" outlineLevel="0" collapsed="false">
      <c r="A563" s="457"/>
      <c r="B563" s="457"/>
      <c r="C563" s="457"/>
      <c r="D563" s="499"/>
      <c r="E563" s="457"/>
      <c r="F563" s="457"/>
      <c r="G563" s="457"/>
      <c r="J563" s="457"/>
      <c r="K563" s="457"/>
      <c r="L563" s="499"/>
      <c r="M563" s="556"/>
      <c r="N563" s="556"/>
      <c r="O563" s="499"/>
    </row>
    <row r="564" customFormat="false" ht="20.25" hidden="false" customHeight="true" outlineLevel="0" collapsed="false">
      <c r="A564" s="457"/>
      <c r="B564" s="457"/>
      <c r="C564" s="457"/>
      <c r="D564" s="499"/>
      <c r="E564" s="457"/>
      <c r="F564" s="457"/>
      <c r="G564" s="457"/>
      <c r="J564" s="457"/>
      <c r="K564" s="457"/>
      <c r="L564" s="499"/>
      <c r="M564" s="556"/>
      <c r="N564" s="556"/>
      <c r="O564" s="499"/>
    </row>
    <row r="565" customFormat="false" ht="20.25" hidden="false" customHeight="true" outlineLevel="0" collapsed="false">
      <c r="A565" s="457"/>
      <c r="B565" s="457"/>
      <c r="C565" s="457"/>
      <c r="D565" s="499"/>
      <c r="E565" s="457"/>
      <c r="F565" s="457"/>
      <c r="G565" s="457"/>
      <c r="J565" s="457"/>
      <c r="K565" s="457"/>
      <c r="L565" s="499"/>
      <c r="M565" s="556"/>
      <c r="N565" s="556"/>
      <c r="O565" s="499"/>
    </row>
    <row r="566" customFormat="false" ht="20.25" hidden="false" customHeight="true" outlineLevel="0" collapsed="false">
      <c r="A566" s="457"/>
      <c r="B566" s="457"/>
      <c r="C566" s="457"/>
      <c r="D566" s="499"/>
      <c r="E566" s="457"/>
      <c r="F566" s="457"/>
      <c r="G566" s="457"/>
      <c r="J566" s="457"/>
      <c r="K566" s="457"/>
      <c r="L566" s="499"/>
      <c r="M566" s="556"/>
      <c r="N566" s="556"/>
      <c r="O566" s="499"/>
    </row>
    <row r="567" customFormat="false" ht="20.25" hidden="false" customHeight="true" outlineLevel="0" collapsed="false">
      <c r="A567" s="457"/>
      <c r="B567" s="457"/>
      <c r="C567" s="457"/>
      <c r="D567" s="499"/>
      <c r="E567" s="457"/>
      <c r="F567" s="457"/>
      <c r="G567" s="457"/>
      <c r="J567" s="457"/>
      <c r="K567" s="457"/>
      <c r="L567" s="499"/>
      <c r="M567" s="556"/>
      <c r="N567" s="556"/>
      <c r="O567" s="499"/>
    </row>
    <row r="568" customFormat="false" ht="20.25" hidden="false" customHeight="true" outlineLevel="0" collapsed="false">
      <c r="A568" s="457"/>
      <c r="B568" s="457"/>
      <c r="C568" s="457"/>
      <c r="D568" s="499"/>
      <c r="E568" s="457"/>
      <c r="F568" s="457"/>
      <c r="G568" s="457"/>
      <c r="J568" s="457"/>
      <c r="K568" s="457"/>
      <c r="L568" s="499"/>
      <c r="M568" s="556"/>
      <c r="N568" s="556"/>
      <c r="O568" s="499"/>
    </row>
    <row r="569" customFormat="false" ht="20.25" hidden="false" customHeight="true" outlineLevel="0" collapsed="false">
      <c r="A569" s="457"/>
      <c r="B569" s="457"/>
      <c r="C569" s="457"/>
      <c r="D569" s="499"/>
      <c r="E569" s="457"/>
      <c r="F569" s="457"/>
      <c r="G569" s="457"/>
      <c r="J569" s="457"/>
      <c r="K569" s="457"/>
      <c r="L569" s="499"/>
      <c r="M569" s="556"/>
      <c r="N569" s="556"/>
      <c r="O569" s="499"/>
    </row>
    <row r="570" customFormat="false" ht="20.25" hidden="false" customHeight="true" outlineLevel="0" collapsed="false">
      <c r="A570" s="457"/>
      <c r="B570" s="457"/>
      <c r="C570" s="457"/>
      <c r="D570" s="499"/>
      <c r="E570" s="457"/>
      <c r="F570" s="457"/>
      <c r="G570" s="457"/>
      <c r="J570" s="457"/>
      <c r="K570" s="457"/>
      <c r="L570" s="499"/>
      <c r="M570" s="556"/>
      <c r="N570" s="556"/>
      <c r="O570" s="499"/>
    </row>
    <row r="571" customFormat="false" ht="20.25" hidden="false" customHeight="true" outlineLevel="0" collapsed="false">
      <c r="A571" s="457"/>
      <c r="B571" s="457"/>
      <c r="C571" s="457"/>
      <c r="D571" s="499"/>
      <c r="E571" s="457"/>
      <c r="F571" s="457"/>
      <c r="G571" s="457"/>
      <c r="J571" s="457"/>
      <c r="K571" s="457"/>
      <c r="L571" s="499"/>
      <c r="M571" s="556"/>
      <c r="N571" s="556"/>
      <c r="O571" s="499"/>
    </row>
    <row r="572" customFormat="false" ht="20.25" hidden="false" customHeight="true" outlineLevel="0" collapsed="false">
      <c r="A572" s="457"/>
      <c r="B572" s="457"/>
      <c r="C572" s="457"/>
      <c r="D572" s="499"/>
      <c r="E572" s="457"/>
      <c r="F572" s="457"/>
      <c r="G572" s="457"/>
      <c r="J572" s="457"/>
      <c r="K572" s="457"/>
      <c r="L572" s="499"/>
      <c r="M572" s="556"/>
      <c r="N572" s="556"/>
      <c r="O572" s="499"/>
    </row>
    <row r="573" customFormat="false" ht="20.25" hidden="false" customHeight="true" outlineLevel="0" collapsed="false">
      <c r="A573" s="457"/>
      <c r="B573" s="457"/>
      <c r="C573" s="457"/>
      <c r="D573" s="499"/>
      <c r="E573" s="457"/>
      <c r="F573" s="457"/>
      <c r="G573" s="457"/>
      <c r="J573" s="457"/>
      <c r="K573" s="457"/>
      <c r="L573" s="499"/>
      <c r="M573" s="556"/>
      <c r="N573" s="556"/>
      <c r="O573" s="499"/>
    </row>
    <row r="574" customFormat="false" ht="20.25" hidden="false" customHeight="true" outlineLevel="0" collapsed="false">
      <c r="A574" s="457"/>
      <c r="B574" s="457"/>
      <c r="C574" s="457"/>
      <c r="D574" s="499"/>
      <c r="E574" s="457"/>
      <c r="F574" s="457"/>
      <c r="G574" s="457"/>
      <c r="J574" s="457"/>
      <c r="K574" s="457"/>
      <c r="L574" s="499"/>
      <c r="M574" s="556"/>
      <c r="N574" s="556"/>
      <c r="O574" s="499"/>
    </row>
    <row r="575" customFormat="false" ht="20.25" hidden="false" customHeight="true" outlineLevel="0" collapsed="false">
      <c r="A575" s="457"/>
      <c r="B575" s="457"/>
      <c r="C575" s="457"/>
      <c r="D575" s="499"/>
      <c r="E575" s="457"/>
      <c r="F575" s="457"/>
      <c r="G575" s="457"/>
      <c r="J575" s="457"/>
      <c r="K575" s="457"/>
      <c r="L575" s="499"/>
      <c r="M575" s="556"/>
      <c r="N575" s="556"/>
      <c r="O575" s="499"/>
    </row>
    <row r="576" customFormat="false" ht="20.25" hidden="false" customHeight="true" outlineLevel="0" collapsed="false">
      <c r="A576" s="457"/>
      <c r="B576" s="457"/>
      <c r="C576" s="457"/>
      <c r="D576" s="499"/>
      <c r="E576" s="457"/>
      <c r="F576" s="457"/>
      <c r="G576" s="457"/>
      <c r="J576" s="457"/>
      <c r="K576" s="457"/>
      <c r="L576" s="499"/>
      <c r="M576" s="556"/>
      <c r="N576" s="556"/>
      <c r="O576" s="499"/>
    </row>
    <row r="577" customFormat="false" ht="20.25" hidden="false" customHeight="true" outlineLevel="0" collapsed="false">
      <c r="A577" s="457"/>
      <c r="B577" s="457"/>
      <c r="C577" s="457"/>
      <c r="D577" s="499"/>
      <c r="E577" s="457"/>
      <c r="F577" s="457"/>
      <c r="G577" s="457"/>
      <c r="J577" s="457"/>
      <c r="K577" s="457"/>
      <c r="L577" s="499"/>
      <c r="M577" s="556"/>
      <c r="N577" s="556"/>
      <c r="O577" s="499"/>
    </row>
    <row r="578" customFormat="false" ht="20.25" hidden="false" customHeight="true" outlineLevel="0" collapsed="false">
      <c r="A578" s="457"/>
      <c r="B578" s="457"/>
      <c r="C578" s="457"/>
      <c r="D578" s="499"/>
      <c r="E578" s="457"/>
      <c r="F578" s="457"/>
      <c r="G578" s="457"/>
      <c r="J578" s="457"/>
      <c r="K578" s="457"/>
      <c r="L578" s="499"/>
      <c r="M578" s="556"/>
      <c r="N578" s="556"/>
      <c r="O578" s="499"/>
    </row>
    <row r="579" customFormat="false" ht="20.25" hidden="false" customHeight="true" outlineLevel="0" collapsed="false">
      <c r="A579" s="457"/>
      <c r="B579" s="457"/>
      <c r="C579" s="457"/>
      <c r="D579" s="499"/>
      <c r="E579" s="457"/>
      <c r="F579" s="457"/>
      <c r="G579" s="457"/>
      <c r="J579" s="457"/>
      <c r="K579" s="457"/>
      <c r="L579" s="499"/>
      <c r="M579" s="556"/>
      <c r="N579" s="556"/>
      <c r="O579" s="499"/>
    </row>
    <row r="580" customFormat="false" ht="20.25" hidden="false" customHeight="true" outlineLevel="0" collapsed="false">
      <c r="A580" s="457"/>
      <c r="B580" s="457"/>
      <c r="C580" s="457"/>
      <c r="D580" s="499"/>
      <c r="E580" s="457"/>
      <c r="F580" s="457"/>
      <c r="G580" s="457"/>
      <c r="J580" s="457"/>
      <c r="K580" s="457"/>
      <c r="L580" s="499"/>
      <c r="M580" s="556"/>
      <c r="N580" s="556"/>
      <c r="O580" s="499"/>
    </row>
    <row r="581" customFormat="false" ht="20.25" hidden="false" customHeight="true" outlineLevel="0" collapsed="false">
      <c r="A581" s="457"/>
      <c r="B581" s="457"/>
      <c r="C581" s="457"/>
      <c r="D581" s="499"/>
      <c r="E581" s="457"/>
      <c r="F581" s="457"/>
      <c r="G581" s="457"/>
      <c r="J581" s="457"/>
      <c r="K581" s="457"/>
      <c r="L581" s="499"/>
      <c r="M581" s="556"/>
      <c r="N581" s="556"/>
      <c r="O581" s="499"/>
    </row>
    <row r="582" customFormat="false" ht="20.25" hidden="false" customHeight="true" outlineLevel="0" collapsed="false">
      <c r="A582" s="457"/>
      <c r="B582" s="457"/>
      <c r="C582" s="457"/>
      <c r="D582" s="499"/>
      <c r="E582" s="457"/>
      <c r="F582" s="457"/>
      <c r="G582" s="457"/>
      <c r="J582" s="457"/>
      <c r="K582" s="457"/>
      <c r="L582" s="499"/>
      <c r="M582" s="556"/>
      <c r="N582" s="556"/>
      <c r="O582" s="499"/>
    </row>
    <row r="583" customFormat="false" ht="20.25" hidden="false" customHeight="true" outlineLevel="0" collapsed="false">
      <c r="A583" s="457"/>
      <c r="B583" s="457"/>
      <c r="C583" s="457"/>
      <c r="D583" s="499"/>
      <c r="E583" s="457"/>
      <c r="F583" s="457"/>
      <c r="G583" s="457"/>
      <c r="J583" s="457"/>
      <c r="K583" s="457"/>
      <c r="L583" s="499"/>
      <c r="M583" s="556"/>
      <c r="N583" s="556"/>
      <c r="O583" s="499"/>
    </row>
    <row r="584" customFormat="false" ht="20.25" hidden="false" customHeight="true" outlineLevel="0" collapsed="false">
      <c r="A584" s="457"/>
      <c r="B584" s="457"/>
      <c r="C584" s="457"/>
      <c r="D584" s="499"/>
      <c r="E584" s="457"/>
      <c r="F584" s="457"/>
      <c r="G584" s="457"/>
      <c r="J584" s="457"/>
      <c r="K584" s="457"/>
      <c r="L584" s="499"/>
      <c r="M584" s="556"/>
      <c r="N584" s="556"/>
      <c r="O584" s="499"/>
    </row>
    <row r="585" customFormat="false" ht="20.25" hidden="false" customHeight="true" outlineLevel="0" collapsed="false">
      <c r="A585" s="457"/>
      <c r="B585" s="457"/>
      <c r="C585" s="457"/>
      <c r="D585" s="499"/>
      <c r="E585" s="457"/>
      <c r="F585" s="457"/>
      <c r="G585" s="457"/>
      <c r="J585" s="457"/>
      <c r="K585" s="457"/>
      <c r="L585" s="499"/>
      <c r="M585" s="556"/>
      <c r="N585" s="556"/>
      <c r="O585" s="499"/>
    </row>
    <row r="586" customFormat="false" ht="20.25" hidden="false" customHeight="true" outlineLevel="0" collapsed="false">
      <c r="A586" s="457"/>
      <c r="B586" s="457"/>
      <c r="C586" s="457"/>
      <c r="D586" s="499"/>
      <c r="E586" s="457"/>
      <c r="F586" s="457"/>
      <c r="G586" s="457"/>
      <c r="J586" s="457"/>
      <c r="K586" s="457"/>
      <c r="L586" s="499"/>
      <c r="M586" s="556"/>
      <c r="N586" s="556"/>
      <c r="O586" s="499"/>
    </row>
    <row r="587" customFormat="false" ht="20.25" hidden="false" customHeight="true" outlineLevel="0" collapsed="false">
      <c r="A587" s="457"/>
      <c r="B587" s="457"/>
      <c r="C587" s="457"/>
      <c r="D587" s="499"/>
      <c r="E587" s="457"/>
      <c r="F587" s="457"/>
      <c r="G587" s="457"/>
      <c r="J587" s="457"/>
      <c r="K587" s="457"/>
      <c r="L587" s="499"/>
      <c r="M587" s="556"/>
      <c r="N587" s="556"/>
      <c r="O587" s="499"/>
    </row>
    <row r="588" customFormat="false" ht="20.25" hidden="false" customHeight="true" outlineLevel="0" collapsed="false">
      <c r="A588" s="457"/>
      <c r="B588" s="457"/>
      <c r="C588" s="457"/>
      <c r="D588" s="499"/>
      <c r="E588" s="457"/>
      <c r="F588" s="457"/>
      <c r="G588" s="457"/>
      <c r="J588" s="457"/>
      <c r="K588" s="457"/>
      <c r="L588" s="499"/>
      <c r="M588" s="556"/>
      <c r="N588" s="556"/>
      <c r="O588" s="499"/>
    </row>
    <row r="589" customFormat="false" ht="20.25" hidden="false" customHeight="true" outlineLevel="0" collapsed="false">
      <c r="A589" s="457"/>
      <c r="B589" s="457"/>
      <c r="C589" s="457"/>
      <c r="D589" s="499"/>
      <c r="E589" s="457"/>
      <c r="F589" s="457"/>
      <c r="G589" s="457"/>
      <c r="J589" s="457"/>
      <c r="K589" s="457"/>
      <c r="L589" s="499"/>
      <c r="M589" s="556"/>
      <c r="N589" s="556"/>
      <c r="O589" s="499"/>
    </row>
    <row r="590" customFormat="false" ht="20.25" hidden="false" customHeight="true" outlineLevel="0" collapsed="false">
      <c r="A590" s="457"/>
      <c r="B590" s="457"/>
      <c r="C590" s="457"/>
      <c r="D590" s="499"/>
      <c r="E590" s="457"/>
      <c r="F590" s="457"/>
      <c r="G590" s="457"/>
      <c r="J590" s="457"/>
      <c r="K590" s="457"/>
      <c r="L590" s="499"/>
      <c r="M590" s="556"/>
      <c r="N590" s="556"/>
      <c r="O590" s="499"/>
    </row>
    <row r="591" customFormat="false" ht="20.25" hidden="false" customHeight="true" outlineLevel="0" collapsed="false">
      <c r="A591" s="457"/>
      <c r="B591" s="457"/>
      <c r="C591" s="457"/>
      <c r="D591" s="499"/>
      <c r="E591" s="457"/>
      <c r="F591" s="457"/>
      <c r="G591" s="457"/>
      <c r="J591" s="457"/>
      <c r="K591" s="457"/>
      <c r="L591" s="499"/>
      <c r="M591" s="556"/>
      <c r="N591" s="556"/>
      <c r="O591" s="499"/>
    </row>
    <row r="592" customFormat="false" ht="20.25" hidden="false" customHeight="true" outlineLevel="0" collapsed="false">
      <c r="A592" s="457"/>
      <c r="B592" s="457"/>
      <c r="C592" s="457"/>
      <c r="D592" s="499"/>
      <c r="E592" s="457"/>
      <c r="F592" s="457"/>
      <c r="G592" s="457"/>
      <c r="J592" s="457"/>
      <c r="K592" s="457"/>
      <c r="L592" s="499"/>
      <c r="M592" s="556"/>
      <c r="N592" s="556"/>
      <c r="O592" s="499"/>
    </row>
    <row r="593" customFormat="false" ht="20.25" hidden="false" customHeight="true" outlineLevel="0" collapsed="false">
      <c r="A593" s="457"/>
      <c r="B593" s="457"/>
      <c r="C593" s="457"/>
      <c r="D593" s="499"/>
      <c r="E593" s="457"/>
      <c r="F593" s="457"/>
      <c r="G593" s="457"/>
      <c r="J593" s="457"/>
      <c r="K593" s="457"/>
      <c r="L593" s="499"/>
      <c r="M593" s="556"/>
      <c r="N593" s="556"/>
      <c r="O593" s="499"/>
    </row>
    <row r="594" customFormat="false" ht="20.25" hidden="false" customHeight="true" outlineLevel="0" collapsed="false">
      <c r="A594" s="457"/>
      <c r="B594" s="457"/>
      <c r="C594" s="457"/>
      <c r="D594" s="499"/>
      <c r="E594" s="457"/>
      <c r="F594" s="457"/>
      <c r="G594" s="457"/>
      <c r="J594" s="457"/>
      <c r="K594" s="457"/>
      <c r="L594" s="499"/>
      <c r="M594" s="556"/>
      <c r="N594" s="556"/>
      <c r="O594" s="499"/>
    </row>
    <row r="595" customFormat="false" ht="20.25" hidden="false" customHeight="true" outlineLevel="0" collapsed="false">
      <c r="A595" s="457"/>
      <c r="B595" s="457"/>
      <c r="C595" s="457"/>
      <c r="D595" s="499"/>
      <c r="E595" s="457"/>
      <c r="F595" s="457"/>
      <c r="G595" s="457"/>
      <c r="J595" s="457"/>
      <c r="K595" s="457"/>
      <c r="L595" s="499"/>
      <c r="M595" s="556"/>
      <c r="N595" s="556"/>
      <c r="O595" s="499"/>
    </row>
    <row r="596" customFormat="false" ht="20.25" hidden="false" customHeight="true" outlineLevel="0" collapsed="false">
      <c r="A596" s="457"/>
      <c r="B596" s="457"/>
      <c r="C596" s="457"/>
      <c r="D596" s="499"/>
      <c r="E596" s="457"/>
      <c r="F596" s="457"/>
      <c r="G596" s="457"/>
      <c r="J596" s="457"/>
      <c r="K596" s="457"/>
      <c r="L596" s="499"/>
      <c r="M596" s="556"/>
      <c r="N596" s="556"/>
      <c r="O596" s="499"/>
    </row>
    <row r="597" customFormat="false" ht="20.25" hidden="false" customHeight="true" outlineLevel="0" collapsed="false">
      <c r="A597" s="457"/>
      <c r="B597" s="457"/>
      <c r="C597" s="457"/>
      <c r="D597" s="499"/>
      <c r="E597" s="457"/>
      <c r="F597" s="457"/>
      <c r="G597" s="457"/>
      <c r="J597" s="457"/>
      <c r="K597" s="457"/>
      <c r="L597" s="499"/>
      <c r="M597" s="556"/>
      <c r="N597" s="556"/>
      <c r="O597" s="499"/>
    </row>
    <row r="598" customFormat="false" ht="20.25" hidden="false" customHeight="true" outlineLevel="0" collapsed="false">
      <c r="A598" s="457"/>
      <c r="B598" s="457"/>
      <c r="C598" s="457"/>
      <c r="D598" s="499"/>
      <c r="E598" s="457"/>
      <c r="F598" s="457"/>
      <c r="G598" s="457"/>
      <c r="J598" s="457"/>
      <c r="K598" s="457"/>
      <c r="L598" s="499"/>
      <c r="M598" s="556"/>
      <c r="N598" s="556"/>
      <c r="O598" s="499"/>
    </row>
    <row r="599" customFormat="false" ht="20.25" hidden="false" customHeight="true" outlineLevel="0" collapsed="false">
      <c r="A599" s="457"/>
      <c r="B599" s="457"/>
      <c r="C599" s="457"/>
      <c r="D599" s="499"/>
      <c r="E599" s="457"/>
      <c r="F599" s="457"/>
      <c r="G599" s="457"/>
      <c r="J599" s="457"/>
      <c r="K599" s="457"/>
      <c r="L599" s="499"/>
      <c r="M599" s="556"/>
      <c r="N599" s="556"/>
      <c r="O599" s="499"/>
    </row>
    <row r="600" customFormat="false" ht="20.25" hidden="false" customHeight="true" outlineLevel="0" collapsed="false">
      <c r="A600" s="457"/>
      <c r="B600" s="457"/>
      <c r="C600" s="457"/>
      <c r="D600" s="499"/>
      <c r="E600" s="457"/>
      <c r="F600" s="457"/>
      <c r="G600" s="457"/>
      <c r="J600" s="457"/>
      <c r="K600" s="457"/>
      <c r="L600" s="499"/>
      <c r="M600" s="556"/>
      <c r="N600" s="556"/>
      <c r="O600" s="499"/>
    </row>
    <row r="601" customFormat="false" ht="20.25" hidden="false" customHeight="true" outlineLevel="0" collapsed="false">
      <c r="A601" s="457"/>
      <c r="B601" s="457"/>
      <c r="C601" s="457"/>
      <c r="D601" s="499"/>
      <c r="E601" s="457"/>
      <c r="F601" s="457"/>
      <c r="G601" s="457"/>
      <c r="J601" s="457"/>
      <c r="K601" s="457"/>
      <c r="L601" s="499"/>
      <c r="M601" s="556"/>
      <c r="N601" s="556"/>
      <c r="O601" s="499"/>
    </row>
    <row r="602" customFormat="false" ht="20.25" hidden="false" customHeight="true" outlineLevel="0" collapsed="false">
      <c r="A602" s="457"/>
      <c r="B602" s="457"/>
      <c r="C602" s="457"/>
      <c r="D602" s="499"/>
      <c r="E602" s="457"/>
      <c r="F602" s="457"/>
      <c r="G602" s="457"/>
      <c r="J602" s="457"/>
      <c r="K602" s="457"/>
      <c r="L602" s="499"/>
      <c r="M602" s="556"/>
      <c r="N602" s="556"/>
      <c r="O602" s="499"/>
    </row>
    <row r="603" customFormat="false" ht="20.25" hidden="false" customHeight="true" outlineLevel="0" collapsed="false">
      <c r="A603" s="457"/>
      <c r="B603" s="457"/>
      <c r="C603" s="457"/>
      <c r="D603" s="499"/>
      <c r="E603" s="457"/>
      <c r="F603" s="457"/>
      <c r="G603" s="457"/>
      <c r="J603" s="457"/>
      <c r="K603" s="457"/>
      <c r="L603" s="499"/>
      <c r="M603" s="556"/>
      <c r="N603" s="556"/>
      <c r="O603" s="499"/>
    </row>
    <row r="604" customFormat="false" ht="20.25" hidden="false" customHeight="true" outlineLevel="0" collapsed="false">
      <c r="A604" s="457"/>
      <c r="B604" s="457"/>
      <c r="C604" s="457"/>
      <c r="D604" s="499"/>
      <c r="E604" s="457"/>
      <c r="F604" s="457"/>
      <c r="G604" s="457"/>
      <c r="J604" s="457"/>
      <c r="K604" s="457"/>
      <c r="L604" s="499"/>
      <c r="M604" s="556"/>
      <c r="N604" s="556"/>
      <c r="O604" s="499"/>
    </row>
    <row r="605" customFormat="false" ht="20.25" hidden="false" customHeight="true" outlineLevel="0" collapsed="false">
      <c r="A605" s="457"/>
      <c r="B605" s="457"/>
      <c r="C605" s="457"/>
      <c r="D605" s="499"/>
      <c r="E605" s="457"/>
      <c r="F605" s="457"/>
      <c r="G605" s="457"/>
      <c r="J605" s="457"/>
      <c r="K605" s="457"/>
      <c r="L605" s="499"/>
      <c r="M605" s="556"/>
      <c r="N605" s="556"/>
      <c r="O605" s="499"/>
    </row>
    <row r="606" customFormat="false" ht="20.25" hidden="false" customHeight="true" outlineLevel="0" collapsed="false">
      <c r="A606" s="457"/>
      <c r="B606" s="457"/>
      <c r="C606" s="457"/>
      <c r="D606" s="499"/>
      <c r="E606" s="457"/>
      <c r="F606" s="457"/>
      <c r="G606" s="457"/>
      <c r="J606" s="457"/>
      <c r="K606" s="457"/>
      <c r="L606" s="499"/>
      <c r="M606" s="556"/>
      <c r="N606" s="556"/>
      <c r="O606" s="499"/>
    </row>
    <row r="607" customFormat="false" ht="20.25" hidden="false" customHeight="true" outlineLevel="0" collapsed="false">
      <c r="A607" s="457"/>
      <c r="B607" s="457"/>
      <c r="C607" s="457"/>
      <c r="D607" s="499"/>
      <c r="E607" s="457"/>
      <c r="F607" s="457"/>
      <c r="G607" s="457"/>
      <c r="J607" s="457"/>
      <c r="K607" s="457"/>
      <c r="L607" s="499"/>
      <c r="M607" s="556"/>
      <c r="N607" s="556"/>
      <c r="O607" s="499"/>
    </row>
    <row r="608" customFormat="false" ht="20.25" hidden="false" customHeight="true" outlineLevel="0" collapsed="false">
      <c r="A608" s="457"/>
      <c r="B608" s="457"/>
      <c r="C608" s="457"/>
      <c r="D608" s="499"/>
      <c r="E608" s="457"/>
      <c r="F608" s="457"/>
      <c r="G608" s="457"/>
      <c r="J608" s="457"/>
      <c r="K608" s="457"/>
      <c r="L608" s="499"/>
      <c r="M608" s="556"/>
      <c r="N608" s="556"/>
      <c r="O608" s="499"/>
    </row>
    <row r="609" customFormat="false" ht="20.25" hidden="false" customHeight="true" outlineLevel="0" collapsed="false">
      <c r="A609" s="457"/>
      <c r="B609" s="457"/>
      <c r="C609" s="457"/>
      <c r="D609" s="499"/>
      <c r="E609" s="457"/>
      <c r="F609" s="457"/>
      <c r="G609" s="457"/>
      <c r="J609" s="457"/>
      <c r="K609" s="457"/>
      <c r="L609" s="499"/>
      <c r="M609" s="556"/>
      <c r="N609" s="556"/>
      <c r="O609" s="499"/>
    </row>
    <row r="610" customFormat="false" ht="20.25" hidden="false" customHeight="true" outlineLevel="0" collapsed="false">
      <c r="A610" s="457"/>
      <c r="B610" s="457"/>
      <c r="C610" s="457"/>
      <c r="D610" s="499"/>
      <c r="E610" s="457"/>
      <c r="F610" s="457"/>
      <c r="G610" s="457"/>
      <c r="J610" s="457"/>
      <c r="K610" s="457"/>
      <c r="L610" s="499"/>
      <c r="M610" s="556"/>
      <c r="N610" s="556"/>
      <c r="O610" s="499"/>
    </row>
    <row r="611" customFormat="false" ht="20.25" hidden="false" customHeight="true" outlineLevel="0" collapsed="false">
      <c r="A611" s="457"/>
      <c r="B611" s="457"/>
      <c r="C611" s="457"/>
      <c r="D611" s="499"/>
      <c r="E611" s="457"/>
      <c r="F611" s="457"/>
      <c r="G611" s="457"/>
      <c r="J611" s="457"/>
      <c r="K611" s="457"/>
      <c r="L611" s="499"/>
      <c r="M611" s="556"/>
      <c r="N611" s="556"/>
      <c r="O611" s="499"/>
    </row>
    <row r="612" customFormat="false" ht="20.25" hidden="false" customHeight="true" outlineLevel="0" collapsed="false">
      <c r="A612" s="457"/>
      <c r="B612" s="457"/>
      <c r="C612" s="457"/>
      <c r="D612" s="499"/>
      <c r="E612" s="457"/>
      <c r="F612" s="457"/>
      <c r="G612" s="457"/>
      <c r="J612" s="457"/>
      <c r="K612" s="457"/>
      <c r="L612" s="499"/>
      <c r="M612" s="556"/>
      <c r="N612" s="556"/>
      <c r="O612" s="499"/>
    </row>
    <row r="613" customFormat="false" ht="20.25" hidden="false" customHeight="true" outlineLevel="0" collapsed="false">
      <c r="A613" s="457"/>
      <c r="B613" s="457"/>
      <c r="C613" s="457"/>
      <c r="D613" s="499"/>
      <c r="E613" s="457"/>
      <c r="F613" s="457"/>
      <c r="G613" s="457"/>
      <c r="J613" s="457"/>
      <c r="K613" s="457"/>
      <c r="L613" s="499"/>
      <c r="M613" s="556"/>
      <c r="N613" s="556"/>
      <c r="O613" s="499"/>
    </row>
    <row r="614" customFormat="false" ht="20.25" hidden="false" customHeight="true" outlineLevel="0" collapsed="false">
      <c r="A614" s="457"/>
      <c r="B614" s="457"/>
      <c r="C614" s="457"/>
      <c r="D614" s="499"/>
      <c r="E614" s="457"/>
      <c r="F614" s="457"/>
      <c r="G614" s="457"/>
      <c r="J614" s="457"/>
      <c r="K614" s="457"/>
      <c r="L614" s="499"/>
      <c r="M614" s="556"/>
      <c r="N614" s="556"/>
      <c r="O614" s="499"/>
    </row>
    <row r="615" customFormat="false" ht="20.25" hidden="false" customHeight="true" outlineLevel="0" collapsed="false">
      <c r="A615" s="457"/>
      <c r="B615" s="457"/>
      <c r="C615" s="457"/>
      <c r="D615" s="499"/>
      <c r="E615" s="457"/>
      <c r="F615" s="457"/>
      <c r="G615" s="457"/>
      <c r="J615" s="457"/>
      <c r="K615" s="457"/>
      <c r="L615" s="499"/>
      <c r="M615" s="556"/>
      <c r="N615" s="556"/>
      <c r="O615" s="499"/>
    </row>
    <row r="616" customFormat="false" ht="20.25" hidden="false" customHeight="true" outlineLevel="0" collapsed="false">
      <c r="A616" s="457"/>
      <c r="B616" s="457"/>
      <c r="C616" s="457"/>
      <c r="D616" s="499"/>
      <c r="E616" s="457"/>
      <c r="F616" s="457"/>
      <c r="G616" s="457"/>
      <c r="J616" s="457"/>
      <c r="K616" s="457"/>
      <c r="L616" s="499"/>
      <c r="M616" s="556"/>
      <c r="N616" s="556"/>
      <c r="O616" s="499"/>
    </row>
    <row r="617" customFormat="false" ht="20.25" hidden="false" customHeight="true" outlineLevel="0" collapsed="false">
      <c r="A617" s="457"/>
      <c r="B617" s="457"/>
      <c r="C617" s="457"/>
      <c r="D617" s="499"/>
      <c r="E617" s="457"/>
      <c r="F617" s="457"/>
      <c r="G617" s="457"/>
      <c r="J617" s="457"/>
      <c r="K617" s="457"/>
      <c r="L617" s="499"/>
      <c r="M617" s="556"/>
      <c r="N617" s="556"/>
      <c r="O617" s="499"/>
    </row>
    <row r="618" customFormat="false" ht="20.25" hidden="false" customHeight="true" outlineLevel="0" collapsed="false">
      <c r="A618" s="457"/>
      <c r="B618" s="457"/>
      <c r="C618" s="457"/>
      <c r="D618" s="499"/>
      <c r="E618" s="457"/>
      <c r="F618" s="457"/>
      <c r="G618" s="457"/>
      <c r="J618" s="457"/>
      <c r="K618" s="457"/>
      <c r="L618" s="499"/>
      <c r="M618" s="556"/>
      <c r="N618" s="556"/>
      <c r="O618" s="499"/>
    </row>
    <row r="619" customFormat="false" ht="20.25" hidden="false" customHeight="true" outlineLevel="0" collapsed="false">
      <c r="A619" s="457"/>
      <c r="B619" s="457"/>
      <c r="C619" s="457"/>
      <c r="D619" s="499"/>
      <c r="E619" s="457"/>
      <c r="F619" s="457"/>
      <c r="G619" s="457"/>
      <c r="J619" s="457"/>
      <c r="K619" s="457"/>
      <c r="L619" s="499"/>
      <c r="M619" s="556"/>
      <c r="N619" s="556"/>
      <c r="O619" s="499"/>
    </row>
    <row r="620" customFormat="false" ht="20.25" hidden="false" customHeight="true" outlineLevel="0" collapsed="false">
      <c r="A620" s="457"/>
      <c r="B620" s="457"/>
      <c r="C620" s="457"/>
      <c r="D620" s="499"/>
      <c r="E620" s="457"/>
      <c r="F620" s="457"/>
      <c r="G620" s="457"/>
      <c r="J620" s="457"/>
      <c r="K620" s="457"/>
      <c r="L620" s="499"/>
      <c r="M620" s="556"/>
      <c r="N620" s="556"/>
      <c r="O620" s="499"/>
    </row>
    <row r="621" customFormat="false" ht="20.25" hidden="false" customHeight="true" outlineLevel="0" collapsed="false">
      <c r="A621" s="457"/>
      <c r="B621" s="457"/>
      <c r="C621" s="457"/>
      <c r="D621" s="499"/>
      <c r="E621" s="457"/>
      <c r="F621" s="457"/>
      <c r="G621" s="457"/>
      <c r="J621" s="457"/>
      <c r="K621" s="457"/>
      <c r="L621" s="499"/>
      <c r="M621" s="556"/>
      <c r="N621" s="556"/>
      <c r="O621" s="499"/>
    </row>
    <row r="622" customFormat="false" ht="20.25" hidden="false" customHeight="true" outlineLevel="0" collapsed="false">
      <c r="A622" s="457"/>
      <c r="B622" s="457"/>
      <c r="C622" s="457"/>
      <c r="D622" s="499"/>
      <c r="E622" s="457"/>
      <c r="F622" s="457"/>
      <c r="G622" s="457"/>
      <c r="J622" s="457"/>
      <c r="K622" s="457"/>
      <c r="L622" s="499"/>
      <c r="M622" s="556"/>
      <c r="N622" s="556"/>
      <c r="O622" s="499"/>
    </row>
    <row r="623" customFormat="false" ht="20.25" hidden="false" customHeight="true" outlineLevel="0" collapsed="false">
      <c r="A623" s="457"/>
      <c r="B623" s="457"/>
      <c r="C623" s="457"/>
      <c r="D623" s="499"/>
      <c r="E623" s="457"/>
      <c r="F623" s="457"/>
      <c r="G623" s="457"/>
      <c r="J623" s="457"/>
      <c r="K623" s="457"/>
      <c r="L623" s="499"/>
      <c r="M623" s="556"/>
      <c r="N623" s="556"/>
      <c r="O623" s="499"/>
    </row>
    <row r="624" customFormat="false" ht="20.25" hidden="false" customHeight="true" outlineLevel="0" collapsed="false">
      <c r="A624" s="457"/>
      <c r="B624" s="457"/>
      <c r="C624" s="457"/>
      <c r="D624" s="499"/>
      <c r="E624" s="457"/>
      <c r="F624" s="457"/>
      <c r="G624" s="457"/>
      <c r="J624" s="457"/>
      <c r="K624" s="457"/>
      <c r="L624" s="499"/>
      <c r="M624" s="556"/>
      <c r="N624" s="556"/>
      <c r="O624" s="499"/>
    </row>
    <row r="625" customFormat="false" ht="20.25" hidden="false" customHeight="true" outlineLevel="0" collapsed="false">
      <c r="A625" s="457"/>
      <c r="B625" s="457"/>
      <c r="C625" s="457"/>
      <c r="D625" s="499"/>
      <c r="E625" s="457"/>
      <c r="F625" s="457"/>
      <c r="G625" s="457"/>
      <c r="J625" s="457"/>
      <c r="K625" s="457"/>
      <c r="L625" s="499"/>
      <c r="M625" s="556"/>
      <c r="N625" s="556"/>
      <c r="O625" s="499"/>
    </row>
    <row r="626" customFormat="false" ht="20.25" hidden="false" customHeight="true" outlineLevel="0" collapsed="false">
      <c r="A626" s="457"/>
      <c r="B626" s="457"/>
      <c r="C626" s="457"/>
      <c r="D626" s="499"/>
      <c r="E626" s="457"/>
      <c r="F626" s="457"/>
      <c r="G626" s="457"/>
      <c r="J626" s="457"/>
      <c r="K626" s="457"/>
      <c r="L626" s="499"/>
      <c r="M626" s="556"/>
      <c r="N626" s="556"/>
      <c r="O626" s="499"/>
    </row>
    <row r="627" customFormat="false" ht="20.25" hidden="false" customHeight="true" outlineLevel="0" collapsed="false">
      <c r="A627" s="457"/>
      <c r="B627" s="457"/>
      <c r="C627" s="457"/>
      <c r="D627" s="499"/>
      <c r="E627" s="457"/>
      <c r="F627" s="457"/>
      <c r="G627" s="457"/>
      <c r="J627" s="457"/>
      <c r="K627" s="457"/>
      <c r="L627" s="499"/>
      <c r="M627" s="556"/>
      <c r="N627" s="556"/>
      <c r="O627" s="499"/>
    </row>
    <row r="628" customFormat="false" ht="20.25" hidden="false" customHeight="true" outlineLevel="0" collapsed="false">
      <c r="A628" s="457"/>
      <c r="B628" s="457"/>
      <c r="C628" s="457"/>
      <c r="D628" s="499"/>
      <c r="E628" s="457"/>
      <c r="F628" s="457"/>
      <c r="G628" s="457"/>
      <c r="J628" s="457"/>
      <c r="K628" s="457"/>
      <c r="L628" s="499"/>
      <c r="M628" s="556"/>
      <c r="N628" s="556"/>
      <c r="O628" s="499"/>
    </row>
    <row r="629" customFormat="false" ht="20.25" hidden="false" customHeight="true" outlineLevel="0" collapsed="false">
      <c r="A629" s="457"/>
      <c r="B629" s="457"/>
      <c r="C629" s="457"/>
      <c r="D629" s="499"/>
      <c r="E629" s="457"/>
      <c r="F629" s="457"/>
      <c r="G629" s="457"/>
      <c r="J629" s="457"/>
      <c r="K629" s="457"/>
      <c r="L629" s="499"/>
      <c r="M629" s="556"/>
      <c r="N629" s="556"/>
      <c r="O629" s="499"/>
    </row>
    <row r="630" customFormat="false" ht="20.25" hidden="false" customHeight="true" outlineLevel="0" collapsed="false">
      <c r="A630" s="457"/>
      <c r="B630" s="457"/>
      <c r="C630" s="457"/>
      <c r="D630" s="499"/>
      <c r="E630" s="457"/>
      <c r="F630" s="457"/>
      <c r="G630" s="457"/>
      <c r="J630" s="457"/>
      <c r="K630" s="457"/>
      <c r="L630" s="499"/>
      <c r="M630" s="556"/>
      <c r="N630" s="556"/>
      <c r="O630" s="499"/>
    </row>
    <row r="631" customFormat="false" ht="20.25" hidden="false" customHeight="true" outlineLevel="0" collapsed="false">
      <c r="A631" s="457"/>
      <c r="B631" s="457"/>
      <c r="C631" s="457"/>
      <c r="D631" s="499"/>
      <c r="E631" s="457"/>
      <c r="F631" s="457"/>
      <c r="G631" s="457"/>
      <c r="J631" s="457"/>
      <c r="K631" s="457"/>
      <c r="L631" s="499"/>
      <c r="M631" s="556"/>
      <c r="N631" s="556"/>
      <c r="O631" s="499"/>
    </row>
    <row r="632" customFormat="false" ht="20.25" hidden="false" customHeight="true" outlineLevel="0" collapsed="false">
      <c r="A632" s="457"/>
      <c r="B632" s="457"/>
      <c r="C632" s="457"/>
      <c r="D632" s="499"/>
      <c r="E632" s="457"/>
      <c r="F632" s="457"/>
      <c r="G632" s="457"/>
      <c r="J632" s="457"/>
      <c r="K632" s="457"/>
      <c r="L632" s="499"/>
      <c r="M632" s="556"/>
      <c r="N632" s="556"/>
      <c r="O632" s="499"/>
    </row>
    <row r="633" customFormat="false" ht="20.25" hidden="false" customHeight="true" outlineLevel="0" collapsed="false">
      <c r="A633" s="457"/>
      <c r="B633" s="457"/>
      <c r="C633" s="457"/>
      <c r="D633" s="499"/>
      <c r="E633" s="457"/>
      <c r="F633" s="457"/>
      <c r="G633" s="457"/>
      <c r="J633" s="457"/>
      <c r="K633" s="457"/>
      <c r="L633" s="499"/>
      <c r="M633" s="556"/>
      <c r="N633" s="556"/>
      <c r="O633" s="499"/>
    </row>
    <row r="634" customFormat="false" ht="20.25" hidden="false" customHeight="true" outlineLevel="0" collapsed="false">
      <c r="A634" s="457"/>
      <c r="B634" s="457"/>
      <c r="C634" s="457"/>
      <c r="D634" s="499"/>
      <c r="E634" s="457"/>
      <c r="F634" s="457"/>
      <c r="G634" s="457"/>
      <c r="J634" s="457"/>
      <c r="K634" s="457"/>
      <c r="L634" s="499"/>
      <c r="M634" s="556"/>
      <c r="N634" s="556"/>
      <c r="O634" s="499"/>
    </row>
    <row r="635" customFormat="false" ht="20.25" hidden="false" customHeight="true" outlineLevel="0" collapsed="false">
      <c r="A635" s="457"/>
      <c r="B635" s="457"/>
      <c r="C635" s="457"/>
      <c r="D635" s="499"/>
      <c r="E635" s="457"/>
      <c r="F635" s="457"/>
      <c r="G635" s="457"/>
      <c r="J635" s="457"/>
      <c r="K635" s="457"/>
      <c r="L635" s="499"/>
      <c r="M635" s="556"/>
      <c r="N635" s="556"/>
      <c r="O635" s="499"/>
    </row>
    <row r="636" customFormat="false" ht="20.25" hidden="false" customHeight="true" outlineLevel="0" collapsed="false">
      <c r="A636" s="457"/>
      <c r="B636" s="457"/>
      <c r="C636" s="457"/>
      <c r="D636" s="499"/>
      <c r="E636" s="457"/>
      <c r="F636" s="457"/>
      <c r="G636" s="457"/>
      <c r="J636" s="457"/>
      <c r="K636" s="457"/>
      <c r="L636" s="499"/>
      <c r="M636" s="556"/>
      <c r="N636" s="556"/>
      <c r="O636" s="499"/>
    </row>
    <row r="637" customFormat="false" ht="20.25" hidden="false" customHeight="true" outlineLevel="0" collapsed="false">
      <c r="A637" s="457"/>
      <c r="B637" s="457"/>
      <c r="C637" s="457"/>
      <c r="D637" s="499"/>
      <c r="E637" s="457"/>
      <c r="F637" s="457"/>
      <c r="G637" s="457"/>
      <c r="J637" s="457"/>
      <c r="K637" s="457"/>
      <c r="L637" s="499"/>
      <c r="M637" s="556"/>
      <c r="N637" s="556"/>
      <c r="O637" s="499"/>
    </row>
    <row r="638" customFormat="false" ht="20.25" hidden="false" customHeight="true" outlineLevel="0" collapsed="false">
      <c r="A638" s="457"/>
      <c r="B638" s="457"/>
      <c r="C638" s="457"/>
      <c r="D638" s="499"/>
      <c r="E638" s="457"/>
      <c r="F638" s="457"/>
      <c r="G638" s="457"/>
      <c r="J638" s="457"/>
      <c r="K638" s="457"/>
      <c r="L638" s="499"/>
      <c r="M638" s="556"/>
      <c r="N638" s="556"/>
      <c r="O638" s="499"/>
    </row>
    <row r="639" customFormat="false" ht="20.25" hidden="false" customHeight="true" outlineLevel="0" collapsed="false">
      <c r="A639" s="457"/>
      <c r="B639" s="457"/>
      <c r="C639" s="457"/>
      <c r="D639" s="499"/>
      <c r="E639" s="457"/>
      <c r="F639" s="457"/>
      <c r="G639" s="457"/>
      <c r="J639" s="457"/>
      <c r="K639" s="457"/>
      <c r="L639" s="499"/>
      <c r="M639" s="556"/>
      <c r="N639" s="556"/>
      <c r="O639" s="499"/>
    </row>
    <row r="640" customFormat="false" ht="20.25" hidden="false" customHeight="true" outlineLevel="0" collapsed="false">
      <c r="A640" s="457"/>
      <c r="B640" s="457"/>
      <c r="C640" s="457"/>
      <c r="D640" s="499"/>
      <c r="E640" s="457"/>
      <c r="F640" s="457"/>
      <c r="G640" s="457"/>
      <c r="J640" s="457"/>
      <c r="K640" s="457"/>
      <c r="L640" s="499"/>
      <c r="M640" s="556"/>
      <c r="N640" s="556"/>
      <c r="O640" s="499"/>
    </row>
    <row r="641" customFormat="false" ht="20.25" hidden="false" customHeight="true" outlineLevel="0" collapsed="false">
      <c r="A641" s="457"/>
      <c r="B641" s="457"/>
      <c r="C641" s="457"/>
      <c r="D641" s="499"/>
      <c r="E641" s="457"/>
      <c r="F641" s="457"/>
      <c r="G641" s="457"/>
      <c r="J641" s="457"/>
      <c r="K641" s="457"/>
      <c r="L641" s="499"/>
      <c r="M641" s="556"/>
      <c r="N641" s="556"/>
      <c r="O641" s="499"/>
    </row>
    <row r="642" customFormat="false" ht="20.25" hidden="false" customHeight="true" outlineLevel="0" collapsed="false">
      <c r="A642" s="457"/>
      <c r="B642" s="457"/>
      <c r="C642" s="457"/>
      <c r="D642" s="499"/>
      <c r="E642" s="457"/>
      <c r="F642" s="457"/>
      <c r="G642" s="457"/>
      <c r="J642" s="457"/>
      <c r="K642" s="457"/>
      <c r="L642" s="499"/>
      <c r="M642" s="556"/>
      <c r="N642" s="556"/>
      <c r="O642" s="499"/>
    </row>
    <row r="643" customFormat="false" ht="20.25" hidden="false" customHeight="true" outlineLevel="0" collapsed="false">
      <c r="A643" s="457"/>
      <c r="B643" s="457"/>
      <c r="C643" s="457"/>
      <c r="D643" s="499"/>
      <c r="E643" s="457"/>
      <c r="F643" s="457"/>
      <c r="G643" s="457"/>
      <c r="J643" s="457"/>
      <c r="K643" s="457"/>
      <c r="L643" s="499"/>
      <c r="M643" s="556"/>
      <c r="N643" s="556"/>
      <c r="O643" s="499"/>
    </row>
    <row r="644" customFormat="false" ht="20.25" hidden="false" customHeight="true" outlineLevel="0" collapsed="false">
      <c r="A644" s="457"/>
      <c r="B644" s="457"/>
      <c r="C644" s="457"/>
      <c r="D644" s="499"/>
      <c r="E644" s="457"/>
      <c r="F644" s="457"/>
      <c r="G644" s="457"/>
      <c r="J644" s="457"/>
      <c r="K644" s="457"/>
      <c r="L644" s="499"/>
      <c r="M644" s="556"/>
      <c r="N644" s="556"/>
      <c r="O644" s="499"/>
    </row>
    <row r="645" customFormat="false" ht="20.25" hidden="false" customHeight="true" outlineLevel="0" collapsed="false">
      <c r="A645" s="457"/>
      <c r="B645" s="457"/>
      <c r="C645" s="457"/>
      <c r="D645" s="499"/>
      <c r="E645" s="457"/>
      <c r="F645" s="457"/>
      <c r="G645" s="457"/>
      <c r="J645" s="457"/>
      <c r="K645" s="457"/>
      <c r="L645" s="499"/>
      <c r="M645" s="556"/>
      <c r="N645" s="556"/>
      <c r="O645" s="499"/>
    </row>
    <row r="646" customFormat="false" ht="20.25" hidden="false" customHeight="true" outlineLevel="0" collapsed="false">
      <c r="A646" s="457"/>
      <c r="B646" s="457"/>
      <c r="C646" s="457"/>
      <c r="D646" s="499"/>
      <c r="E646" s="457"/>
      <c r="F646" s="457"/>
      <c r="G646" s="457"/>
      <c r="J646" s="457"/>
      <c r="K646" s="457"/>
      <c r="L646" s="499"/>
      <c r="M646" s="556"/>
      <c r="N646" s="556"/>
      <c r="O646" s="499"/>
    </row>
    <row r="647" customFormat="false" ht="20.25" hidden="false" customHeight="true" outlineLevel="0" collapsed="false">
      <c r="A647" s="457"/>
      <c r="B647" s="457"/>
      <c r="C647" s="457"/>
      <c r="D647" s="499"/>
      <c r="E647" s="457"/>
      <c r="F647" s="457"/>
      <c r="G647" s="457"/>
      <c r="J647" s="457"/>
      <c r="K647" s="457"/>
      <c r="L647" s="499"/>
      <c r="M647" s="556"/>
      <c r="N647" s="556"/>
      <c r="O647" s="499"/>
    </row>
    <row r="648" customFormat="false" ht="20.25" hidden="false" customHeight="true" outlineLevel="0" collapsed="false">
      <c r="A648" s="457"/>
      <c r="B648" s="457"/>
      <c r="C648" s="457"/>
      <c r="D648" s="499"/>
      <c r="E648" s="457"/>
      <c r="F648" s="457"/>
      <c r="G648" s="457"/>
      <c r="J648" s="457"/>
      <c r="K648" s="457"/>
      <c r="L648" s="499"/>
      <c r="M648" s="556"/>
      <c r="N648" s="556"/>
      <c r="O648" s="499"/>
    </row>
    <row r="649" customFormat="false" ht="20.25" hidden="false" customHeight="true" outlineLevel="0" collapsed="false">
      <c r="A649" s="457"/>
      <c r="B649" s="457"/>
      <c r="C649" s="457"/>
      <c r="D649" s="499"/>
      <c r="E649" s="457"/>
      <c r="F649" s="457"/>
      <c r="G649" s="457"/>
      <c r="J649" s="457"/>
      <c r="K649" s="457"/>
      <c r="L649" s="499"/>
      <c r="M649" s="556"/>
      <c r="N649" s="556"/>
      <c r="O649" s="499"/>
    </row>
    <row r="650" customFormat="false" ht="20.25" hidden="false" customHeight="true" outlineLevel="0" collapsed="false">
      <c r="A650" s="457"/>
      <c r="B650" s="457"/>
      <c r="C650" s="457"/>
      <c r="D650" s="499"/>
      <c r="E650" s="457"/>
      <c r="F650" s="457"/>
      <c r="G650" s="457"/>
      <c r="J650" s="457"/>
      <c r="K650" s="457"/>
      <c r="L650" s="499"/>
      <c r="M650" s="556"/>
      <c r="N650" s="556"/>
      <c r="O650" s="499"/>
    </row>
    <row r="651" customFormat="false" ht="20.25" hidden="false" customHeight="true" outlineLevel="0" collapsed="false">
      <c r="A651" s="457"/>
      <c r="B651" s="457"/>
      <c r="C651" s="457"/>
      <c r="D651" s="499"/>
      <c r="E651" s="457"/>
      <c r="F651" s="457"/>
      <c r="G651" s="457"/>
      <c r="J651" s="457"/>
      <c r="K651" s="457"/>
      <c r="L651" s="499"/>
      <c r="M651" s="556"/>
      <c r="N651" s="556"/>
      <c r="O651" s="499"/>
    </row>
    <row r="652" customFormat="false" ht="20.25" hidden="false" customHeight="true" outlineLevel="0" collapsed="false">
      <c r="A652" s="457"/>
      <c r="B652" s="457"/>
      <c r="C652" s="457"/>
      <c r="D652" s="499"/>
      <c r="E652" s="457"/>
      <c r="F652" s="457"/>
      <c r="G652" s="457"/>
      <c r="J652" s="457"/>
      <c r="K652" s="457"/>
      <c r="L652" s="499"/>
      <c r="M652" s="556"/>
      <c r="N652" s="556"/>
      <c r="O652" s="499"/>
    </row>
    <row r="653" customFormat="false" ht="20.25" hidden="false" customHeight="true" outlineLevel="0" collapsed="false">
      <c r="A653" s="457"/>
      <c r="B653" s="457"/>
      <c r="C653" s="457"/>
      <c r="D653" s="499"/>
      <c r="E653" s="457"/>
      <c r="F653" s="457"/>
      <c r="G653" s="457"/>
      <c r="J653" s="457"/>
      <c r="K653" s="457"/>
      <c r="L653" s="499"/>
      <c r="M653" s="556"/>
      <c r="N653" s="556"/>
      <c r="O653" s="499"/>
    </row>
    <row r="654" customFormat="false" ht="20.25" hidden="false" customHeight="true" outlineLevel="0" collapsed="false">
      <c r="A654" s="457"/>
      <c r="B654" s="457"/>
      <c r="C654" s="457"/>
      <c r="D654" s="499"/>
      <c r="E654" s="457"/>
      <c r="F654" s="457"/>
      <c r="G654" s="457"/>
      <c r="J654" s="457"/>
      <c r="K654" s="457"/>
      <c r="L654" s="499"/>
      <c r="M654" s="556"/>
      <c r="N654" s="556"/>
      <c r="O654" s="499"/>
    </row>
    <row r="655" customFormat="false" ht="20.25" hidden="false" customHeight="true" outlineLevel="0" collapsed="false">
      <c r="A655" s="457"/>
      <c r="B655" s="457"/>
      <c r="C655" s="457"/>
      <c r="D655" s="499"/>
      <c r="E655" s="457"/>
      <c r="F655" s="457"/>
      <c r="G655" s="457"/>
      <c r="J655" s="457"/>
      <c r="K655" s="457"/>
      <c r="L655" s="499"/>
      <c r="M655" s="556"/>
      <c r="N655" s="556"/>
      <c r="O655" s="499"/>
    </row>
    <row r="656" customFormat="false" ht="20.25" hidden="false" customHeight="true" outlineLevel="0" collapsed="false">
      <c r="A656" s="457"/>
      <c r="B656" s="457"/>
      <c r="C656" s="457"/>
      <c r="D656" s="499"/>
      <c r="E656" s="457"/>
      <c r="F656" s="457"/>
      <c r="G656" s="457"/>
      <c r="J656" s="457"/>
      <c r="K656" s="457"/>
      <c r="L656" s="499"/>
      <c r="M656" s="556"/>
      <c r="N656" s="556"/>
      <c r="O656" s="499"/>
    </row>
    <row r="657" customFormat="false" ht="20.25" hidden="false" customHeight="true" outlineLevel="0" collapsed="false">
      <c r="A657" s="457"/>
      <c r="B657" s="457"/>
      <c r="C657" s="457"/>
      <c r="D657" s="499"/>
      <c r="E657" s="457"/>
      <c r="F657" s="457"/>
      <c r="G657" s="457"/>
      <c r="J657" s="457"/>
      <c r="K657" s="457"/>
      <c r="L657" s="499"/>
      <c r="M657" s="556"/>
      <c r="N657" s="556"/>
      <c r="O657" s="499"/>
    </row>
    <row r="658" customFormat="false" ht="20.25" hidden="false" customHeight="true" outlineLevel="0" collapsed="false">
      <c r="A658" s="457"/>
      <c r="B658" s="457"/>
      <c r="C658" s="457"/>
      <c r="D658" s="499"/>
      <c r="E658" s="457"/>
      <c r="F658" s="457"/>
      <c r="G658" s="457"/>
      <c r="J658" s="457"/>
      <c r="K658" s="457"/>
      <c r="L658" s="499"/>
      <c r="M658" s="556"/>
      <c r="N658" s="556"/>
      <c r="O658" s="499"/>
    </row>
    <row r="659" customFormat="false" ht="20.25" hidden="false" customHeight="true" outlineLevel="0" collapsed="false">
      <c r="A659" s="457"/>
      <c r="B659" s="457"/>
      <c r="C659" s="457"/>
      <c r="D659" s="499"/>
      <c r="E659" s="457"/>
      <c r="F659" s="457"/>
      <c r="G659" s="457"/>
      <c r="J659" s="457"/>
      <c r="K659" s="457"/>
      <c r="L659" s="499"/>
      <c r="M659" s="556"/>
      <c r="N659" s="556"/>
      <c r="O659" s="499"/>
    </row>
    <row r="660" customFormat="false" ht="20.25" hidden="false" customHeight="true" outlineLevel="0" collapsed="false">
      <c r="A660" s="457"/>
      <c r="B660" s="457"/>
      <c r="C660" s="457"/>
      <c r="D660" s="499"/>
      <c r="E660" s="457"/>
      <c r="F660" s="457"/>
      <c r="G660" s="457"/>
      <c r="J660" s="457"/>
      <c r="K660" s="457"/>
      <c r="L660" s="499"/>
      <c r="M660" s="556"/>
      <c r="N660" s="556"/>
      <c r="O660" s="499"/>
    </row>
    <row r="661" customFormat="false" ht="20.25" hidden="false" customHeight="true" outlineLevel="0" collapsed="false">
      <c r="A661" s="457"/>
      <c r="B661" s="457"/>
      <c r="C661" s="457"/>
      <c r="D661" s="499"/>
      <c r="E661" s="457"/>
      <c r="F661" s="457"/>
      <c r="G661" s="457"/>
      <c r="J661" s="457"/>
      <c r="K661" s="457"/>
      <c r="L661" s="499"/>
      <c r="M661" s="556"/>
      <c r="N661" s="556"/>
      <c r="O661" s="499"/>
    </row>
    <row r="662" customFormat="false" ht="20.25" hidden="false" customHeight="true" outlineLevel="0" collapsed="false">
      <c r="A662" s="457"/>
      <c r="B662" s="457"/>
      <c r="C662" s="457"/>
      <c r="D662" s="499"/>
      <c r="E662" s="457"/>
      <c r="F662" s="457"/>
      <c r="G662" s="457"/>
      <c r="J662" s="457"/>
      <c r="K662" s="457"/>
      <c r="L662" s="499"/>
      <c r="M662" s="556"/>
      <c r="N662" s="556"/>
      <c r="O662" s="499"/>
    </row>
    <row r="663" customFormat="false" ht="20.25" hidden="false" customHeight="true" outlineLevel="0" collapsed="false">
      <c r="A663" s="457"/>
      <c r="B663" s="457"/>
      <c r="C663" s="457"/>
      <c r="D663" s="499"/>
      <c r="E663" s="457"/>
      <c r="F663" s="457"/>
      <c r="G663" s="457"/>
      <c r="J663" s="457"/>
      <c r="K663" s="457"/>
      <c r="L663" s="499"/>
      <c r="M663" s="556"/>
      <c r="N663" s="556"/>
      <c r="O663" s="499"/>
    </row>
    <row r="664" customFormat="false" ht="20.25" hidden="false" customHeight="true" outlineLevel="0" collapsed="false">
      <c r="A664" s="457"/>
      <c r="B664" s="457"/>
      <c r="C664" s="457"/>
      <c r="D664" s="499"/>
      <c r="E664" s="457"/>
      <c r="F664" s="457"/>
      <c r="G664" s="457"/>
      <c r="J664" s="457"/>
      <c r="K664" s="457"/>
      <c r="L664" s="499"/>
      <c r="M664" s="556"/>
      <c r="N664" s="556"/>
      <c r="O664" s="499"/>
    </row>
    <row r="665" customFormat="false" ht="20.25" hidden="false" customHeight="true" outlineLevel="0" collapsed="false">
      <c r="A665" s="457"/>
      <c r="B665" s="457"/>
      <c r="C665" s="457"/>
      <c r="D665" s="499"/>
      <c r="E665" s="457"/>
      <c r="F665" s="457"/>
      <c r="G665" s="457"/>
      <c r="J665" s="457"/>
      <c r="K665" s="457"/>
      <c r="L665" s="499"/>
      <c r="M665" s="556"/>
      <c r="N665" s="556"/>
      <c r="O665" s="499"/>
    </row>
    <row r="666" customFormat="false" ht="20.25" hidden="false" customHeight="true" outlineLevel="0" collapsed="false">
      <c r="A666" s="457"/>
      <c r="B666" s="457"/>
      <c r="C666" s="457"/>
      <c r="D666" s="499"/>
      <c r="E666" s="457"/>
      <c r="F666" s="457"/>
      <c r="G666" s="457"/>
      <c r="J666" s="457"/>
      <c r="K666" s="457"/>
      <c r="L666" s="499"/>
      <c r="M666" s="556"/>
      <c r="N666" s="556"/>
      <c r="O666" s="499"/>
    </row>
    <row r="667" customFormat="false" ht="20.25" hidden="false" customHeight="true" outlineLevel="0" collapsed="false">
      <c r="A667" s="457"/>
      <c r="B667" s="457"/>
      <c r="C667" s="457"/>
      <c r="D667" s="499"/>
      <c r="E667" s="457"/>
      <c r="F667" s="457"/>
      <c r="G667" s="457"/>
      <c r="J667" s="457"/>
      <c r="K667" s="457"/>
      <c r="L667" s="499"/>
      <c r="M667" s="556"/>
      <c r="N667" s="556"/>
      <c r="O667" s="499"/>
    </row>
    <row r="668" customFormat="false" ht="20.25" hidden="false" customHeight="true" outlineLevel="0" collapsed="false">
      <c r="A668" s="457"/>
      <c r="B668" s="457"/>
      <c r="C668" s="457"/>
      <c r="D668" s="499"/>
      <c r="E668" s="457"/>
      <c r="F668" s="457"/>
      <c r="G668" s="457"/>
      <c r="J668" s="457"/>
      <c r="K668" s="457"/>
      <c r="L668" s="499"/>
      <c r="M668" s="556"/>
      <c r="N668" s="556"/>
      <c r="O668" s="499"/>
    </row>
    <row r="669" customFormat="false" ht="20.25" hidden="false" customHeight="true" outlineLevel="0" collapsed="false">
      <c r="A669" s="457"/>
      <c r="B669" s="457"/>
      <c r="C669" s="457"/>
      <c r="D669" s="499"/>
      <c r="E669" s="457"/>
      <c r="F669" s="457"/>
      <c r="G669" s="457"/>
      <c r="J669" s="457"/>
      <c r="K669" s="457"/>
      <c r="L669" s="499"/>
      <c r="M669" s="556"/>
      <c r="N669" s="556"/>
      <c r="O669" s="499"/>
    </row>
    <row r="670" customFormat="false" ht="20.25" hidden="false" customHeight="true" outlineLevel="0" collapsed="false">
      <c r="A670" s="457"/>
      <c r="B670" s="457"/>
      <c r="C670" s="457"/>
      <c r="D670" s="499"/>
      <c r="E670" s="457"/>
      <c r="F670" s="457"/>
      <c r="G670" s="457"/>
      <c r="J670" s="457"/>
      <c r="K670" s="457"/>
      <c r="L670" s="499"/>
      <c r="M670" s="556"/>
      <c r="N670" s="556"/>
      <c r="O670" s="499"/>
    </row>
    <row r="671" customFormat="false" ht="20.25" hidden="false" customHeight="true" outlineLevel="0" collapsed="false">
      <c r="A671" s="457"/>
      <c r="B671" s="457"/>
      <c r="C671" s="457"/>
      <c r="D671" s="499"/>
      <c r="E671" s="457"/>
      <c r="F671" s="457"/>
      <c r="G671" s="457"/>
      <c r="J671" s="457"/>
      <c r="K671" s="457"/>
      <c r="L671" s="499"/>
      <c r="M671" s="556"/>
      <c r="N671" s="556"/>
      <c r="O671" s="499"/>
    </row>
    <row r="672" customFormat="false" ht="20.25" hidden="false" customHeight="true" outlineLevel="0" collapsed="false">
      <c r="A672" s="457"/>
      <c r="B672" s="457"/>
      <c r="C672" s="457"/>
      <c r="D672" s="499"/>
      <c r="E672" s="457"/>
      <c r="F672" s="457"/>
      <c r="G672" s="457"/>
      <c r="J672" s="457"/>
      <c r="K672" s="457"/>
      <c r="L672" s="499"/>
      <c r="M672" s="556"/>
      <c r="N672" s="556"/>
      <c r="O672" s="499"/>
    </row>
    <row r="673" customFormat="false" ht="20.25" hidden="false" customHeight="true" outlineLevel="0" collapsed="false">
      <c r="A673" s="457"/>
      <c r="B673" s="457"/>
      <c r="C673" s="457"/>
      <c r="D673" s="499"/>
      <c r="E673" s="457"/>
      <c r="F673" s="457"/>
      <c r="G673" s="457"/>
      <c r="J673" s="457"/>
      <c r="K673" s="457"/>
      <c r="L673" s="499"/>
      <c r="M673" s="556"/>
      <c r="N673" s="556"/>
      <c r="O673" s="499"/>
    </row>
    <row r="674" customFormat="false" ht="20.25" hidden="false" customHeight="true" outlineLevel="0" collapsed="false">
      <c r="A674" s="457"/>
      <c r="B674" s="457"/>
      <c r="C674" s="457"/>
      <c r="D674" s="499"/>
      <c r="E674" s="457"/>
      <c r="F674" s="457"/>
      <c r="G674" s="457"/>
      <c r="J674" s="457"/>
      <c r="K674" s="457"/>
      <c r="L674" s="499"/>
      <c r="M674" s="556"/>
      <c r="N674" s="556"/>
      <c r="O674" s="499"/>
    </row>
    <row r="675" customFormat="false" ht="20.25" hidden="false" customHeight="true" outlineLevel="0" collapsed="false">
      <c r="A675" s="457"/>
      <c r="B675" s="457"/>
      <c r="C675" s="457"/>
      <c r="D675" s="499"/>
      <c r="E675" s="457"/>
      <c r="F675" s="457"/>
      <c r="G675" s="457"/>
      <c r="J675" s="457"/>
      <c r="K675" s="457"/>
      <c r="L675" s="499"/>
      <c r="M675" s="556"/>
      <c r="N675" s="556"/>
      <c r="O675" s="499"/>
    </row>
    <row r="676" customFormat="false" ht="20.25" hidden="false" customHeight="true" outlineLevel="0" collapsed="false">
      <c r="A676" s="457"/>
      <c r="B676" s="457"/>
      <c r="C676" s="457"/>
      <c r="D676" s="499"/>
      <c r="E676" s="457"/>
      <c r="F676" s="457"/>
      <c r="G676" s="457"/>
      <c r="J676" s="457"/>
      <c r="K676" s="457"/>
      <c r="L676" s="499"/>
      <c r="M676" s="556"/>
      <c r="N676" s="556"/>
      <c r="O676" s="499"/>
    </row>
    <row r="677" customFormat="false" ht="20.25" hidden="false" customHeight="true" outlineLevel="0" collapsed="false">
      <c r="A677" s="457"/>
      <c r="B677" s="457"/>
      <c r="C677" s="457"/>
      <c r="D677" s="499"/>
      <c r="E677" s="457"/>
      <c r="F677" s="457"/>
      <c r="G677" s="457"/>
      <c r="J677" s="457"/>
      <c r="K677" s="457"/>
      <c r="L677" s="499"/>
      <c r="M677" s="556"/>
      <c r="N677" s="556"/>
      <c r="O677" s="499"/>
    </row>
    <row r="678" customFormat="false" ht="20.25" hidden="false" customHeight="true" outlineLevel="0" collapsed="false">
      <c r="A678" s="457"/>
      <c r="B678" s="457"/>
      <c r="C678" s="457"/>
      <c r="D678" s="499"/>
      <c r="E678" s="457"/>
      <c r="F678" s="457"/>
      <c r="G678" s="457"/>
      <c r="J678" s="457"/>
      <c r="K678" s="457"/>
      <c r="L678" s="499"/>
      <c r="M678" s="556"/>
      <c r="N678" s="556"/>
      <c r="O678" s="499"/>
    </row>
    <row r="679" customFormat="false" ht="20.25" hidden="false" customHeight="true" outlineLevel="0" collapsed="false">
      <c r="A679" s="457"/>
      <c r="B679" s="457"/>
      <c r="C679" s="457"/>
      <c r="D679" s="499"/>
      <c r="E679" s="457"/>
      <c r="F679" s="457"/>
      <c r="G679" s="457"/>
      <c r="J679" s="457"/>
      <c r="K679" s="457"/>
      <c r="L679" s="499"/>
      <c r="M679" s="556"/>
      <c r="N679" s="556"/>
      <c r="O679" s="499"/>
    </row>
    <row r="680" customFormat="false" ht="20.25" hidden="false" customHeight="true" outlineLevel="0" collapsed="false">
      <c r="A680" s="457"/>
      <c r="B680" s="457"/>
      <c r="C680" s="457"/>
      <c r="D680" s="499"/>
      <c r="E680" s="457"/>
      <c r="F680" s="457"/>
      <c r="G680" s="457"/>
      <c r="J680" s="457"/>
      <c r="K680" s="457"/>
      <c r="L680" s="499"/>
      <c r="M680" s="556"/>
      <c r="N680" s="556"/>
      <c r="O680" s="499"/>
    </row>
    <row r="681" customFormat="false" ht="20.25" hidden="false" customHeight="true" outlineLevel="0" collapsed="false">
      <c r="A681" s="457"/>
      <c r="B681" s="457"/>
      <c r="C681" s="457"/>
      <c r="D681" s="499"/>
      <c r="E681" s="457"/>
      <c r="F681" s="457"/>
      <c r="G681" s="457"/>
      <c r="J681" s="457"/>
      <c r="K681" s="457"/>
      <c r="L681" s="499"/>
      <c r="M681" s="556"/>
      <c r="N681" s="556"/>
      <c r="O681" s="499"/>
    </row>
    <row r="682" customFormat="false" ht="20.25" hidden="false" customHeight="true" outlineLevel="0" collapsed="false">
      <c r="A682" s="457"/>
      <c r="B682" s="457"/>
      <c r="C682" s="457"/>
      <c r="D682" s="499"/>
      <c r="E682" s="457"/>
      <c r="F682" s="457"/>
      <c r="G682" s="457"/>
      <c r="J682" s="457"/>
      <c r="K682" s="457"/>
      <c r="L682" s="499"/>
      <c r="M682" s="556"/>
      <c r="N682" s="556"/>
      <c r="O682" s="499"/>
    </row>
    <row r="683" customFormat="false" ht="20.25" hidden="false" customHeight="true" outlineLevel="0" collapsed="false">
      <c r="A683" s="457"/>
      <c r="B683" s="457"/>
      <c r="C683" s="457"/>
      <c r="D683" s="499"/>
      <c r="E683" s="457"/>
      <c r="F683" s="457"/>
      <c r="G683" s="457"/>
      <c r="J683" s="457"/>
      <c r="K683" s="457"/>
      <c r="L683" s="499"/>
      <c r="M683" s="556"/>
      <c r="N683" s="556"/>
      <c r="O683" s="499"/>
    </row>
    <row r="684" customFormat="false" ht="20.25" hidden="false" customHeight="true" outlineLevel="0" collapsed="false">
      <c r="A684" s="457"/>
      <c r="B684" s="457"/>
      <c r="C684" s="457"/>
      <c r="D684" s="499"/>
      <c r="E684" s="457"/>
      <c r="F684" s="457"/>
      <c r="G684" s="457"/>
      <c r="J684" s="457"/>
      <c r="K684" s="457"/>
      <c r="L684" s="499"/>
      <c r="M684" s="556"/>
      <c r="N684" s="556"/>
      <c r="O684" s="499"/>
    </row>
    <row r="685" customFormat="false" ht="20.25" hidden="false" customHeight="true" outlineLevel="0" collapsed="false">
      <c r="A685" s="457"/>
      <c r="B685" s="457"/>
      <c r="C685" s="457"/>
      <c r="D685" s="499"/>
      <c r="E685" s="457"/>
      <c r="F685" s="457"/>
      <c r="G685" s="457"/>
      <c r="J685" s="457"/>
      <c r="K685" s="457"/>
      <c r="L685" s="499"/>
      <c r="M685" s="556"/>
      <c r="N685" s="556"/>
      <c r="O685" s="499"/>
    </row>
    <row r="686" customFormat="false" ht="20.25" hidden="false" customHeight="true" outlineLevel="0" collapsed="false">
      <c r="A686" s="457"/>
      <c r="B686" s="457"/>
      <c r="C686" s="457"/>
      <c r="D686" s="499"/>
      <c r="E686" s="457"/>
      <c r="F686" s="457"/>
      <c r="G686" s="457"/>
      <c r="J686" s="457"/>
      <c r="K686" s="457"/>
      <c r="L686" s="499"/>
      <c r="M686" s="556"/>
      <c r="N686" s="556"/>
      <c r="O686" s="499"/>
    </row>
    <row r="687" customFormat="false" ht="20.25" hidden="false" customHeight="true" outlineLevel="0" collapsed="false">
      <c r="A687" s="457"/>
      <c r="B687" s="457"/>
      <c r="C687" s="457"/>
      <c r="D687" s="499"/>
      <c r="E687" s="457"/>
      <c r="F687" s="457"/>
      <c r="G687" s="457"/>
      <c r="J687" s="457"/>
      <c r="K687" s="457"/>
      <c r="L687" s="499"/>
      <c r="M687" s="556"/>
      <c r="N687" s="556"/>
      <c r="O687" s="499"/>
    </row>
    <row r="688" customFormat="false" ht="20.25" hidden="false" customHeight="true" outlineLevel="0" collapsed="false">
      <c r="A688" s="457"/>
      <c r="B688" s="457"/>
      <c r="C688" s="457"/>
      <c r="D688" s="499"/>
      <c r="E688" s="457"/>
      <c r="F688" s="457"/>
      <c r="G688" s="457"/>
      <c r="J688" s="457"/>
      <c r="K688" s="457"/>
      <c r="L688" s="499"/>
      <c r="M688" s="556"/>
      <c r="N688" s="556"/>
      <c r="O688" s="499"/>
    </row>
    <row r="689" customFormat="false" ht="20.25" hidden="false" customHeight="true" outlineLevel="0" collapsed="false">
      <c r="A689" s="457"/>
      <c r="B689" s="457"/>
      <c r="C689" s="457"/>
      <c r="D689" s="499"/>
      <c r="E689" s="457"/>
      <c r="F689" s="457"/>
      <c r="G689" s="457"/>
      <c r="J689" s="457"/>
      <c r="K689" s="457"/>
      <c r="L689" s="499"/>
      <c r="M689" s="556"/>
      <c r="N689" s="556"/>
      <c r="O689" s="499"/>
    </row>
    <row r="690" customFormat="false" ht="20.25" hidden="false" customHeight="true" outlineLevel="0" collapsed="false">
      <c r="A690" s="457"/>
      <c r="B690" s="457"/>
      <c r="C690" s="457"/>
      <c r="D690" s="499"/>
      <c r="E690" s="457"/>
      <c r="F690" s="457"/>
      <c r="G690" s="457"/>
      <c r="J690" s="457"/>
      <c r="K690" s="457"/>
      <c r="L690" s="499"/>
      <c r="M690" s="556"/>
      <c r="N690" s="556"/>
      <c r="O690" s="499"/>
    </row>
    <row r="691" customFormat="false" ht="20.25" hidden="false" customHeight="true" outlineLevel="0" collapsed="false">
      <c r="A691" s="457"/>
      <c r="B691" s="457"/>
      <c r="C691" s="457"/>
      <c r="D691" s="499"/>
      <c r="E691" s="457"/>
      <c r="F691" s="457"/>
      <c r="G691" s="457"/>
      <c r="J691" s="457"/>
      <c r="K691" s="457"/>
      <c r="L691" s="499"/>
      <c r="M691" s="556"/>
      <c r="N691" s="556"/>
      <c r="O691" s="499"/>
    </row>
    <row r="692" customFormat="false" ht="20.25" hidden="false" customHeight="true" outlineLevel="0" collapsed="false">
      <c r="A692" s="457"/>
      <c r="B692" s="457"/>
      <c r="C692" s="457"/>
      <c r="D692" s="499"/>
      <c r="E692" s="457"/>
      <c r="F692" s="457"/>
      <c r="G692" s="457"/>
      <c r="J692" s="457"/>
      <c r="K692" s="457"/>
      <c r="L692" s="499"/>
      <c r="M692" s="556"/>
      <c r="N692" s="556"/>
      <c r="O692" s="499"/>
    </row>
    <row r="693" customFormat="false" ht="20.25" hidden="false" customHeight="true" outlineLevel="0" collapsed="false">
      <c r="A693" s="457"/>
      <c r="B693" s="457"/>
      <c r="C693" s="457"/>
      <c r="D693" s="499"/>
      <c r="E693" s="457"/>
      <c r="F693" s="457"/>
      <c r="G693" s="457"/>
      <c r="J693" s="457"/>
      <c r="K693" s="457"/>
      <c r="L693" s="499"/>
      <c r="M693" s="556"/>
      <c r="N693" s="556"/>
      <c r="O693" s="499"/>
    </row>
    <row r="694" customFormat="false" ht="20.25" hidden="false" customHeight="true" outlineLevel="0" collapsed="false">
      <c r="A694" s="457"/>
      <c r="B694" s="457"/>
      <c r="C694" s="457"/>
      <c r="D694" s="499"/>
      <c r="E694" s="457"/>
      <c r="F694" s="457"/>
      <c r="G694" s="457"/>
      <c r="J694" s="457"/>
      <c r="K694" s="457"/>
      <c r="L694" s="499"/>
      <c r="M694" s="556"/>
      <c r="N694" s="556"/>
      <c r="O694" s="499"/>
    </row>
    <row r="695" customFormat="false" ht="20.25" hidden="false" customHeight="true" outlineLevel="0" collapsed="false">
      <c r="A695" s="457"/>
      <c r="B695" s="457"/>
      <c r="C695" s="457"/>
      <c r="D695" s="499"/>
      <c r="E695" s="457"/>
      <c r="F695" s="457"/>
      <c r="G695" s="457"/>
      <c r="J695" s="457"/>
      <c r="K695" s="457"/>
      <c r="L695" s="499"/>
      <c r="M695" s="556"/>
      <c r="N695" s="556"/>
      <c r="O695" s="499"/>
    </row>
    <row r="696" customFormat="false" ht="20.25" hidden="false" customHeight="true" outlineLevel="0" collapsed="false">
      <c r="A696" s="457"/>
      <c r="B696" s="457"/>
      <c r="C696" s="457"/>
      <c r="D696" s="499"/>
      <c r="E696" s="457"/>
      <c r="F696" s="457"/>
      <c r="G696" s="457"/>
      <c r="J696" s="457"/>
      <c r="K696" s="457"/>
      <c r="L696" s="499"/>
      <c r="M696" s="556"/>
      <c r="N696" s="556"/>
      <c r="O696" s="499"/>
    </row>
    <row r="697" customFormat="false" ht="20.25" hidden="false" customHeight="true" outlineLevel="0" collapsed="false">
      <c r="A697" s="457"/>
      <c r="B697" s="457"/>
      <c r="C697" s="457"/>
      <c r="D697" s="499"/>
      <c r="E697" s="457"/>
      <c r="F697" s="457"/>
      <c r="G697" s="457"/>
      <c r="J697" s="457"/>
      <c r="K697" s="457"/>
      <c r="L697" s="499"/>
      <c r="M697" s="556"/>
      <c r="N697" s="556"/>
      <c r="O697" s="499"/>
    </row>
    <row r="698" customFormat="false" ht="20.25" hidden="false" customHeight="true" outlineLevel="0" collapsed="false">
      <c r="A698" s="457"/>
      <c r="B698" s="457"/>
      <c r="C698" s="457"/>
      <c r="D698" s="499"/>
      <c r="E698" s="457"/>
      <c r="F698" s="457"/>
      <c r="G698" s="457"/>
      <c r="J698" s="457"/>
      <c r="K698" s="457"/>
      <c r="L698" s="499"/>
      <c r="M698" s="556"/>
      <c r="N698" s="556"/>
      <c r="O698" s="499"/>
    </row>
    <row r="699" customFormat="false" ht="20.25" hidden="false" customHeight="true" outlineLevel="0" collapsed="false">
      <c r="A699" s="457"/>
      <c r="B699" s="457"/>
      <c r="C699" s="457"/>
      <c r="D699" s="499"/>
      <c r="E699" s="457"/>
      <c r="F699" s="457"/>
      <c r="G699" s="457"/>
      <c r="J699" s="457"/>
      <c r="K699" s="457"/>
      <c r="L699" s="499"/>
      <c r="M699" s="556"/>
      <c r="N699" s="556"/>
      <c r="O699" s="499"/>
    </row>
    <row r="700" customFormat="false" ht="20.25" hidden="false" customHeight="true" outlineLevel="0" collapsed="false">
      <c r="A700" s="457"/>
      <c r="B700" s="457"/>
      <c r="C700" s="457"/>
      <c r="D700" s="499"/>
      <c r="E700" s="457"/>
      <c r="F700" s="457"/>
      <c r="G700" s="457"/>
      <c r="J700" s="457"/>
      <c r="K700" s="457"/>
      <c r="L700" s="499"/>
      <c r="M700" s="556"/>
      <c r="N700" s="556"/>
      <c r="O700" s="499"/>
    </row>
    <row r="701" customFormat="false" ht="20.25" hidden="false" customHeight="true" outlineLevel="0" collapsed="false">
      <c r="A701" s="457"/>
      <c r="B701" s="457"/>
      <c r="C701" s="457"/>
      <c r="D701" s="499"/>
      <c r="E701" s="457"/>
      <c r="F701" s="457"/>
      <c r="G701" s="457"/>
      <c r="J701" s="457"/>
      <c r="K701" s="457"/>
      <c r="L701" s="499"/>
      <c r="M701" s="556"/>
      <c r="N701" s="556"/>
      <c r="O701" s="499"/>
    </row>
    <row r="702" customFormat="false" ht="20.25" hidden="false" customHeight="true" outlineLevel="0" collapsed="false">
      <c r="A702" s="457"/>
      <c r="B702" s="457"/>
      <c r="C702" s="457"/>
      <c r="D702" s="499"/>
      <c r="E702" s="457"/>
      <c r="F702" s="457"/>
      <c r="G702" s="457"/>
      <c r="J702" s="457"/>
      <c r="K702" s="457"/>
      <c r="L702" s="499"/>
      <c r="M702" s="556"/>
      <c r="N702" s="556"/>
      <c r="O702" s="499"/>
    </row>
    <row r="703" customFormat="false" ht="20.25" hidden="false" customHeight="true" outlineLevel="0" collapsed="false">
      <c r="A703" s="457"/>
      <c r="B703" s="457"/>
      <c r="C703" s="457"/>
      <c r="D703" s="499"/>
      <c r="E703" s="457"/>
      <c r="F703" s="457"/>
      <c r="G703" s="457"/>
      <c r="J703" s="457"/>
      <c r="K703" s="457"/>
      <c r="L703" s="499"/>
      <c r="M703" s="556"/>
      <c r="N703" s="556"/>
      <c r="O703" s="499"/>
    </row>
    <row r="704" customFormat="false" ht="20.25" hidden="false" customHeight="true" outlineLevel="0" collapsed="false">
      <c r="A704" s="457"/>
      <c r="B704" s="457"/>
      <c r="C704" s="457"/>
      <c r="D704" s="499"/>
      <c r="E704" s="457"/>
      <c r="F704" s="457"/>
      <c r="G704" s="457"/>
      <c r="J704" s="457"/>
      <c r="K704" s="457"/>
      <c r="L704" s="499"/>
      <c r="M704" s="556"/>
      <c r="N704" s="556"/>
      <c r="O704" s="499"/>
    </row>
    <row r="705" customFormat="false" ht="20.25" hidden="false" customHeight="true" outlineLevel="0" collapsed="false">
      <c r="A705" s="457"/>
      <c r="B705" s="457"/>
      <c r="C705" s="457"/>
      <c r="D705" s="499"/>
      <c r="E705" s="457"/>
      <c r="F705" s="457"/>
      <c r="G705" s="457"/>
      <c r="J705" s="457"/>
      <c r="K705" s="457"/>
      <c r="L705" s="499"/>
      <c r="M705" s="556"/>
      <c r="N705" s="556"/>
      <c r="O705" s="499"/>
    </row>
    <row r="706" customFormat="false" ht="20.25" hidden="false" customHeight="true" outlineLevel="0" collapsed="false">
      <c r="A706" s="457"/>
      <c r="B706" s="457"/>
      <c r="C706" s="457"/>
      <c r="D706" s="499"/>
      <c r="E706" s="457"/>
      <c r="F706" s="457"/>
      <c r="G706" s="457"/>
      <c r="J706" s="457"/>
      <c r="K706" s="457"/>
      <c r="L706" s="499"/>
      <c r="M706" s="556"/>
      <c r="N706" s="556"/>
      <c r="O706" s="499"/>
    </row>
    <row r="707" customFormat="false" ht="20.25" hidden="false" customHeight="true" outlineLevel="0" collapsed="false">
      <c r="A707" s="457"/>
      <c r="B707" s="457"/>
      <c r="C707" s="457"/>
      <c r="D707" s="499"/>
      <c r="E707" s="457"/>
      <c r="F707" s="457"/>
      <c r="G707" s="457"/>
      <c r="J707" s="457"/>
      <c r="K707" s="457"/>
      <c r="L707" s="499"/>
      <c r="M707" s="556"/>
      <c r="N707" s="556"/>
      <c r="O707" s="499"/>
    </row>
    <row r="708" customFormat="false" ht="20.25" hidden="false" customHeight="true" outlineLevel="0" collapsed="false">
      <c r="A708" s="457"/>
      <c r="B708" s="457"/>
      <c r="C708" s="457"/>
      <c r="D708" s="499"/>
      <c r="E708" s="457"/>
      <c r="F708" s="457"/>
      <c r="G708" s="457"/>
      <c r="J708" s="457"/>
      <c r="K708" s="457"/>
      <c r="L708" s="499"/>
      <c r="M708" s="556"/>
      <c r="N708" s="556"/>
      <c r="O708" s="499"/>
    </row>
    <row r="709" customFormat="false" ht="20.25" hidden="false" customHeight="true" outlineLevel="0" collapsed="false">
      <c r="A709" s="457"/>
      <c r="B709" s="457"/>
      <c r="C709" s="457"/>
      <c r="D709" s="499"/>
      <c r="E709" s="457"/>
      <c r="F709" s="457"/>
      <c r="G709" s="457"/>
      <c r="J709" s="457"/>
      <c r="K709" s="457"/>
      <c r="L709" s="499"/>
      <c r="M709" s="556"/>
      <c r="N709" s="556"/>
      <c r="O709" s="499"/>
    </row>
    <row r="710" customFormat="false" ht="20.25" hidden="false" customHeight="true" outlineLevel="0" collapsed="false">
      <c r="A710" s="457"/>
      <c r="B710" s="457"/>
      <c r="C710" s="457"/>
      <c r="D710" s="499"/>
      <c r="E710" s="457"/>
      <c r="F710" s="457"/>
      <c r="G710" s="457"/>
      <c r="J710" s="457"/>
      <c r="K710" s="457"/>
      <c r="L710" s="499"/>
      <c r="M710" s="556"/>
      <c r="N710" s="556"/>
      <c r="O710" s="499"/>
    </row>
    <row r="711" customFormat="false" ht="20.25" hidden="false" customHeight="true" outlineLevel="0" collapsed="false">
      <c r="A711" s="457"/>
      <c r="B711" s="457"/>
      <c r="C711" s="457"/>
      <c r="D711" s="499"/>
      <c r="E711" s="457"/>
      <c r="F711" s="457"/>
      <c r="G711" s="457"/>
      <c r="J711" s="457"/>
      <c r="K711" s="457"/>
      <c r="L711" s="499"/>
      <c r="M711" s="556"/>
      <c r="N711" s="556"/>
      <c r="O711" s="499"/>
    </row>
    <row r="712" customFormat="false" ht="20.25" hidden="false" customHeight="true" outlineLevel="0" collapsed="false">
      <c r="A712" s="457"/>
      <c r="B712" s="457"/>
      <c r="C712" s="457"/>
      <c r="D712" s="499"/>
      <c r="E712" s="457"/>
      <c r="F712" s="457"/>
      <c r="G712" s="457"/>
      <c r="J712" s="457"/>
      <c r="K712" s="457"/>
      <c r="L712" s="499"/>
      <c r="M712" s="556"/>
      <c r="N712" s="556"/>
      <c r="O712" s="499"/>
    </row>
    <row r="713" customFormat="false" ht="20.25" hidden="false" customHeight="true" outlineLevel="0" collapsed="false">
      <c r="A713" s="457"/>
      <c r="B713" s="457"/>
      <c r="C713" s="457"/>
      <c r="D713" s="499"/>
      <c r="E713" s="457"/>
      <c r="F713" s="457"/>
      <c r="G713" s="457"/>
      <c r="J713" s="457"/>
      <c r="K713" s="457"/>
      <c r="L713" s="499"/>
      <c r="M713" s="556"/>
      <c r="N713" s="556"/>
      <c r="O713" s="499"/>
    </row>
    <row r="714" customFormat="false" ht="20.25" hidden="false" customHeight="true" outlineLevel="0" collapsed="false">
      <c r="A714" s="457"/>
      <c r="B714" s="457"/>
      <c r="C714" s="457"/>
      <c r="D714" s="499"/>
      <c r="E714" s="457"/>
      <c r="F714" s="457"/>
      <c r="G714" s="457"/>
      <c r="J714" s="457"/>
      <c r="K714" s="457"/>
      <c r="L714" s="499"/>
      <c r="M714" s="556"/>
      <c r="N714" s="556"/>
      <c r="O714" s="499"/>
    </row>
    <row r="715" customFormat="false" ht="20.25" hidden="false" customHeight="true" outlineLevel="0" collapsed="false">
      <c r="A715" s="457"/>
      <c r="B715" s="457"/>
      <c r="C715" s="457"/>
      <c r="D715" s="499"/>
      <c r="E715" s="457"/>
      <c r="F715" s="457"/>
      <c r="G715" s="457"/>
      <c r="J715" s="457"/>
      <c r="K715" s="457"/>
      <c r="L715" s="499"/>
      <c r="M715" s="556"/>
      <c r="N715" s="556"/>
      <c r="O715" s="499"/>
    </row>
    <row r="716" customFormat="false" ht="20.25" hidden="false" customHeight="true" outlineLevel="0" collapsed="false">
      <c r="A716" s="457"/>
      <c r="B716" s="457"/>
      <c r="C716" s="457"/>
      <c r="D716" s="499"/>
      <c r="E716" s="457"/>
      <c r="F716" s="457"/>
      <c r="G716" s="457"/>
      <c r="J716" s="457"/>
      <c r="K716" s="457"/>
      <c r="L716" s="499"/>
      <c r="M716" s="556"/>
      <c r="N716" s="556"/>
      <c r="O716" s="499"/>
    </row>
    <row r="717" customFormat="false" ht="20.25" hidden="false" customHeight="true" outlineLevel="0" collapsed="false">
      <c r="A717" s="457"/>
      <c r="B717" s="457"/>
      <c r="C717" s="457"/>
      <c r="D717" s="499"/>
      <c r="E717" s="457"/>
      <c r="F717" s="457"/>
      <c r="G717" s="457"/>
      <c r="J717" s="457"/>
      <c r="K717" s="457"/>
      <c r="L717" s="499"/>
      <c r="M717" s="556"/>
      <c r="N717" s="556"/>
      <c r="O717" s="499"/>
    </row>
    <row r="718" customFormat="false" ht="20.25" hidden="false" customHeight="true" outlineLevel="0" collapsed="false">
      <c r="A718" s="457"/>
      <c r="B718" s="457"/>
      <c r="C718" s="457"/>
      <c r="D718" s="499"/>
      <c r="E718" s="457"/>
      <c r="F718" s="457"/>
      <c r="G718" s="457"/>
      <c r="J718" s="457"/>
      <c r="K718" s="457"/>
      <c r="L718" s="499"/>
      <c r="M718" s="556"/>
      <c r="N718" s="556"/>
      <c r="O718" s="499"/>
    </row>
    <row r="719" customFormat="false" ht="20.25" hidden="false" customHeight="true" outlineLevel="0" collapsed="false">
      <c r="A719" s="457"/>
      <c r="B719" s="457"/>
      <c r="C719" s="457"/>
      <c r="D719" s="499"/>
      <c r="E719" s="457"/>
      <c r="F719" s="457"/>
      <c r="G719" s="457"/>
      <c r="J719" s="457"/>
      <c r="K719" s="457"/>
      <c r="L719" s="499"/>
      <c r="M719" s="556"/>
      <c r="N719" s="556"/>
      <c r="O719" s="499"/>
    </row>
    <row r="720" customFormat="false" ht="20.25" hidden="false" customHeight="true" outlineLevel="0" collapsed="false">
      <c r="A720" s="457"/>
      <c r="B720" s="457"/>
      <c r="C720" s="457"/>
      <c r="D720" s="499"/>
      <c r="E720" s="457"/>
      <c r="F720" s="457"/>
      <c r="G720" s="457"/>
      <c r="J720" s="457"/>
      <c r="K720" s="457"/>
      <c r="L720" s="499"/>
      <c r="M720" s="556"/>
      <c r="N720" s="556"/>
      <c r="O720" s="499"/>
    </row>
    <row r="721" customFormat="false" ht="20.25" hidden="false" customHeight="true" outlineLevel="0" collapsed="false">
      <c r="A721" s="457"/>
      <c r="B721" s="457"/>
      <c r="C721" s="457"/>
      <c r="D721" s="499"/>
      <c r="E721" s="457"/>
      <c r="F721" s="457"/>
      <c r="G721" s="457"/>
      <c r="J721" s="457"/>
      <c r="K721" s="457"/>
      <c r="L721" s="499"/>
      <c r="M721" s="556"/>
      <c r="N721" s="556"/>
      <c r="O721" s="499"/>
    </row>
    <row r="722" customFormat="false" ht="20.25" hidden="false" customHeight="true" outlineLevel="0" collapsed="false">
      <c r="A722" s="457"/>
      <c r="B722" s="457"/>
      <c r="C722" s="457"/>
      <c r="D722" s="499"/>
      <c r="E722" s="457"/>
      <c r="F722" s="457"/>
      <c r="G722" s="457"/>
      <c r="J722" s="457"/>
      <c r="K722" s="457"/>
      <c r="L722" s="499"/>
      <c r="M722" s="556"/>
      <c r="N722" s="556"/>
      <c r="O722" s="499"/>
    </row>
    <row r="723" customFormat="false" ht="20.25" hidden="false" customHeight="true" outlineLevel="0" collapsed="false">
      <c r="A723" s="457"/>
      <c r="B723" s="457"/>
      <c r="C723" s="457"/>
      <c r="D723" s="499"/>
      <c r="E723" s="457"/>
      <c r="F723" s="457"/>
      <c r="G723" s="457"/>
      <c r="J723" s="457"/>
      <c r="K723" s="457"/>
      <c r="L723" s="499"/>
      <c r="M723" s="556"/>
      <c r="N723" s="556"/>
      <c r="O723" s="499"/>
    </row>
    <row r="724" customFormat="false" ht="20.25" hidden="false" customHeight="true" outlineLevel="0" collapsed="false">
      <c r="A724" s="457"/>
      <c r="B724" s="457"/>
      <c r="C724" s="457"/>
      <c r="D724" s="499"/>
      <c r="E724" s="457"/>
      <c r="F724" s="457"/>
      <c r="G724" s="457"/>
      <c r="J724" s="457"/>
      <c r="K724" s="457"/>
      <c r="L724" s="499"/>
      <c r="M724" s="556"/>
      <c r="N724" s="556"/>
      <c r="O724" s="499"/>
    </row>
    <row r="725" customFormat="false" ht="20.25" hidden="false" customHeight="true" outlineLevel="0" collapsed="false">
      <c r="A725" s="457"/>
      <c r="B725" s="457"/>
      <c r="C725" s="457"/>
      <c r="D725" s="499"/>
      <c r="E725" s="457"/>
      <c r="F725" s="457"/>
      <c r="G725" s="457"/>
      <c r="J725" s="457"/>
      <c r="K725" s="457"/>
      <c r="L725" s="499"/>
      <c r="M725" s="556"/>
      <c r="N725" s="556"/>
      <c r="O725" s="499"/>
    </row>
    <row r="726" customFormat="false" ht="20.25" hidden="false" customHeight="true" outlineLevel="0" collapsed="false">
      <c r="A726" s="457"/>
      <c r="B726" s="457"/>
      <c r="C726" s="457"/>
      <c r="D726" s="499"/>
      <c r="E726" s="457"/>
      <c r="F726" s="457"/>
      <c r="G726" s="457"/>
      <c r="J726" s="457"/>
      <c r="K726" s="457"/>
      <c r="L726" s="499"/>
      <c r="M726" s="556"/>
      <c r="N726" s="556"/>
      <c r="O726" s="499"/>
    </row>
    <row r="727" customFormat="false" ht="20.25" hidden="false" customHeight="true" outlineLevel="0" collapsed="false">
      <c r="A727" s="457"/>
      <c r="B727" s="457"/>
      <c r="C727" s="457"/>
      <c r="D727" s="499"/>
      <c r="E727" s="457"/>
      <c r="F727" s="457"/>
      <c r="G727" s="457"/>
      <c r="J727" s="457"/>
      <c r="K727" s="457"/>
      <c r="L727" s="499"/>
      <c r="M727" s="556"/>
      <c r="N727" s="556"/>
      <c r="O727" s="499"/>
    </row>
    <row r="728" customFormat="false" ht="20.25" hidden="false" customHeight="true" outlineLevel="0" collapsed="false">
      <c r="A728" s="457"/>
      <c r="B728" s="457"/>
      <c r="C728" s="457"/>
      <c r="D728" s="499"/>
      <c r="E728" s="457"/>
      <c r="F728" s="457"/>
      <c r="G728" s="457"/>
      <c r="J728" s="457"/>
      <c r="K728" s="457"/>
      <c r="L728" s="499"/>
      <c r="M728" s="556"/>
      <c r="N728" s="556"/>
      <c r="O728" s="499"/>
    </row>
    <row r="729" customFormat="false" ht="20.25" hidden="false" customHeight="true" outlineLevel="0" collapsed="false">
      <c r="A729" s="457"/>
      <c r="B729" s="457"/>
      <c r="C729" s="457"/>
      <c r="D729" s="499"/>
      <c r="E729" s="457"/>
      <c r="F729" s="457"/>
      <c r="G729" s="457"/>
      <c r="J729" s="457"/>
      <c r="K729" s="457"/>
      <c r="L729" s="499"/>
      <c r="M729" s="556"/>
      <c r="N729" s="556"/>
      <c r="O729" s="499"/>
    </row>
    <row r="730" customFormat="false" ht="20.25" hidden="false" customHeight="true" outlineLevel="0" collapsed="false">
      <c r="A730" s="457"/>
      <c r="B730" s="457"/>
      <c r="C730" s="457"/>
      <c r="D730" s="499"/>
      <c r="E730" s="457"/>
      <c r="F730" s="457"/>
      <c r="G730" s="457"/>
      <c r="J730" s="457"/>
      <c r="K730" s="457"/>
      <c r="L730" s="499"/>
      <c r="M730" s="556"/>
      <c r="N730" s="556"/>
      <c r="O730" s="499"/>
    </row>
    <row r="731" customFormat="false" ht="20.25" hidden="false" customHeight="true" outlineLevel="0" collapsed="false">
      <c r="A731" s="457"/>
      <c r="B731" s="457"/>
      <c r="C731" s="457"/>
      <c r="D731" s="499"/>
      <c r="E731" s="457"/>
      <c r="F731" s="457"/>
      <c r="G731" s="457"/>
      <c r="J731" s="457"/>
      <c r="K731" s="457"/>
      <c r="L731" s="499"/>
      <c r="M731" s="556"/>
      <c r="N731" s="556"/>
      <c r="O731" s="499"/>
    </row>
    <row r="732" customFormat="false" ht="20.25" hidden="false" customHeight="true" outlineLevel="0" collapsed="false">
      <c r="A732" s="457"/>
      <c r="B732" s="457"/>
      <c r="C732" s="457"/>
      <c r="D732" s="499"/>
      <c r="E732" s="457"/>
      <c r="F732" s="457"/>
      <c r="G732" s="457"/>
      <c r="J732" s="457"/>
      <c r="K732" s="457"/>
      <c r="L732" s="499"/>
      <c r="M732" s="556"/>
      <c r="N732" s="556"/>
      <c r="O732" s="499"/>
    </row>
    <row r="733" customFormat="false" ht="20.25" hidden="false" customHeight="true" outlineLevel="0" collapsed="false">
      <c r="A733" s="457"/>
      <c r="B733" s="457"/>
      <c r="C733" s="457"/>
      <c r="D733" s="499"/>
      <c r="E733" s="457"/>
      <c r="F733" s="457"/>
      <c r="G733" s="457"/>
      <c r="J733" s="457"/>
      <c r="K733" s="457"/>
      <c r="L733" s="499"/>
      <c r="M733" s="556"/>
      <c r="N733" s="556"/>
      <c r="O733" s="499"/>
    </row>
    <row r="734" customFormat="false" ht="20.25" hidden="false" customHeight="true" outlineLevel="0" collapsed="false">
      <c r="A734" s="457"/>
      <c r="B734" s="457"/>
      <c r="C734" s="457"/>
      <c r="D734" s="499"/>
      <c r="E734" s="457"/>
      <c r="F734" s="457"/>
      <c r="G734" s="457"/>
      <c r="J734" s="457"/>
      <c r="K734" s="457"/>
      <c r="L734" s="499"/>
      <c r="M734" s="556"/>
      <c r="N734" s="556"/>
      <c r="O734" s="499"/>
    </row>
    <row r="735" customFormat="false" ht="20.25" hidden="false" customHeight="true" outlineLevel="0" collapsed="false">
      <c r="A735" s="457"/>
      <c r="B735" s="457"/>
      <c r="C735" s="457"/>
      <c r="D735" s="499"/>
      <c r="E735" s="457"/>
      <c r="F735" s="457"/>
      <c r="G735" s="457"/>
      <c r="J735" s="457"/>
      <c r="K735" s="457"/>
      <c r="L735" s="499"/>
      <c r="M735" s="556"/>
      <c r="N735" s="556"/>
      <c r="O735" s="499"/>
    </row>
    <row r="736" customFormat="false" ht="20.25" hidden="false" customHeight="true" outlineLevel="0" collapsed="false">
      <c r="A736" s="457"/>
      <c r="B736" s="457"/>
      <c r="C736" s="457"/>
      <c r="D736" s="499"/>
      <c r="E736" s="457"/>
      <c r="F736" s="457"/>
      <c r="G736" s="457"/>
      <c r="J736" s="457"/>
      <c r="K736" s="457"/>
      <c r="L736" s="499"/>
      <c r="M736" s="556"/>
      <c r="N736" s="556"/>
      <c r="O736" s="499"/>
    </row>
    <row r="737" customFormat="false" ht="20.25" hidden="false" customHeight="true" outlineLevel="0" collapsed="false">
      <c r="A737" s="457"/>
      <c r="B737" s="457"/>
      <c r="C737" s="457"/>
      <c r="D737" s="499"/>
      <c r="E737" s="457"/>
      <c r="F737" s="457"/>
      <c r="G737" s="457"/>
      <c r="J737" s="457"/>
      <c r="K737" s="457"/>
      <c r="L737" s="499"/>
      <c r="M737" s="556"/>
      <c r="N737" s="556"/>
      <c r="O737" s="499"/>
    </row>
    <row r="738" customFormat="false" ht="20.25" hidden="false" customHeight="true" outlineLevel="0" collapsed="false">
      <c r="A738" s="457"/>
      <c r="B738" s="457"/>
      <c r="C738" s="457"/>
      <c r="D738" s="499"/>
      <c r="E738" s="457"/>
      <c r="F738" s="457"/>
      <c r="G738" s="457"/>
      <c r="J738" s="457"/>
      <c r="K738" s="457"/>
      <c r="L738" s="499"/>
      <c r="M738" s="556"/>
      <c r="N738" s="556"/>
      <c r="O738" s="499"/>
    </row>
    <row r="739" customFormat="false" ht="20.25" hidden="false" customHeight="true" outlineLevel="0" collapsed="false">
      <c r="A739" s="457"/>
      <c r="B739" s="457"/>
      <c r="C739" s="457"/>
      <c r="D739" s="499"/>
      <c r="E739" s="457"/>
      <c r="F739" s="457"/>
      <c r="G739" s="457"/>
      <c r="J739" s="457"/>
      <c r="K739" s="457"/>
      <c r="L739" s="499"/>
      <c r="M739" s="556"/>
      <c r="N739" s="556"/>
      <c r="O739" s="499"/>
    </row>
    <row r="740" customFormat="false" ht="20.25" hidden="false" customHeight="true" outlineLevel="0" collapsed="false">
      <c r="A740" s="457"/>
      <c r="B740" s="457"/>
      <c r="C740" s="457"/>
      <c r="D740" s="499"/>
      <c r="E740" s="457"/>
      <c r="F740" s="457"/>
      <c r="G740" s="457"/>
      <c r="J740" s="457"/>
      <c r="K740" s="457"/>
      <c r="L740" s="499"/>
      <c r="M740" s="556"/>
      <c r="N740" s="556"/>
      <c r="O740" s="499"/>
    </row>
    <row r="741" customFormat="false" ht="20.25" hidden="false" customHeight="true" outlineLevel="0" collapsed="false">
      <c r="A741" s="457"/>
      <c r="B741" s="457"/>
      <c r="C741" s="457"/>
      <c r="D741" s="499"/>
      <c r="E741" s="457"/>
      <c r="F741" s="457"/>
      <c r="G741" s="457"/>
      <c r="J741" s="457"/>
      <c r="K741" s="457"/>
      <c r="L741" s="499"/>
      <c r="M741" s="556"/>
      <c r="N741" s="556"/>
      <c r="O741" s="499"/>
    </row>
    <row r="742" customFormat="false" ht="20.25" hidden="false" customHeight="true" outlineLevel="0" collapsed="false">
      <c r="A742" s="457"/>
      <c r="B742" s="457"/>
      <c r="C742" s="457"/>
      <c r="D742" s="499"/>
      <c r="E742" s="457"/>
      <c r="F742" s="457"/>
      <c r="G742" s="457"/>
      <c r="J742" s="457"/>
      <c r="K742" s="457"/>
      <c r="L742" s="499"/>
      <c r="M742" s="556"/>
      <c r="N742" s="556"/>
      <c r="O742" s="499"/>
    </row>
    <row r="743" customFormat="false" ht="20.25" hidden="false" customHeight="true" outlineLevel="0" collapsed="false">
      <c r="A743" s="457"/>
      <c r="B743" s="457"/>
      <c r="C743" s="457"/>
      <c r="D743" s="499"/>
      <c r="E743" s="457"/>
      <c r="F743" s="457"/>
      <c r="G743" s="457"/>
      <c r="J743" s="457"/>
      <c r="K743" s="457"/>
      <c r="L743" s="499"/>
      <c r="M743" s="556"/>
      <c r="N743" s="556"/>
      <c r="O743" s="499"/>
    </row>
    <row r="744" customFormat="false" ht="20.25" hidden="false" customHeight="true" outlineLevel="0" collapsed="false">
      <c r="A744" s="457"/>
      <c r="B744" s="457"/>
      <c r="C744" s="457"/>
      <c r="D744" s="499"/>
      <c r="E744" s="457"/>
      <c r="F744" s="457"/>
      <c r="G744" s="457"/>
      <c r="J744" s="457"/>
      <c r="K744" s="457"/>
      <c r="L744" s="499"/>
      <c r="M744" s="556"/>
      <c r="N744" s="556"/>
      <c r="O744" s="499"/>
    </row>
    <row r="745" customFormat="false" ht="20.25" hidden="false" customHeight="true" outlineLevel="0" collapsed="false">
      <c r="A745" s="457"/>
      <c r="B745" s="457"/>
      <c r="C745" s="457"/>
      <c r="D745" s="499"/>
      <c r="E745" s="457"/>
      <c r="F745" s="457"/>
      <c r="G745" s="457"/>
      <c r="J745" s="457"/>
      <c r="K745" s="457"/>
      <c r="L745" s="499"/>
      <c r="M745" s="556"/>
      <c r="N745" s="556"/>
      <c r="O745" s="499"/>
    </row>
    <row r="746" customFormat="false" ht="20.25" hidden="false" customHeight="true" outlineLevel="0" collapsed="false">
      <c r="A746" s="457"/>
      <c r="B746" s="457"/>
      <c r="C746" s="457"/>
      <c r="D746" s="499"/>
      <c r="E746" s="457"/>
      <c r="F746" s="457"/>
      <c r="G746" s="457"/>
      <c r="J746" s="457"/>
      <c r="K746" s="457"/>
      <c r="L746" s="499"/>
      <c r="M746" s="556"/>
      <c r="N746" s="556"/>
      <c r="O746" s="499"/>
    </row>
    <row r="747" customFormat="false" ht="20.25" hidden="false" customHeight="true" outlineLevel="0" collapsed="false">
      <c r="A747" s="457"/>
      <c r="B747" s="457"/>
      <c r="C747" s="457"/>
      <c r="D747" s="499"/>
      <c r="E747" s="457"/>
      <c r="F747" s="457"/>
      <c r="G747" s="457"/>
      <c r="J747" s="457"/>
      <c r="K747" s="457"/>
      <c r="L747" s="499"/>
      <c r="M747" s="556"/>
      <c r="N747" s="556"/>
      <c r="O747" s="499"/>
    </row>
    <row r="748" customFormat="false" ht="20.25" hidden="false" customHeight="true" outlineLevel="0" collapsed="false">
      <c r="A748" s="457"/>
      <c r="B748" s="457"/>
      <c r="C748" s="457"/>
      <c r="D748" s="499"/>
      <c r="E748" s="457"/>
      <c r="F748" s="457"/>
      <c r="G748" s="457"/>
      <c r="J748" s="457"/>
      <c r="K748" s="457"/>
      <c r="L748" s="499"/>
      <c r="M748" s="556"/>
      <c r="N748" s="556"/>
      <c r="O748" s="499"/>
    </row>
    <row r="749" customFormat="false" ht="20.25" hidden="false" customHeight="true" outlineLevel="0" collapsed="false">
      <c r="A749" s="457"/>
      <c r="B749" s="457"/>
      <c r="C749" s="457"/>
      <c r="D749" s="499"/>
      <c r="E749" s="457"/>
      <c r="F749" s="457"/>
      <c r="G749" s="457"/>
      <c r="J749" s="457"/>
      <c r="K749" s="457"/>
      <c r="L749" s="499"/>
      <c r="M749" s="556"/>
      <c r="N749" s="556"/>
      <c r="O749" s="499"/>
    </row>
    <row r="750" customFormat="false" ht="20.25" hidden="false" customHeight="true" outlineLevel="0" collapsed="false">
      <c r="A750" s="457"/>
      <c r="B750" s="457"/>
      <c r="C750" s="457"/>
      <c r="D750" s="499"/>
      <c r="E750" s="457"/>
      <c r="F750" s="457"/>
      <c r="G750" s="457"/>
      <c r="J750" s="457"/>
      <c r="K750" s="457"/>
      <c r="L750" s="499"/>
      <c r="M750" s="556"/>
      <c r="N750" s="556"/>
      <c r="O750" s="499"/>
    </row>
    <row r="751" customFormat="false" ht="20.25" hidden="false" customHeight="true" outlineLevel="0" collapsed="false">
      <c r="A751" s="457"/>
      <c r="B751" s="457"/>
      <c r="C751" s="457"/>
      <c r="D751" s="499"/>
      <c r="E751" s="457"/>
      <c r="F751" s="457"/>
      <c r="G751" s="457"/>
      <c r="J751" s="457"/>
      <c r="K751" s="457"/>
      <c r="L751" s="499"/>
      <c r="M751" s="556"/>
      <c r="N751" s="556"/>
      <c r="O751" s="499"/>
    </row>
    <row r="752" customFormat="false" ht="20.25" hidden="false" customHeight="true" outlineLevel="0" collapsed="false">
      <c r="A752" s="457"/>
      <c r="B752" s="457"/>
      <c r="C752" s="457"/>
      <c r="D752" s="499"/>
      <c r="E752" s="457"/>
      <c r="F752" s="457"/>
      <c r="G752" s="457"/>
      <c r="J752" s="457"/>
      <c r="K752" s="457"/>
      <c r="L752" s="499"/>
      <c r="M752" s="556"/>
      <c r="N752" s="556"/>
      <c r="O752" s="499"/>
    </row>
    <row r="753" customFormat="false" ht="20.25" hidden="false" customHeight="true" outlineLevel="0" collapsed="false">
      <c r="A753" s="457"/>
      <c r="B753" s="457"/>
      <c r="C753" s="457"/>
      <c r="D753" s="499"/>
      <c r="E753" s="457"/>
      <c r="F753" s="457"/>
      <c r="G753" s="457"/>
      <c r="J753" s="457"/>
      <c r="K753" s="457"/>
      <c r="L753" s="499"/>
      <c r="M753" s="556"/>
      <c r="N753" s="556"/>
      <c r="O753" s="499"/>
    </row>
    <row r="754" customFormat="false" ht="20.25" hidden="false" customHeight="true" outlineLevel="0" collapsed="false">
      <c r="A754" s="457"/>
      <c r="B754" s="457"/>
      <c r="C754" s="457"/>
      <c r="D754" s="499"/>
      <c r="E754" s="457"/>
      <c r="F754" s="457"/>
      <c r="G754" s="457"/>
      <c r="J754" s="457"/>
      <c r="K754" s="457"/>
      <c r="L754" s="499"/>
      <c r="M754" s="556"/>
      <c r="N754" s="556"/>
      <c r="O754" s="499"/>
    </row>
    <row r="755" customFormat="false" ht="20.25" hidden="false" customHeight="true" outlineLevel="0" collapsed="false">
      <c r="A755" s="457"/>
      <c r="B755" s="457"/>
      <c r="C755" s="457"/>
      <c r="D755" s="499"/>
      <c r="E755" s="457"/>
      <c r="F755" s="457"/>
      <c r="G755" s="457"/>
      <c r="J755" s="457"/>
      <c r="K755" s="457"/>
      <c r="L755" s="499"/>
      <c r="M755" s="556"/>
      <c r="N755" s="556"/>
      <c r="O755" s="499"/>
    </row>
    <row r="756" customFormat="false" ht="20.25" hidden="false" customHeight="true" outlineLevel="0" collapsed="false">
      <c r="A756" s="457"/>
      <c r="B756" s="457"/>
      <c r="C756" s="457"/>
      <c r="D756" s="499"/>
      <c r="E756" s="457"/>
      <c r="F756" s="457"/>
      <c r="G756" s="457"/>
      <c r="J756" s="457"/>
      <c r="K756" s="457"/>
      <c r="L756" s="499"/>
      <c r="M756" s="556"/>
      <c r="N756" s="556"/>
      <c r="O756" s="499"/>
    </row>
    <row r="757" customFormat="false" ht="20.25" hidden="false" customHeight="true" outlineLevel="0" collapsed="false">
      <c r="A757" s="457"/>
      <c r="B757" s="457"/>
      <c r="C757" s="457"/>
      <c r="D757" s="499"/>
      <c r="E757" s="457"/>
      <c r="F757" s="457"/>
      <c r="G757" s="457"/>
      <c r="J757" s="457"/>
      <c r="K757" s="457"/>
      <c r="L757" s="499"/>
      <c r="M757" s="556"/>
      <c r="N757" s="556"/>
      <c r="O757" s="499"/>
    </row>
    <row r="758" customFormat="false" ht="20.25" hidden="false" customHeight="true" outlineLevel="0" collapsed="false">
      <c r="A758" s="457"/>
      <c r="B758" s="457"/>
      <c r="C758" s="457"/>
      <c r="D758" s="499"/>
      <c r="E758" s="457"/>
      <c r="F758" s="457"/>
      <c r="G758" s="457"/>
      <c r="J758" s="457"/>
      <c r="K758" s="457"/>
      <c r="L758" s="499"/>
      <c r="M758" s="556"/>
      <c r="N758" s="556"/>
      <c r="O758" s="499"/>
    </row>
    <row r="759" customFormat="false" ht="20.25" hidden="false" customHeight="true" outlineLevel="0" collapsed="false">
      <c r="A759" s="457"/>
      <c r="B759" s="457"/>
      <c r="C759" s="457"/>
      <c r="D759" s="499"/>
      <c r="E759" s="457"/>
      <c r="F759" s="457"/>
      <c r="G759" s="457"/>
      <c r="J759" s="457"/>
      <c r="K759" s="457"/>
      <c r="L759" s="499"/>
      <c r="M759" s="556"/>
      <c r="N759" s="556"/>
      <c r="O759" s="499"/>
    </row>
    <row r="760" customFormat="false" ht="20.25" hidden="false" customHeight="true" outlineLevel="0" collapsed="false">
      <c r="A760" s="457"/>
      <c r="B760" s="457"/>
      <c r="C760" s="457"/>
      <c r="D760" s="499"/>
      <c r="E760" s="457"/>
      <c r="F760" s="457"/>
      <c r="G760" s="457"/>
      <c r="J760" s="457"/>
      <c r="K760" s="457"/>
      <c r="L760" s="499"/>
      <c r="M760" s="556"/>
      <c r="N760" s="556"/>
      <c r="O760" s="499"/>
    </row>
    <row r="761" customFormat="false" ht="20.25" hidden="false" customHeight="true" outlineLevel="0" collapsed="false">
      <c r="A761" s="457"/>
      <c r="B761" s="457"/>
      <c r="C761" s="457"/>
      <c r="D761" s="499"/>
      <c r="E761" s="457"/>
      <c r="F761" s="457"/>
      <c r="G761" s="457"/>
      <c r="J761" s="457"/>
      <c r="K761" s="457"/>
      <c r="L761" s="499"/>
      <c r="M761" s="556"/>
      <c r="N761" s="556"/>
      <c r="O761" s="499"/>
    </row>
    <row r="762" customFormat="false" ht="20.25" hidden="false" customHeight="true" outlineLevel="0" collapsed="false">
      <c r="A762" s="457"/>
      <c r="B762" s="457"/>
      <c r="C762" s="457"/>
      <c r="D762" s="499"/>
      <c r="E762" s="457"/>
      <c r="F762" s="457"/>
      <c r="G762" s="457"/>
      <c r="J762" s="457"/>
      <c r="K762" s="457"/>
      <c r="L762" s="499"/>
      <c r="M762" s="556"/>
      <c r="N762" s="556"/>
      <c r="O762" s="499"/>
    </row>
    <row r="763" customFormat="false" ht="20.25" hidden="false" customHeight="true" outlineLevel="0" collapsed="false">
      <c r="A763" s="457"/>
      <c r="B763" s="457"/>
      <c r="C763" s="457"/>
      <c r="D763" s="499"/>
      <c r="E763" s="457"/>
      <c r="F763" s="457"/>
      <c r="G763" s="457"/>
      <c r="J763" s="457"/>
      <c r="K763" s="457"/>
      <c r="L763" s="499"/>
      <c r="M763" s="556"/>
      <c r="N763" s="556"/>
      <c r="O763" s="499"/>
    </row>
    <row r="764" customFormat="false" ht="20.25" hidden="false" customHeight="true" outlineLevel="0" collapsed="false">
      <c r="A764" s="457"/>
      <c r="B764" s="457"/>
      <c r="C764" s="457"/>
      <c r="D764" s="499"/>
      <c r="E764" s="457"/>
      <c r="F764" s="457"/>
      <c r="G764" s="457"/>
      <c r="J764" s="457"/>
      <c r="K764" s="457"/>
      <c r="L764" s="499"/>
      <c r="M764" s="556"/>
      <c r="N764" s="556"/>
      <c r="O764" s="499"/>
    </row>
    <row r="765" customFormat="false" ht="20.25" hidden="false" customHeight="true" outlineLevel="0" collapsed="false">
      <c r="A765" s="457"/>
      <c r="B765" s="457"/>
      <c r="C765" s="457"/>
      <c r="D765" s="499"/>
      <c r="E765" s="457"/>
      <c r="F765" s="457"/>
      <c r="G765" s="457"/>
      <c r="J765" s="457"/>
      <c r="K765" s="457"/>
      <c r="L765" s="499"/>
      <c r="M765" s="556"/>
      <c r="N765" s="556"/>
      <c r="O765" s="499"/>
    </row>
    <row r="766" customFormat="false" ht="20.25" hidden="false" customHeight="true" outlineLevel="0" collapsed="false">
      <c r="A766" s="457"/>
      <c r="B766" s="457"/>
      <c r="C766" s="457"/>
      <c r="D766" s="499"/>
      <c r="E766" s="457"/>
      <c r="F766" s="457"/>
      <c r="G766" s="457"/>
      <c r="J766" s="457"/>
      <c r="K766" s="457"/>
      <c r="L766" s="499"/>
      <c r="M766" s="556"/>
      <c r="N766" s="556"/>
      <c r="O766" s="499"/>
    </row>
    <row r="767" customFormat="false" ht="20.25" hidden="false" customHeight="true" outlineLevel="0" collapsed="false">
      <c r="A767" s="457"/>
      <c r="B767" s="457"/>
      <c r="C767" s="457"/>
      <c r="D767" s="499"/>
      <c r="E767" s="457"/>
      <c r="F767" s="457"/>
      <c r="G767" s="457"/>
      <c r="J767" s="457"/>
      <c r="K767" s="457"/>
      <c r="L767" s="499"/>
      <c r="M767" s="556"/>
      <c r="N767" s="556"/>
      <c r="O767" s="499"/>
    </row>
    <row r="768" customFormat="false" ht="20.25" hidden="false" customHeight="true" outlineLevel="0" collapsed="false">
      <c r="A768" s="457"/>
      <c r="B768" s="457"/>
      <c r="C768" s="457"/>
      <c r="D768" s="499"/>
      <c r="E768" s="457"/>
      <c r="F768" s="457"/>
      <c r="G768" s="457"/>
      <c r="J768" s="457"/>
      <c r="K768" s="457"/>
      <c r="L768" s="499"/>
      <c r="M768" s="556"/>
      <c r="N768" s="556"/>
      <c r="O768" s="499"/>
    </row>
    <row r="769" customFormat="false" ht="20.25" hidden="false" customHeight="true" outlineLevel="0" collapsed="false">
      <c r="A769" s="457"/>
      <c r="B769" s="457"/>
      <c r="C769" s="457"/>
      <c r="D769" s="499"/>
      <c r="E769" s="457"/>
      <c r="F769" s="457"/>
      <c r="G769" s="457"/>
      <c r="J769" s="457"/>
      <c r="K769" s="457"/>
      <c r="L769" s="499"/>
      <c r="M769" s="556"/>
      <c r="N769" s="556"/>
      <c r="O769" s="499"/>
    </row>
    <row r="770" customFormat="false" ht="20.25" hidden="false" customHeight="true" outlineLevel="0" collapsed="false">
      <c r="A770" s="457"/>
      <c r="B770" s="457"/>
      <c r="C770" s="457"/>
      <c r="D770" s="499"/>
      <c r="E770" s="457"/>
      <c r="F770" s="457"/>
      <c r="G770" s="457"/>
      <c r="J770" s="457"/>
      <c r="K770" s="457"/>
      <c r="L770" s="499"/>
      <c r="M770" s="556"/>
      <c r="N770" s="556"/>
      <c r="O770" s="499"/>
    </row>
    <row r="771" customFormat="false" ht="20.25" hidden="false" customHeight="true" outlineLevel="0" collapsed="false">
      <c r="A771" s="457"/>
      <c r="B771" s="457"/>
      <c r="C771" s="457"/>
      <c r="D771" s="499"/>
      <c r="E771" s="457"/>
      <c r="F771" s="457"/>
      <c r="G771" s="457"/>
      <c r="J771" s="457"/>
      <c r="K771" s="457"/>
      <c r="L771" s="499"/>
      <c r="M771" s="556"/>
      <c r="N771" s="556"/>
      <c r="O771" s="499"/>
    </row>
    <row r="772" customFormat="false" ht="20.25" hidden="false" customHeight="true" outlineLevel="0" collapsed="false">
      <c r="A772" s="457"/>
      <c r="B772" s="457"/>
      <c r="C772" s="457"/>
      <c r="D772" s="499"/>
      <c r="E772" s="457"/>
      <c r="F772" s="457"/>
      <c r="G772" s="457"/>
      <c r="J772" s="457"/>
      <c r="K772" s="457"/>
      <c r="L772" s="499"/>
      <c r="M772" s="556"/>
      <c r="N772" s="556"/>
      <c r="O772" s="499"/>
    </row>
    <row r="773" customFormat="false" ht="20.25" hidden="false" customHeight="true" outlineLevel="0" collapsed="false">
      <c r="A773" s="457"/>
      <c r="B773" s="457"/>
      <c r="C773" s="457"/>
      <c r="D773" s="499"/>
      <c r="E773" s="457"/>
      <c r="F773" s="457"/>
      <c r="G773" s="457"/>
      <c r="J773" s="457"/>
      <c r="K773" s="457"/>
      <c r="L773" s="499"/>
      <c r="M773" s="556"/>
      <c r="N773" s="556"/>
      <c r="O773" s="499"/>
    </row>
    <row r="774" customFormat="false" ht="20.25" hidden="false" customHeight="true" outlineLevel="0" collapsed="false">
      <c r="A774" s="457"/>
      <c r="B774" s="457"/>
      <c r="C774" s="457"/>
      <c r="D774" s="499"/>
      <c r="E774" s="457"/>
      <c r="F774" s="457"/>
      <c r="G774" s="457"/>
      <c r="J774" s="457"/>
      <c r="K774" s="457"/>
      <c r="L774" s="499"/>
      <c r="M774" s="556"/>
      <c r="N774" s="556"/>
      <c r="O774" s="499"/>
    </row>
    <row r="775" customFormat="false" ht="20.25" hidden="false" customHeight="true" outlineLevel="0" collapsed="false">
      <c r="A775" s="457"/>
      <c r="B775" s="457"/>
      <c r="C775" s="457"/>
      <c r="D775" s="499"/>
      <c r="E775" s="457"/>
      <c r="F775" s="457"/>
      <c r="G775" s="457"/>
      <c r="J775" s="457"/>
      <c r="K775" s="457"/>
      <c r="L775" s="499"/>
      <c r="M775" s="556"/>
      <c r="N775" s="556"/>
      <c r="O775" s="499"/>
    </row>
    <row r="776" customFormat="false" ht="20.25" hidden="false" customHeight="true" outlineLevel="0" collapsed="false">
      <c r="A776" s="457"/>
      <c r="B776" s="457"/>
      <c r="C776" s="457"/>
      <c r="D776" s="499"/>
      <c r="E776" s="457"/>
      <c r="F776" s="457"/>
      <c r="G776" s="457"/>
      <c r="J776" s="457"/>
      <c r="K776" s="457"/>
      <c r="L776" s="499"/>
      <c r="M776" s="556"/>
      <c r="N776" s="556"/>
      <c r="O776" s="499"/>
    </row>
    <row r="777" customFormat="false" ht="20.25" hidden="false" customHeight="true" outlineLevel="0" collapsed="false">
      <c r="A777" s="457"/>
      <c r="B777" s="457"/>
      <c r="C777" s="457"/>
      <c r="D777" s="499"/>
      <c r="E777" s="457"/>
      <c r="F777" s="457"/>
      <c r="G777" s="457"/>
      <c r="J777" s="457"/>
      <c r="K777" s="457"/>
      <c r="L777" s="499"/>
      <c r="M777" s="556"/>
      <c r="N777" s="556"/>
      <c r="O777" s="499"/>
    </row>
    <row r="778" customFormat="false" ht="20.25" hidden="false" customHeight="true" outlineLevel="0" collapsed="false">
      <c r="A778" s="457"/>
      <c r="B778" s="457"/>
      <c r="C778" s="457"/>
      <c r="D778" s="499"/>
      <c r="E778" s="457"/>
      <c r="F778" s="457"/>
      <c r="G778" s="457"/>
      <c r="J778" s="457"/>
      <c r="K778" s="457"/>
      <c r="L778" s="499"/>
      <c r="M778" s="556"/>
      <c r="N778" s="556"/>
      <c r="O778" s="499"/>
    </row>
    <row r="779" customFormat="false" ht="20.25" hidden="false" customHeight="true" outlineLevel="0" collapsed="false">
      <c r="A779" s="457"/>
      <c r="B779" s="457"/>
      <c r="C779" s="457"/>
      <c r="D779" s="499"/>
      <c r="E779" s="457"/>
      <c r="F779" s="457"/>
      <c r="G779" s="457"/>
      <c r="J779" s="457"/>
      <c r="K779" s="457"/>
      <c r="L779" s="499"/>
      <c r="M779" s="556"/>
      <c r="N779" s="556"/>
      <c r="O779" s="499"/>
    </row>
    <row r="780" customFormat="false" ht="20.25" hidden="false" customHeight="true" outlineLevel="0" collapsed="false">
      <c r="A780" s="457"/>
      <c r="B780" s="457"/>
      <c r="C780" s="457"/>
      <c r="D780" s="499"/>
      <c r="E780" s="457"/>
      <c r="F780" s="457"/>
      <c r="G780" s="457"/>
      <c r="J780" s="457"/>
      <c r="K780" s="457"/>
      <c r="L780" s="499"/>
      <c r="M780" s="556"/>
      <c r="N780" s="556"/>
      <c r="O780" s="499"/>
    </row>
    <row r="781" customFormat="false" ht="20.25" hidden="false" customHeight="true" outlineLevel="0" collapsed="false">
      <c r="A781" s="457"/>
      <c r="B781" s="457"/>
      <c r="C781" s="457"/>
      <c r="D781" s="499"/>
      <c r="E781" s="457"/>
      <c r="F781" s="457"/>
      <c r="G781" s="457"/>
      <c r="J781" s="457"/>
      <c r="K781" s="457"/>
      <c r="L781" s="499"/>
      <c r="M781" s="556"/>
      <c r="N781" s="556"/>
      <c r="O781" s="499"/>
    </row>
    <row r="782" customFormat="false" ht="20.25" hidden="false" customHeight="true" outlineLevel="0" collapsed="false">
      <c r="A782" s="457"/>
      <c r="B782" s="457"/>
      <c r="C782" s="457"/>
      <c r="D782" s="499"/>
      <c r="E782" s="457"/>
      <c r="F782" s="457"/>
      <c r="G782" s="457"/>
      <c r="J782" s="457"/>
      <c r="K782" s="457"/>
      <c r="L782" s="499"/>
      <c r="M782" s="556"/>
      <c r="N782" s="556"/>
      <c r="O782" s="499"/>
    </row>
    <row r="783" customFormat="false" ht="20.25" hidden="false" customHeight="true" outlineLevel="0" collapsed="false">
      <c r="A783" s="457"/>
      <c r="B783" s="457"/>
      <c r="C783" s="457"/>
      <c r="D783" s="499"/>
      <c r="E783" s="457"/>
      <c r="F783" s="457"/>
      <c r="G783" s="457"/>
      <c r="J783" s="457"/>
      <c r="K783" s="457"/>
      <c r="L783" s="499"/>
      <c r="M783" s="556"/>
      <c r="N783" s="556"/>
      <c r="O783" s="499"/>
    </row>
    <row r="784" customFormat="false" ht="20.25" hidden="false" customHeight="true" outlineLevel="0" collapsed="false">
      <c r="A784" s="457"/>
      <c r="B784" s="457"/>
      <c r="C784" s="457"/>
      <c r="D784" s="499"/>
      <c r="E784" s="457"/>
      <c r="F784" s="457"/>
      <c r="G784" s="457"/>
      <c r="J784" s="457"/>
      <c r="K784" s="457"/>
      <c r="L784" s="499"/>
      <c r="M784" s="556"/>
      <c r="N784" s="556"/>
      <c r="O784" s="499"/>
    </row>
    <row r="785" customFormat="false" ht="20.25" hidden="false" customHeight="true" outlineLevel="0" collapsed="false">
      <c r="A785" s="457"/>
      <c r="B785" s="457"/>
      <c r="C785" s="457"/>
      <c r="D785" s="499"/>
      <c r="E785" s="457"/>
      <c r="F785" s="457"/>
      <c r="G785" s="457"/>
      <c r="J785" s="457"/>
      <c r="K785" s="457"/>
      <c r="L785" s="499"/>
      <c r="M785" s="556"/>
      <c r="N785" s="556"/>
      <c r="O785" s="499"/>
    </row>
    <row r="786" customFormat="false" ht="20.25" hidden="false" customHeight="true" outlineLevel="0" collapsed="false">
      <c r="A786" s="457"/>
      <c r="B786" s="457"/>
      <c r="C786" s="457"/>
      <c r="D786" s="499"/>
      <c r="E786" s="457"/>
      <c r="F786" s="457"/>
      <c r="G786" s="457"/>
      <c r="J786" s="457"/>
      <c r="K786" s="457"/>
      <c r="L786" s="499"/>
      <c r="M786" s="556"/>
      <c r="N786" s="556"/>
      <c r="O786" s="499"/>
    </row>
    <row r="787" customFormat="false" ht="20.25" hidden="false" customHeight="true" outlineLevel="0" collapsed="false">
      <c r="A787" s="457"/>
      <c r="B787" s="457"/>
      <c r="C787" s="457"/>
      <c r="D787" s="499"/>
      <c r="E787" s="457"/>
      <c r="F787" s="457"/>
      <c r="G787" s="457"/>
      <c r="J787" s="457"/>
      <c r="K787" s="457"/>
      <c r="L787" s="499"/>
      <c r="M787" s="556"/>
      <c r="N787" s="556"/>
      <c r="O787" s="499"/>
    </row>
    <row r="788" customFormat="false" ht="20.25" hidden="false" customHeight="true" outlineLevel="0" collapsed="false">
      <c r="A788" s="457"/>
      <c r="B788" s="457"/>
      <c r="C788" s="457"/>
      <c r="D788" s="499"/>
      <c r="E788" s="457"/>
      <c r="F788" s="457"/>
      <c r="G788" s="457"/>
      <c r="J788" s="457"/>
      <c r="K788" s="457"/>
      <c r="L788" s="499"/>
      <c r="M788" s="556"/>
      <c r="N788" s="556"/>
      <c r="O788" s="499"/>
    </row>
    <row r="789" customFormat="false" ht="20.25" hidden="false" customHeight="true" outlineLevel="0" collapsed="false">
      <c r="A789" s="457"/>
      <c r="B789" s="457"/>
      <c r="C789" s="457"/>
      <c r="D789" s="499"/>
      <c r="E789" s="457"/>
      <c r="F789" s="457"/>
      <c r="G789" s="457"/>
      <c r="J789" s="457"/>
      <c r="K789" s="457"/>
      <c r="L789" s="499"/>
      <c r="M789" s="556"/>
      <c r="N789" s="556"/>
      <c r="O789" s="499"/>
    </row>
    <row r="790" customFormat="false" ht="20.25" hidden="false" customHeight="true" outlineLevel="0" collapsed="false">
      <c r="A790" s="457"/>
      <c r="B790" s="457"/>
      <c r="C790" s="457"/>
      <c r="D790" s="499"/>
      <c r="E790" s="457"/>
      <c r="F790" s="457"/>
      <c r="G790" s="457"/>
      <c r="J790" s="457"/>
      <c r="K790" s="457"/>
      <c r="L790" s="499"/>
      <c r="M790" s="556"/>
      <c r="N790" s="556"/>
      <c r="O790" s="499"/>
    </row>
    <row r="791" customFormat="false" ht="20.25" hidden="false" customHeight="true" outlineLevel="0" collapsed="false">
      <c r="A791" s="457"/>
      <c r="B791" s="457"/>
      <c r="C791" s="457"/>
      <c r="D791" s="499"/>
      <c r="E791" s="457"/>
      <c r="F791" s="457"/>
      <c r="G791" s="457"/>
      <c r="J791" s="457"/>
      <c r="K791" s="457"/>
      <c r="L791" s="499"/>
      <c r="M791" s="556"/>
      <c r="N791" s="556"/>
      <c r="O791" s="499"/>
    </row>
    <row r="792" customFormat="false" ht="20.25" hidden="false" customHeight="true" outlineLevel="0" collapsed="false">
      <c r="A792" s="457"/>
      <c r="B792" s="457"/>
      <c r="C792" s="457"/>
      <c r="D792" s="499"/>
      <c r="E792" s="457"/>
      <c r="F792" s="457"/>
      <c r="G792" s="457"/>
      <c r="J792" s="457"/>
      <c r="K792" s="457"/>
      <c r="L792" s="499"/>
      <c r="M792" s="556"/>
      <c r="N792" s="556"/>
      <c r="O792" s="499"/>
    </row>
    <row r="793" customFormat="false" ht="20.25" hidden="false" customHeight="true" outlineLevel="0" collapsed="false">
      <c r="A793" s="457"/>
      <c r="B793" s="457"/>
      <c r="C793" s="457"/>
      <c r="D793" s="499"/>
      <c r="E793" s="457"/>
      <c r="F793" s="457"/>
      <c r="G793" s="457"/>
      <c r="J793" s="457"/>
      <c r="K793" s="457"/>
      <c r="L793" s="499"/>
      <c r="M793" s="556"/>
      <c r="N793" s="556"/>
      <c r="O793" s="499"/>
    </row>
    <row r="794" customFormat="false" ht="20.25" hidden="false" customHeight="true" outlineLevel="0" collapsed="false">
      <c r="A794" s="457"/>
      <c r="B794" s="457"/>
      <c r="C794" s="457"/>
      <c r="D794" s="499"/>
      <c r="E794" s="457"/>
      <c r="F794" s="457"/>
      <c r="G794" s="457"/>
      <c r="J794" s="457"/>
      <c r="K794" s="457"/>
      <c r="L794" s="499"/>
      <c r="M794" s="556"/>
      <c r="N794" s="556"/>
      <c r="O794" s="499"/>
    </row>
    <row r="795" customFormat="false" ht="20.25" hidden="false" customHeight="true" outlineLevel="0" collapsed="false">
      <c r="A795" s="457"/>
      <c r="B795" s="457"/>
      <c r="C795" s="457"/>
      <c r="D795" s="499"/>
      <c r="E795" s="457"/>
      <c r="F795" s="457"/>
      <c r="G795" s="457"/>
      <c r="J795" s="457"/>
      <c r="K795" s="457"/>
      <c r="L795" s="499"/>
      <c r="M795" s="556"/>
      <c r="N795" s="556"/>
      <c r="O795" s="499"/>
    </row>
    <row r="796" customFormat="false" ht="20.25" hidden="false" customHeight="true" outlineLevel="0" collapsed="false">
      <c r="A796" s="457"/>
      <c r="B796" s="457"/>
      <c r="C796" s="457"/>
      <c r="D796" s="499"/>
      <c r="E796" s="457"/>
      <c r="F796" s="457"/>
      <c r="G796" s="457"/>
      <c r="J796" s="457"/>
      <c r="K796" s="457"/>
      <c r="L796" s="499"/>
      <c r="M796" s="556"/>
      <c r="N796" s="556"/>
      <c r="O796" s="499"/>
    </row>
    <row r="797" customFormat="false" ht="20.25" hidden="false" customHeight="true" outlineLevel="0" collapsed="false">
      <c r="A797" s="457"/>
      <c r="B797" s="457"/>
      <c r="C797" s="457"/>
      <c r="D797" s="499"/>
      <c r="E797" s="457"/>
      <c r="F797" s="457"/>
      <c r="G797" s="457"/>
      <c r="J797" s="457"/>
      <c r="K797" s="457"/>
      <c r="L797" s="499"/>
      <c r="M797" s="556"/>
      <c r="N797" s="556"/>
      <c r="O797" s="499"/>
    </row>
    <row r="798" customFormat="false" ht="20.25" hidden="false" customHeight="true" outlineLevel="0" collapsed="false">
      <c r="A798" s="457"/>
      <c r="B798" s="457"/>
      <c r="C798" s="457"/>
      <c r="D798" s="499"/>
      <c r="E798" s="457"/>
      <c r="F798" s="457"/>
      <c r="G798" s="457"/>
      <c r="J798" s="457"/>
      <c r="K798" s="457"/>
      <c r="L798" s="499"/>
      <c r="M798" s="556"/>
      <c r="N798" s="556"/>
      <c r="O798" s="499"/>
    </row>
    <row r="799" customFormat="false" ht="20.25" hidden="false" customHeight="true" outlineLevel="0" collapsed="false">
      <c r="A799" s="457"/>
      <c r="B799" s="457"/>
      <c r="C799" s="457"/>
      <c r="D799" s="499"/>
      <c r="E799" s="457"/>
      <c r="F799" s="457"/>
      <c r="G799" s="457"/>
      <c r="J799" s="457"/>
      <c r="K799" s="457"/>
      <c r="L799" s="499"/>
      <c r="M799" s="556"/>
      <c r="N799" s="556"/>
      <c r="O799" s="499"/>
    </row>
    <row r="800" customFormat="false" ht="20.25" hidden="false" customHeight="true" outlineLevel="0" collapsed="false">
      <c r="A800" s="457"/>
      <c r="B800" s="457"/>
      <c r="C800" s="457"/>
      <c r="D800" s="499"/>
      <c r="E800" s="457"/>
      <c r="F800" s="457"/>
      <c r="G800" s="457"/>
      <c r="J800" s="457"/>
      <c r="K800" s="457"/>
      <c r="L800" s="499"/>
      <c r="M800" s="556"/>
      <c r="N800" s="556"/>
      <c r="O800" s="499"/>
    </row>
    <row r="801" customFormat="false" ht="20.25" hidden="false" customHeight="true" outlineLevel="0" collapsed="false">
      <c r="A801" s="457"/>
      <c r="B801" s="457"/>
      <c r="C801" s="457"/>
      <c r="D801" s="499"/>
      <c r="E801" s="457"/>
      <c r="F801" s="457"/>
      <c r="G801" s="457"/>
      <c r="J801" s="457"/>
      <c r="K801" s="457"/>
      <c r="L801" s="499"/>
      <c r="M801" s="556"/>
      <c r="N801" s="556"/>
      <c r="O801" s="499"/>
    </row>
    <row r="802" customFormat="false" ht="20.25" hidden="false" customHeight="true" outlineLevel="0" collapsed="false">
      <c r="A802" s="457"/>
      <c r="B802" s="457"/>
      <c r="C802" s="457"/>
      <c r="D802" s="499"/>
      <c r="E802" s="457"/>
      <c r="F802" s="457"/>
      <c r="G802" s="457"/>
      <c r="J802" s="457"/>
      <c r="K802" s="457"/>
      <c r="L802" s="499"/>
      <c r="M802" s="556"/>
      <c r="N802" s="556"/>
      <c r="O802" s="499"/>
    </row>
    <row r="803" customFormat="false" ht="20.25" hidden="false" customHeight="true" outlineLevel="0" collapsed="false">
      <c r="A803" s="457"/>
      <c r="B803" s="457"/>
      <c r="C803" s="457"/>
      <c r="D803" s="499"/>
      <c r="E803" s="457"/>
      <c r="F803" s="457"/>
      <c r="G803" s="457"/>
      <c r="J803" s="457"/>
      <c r="K803" s="457"/>
      <c r="L803" s="499"/>
      <c r="M803" s="556"/>
      <c r="N803" s="556"/>
      <c r="O803" s="499"/>
    </row>
    <row r="804" customFormat="false" ht="20.25" hidden="false" customHeight="true" outlineLevel="0" collapsed="false">
      <c r="A804" s="457"/>
      <c r="B804" s="457"/>
      <c r="C804" s="457"/>
      <c r="D804" s="499"/>
      <c r="E804" s="457"/>
      <c r="F804" s="457"/>
      <c r="G804" s="457"/>
      <c r="J804" s="457"/>
      <c r="K804" s="457"/>
      <c r="L804" s="499"/>
      <c r="M804" s="556"/>
      <c r="N804" s="556"/>
      <c r="O804" s="499"/>
    </row>
    <row r="805" customFormat="false" ht="20.25" hidden="false" customHeight="true" outlineLevel="0" collapsed="false">
      <c r="A805" s="457"/>
      <c r="B805" s="457"/>
      <c r="C805" s="457"/>
      <c r="D805" s="499"/>
      <c r="E805" s="457"/>
      <c r="F805" s="457"/>
      <c r="G805" s="457"/>
      <c r="J805" s="457"/>
      <c r="K805" s="457"/>
      <c r="L805" s="499"/>
      <c r="M805" s="556"/>
      <c r="N805" s="556"/>
      <c r="O805" s="499"/>
    </row>
    <row r="806" customFormat="false" ht="20.25" hidden="false" customHeight="true" outlineLevel="0" collapsed="false">
      <c r="A806" s="457"/>
      <c r="B806" s="457"/>
      <c r="C806" s="457"/>
      <c r="D806" s="499"/>
      <c r="E806" s="457"/>
      <c r="F806" s="457"/>
      <c r="G806" s="457"/>
      <c r="J806" s="457"/>
      <c r="K806" s="457"/>
      <c r="L806" s="499"/>
      <c r="M806" s="556"/>
      <c r="N806" s="556"/>
      <c r="O806" s="499"/>
    </row>
    <row r="807" customFormat="false" ht="20.25" hidden="false" customHeight="true" outlineLevel="0" collapsed="false">
      <c r="A807" s="457"/>
      <c r="B807" s="457"/>
      <c r="C807" s="457"/>
      <c r="D807" s="499"/>
      <c r="E807" s="457"/>
      <c r="F807" s="457"/>
      <c r="G807" s="457"/>
      <c r="J807" s="457"/>
      <c r="K807" s="457"/>
      <c r="L807" s="499"/>
      <c r="M807" s="556"/>
      <c r="N807" s="556"/>
      <c r="O807" s="499"/>
    </row>
    <row r="808" customFormat="false" ht="20.25" hidden="false" customHeight="true" outlineLevel="0" collapsed="false">
      <c r="A808" s="457"/>
      <c r="B808" s="457"/>
      <c r="C808" s="457"/>
      <c r="D808" s="499"/>
      <c r="E808" s="457"/>
      <c r="F808" s="457"/>
      <c r="G808" s="457"/>
      <c r="J808" s="457"/>
      <c r="K808" s="457"/>
      <c r="L808" s="499"/>
      <c r="M808" s="556"/>
      <c r="N808" s="556"/>
      <c r="O808" s="499"/>
    </row>
    <row r="809" customFormat="false" ht="20.25" hidden="false" customHeight="true" outlineLevel="0" collapsed="false">
      <c r="A809" s="457"/>
      <c r="B809" s="457"/>
      <c r="C809" s="457"/>
      <c r="D809" s="499"/>
      <c r="E809" s="457"/>
      <c r="F809" s="457"/>
      <c r="G809" s="457"/>
      <c r="J809" s="457"/>
      <c r="K809" s="457"/>
      <c r="L809" s="499"/>
      <c r="M809" s="556"/>
      <c r="N809" s="556"/>
      <c r="O809" s="499"/>
    </row>
    <row r="810" customFormat="false" ht="20.25" hidden="false" customHeight="true" outlineLevel="0" collapsed="false">
      <c r="A810" s="457"/>
      <c r="B810" s="457"/>
      <c r="C810" s="457"/>
      <c r="D810" s="499"/>
      <c r="E810" s="457"/>
      <c r="F810" s="457"/>
      <c r="G810" s="457"/>
      <c r="J810" s="457"/>
      <c r="K810" s="457"/>
      <c r="L810" s="499"/>
      <c r="M810" s="556"/>
      <c r="N810" s="556"/>
      <c r="O810" s="499"/>
    </row>
    <row r="811" customFormat="false" ht="20.25" hidden="false" customHeight="true" outlineLevel="0" collapsed="false">
      <c r="A811" s="457"/>
      <c r="B811" s="457"/>
      <c r="C811" s="457"/>
      <c r="D811" s="499"/>
      <c r="E811" s="457"/>
      <c r="F811" s="457"/>
      <c r="G811" s="457"/>
      <c r="J811" s="457"/>
      <c r="K811" s="457"/>
      <c r="L811" s="499"/>
      <c r="M811" s="556"/>
      <c r="N811" s="556"/>
      <c r="O811" s="499"/>
    </row>
    <row r="812" customFormat="false" ht="20.25" hidden="false" customHeight="true" outlineLevel="0" collapsed="false">
      <c r="A812" s="457"/>
      <c r="B812" s="457"/>
      <c r="C812" s="457"/>
      <c r="D812" s="499"/>
      <c r="E812" s="457"/>
      <c r="F812" s="457"/>
      <c r="G812" s="457"/>
      <c r="J812" s="457"/>
      <c r="K812" s="457"/>
      <c r="L812" s="499"/>
      <c r="M812" s="556"/>
      <c r="N812" s="556"/>
      <c r="O812" s="499"/>
    </row>
    <row r="813" customFormat="false" ht="20.25" hidden="false" customHeight="true" outlineLevel="0" collapsed="false">
      <c r="A813" s="457"/>
      <c r="B813" s="457"/>
      <c r="C813" s="457"/>
      <c r="D813" s="499"/>
      <c r="E813" s="457"/>
      <c r="F813" s="457"/>
      <c r="G813" s="457"/>
      <c r="J813" s="457"/>
      <c r="K813" s="457"/>
      <c r="L813" s="499"/>
      <c r="M813" s="556"/>
      <c r="N813" s="556"/>
      <c r="O813" s="499"/>
    </row>
    <row r="814" customFormat="false" ht="20.25" hidden="false" customHeight="true" outlineLevel="0" collapsed="false">
      <c r="A814" s="457"/>
      <c r="B814" s="457"/>
      <c r="C814" s="457"/>
      <c r="D814" s="499"/>
      <c r="E814" s="457"/>
      <c r="F814" s="457"/>
      <c r="G814" s="457"/>
      <c r="J814" s="457"/>
      <c r="K814" s="457"/>
      <c r="L814" s="499"/>
      <c r="M814" s="556"/>
      <c r="N814" s="556"/>
      <c r="O814" s="499"/>
    </row>
    <row r="815" customFormat="false" ht="20.25" hidden="false" customHeight="true" outlineLevel="0" collapsed="false">
      <c r="A815" s="457"/>
      <c r="B815" s="457"/>
      <c r="C815" s="457"/>
      <c r="D815" s="499"/>
      <c r="E815" s="457"/>
      <c r="F815" s="457"/>
      <c r="G815" s="457"/>
      <c r="J815" s="457"/>
      <c r="K815" s="457"/>
      <c r="L815" s="499"/>
      <c r="M815" s="556"/>
      <c r="N815" s="556"/>
      <c r="O815" s="499"/>
    </row>
    <row r="816" customFormat="false" ht="20.25" hidden="false" customHeight="true" outlineLevel="0" collapsed="false">
      <c r="A816" s="457"/>
      <c r="B816" s="457"/>
      <c r="C816" s="457"/>
      <c r="D816" s="499"/>
      <c r="E816" s="457"/>
      <c r="F816" s="457"/>
      <c r="G816" s="457"/>
      <c r="J816" s="457"/>
      <c r="K816" s="457"/>
      <c r="L816" s="499"/>
      <c r="M816" s="556"/>
      <c r="N816" s="556"/>
      <c r="O816" s="499"/>
    </row>
    <row r="817" customFormat="false" ht="20.25" hidden="false" customHeight="true" outlineLevel="0" collapsed="false">
      <c r="A817" s="457"/>
      <c r="B817" s="457"/>
      <c r="C817" s="457"/>
      <c r="D817" s="499"/>
      <c r="E817" s="457"/>
      <c r="F817" s="457"/>
      <c r="G817" s="457"/>
      <c r="J817" s="457"/>
      <c r="K817" s="457"/>
      <c r="L817" s="499"/>
      <c r="M817" s="556"/>
      <c r="N817" s="556"/>
      <c r="O817" s="499"/>
    </row>
    <row r="818" customFormat="false" ht="20.25" hidden="false" customHeight="true" outlineLevel="0" collapsed="false">
      <c r="A818" s="457"/>
      <c r="B818" s="457"/>
      <c r="C818" s="457"/>
      <c r="D818" s="499"/>
      <c r="E818" s="457"/>
      <c r="F818" s="457"/>
      <c r="G818" s="457"/>
      <c r="J818" s="457"/>
      <c r="K818" s="457"/>
      <c r="L818" s="499"/>
      <c r="M818" s="556"/>
      <c r="N818" s="556"/>
      <c r="O818" s="499"/>
    </row>
    <row r="819" customFormat="false" ht="20.25" hidden="false" customHeight="true" outlineLevel="0" collapsed="false">
      <c r="A819" s="457"/>
      <c r="B819" s="457"/>
      <c r="C819" s="457"/>
      <c r="D819" s="499"/>
      <c r="E819" s="457"/>
      <c r="F819" s="457"/>
      <c r="G819" s="457"/>
      <c r="J819" s="457"/>
      <c r="K819" s="457"/>
      <c r="L819" s="499"/>
      <c r="M819" s="556"/>
      <c r="N819" s="556"/>
      <c r="O819" s="499"/>
    </row>
    <row r="820" customFormat="false" ht="20.25" hidden="false" customHeight="true" outlineLevel="0" collapsed="false">
      <c r="A820" s="457"/>
      <c r="B820" s="457"/>
      <c r="C820" s="457"/>
      <c r="D820" s="499"/>
      <c r="E820" s="457"/>
      <c r="F820" s="457"/>
      <c r="G820" s="457"/>
      <c r="J820" s="457"/>
      <c r="K820" s="457"/>
      <c r="L820" s="499"/>
      <c r="M820" s="556"/>
      <c r="N820" s="556"/>
      <c r="O820" s="499"/>
    </row>
    <row r="821" customFormat="false" ht="20.25" hidden="false" customHeight="true" outlineLevel="0" collapsed="false">
      <c r="A821" s="457"/>
      <c r="B821" s="457"/>
      <c r="C821" s="457"/>
      <c r="D821" s="499"/>
      <c r="E821" s="457"/>
      <c r="F821" s="457"/>
      <c r="G821" s="457"/>
      <c r="J821" s="457"/>
      <c r="K821" s="457"/>
      <c r="L821" s="499"/>
      <c r="M821" s="556"/>
      <c r="N821" s="556"/>
      <c r="O821" s="499"/>
    </row>
    <row r="822" customFormat="false" ht="20.25" hidden="false" customHeight="true" outlineLevel="0" collapsed="false">
      <c r="A822" s="457"/>
      <c r="B822" s="457"/>
      <c r="C822" s="457"/>
      <c r="D822" s="499"/>
      <c r="E822" s="457"/>
      <c r="F822" s="457"/>
      <c r="G822" s="457"/>
      <c r="J822" s="457"/>
      <c r="K822" s="457"/>
      <c r="L822" s="499"/>
      <c r="M822" s="556"/>
      <c r="N822" s="556"/>
      <c r="O822" s="499"/>
    </row>
    <row r="823" customFormat="false" ht="20.25" hidden="false" customHeight="true" outlineLevel="0" collapsed="false">
      <c r="A823" s="457"/>
      <c r="B823" s="457"/>
      <c r="C823" s="457"/>
      <c r="D823" s="499"/>
      <c r="E823" s="457"/>
      <c r="F823" s="457"/>
      <c r="G823" s="457"/>
      <c r="J823" s="457"/>
      <c r="K823" s="457"/>
      <c r="L823" s="499"/>
      <c r="M823" s="556"/>
      <c r="N823" s="556"/>
      <c r="O823" s="499"/>
    </row>
    <row r="824" customFormat="false" ht="20.25" hidden="false" customHeight="true" outlineLevel="0" collapsed="false">
      <c r="A824" s="457"/>
      <c r="B824" s="457"/>
      <c r="C824" s="457"/>
      <c r="D824" s="499"/>
      <c r="E824" s="457"/>
      <c r="F824" s="457"/>
      <c r="G824" s="457"/>
      <c r="J824" s="457"/>
      <c r="K824" s="457"/>
      <c r="L824" s="499"/>
      <c r="M824" s="556"/>
      <c r="N824" s="556"/>
      <c r="O824" s="499"/>
    </row>
    <row r="825" customFormat="false" ht="20.25" hidden="false" customHeight="true" outlineLevel="0" collapsed="false">
      <c r="A825" s="457"/>
      <c r="B825" s="457"/>
      <c r="C825" s="457"/>
      <c r="D825" s="499"/>
      <c r="E825" s="457"/>
      <c r="F825" s="457"/>
      <c r="G825" s="457"/>
      <c r="J825" s="457"/>
      <c r="K825" s="457"/>
      <c r="L825" s="499"/>
      <c r="M825" s="556"/>
      <c r="N825" s="556"/>
      <c r="O825" s="499"/>
    </row>
    <row r="826" customFormat="false" ht="20.25" hidden="false" customHeight="true" outlineLevel="0" collapsed="false">
      <c r="A826" s="457"/>
      <c r="B826" s="457"/>
      <c r="C826" s="457"/>
      <c r="D826" s="499"/>
      <c r="E826" s="457"/>
      <c r="F826" s="457"/>
      <c r="G826" s="457"/>
      <c r="J826" s="457"/>
      <c r="K826" s="457"/>
      <c r="L826" s="499"/>
      <c r="M826" s="556"/>
      <c r="N826" s="556"/>
      <c r="O826" s="499"/>
    </row>
    <row r="827" customFormat="false" ht="20.25" hidden="false" customHeight="true" outlineLevel="0" collapsed="false">
      <c r="A827" s="457"/>
      <c r="B827" s="457"/>
      <c r="C827" s="457"/>
      <c r="D827" s="499"/>
      <c r="E827" s="457"/>
      <c r="F827" s="457"/>
      <c r="G827" s="457"/>
      <c r="J827" s="457"/>
      <c r="K827" s="457"/>
      <c r="L827" s="499"/>
      <c r="M827" s="556"/>
      <c r="N827" s="556"/>
      <c r="O827" s="499"/>
    </row>
    <row r="828" customFormat="false" ht="20.25" hidden="false" customHeight="true" outlineLevel="0" collapsed="false">
      <c r="A828" s="457"/>
      <c r="B828" s="457"/>
      <c r="C828" s="457"/>
      <c r="D828" s="499"/>
      <c r="E828" s="457"/>
      <c r="F828" s="457"/>
      <c r="G828" s="457"/>
      <c r="J828" s="457"/>
      <c r="K828" s="457"/>
      <c r="L828" s="499"/>
      <c r="M828" s="556"/>
      <c r="N828" s="556"/>
      <c r="O828" s="499"/>
    </row>
    <row r="829" customFormat="false" ht="20.25" hidden="false" customHeight="true" outlineLevel="0" collapsed="false">
      <c r="A829" s="457"/>
      <c r="B829" s="457"/>
      <c r="C829" s="457"/>
      <c r="D829" s="499"/>
      <c r="E829" s="457"/>
      <c r="F829" s="457"/>
      <c r="G829" s="457"/>
      <c r="J829" s="457"/>
      <c r="K829" s="457"/>
      <c r="L829" s="499"/>
      <c r="M829" s="556"/>
      <c r="N829" s="556"/>
      <c r="O829" s="499"/>
    </row>
    <row r="830" customFormat="false" ht="20.25" hidden="false" customHeight="true" outlineLevel="0" collapsed="false">
      <c r="A830" s="457"/>
      <c r="B830" s="457"/>
      <c r="C830" s="457"/>
      <c r="D830" s="499"/>
      <c r="E830" s="457"/>
      <c r="F830" s="457"/>
      <c r="G830" s="457"/>
      <c r="J830" s="457"/>
      <c r="K830" s="457"/>
      <c r="L830" s="499"/>
      <c r="M830" s="556"/>
      <c r="N830" s="556"/>
      <c r="O830" s="499"/>
    </row>
    <row r="831" customFormat="false" ht="20.25" hidden="false" customHeight="true" outlineLevel="0" collapsed="false">
      <c r="A831" s="457"/>
      <c r="B831" s="457"/>
      <c r="C831" s="457"/>
      <c r="D831" s="499"/>
      <c r="E831" s="457"/>
      <c r="F831" s="457"/>
      <c r="G831" s="457"/>
      <c r="J831" s="457"/>
      <c r="K831" s="457"/>
      <c r="L831" s="499"/>
      <c r="M831" s="556"/>
      <c r="N831" s="556"/>
      <c r="O831" s="499"/>
    </row>
    <row r="832" customFormat="false" ht="20.25" hidden="false" customHeight="true" outlineLevel="0" collapsed="false">
      <c r="A832" s="457"/>
      <c r="B832" s="457"/>
      <c r="C832" s="457"/>
      <c r="D832" s="499"/>
      <c r="E832" s="457"/>
      <c r="F832" s="457"/>
      <c r="G832" s="457"/>
      <c r="J832" s="457"/>
      <c r="K832" s="457"/>
      <c r="L832" s="499"/>
      <c r="M832" s="556"/>
      <c r="N832" s="556"/>
      <c r="O832" s="499"/>
    </row>
    <row r="833" customFormat="false" ht="20.25" hidden="false" customHeight="true" outlineLevel="0" collapsed="false">
      <c r="A833" s="457"/>
      <c r="B833" s="457"/>
      <c r="C833" s="457"/>
      <c r="D833" s="499"/>
      <c r="E833" s="457"/>
      <c r="F833" s="457"/>
      <c r="G833" s="457"/>
      <c r="J833" s="457"/>
      <c r="K833" s="457"/>
      <c r="L833" s="499"/>
      <c r="M833" s="556"/>
      <c r="N833" s="556"/>
      <c r="O833" s="499"/>
    </row>
    <row r="834" customFormat="false" ht="20.25" hidden="false" customHeight="true" outlineLevel="0" collapsed="false">
      <c r="A834" s="457"/>
      <c r="B834" s="457"/>
      <c r="C834" s="457"/>
      <c r="D834" s="499"/>
      <c r="E834" s="457"/>
      <c r="F834" s="457"/>
      <c r="G834" s="457"/>
      <c r="J834" s="457"/>
      <c r="K834" s="457"/>
      <c r="L834" s="499"/>
      <c r="M834" s="556"/>
      <c r="N834" s="556"/>
      <c r="O834" s="499"/>
    </row>
    <row r="835" customFormat="false" ht="20.25" hidden="false" customHeight="true" outlineLevel="0" collapsed="false">
      <c r="A835" s="457"/>
      <c r="B835" s="457"/>
      <c r="C835" s="457"/>
      <c r="D835" s="499"/>
      <c r="E835" s="457"/>
      <c r="F835" s="457"/>
      <c r="G835" s="457"/>
      <c r="J835" s="457"/>
      <c r="K835" s="457"/>
      <c r="L835" s="499"/>
      <c r="M835" s="556"/>
      <c r="N835" s="556"/>
      <c r="O835" s="499"/>
    </row>
    <row r="836" customFormat="false" ht="20.25" hidden="false" customHeight="true" outlineLevel="0" collapsed="false">
      <c r="A836" s="457"/>
      <c r="B836" s="457"/>
      <c r="C836" s="457"/>
      <c r="D836" s="499"/>
      <c r="E836" s="457"/>
      <c r="F836" s="457"/>
      <c r="G836" s="457"/>
      <c r="J836" s="457"/>
      <c r="K836" s="457"/>
      <c r="L836" s="499"/>
      <c r="M836" s="556"/>
      <c r="N836" s="556"/>
      <c r="O836" s="499"/>
    </row>
    <row r="837" customFormat="false" ht="20.25" hidden="false" customHeight="true" outlineLevel="0" collapsed="false">
      <c r="A837" s="457"/>
      <c r="B837" s="457"/>
      <c r="C837" s="457"/>
      <c r="D837" s="499"/>
      <c r="E837" s="457"/>
      <c r="F837" s="457"/>
      <c r="G837" s="457"/>
      <c r="J837" s="457"/>
      <c r="K837" s="457"/>
      <c r="L837" s="499"/>
      <c r="M837" s="556"/>
      <c r="N837" s="556"/>
      <c r="O837" s="499"/>
    </row>
    <row r="838" customFormat="false" ht="20.25" hidden="false" customHeight="true" outlineLevel="0" collapsed="false">
      <c r="A838" s="457"/>
      <c r="B838" s="457"/>
      <c r="C838" s="457"/>
      <c r="D838" s="499"/>
      <c r="E838" s="457"/>
      <c r="F838" s="457"/>
      <c r="G838" s="457"/>
      <c r="J838" s="457"/>
      <c r="K838" s="457"/>
      <c r="L838" s="499"/>
      <c r="M838" s="556"/>
      <c r="N838" s="556"/>
      <c r="O838" s="499"/>
    </row>
    <row r="839" customFormat="false" ht="20.25" hidden="false" customHeight="true" outlineLevel="0" collapsed="false">
      <c r="A839" s="457"/>
      <c r="B839" s="457"/>
      <c r="C839" s="457"/>
      <c r="D839" s="499"/>
      <c r="E839" s="457"/>
      <c r="F839" s="457"/>
      <c r="G839" s="457"/>
      <c r="J839" s="457"/>
      <c r="K839" s="457"/>
      <c r="L839" s="499"/>
      <c r="M839" s="556"/>
      <c r="N839" s="556"/>
      <c r="O839" s="499"/>
    </row>
    <row r="840" customFormat="false" ht="20.25" hidden="false" customHeight="true" outlineLevel="0" collapsed="false">
      <c r="A840" s="457"/>
      <c r="B840" s="457"/>
      <c r="C840" s="457"/>
      <c r="D840" s="499"/>
      <c r="E840" s="457"/>
      <c r="F840" s="457"/>
      <c r="G840" s="457"/>
      <c r="J840" s="457"/>
      <c r="K840" s="457"/>
      <c r="L840" s="499"/>
      <c r="M840" s="556"/>
      <c r="N840" s="556"/>
      <c r="O840" s="499"/>
    </row>
    <row r="841" customFormat="false" ht="20.25" hidden="false" customHeight="true" outlineLevel="0" collapsed="false">
      <c r="A841" s="457"/>
      <c r="B841" s="457"/>
      <c r="C841" s="457"/>
      <c r="D841" s="499"/>
      <c r="E841" s="457"/>
      <c r="F841" s="457"/>
      <c r="G841" s="457"/>
      <c r="J841" s="457"/>
      <c r="K841" s="457"/>
      <c r="L841" s="499"/>
      <c r="M841" s="556"/>
      <c r="N841" s="556"/>
      <c r="O841" s="499"/>
    </row>
    <row r="842" customFormat="false" ht="20.25" hidden="false" customHeight="true" outlineLevel="0" collapsed="false">
      <c r="A842" s="457"/>
      <c r="B842" s="457"/>
      <c r="C842" s="457"/>
      <c r="D842" s="499"/>
      <c r="E842" s="457"/>
      <c r="F842" s="457"/>
      <c r="G842" s="457"/>
      <c r="J842" s="457"/>
      <c r="K842" s="457"/>
      <c r="L842" s="499"/>
      <c r="M842" s="556"/>
      <c r="N842" s="556"/>
      <c r="O842" s="499"/>
    </row>
    <row r="843" customFormat="false" ht="20.25" hidden="false" customHeight="true" outlineLevel="0" collapsed="false">
      <c r="A843" s="457"/>
      <c r="B843" s="457"/>
      <c r="C843" s="457"/>
      <c r="D843" s="499"/>
      <c r="E843" s="457"/>
      <c r="F843" s="457"/>
      <c r="G843" s="457"/>
      <c r="J843" s="457"/>
      <c r="K843" s="457"/>
      <c r="L843" s="499"/>
      <c r="M843" s="556"/>
      <c r="N843" s="556"/>
      <c r="O843" s="499"/>
    </row>
    <row r="844" customFormat="false" ht="20.25" hidden="false" customHeight="true" outlineLevel="0" collapsed="false">
      <c r="A844" s="457"/>
      <c r="B844" s="457"/>
      <c r="C844" s="457"/>
      <c r="D844" s="499"/>
      <c r="E844" s="457"/>
      <c r="F844" s="457"/>
      <c r="G844" s="457"/>
      <c r="J844" s="457"/>
      <c r="K844" s="457"/>
      <c r="L844" s="499"/>
      <c r="M844" s="556"/>
      <c r="N844" s="556"/>
      <c r="O844" s="499"/>
    </row>
    <row r="845" customFormat="false" ht="20.25" hidden="false" customHeight="true" outlineLevel="0" collapsed="false">
      <c r="A845" s="457"/>
      <c r="B845" s="457"/>
      <c r="C845" s="457"/>
      <c r="D845" s="499"/>
      <c r="E845" s="457"/>
      <c r="F845" s="457"/>
      <c r="G845" s="457"/>
      <c r="J845" s="457"/>
      <c r="K845" s="457"/>
      <c r="L845" s="499"/>
      <c r="M845" s="556"/>
      <c r="N845" s="556"/>
      <c r="O845" s="499"/>
    </row>
    <row r="846" customFormat="false" ht="20.25" hidden="false" customHeight="true" outlineLevel="0" collapsed="false">
      <c r="A846" s="457"/>
      <c r="B846" s="457"/>
      <c r="C846" s="457"/>
      <c r="D846" s="499"/>
      <c r="E846" s="457"/>
      <c r="F846" s="457"/>
      <c r="G846" s="457"/>
      <c r="J846" s="457"/>
      <c r="K846" s="457"/>
      <c r="L846" s="499"/>
      <c r="M846" s="556"/>
      <c r="N846" s="556"/>
      <c r="O846" s="499"/>
    </row>
    <row r="847" customFormat="false" ht="20.25" hidden="false" customHeight="true" outlineLevel="0" collapsed="false">
      <c r="A847" s="457"/>
      <c r="B847" s="457"/>
      <c r="C847" s="457"/>
      <c r="D847" s="499"/>
      <c r="E847" s="457"/>
      <c r="F847" s="457"/>
      <c r="G847" s="457"/>
      <c r="J847" s="457"/>
      <c r="K847" s="457"/>
      <c r="L847" s="499"/>
      <c r="M847" s="556"/>
      <c r="N847" s="556"/>
      <c r="O847" s="499"/>
    </row>
    <row r="848" customFormat="false" ht="20.25" hidden="false" customHeight="true" outlineLevel="0" collapsed="false">
      <c r="A848" s="457"/>
      <c r="B848" s="457"/>
      <c r="C848" s="457"/>
      <c r="D848" s="499"/>
      <c r="E848" s="457"/>
      <c r="F848" s="457"/>
      <c r="G848" s="457"/>
      <c r="J848" s="457"/>
      <c r="K848" s="457"/>
      <c r="L848" s="499"/>
      <c r="M848" s="556"/>
      <c r="N848" s="556"/>
      <c r="O848" s="499"/>
    </row>
    <row r="849" customFormat="false" ht="20.25" hidden="false" customHeight="true" outlineLevel="0" collapsed="false">
      <c r="A849" s="457"/>
      <c r="B849" s="457"/>
      <c r="C849" s="457"/>
      <c r="D849" s="499"/>
      <c r="E849" s="457"/>
      <c r="F849" s="457"/>
      <c r="G849" s="457"/>
      <c r="J849" s="457"/>
      <c r="K849" s="457"/>
      <c r="L849" s="499"/>
      <c r="M849" s="556"/>
      <c r="N849" s="556"/>
      <c r="O849" s="499"/>
    </row>
    <row r="850" customFormat="false" ht="20.25" hidden="false" customHeight="true" outlineLevel="0" collapsed="false">
      <c r="A850" s="457"/>
      <c r="B850" s="457"/>
      <c r="C850" s="457"/>
      <c r="D850" s="499"/>
      <c r="E850" s="457"/>
      <c r="F850" s="457"/>
      <c r="G850" s="457"/>
      <c r="J850" s="457"/>
      <c r="K850" s="457"/>
      <c r="L850" s="499"/>
      <c r="M850" s="556"/>
      <c r="N850" s="556"/>
      <c r="O850" s="499"/>
    </row>
    <row r="851" customFormat="false" ht="20.25" hidden="false" customHeight="true" outlineLevel="0" collapsed="false">
      <c r="A851" s="457"/>
      <c r="B851" s="457"/>
      <c r="C851" s="457"/>
      <c r="D851" s="499"/>
      <c r="E851" s="457"/>
      <c r="F851" s="457"/>
      <c r="G851" s="457"/>
      <c r="J851" s="457"/>
      <c r="K851" s="457"/>
      <c r="L851" s="499"/>
      <c r="M851" s="556"/>
      <c r="N851" s="556"/>
      <c r="O851" s="499"/>
    </row>
    <row r="852" customFormat="false" ht="20.25" hidden="false" customHeight="true" outlineLevel="0" collapsed="false">
      <c r="A852" s="457"/>
      <c r="B852" s="457"/>
      <c r="C852" s="457"/>
      <c r="D852" s="499"/>
      <c r="E852" s="457"/>
      <c r="F852" s="457"/>
      <c r="G852" s="457"/>
      <c r="J852" s="457"/>
      <c r="K852" s="457"/>
      <c r="L852" s="499"/>
      <c r="M852" s="556"/>
      <c r="N852" s="556"/>
      <c r="O852" s="499"/>
    </row>
    <row r="853" customFormat="false" ht="20.25" hidden="false" customHeight="true" outlineLevel="0" collapsed="false">
      <c r="A853" s="457"/>
      <c r="B853" s="457"/>
      <c r="C853" s="457"/>
      <c r="D853" s="499"/>
      <c r="E853" s="457"/>
      <c r="F853" s="457"/>
      <c r="G853" s="457"/>
      <c r="J853" s="457"/>
      <c r="K853" s="457"/>
      <c r="L853" s="499"/>
      <c r="M853" s="556"/>
      <c r="N853" s="556"/>
      <c r="O853" s="499"/>
    </row>
    <row r="854" customFormat="false" ht="20.25" hidden="false" customHeight="true" outlineLevel="0" collapsed="false">
      <c r="A854" s="457"/>
      <c r="B854" s="457"/>
      <c r="C854" s="457"/>
      <c r="D854" s="499"/>
      <c r="E854" s="457"/>
      <c r="F854" s="457"/>
      <c r="G854" s="457"/>
      <c r="J854" s="457"/>
      <c r="K854" s="457"/>
      <c r="L854" s="499"/>
      <c r="M854" s="556"/>
      <c r="N854" s="556"/>
      <c r="O854" s="499"/>
    </row>
    <row r="855" customFormat="false" ht="20.25" hidden="false" customHeight="true" outlineLevel="0" collapsed="false">
      <c r="A855" s="457"/>
      <c r="B855" s="457"/>
      <c r="C855" s="457"/>
      <c r="D855" s="499"/>
      <c r="E855" s="457"/>
      <c r="F855" s="457"/>
      <c r="G855" s="457"/>
      <c r="J855" s="457"/>
      <c r="K855" s="457"/>
      <c r="L855" s="499"/>
      <c r="M855" s="556"/>
      <c r="N855" s="556"/>
      <c r="O855" s="499"/>
    </row>
    <row r="856" customFormat="false" ht="20.25" hidden="false" customHeight="true" outlineLevel="0" collapsed="false">
      <c r="A856" s="457"/>
      <c r="B856" s="457"/>
      <c r="C856" s="457"/>
      <c r="D856" s="499"/>
      <c r="E856" s="457"/>
      <c r="F856" s="457"/>
      <c r="G856" s="457"/>
      <c r="J856" s="457"/>
      <c r="K856" s="457"/>
      <c r="L856" s="499"/>
      <c r="M856" s="556"/>
      <c r="N856" s="556"/>
      <c r="O856" s="499"/>
    </row>
    <row r="857" customFormat="false" ht="20.25" hidden="false" customHeight="true" outlineLevel="0" collapsed="false">
      <c r="A857" s="457"/>
      <c r="B857" s="457"/>
      <c r="C857" s="457"/>
      <c r="D857" s="499"/>
      <c r="E857" s="457"/>
      <c r="F857" s="457"/>
      <c r="G857" s="457"/>
      <c r="J857" s="457"/>
      <c r="K857" s="457"/>
      <c r="L857" s="499"/>
      <c r="M857" s="556"/>
      <c r="N857" s="556"/>
      <c r="O857" s="499"/>
    </row>
    <row r="858" customFormat="false" ht="20.25" hidden="false" customHeight="true" outlineLevel="0" collapsed="false">
      <c r="A858" s="457"/>
      <c r="B858" s="457"/>
      <c r="C858" s="457"/>
      <c r="D858" s="499"/>
      <c r="E858" s="457"/>
      <c r="F858" s="457"/>
      <c r="G858" s="457"/>
      <c r="J858" s="457"/>
      <c r="K858" s="457"/>
      <c r="L858" s="499"/>
      <c r="M858" s="556"/>
      <c r="N858" s="556"/>
      <c r="O858" s="499"/>
    </row>
    <row r="859" customFormat="false" ht="20.25" hidden="false" customHeight="true" outlineLevel="0" collapsed="false">
      <c r="A859" s="457"/>
      <c r="B859" s="457"/>
      <c r="C859" s="457"/>
      <c r="D859" s="499"/>
      <c r="E859" s="457"/>
      <c r="F859" s="457"/>
      <c r="G859" s="457"/>
      <c r="J859" s="457"/>
      <c r="K859" s="457"/>
      <c r="L859" s="499"/>
      <c r="M859" s="556"/>
      <c r="N859" s="556"/>
      <c r="O859" s="499"/>
    </row>
    <row r="860" customFormat="false" ht="20.25" hidden="false" customHeight="true" outlineLevel="0" collapsed="false">
      <c r="A860" s="457"/>
      <c r="B860" s="457"/>
      <c r="C860" s="457"/>
      <c r="D860" s="499"/>
      <c r="E860" s="457"/>
      <c r="F860" s="457"/>
      <c r="G860" s="457"/>
      <c r="J860" s="457"/>
      <c r="K860" s="457"/>
      <c r="L860" s="499"/>
      <c r="M860" s="556"/>
      <c r="N860" s="556"/>
      <c r="O860" s="499"/>
    </row>
    <row r="861" customFormat="false" ht="20.25" hidden="false" customHeight="true" outlineLevel="0" collapsed="false">
      <c r="A861" s="457"/>
      <c r="B861" s="457"/>
      <c r="C861" s="457"/>
      <c r="D861" s="499"/>
      <c r="E861" s="457"/>
      <c r="F861" s="457"/>
      <c r="G861" s="457"/>
      <c r="J861" s="457"/>
      <c r="K861" s="457"/>
      <c r="L861" s="499"/>
      <c r="M861" s="556"/>
      <c r="N861" s="556"/>
      <c r="O861" s="499"/>
    </row>
    <row r="862" customFormat="false" ht="20.25" hidden="false" customHeight="true" outlineLevel="0" collapsed="false">
      <c r="A862" s="457"/>
      <c r="B862" s="457"/>
      <c r="C862" s="457"/>
      <c r="D862" s="499"/>
      <c r="E862" s="457"/>
      <c r="F862" s="457"/>
      <c r="G862" s="457"/>
      <c r="J862" s="457"/>
      <c r="K862" s="457"/>
      <c r="L862" s="499"/>
      <c r="M862" s="556"/>
      <c r="N862" s="556"/>
      <c r="O862" s="499"/>
    </row>
    <row r="863" customFormat="false" ht="20.25" hidden="false" customHeight="true" outlineLevel="0" collapsed="false">
      <c r="A863" s="457"/>
      <c r="B863" s="457"/>
      <c r="C863" s="457"/>
      <c r="D863" s="499"/>
      <c r="E863" s="457"/>
      <c r="F863" s="457"/>
      <c r="G863" s="457"/>
      <c r="J863" s="457"/>
      <c r="K863" s="457"/>
      <c r="L863" s="499"/>
      <c r="M863" s="556"/>
      <c r="N863" s="556"/>
      <c r="O863" s="499"/>
    </row>
    <row r="864" customFormat="false" ht="20.25" hidden="false" customHeight="true" outlineLevel="0" collapsed="false">
      <c r="A864" s="457"/>
      <c r="B864" s="457"/>
      <c r="C864" s="457"/>
      <c r="D864" s="499"/>
      <c r="E864" s="457"/>
      <c r="F864" s="457"/>
      <c r="G864" s="457"/>
      <c r="J864" s="457"/>
      <c r="K864" s="457"/>
      <c r="L864" s="499"/>
      <c r="M864" s="556"/>
      <c r="N864" s="556"/>
      <c r="O864" s="499"/>
    </row>
    <row r="865" customFormat="false" ht="20.25" hidden="false" customHeight="true" outlineLevel="0" collapsed="false">
      <c r="A865" s="457"/>
      <c r="B865" s="457"/>
      <c r="C865" s="457"/>
      <c r="D865" s="499"/>
      <c r="E865" s="457"/>
      <c r="F865" s="457"/>
      <c r="G865" s="457"/>
      <c r="J865" s="457"/>
      <c r="K865" s="457"/>
      <c r="L865" s="499"/>
      <c r="M865" s="556"/>
      <c r="N865" s="556"/>
      <c r="O865" s="499"/>
    </row>
    <row r="866" customFormat="false" ht="20.25" hidden="false" customHeight="true" outlineLevel="0" collapsed="false">
      <c r="A866" s="457"/>
      <c r="B866" s="457"/>
      <c r="C866" s="457"/>
      <c r="D866" s="499"/>
      <c r="E866" s="457"/>
      <c r="F866" s="457"/>
      <c r="G866" s="457"/>
      <c r="J866" s="457"/>
      <c r="K866" s="457"/>
      <c r="L866" s="499"/>
      <c r="M866" s="556"/>
      <c r="N866" s="556"/>
      <c r="O866" s="499"/>
    </row>
    <row r="867" customFormat="false" ht="20.25" hidden="false" customHeight="true" outlineLevel="0" collapsed="false">
      <c r="A867" s="457"/>
      <c r="B867" s="457"/>
      <c r="C867" s="457"/>
      <c r="D867" s="499"/>
      <c r="E867" s="457"/>
      <c r="F867" s="457"/>
      <c r="G867" s="457"/>
      <c r="J867" s="457"/>
      <c r="K867" s="457"/>
      <c r="L867" s="499"/>
      <c r="M867" s="556"/>
      <c r="N867" s="556"/>
      <c r="O867" s="499"/>
    </row>
    <row r="868" customFormat="false" ht="20.25" hidden="false" customHeight="true" outlineLevel="0" collapsed="false">
      <c r="A868" s="457"/>
      <c r="B868" s="457"/>
      <c r="C868" s="457"/>
      <c r="D868" s="499"/>
      <c r="E868" s="457"/>
      <c r="F868" s="457"/>
      <c r="G868" s="457"/>
      <c r="J868" s="457"/>
      <c r="K868" s="457"/>
      <c r="L868" s="499"/>
      <c r="M868" s="556"/>
      <c r="N868" s="556"/>
      <c r="O868" s="499"/>
    </row>
    <row r="869" customFormat="false" ht="20.25" hidden="false" customHeight="true" outlineLevel="0" collapsed="false">
      <c r="A869" s="457"/>
      <c r="B869" s="457"/>
      <c r="C869" s="457"/>
      <c r="D869" s="499"/>
      <c r="E869" s="457"/>
      <c r="F869" s="457"/>
      <c r="G869" s="457"/>
      <c r="J869" s="457"/>
      <c r="K869" s="457"/>
      <c r="L869" s="499"/>
      <c r="M869" s="556"/>
      <c r="N869" s="556"/>
      <c r="O869" s="499"/>
    </row>
    <row r="870" customFormat="false" ht="20.25" hidden="false" customHeight="true" outlineLevel="0" collapsed="false">
      <c r="A870" s="457"/>
      <c r="B870" s="457"/>
      <c r="C870" s="457"/>
      <c r="D870" s="499"/>
      <c r="E870" s="457"/>
      <c r="F870" s="457"/>
      <c r="G870" s="457"/>
      <c r="J870" s="457"/>
      <c r="K870" s="457"/>
      <c r="L870" s="499"/>
      <c r="M870" s="556"/>
      <c r="N870" s="556"/>
      <c r="O870" s="499"/>
    </row>
    <row r="871" customFormat="false" ht="20.25" hidden="false" customHeight="true" outlineLevel="0" collapsed="false">
      <c r="A871" s="457"/>
      <c r="B871" s="457"/>
      <c r="C871" s="457"/>
      <c r="D871" s="499"/>
      <c r="E871" s="457"/>
      <c r="F871" s="457"/>
      <c r="G871" s="457"/>
      <c r="J871" s="457"/>
      <c r="K871" s="457"/>
      <c r="L871" s="499"/>
      <c r="M871" s="556"/>
      <c r="N871" s="556"/>
      <c r="O871" s="499"/>
    </row>
    <row r="872" customFormat="false" ht="20.25" hidden="false" customHeight="true" outlineLevel="0" collapsed="false">
      <c r="A872" s="457"/>
      <c r="B872" s="457"/>
      <c r="C872" s="457"/>
      <c r="D872" s="499"/>
      <c r="E872" s="457"/>
      <c r="F872" s="457"/>
      <c r="G872" s="457"/>
      <c r="J872" s="457"/>
      <c r="K872" s="457"/>
      <c r="L872" s="499"/>
      <c r="M872" s="556"/>
      <c r="N872" s="556"/>
      <c r="O872" s="499"/>
    </row>
    <row r="873" customFormat="false" ht="20.25" hidden="false" customHeight="true" outlineLevel="0" collapsed="false">
      <c r="A873" s="457"/>
      <c r="B873" s="457"/>
      <c r="C873" s="457"/>
      <c r="D873" s="499"/>
      <c r="E873" s="457"/>
      <c r="F873" s="457"/>
      <c r="G873" s="457"/>
      <c r="J873" s="457"/>
      <c r="K873" s="457"/>
      <c r="L873" s="499"/>
      <c r="M873" s="556"/>
      <c r="N873" s="556"/>
      <c r="O873" s="499"/>
    </row>
    <row r="874" customFormat="false" ht="20.25" hidden="false" customHeight="true" outlineLevel="0" collapsed="false">
      <c r="A874" s="457"/>
      <c r="B874" s="457"/>
      <c r="C874" s="457"/>
      <c r="D874" s="499"/>
      <c r="E874" s="457"/>
      <c r="F874" s="457"/>
      <c r="G874" s="457"/>
      <c r="J874" s="457"/>
      <c r="K874" s="457"/>
      <c r="L874" s="499"/>
      <c r="M874" s="556"/>
      <c r="N874" s="556"/>
      <c r="O874" s="499"/>
    </row>
    <row r="875" customFormat="false" ht="20.25" hidden="false" customHeight="true" outlineLevel="0" collapsed="false">
      <c r="A875" s="457"/>
      <c r="B875" s="457"/>
      <c r="C875" s="457"/>
      <c r="D875" s="499"/>
      <c r="E875" s="457"/>
      <c r="F875" s="457"/>
      <c r="G875" s="457"/>
      <c r="J875" s="457"/>
      <c r="K875" s="457"/>
      <c r="L875" s="499"/>
      <c r="M875" s="556"/>
      <c r="N875" s="556"/>
      <c r="O875" s="499"/>
    </row>
    <row r="876" customFormat="false" ht="20.25" hidden="false" customHeight="true" outlineLevel="0" collapsed="false">
      <c r="A876" s="457"/>
      <c r="B876" s="457"/>
      <c r="C876" s="457"/>
      <c r="D876" s="499"/>
      <c r="E876" s="457"/>
      <c r="F876" s="457"/>
      <c r="G876" s="457"/>
      <c r="J876" s="457"/>
      <c r="K876" s="457"/>
      <c r="L876" s="499"/>
      <c r="M876" s="556"/>
      <c r="N876" s="556"/>
      <c r="O876" s="499"/>
    </row>
    <row r="877" customFormat="false" ht="20.25" hidden="false" customHeight="true" outlineLevel="0" collapsed="false">
      <c r="A877" s="457"/>
      <c r="B877" s="457"/>
      <c r="C877" s="457"/>
      <c r="D877" s="499"/>
      <c r="E877" s="457"/>
      <c r="F877" s="457"/>
      <c r="G877" s="457"/>
      <c r="J877" s="457"/>
      <c r="K877" s="457"/>
      <c r="L877" s="499"/>
      <c r="M877" s="556"/>
      <c r="N877" s="556"/>
      <c r="O877" s="499"/>
    </row>
    <row r="878" customFormat="false" ht="20.25" hidden="false" customHeight="true" outlineLevel="0" collapsed="false">
      <c r="A878" s="457"/>
      <c r="B878" s="457"/>
      <c r="C878" s="457"/>
      <c r="D878" s="499"/>
      <c r="E878" s="457"/>
      <c r="F878" s="457"/>
      <c r="G878" s="457"/>
      <c r="J878" s="457"/>
      <c r="K878" s="457"/>
      <c r="L878" s="499"/>
      <c r="M878" s="556"/>
      <c r="N878" s="556"/>
      <c r="O878" s="499"/>
    </row>
    <row r="879" customFormat="false" ht="20.25" hidden="false" customHeight="true" outlineLevel="0" collapsed="false">
      <c r="A879" s="457"/>
      <c r="B879" s="457"/>
      <c r="C879" s="457"/>
      <c r="D879" s="499"/>
      <c r="E879" s="457"/>
      <c r="F879" s="457"/>
      <c r="G879" s="457"/>
      <c r="J879" s="457"/>
      <c r="K879" s="457"/>
      <c r="L879" s="499"/>
      <c r="M879" s="556"/>
      <c r="N879" s="556"/>
      <c r="O879" s="499"/>
    </row>
    <row r="880" customFormat="false" ht="20.25" hidden="false" customHeight="true" outlineLevel="0" collapsed="false">
      <c r="A880" s="457"/>
      <c r="B880" s="457"/>
      <c r="C880" s="457"/>
      <c r="D880" s="499"/>
      <c r="E880" s="457"/>
      <c r="F880" s="457"/>
      <c r="G880" s="457"/>
      <c r="J880" s="457"/>
      <c r="K880" s="457"/>
      <c r="L880" s="499"/>
      <c r="M880" s="556"/>
      <c r="N880" s="556"/>
      <c r="O880" s="499"/>
    </row>
    <row r="881" customFormat="false" ht="20.25" hidden="false" customHeight="true" outlineLevel="0" collapsed="false">
      <c r="A881" s="457"/>
      <c r="B881" s="457"/>
      <c r="C881" s="457"/>
      <c r="D881" s="499"/>
      <c r="E881" s="457"/>
      <c r="F881" s="457"/>
      <c r="G881" s="457"/>
      <c r="J881" s="457"/>
      <c r="K881" s="457"/>
      <c r="L881" s="499"/>
      <c r="M881" s="556"/>
      <c r="N881" s="556"/>
      <c r="O881" s="499"/>
    </row>
    <row r="882" customFormat="false" ht="20.25" hidden="false" customHeight="true" outlineLevel="0" collapsed="false">
      <c r="A882" s="457"/>
      <c r="B882" s="457"/>
      <c r="C882" s="457"/>
      <c r="D882" s="499"/>
      <c r="E882" s="457"/>
      <c r="F882" s="457"/>
      <c r="G882" s="457"/>
      <c r="J882" s="457"/>
      <c r="K882" s="457"/>
      <c r="L882" s="499"/>
      <c r="M882" s="556"/>
      <c r="N882" s="556"/>
      <c r="O882" s="499"/>
    </row>
    <row r="883" customFormat="false" ht="20.25" hidden="false" customHeight="true" outlineLevel="0" collapsed="false">
      <c r="A883" s="457"/>
      <c r="B883" s="457"/>
      <c r="C883" s="457"/>
      <c r="D883" s="499"/>
      <c r="E883" s="457"/>
      <c r="F883" s="457"/>
      <c r="G883" s="457"/>
      <c r="J883" s="457"/>
      <c r="K883" s="457"/>
      <c r="L883" s="499"/>
      <c r="M883" s="556"/>
      <c r="N883" s="556"/>
      <c r="O883" s="499"/>
    </row>
    <row r="884" customFormat="false" ht="20.25" hidden="false" customHeight="true" outlineLevel="0" collapsed="false">
      <c r="A884" s="457"/>
      <c r="B884" s="457"/>
      <c r="C884" s="457"/>
      <c r="D884" s="499"/>
      <c r="E884" s="457"/>
      <c r="F884" s="457"/>
      <c r="G884" s="457"/>
      <c r="J884" s="457"/>
      <c r="K884" s="457"/>
      <c r="L884" s="499"/>
      <c r="M884" s="556"/>
      <c r="N884" s="556"/>
      <c r="O884" s="499"/>
    </row>
    <row r="885" customFormat="false" ht="20.25" hidden="false" customHeight="true" outlineLevel="0" collapsed="false">
      <c r="A885" s="457"/>
      <c r="B885" s="457"/>
      <c r="C885" s="457"/>
      <c r="D885" s="499"/>
      <c r="E885" s="457"/>
      <c r="F885" s="457"/>
      <c r="G885" s="457"/>
      <c r="J885" s="457"/>
      <c r="K885" s="457"/>
      <c r="L885" s="499"/>
      <c r="M885" s="556"/>
      <c r="N885" s="556"/>
      <c r="O885" s="499"/>
    </row>
    <row r="886" customFormat="false" ht="20.25" hidden="false" customHeight="true" outlineLevel="0" collapsed="false">
      <c r="A886" s="457"/>
      <c r="B886" s="457"/>
      <c r="C886" s="457"/>
      <c r="D886" s="499"/>
      <c r="E886" s="457"/>
      <c r="F886" s="457"/>
      <c r="G886" s="457"/>
      <c r="J886" s="457"/>
      <c r="K886" s="457"/>
      <c r="L886" s="499"/>
      <c r="M886" s="556"/>
      <c r="N886" s="556"/>
      <c r="O886" s="499"/>
    </row>
    <row r="887" customFormat="false" ht="20.25" hidden="false" customHeight="true" outlineLevel="0" collapsed="false">
      <c r="A887" s="457"/>
      <c r="B887" s="457"/>
      <c r="C887" s="457"/>
      <c r="D887" s="499"/>
      <c r="E887" s="457"/>
      <c r="F887" s="457"/>
      <c r="G887" s="457"/>
      <c r="J887" s="457"/>
      <c r="K887" s="457"/>
      <c r="L887" s="499"/>
      <c r="M887" s="556"/>
      <c r="N887" s="556"/>
      <c r="O887" s="499"/>
    </row>
    <row r="888" customFormat="false" ht="20.25" hidden="false" customHeight="true" outlineLevel="0" collapsed="false">
      <c r="A888" s="457"/>
      <c r="B888" s="457"/>
      <c r="C888" s="457"/>
      <c r="D888" s="499"/>
      <c r="E888" s="457"/>
      <c r="F888" s="457"/>
      <c r="G888" s="457"/>
      <c r="J888" s="457"/>
      <c r="K888" s="457"/>
      <c r="L888" s="499"/>
      <c r="M888" s="556"/>
      <c r="N888" s="556"/>
      <c r="O888" s="499"/>
    </row>
    <row r="889" customFormat="false" ht="20.25" hidden="false" customHeight="true" outlineLevel="0" collapsed="false">
      <c r="A889" s="457"/>
      <c r="B889" s="457"/>
      <c r="C889" s="457"/>
      <c r="D889" s="499"/>
      <c r="E889" s="457"/>
      <c r="F889" s="457"/>
      <c r="G889" s="457"/>
      <c r="J889" s="457"/>
      <c r="K889" s="457"/>
      <c r="L889" s="499"/>
      <c r="M889" s="556"/>
      <c r="N889" s="556"/>
      <c r="O889" s="499"/>
    </row>
    <row r="890" customFormat="false" ht="20.25" hidden="false" customHeight="true" outlineLevel="0" collapsed="false">
      <c r="A890" s="457"/>
      <c r="B890" s="457"/>
      <c r="C890" s="457"/>
      <c r="D890" s="499"/>
      <c r="E890" s="457"/>
      <c r="F890" s="457"/>
      <c r="G890" s="457"/>
      <c r="J890" s="457"/>
      <c r="K890" s="457"/>
      <c r="L890" s="499"/>
      <c r="M890" s="556"/>
      <c r="N890" s="556"/>
      <c r="O890" s="499"/>
    </row>
    <row r="891" customFormat="false" ht="20.25" hidden="false" customHeight="true" outlineLevel="0" collapsed="false">
      <c r="A891" s="457"/>
      <c r="B891" s="457"/>
      <c r="C891" s="457"/>
      <c r="D891" s="499"/>
      <c r="E891" s="457"/>
      <c r="F891" s="457"/>
      <c r="G891" s="457"/>
      <c r="J891" s="457"/>
      <c r="K891" s="457"/>
      <c r="L891" s="499"/>
      <c r="M891" s="556"/>
      <c r="N891" s="556"/>
      <c r="O891" s="499"/>
    </row>
    <row r="892" customFormat="false" ht="20.25" hidden="false" customHeight="true" outlineLevel="0" collapsed="false">
      <c r="A892" s="457"/>
      <c r="B892" s="457"/>
      <c r="C892" s="457"/>
      <c r="D892" s="499"/>
      <c r="E892" s="457"/>
      <c r="F892" s="457"/>
      <c r="G892" s="457"/>
      <c r="J892" s="457"/>
      <c r="K892" s="457"/>
      <c r="L892" s="499"/>
      <c r="M892" s="556"/>
      <c r="N892" s="556"/>
      <c r="O892" s="499"/>
    </row>
    <row r="893" customFormat="false" ht="20.25" hidden="false" customHeight="true" outlineLevel="0" collapsed="false">
      <c r="A893" s="457"/>
      <c r="B893" s="457"/>
      <c r="C893" s="457"/>
      <c r="D893" s="499"/>
      <c r="E893" s="457"/>
      <c r="F893" s="457"/>
      <c r="G893" s="457"/>
      <c r="J893" s="457"/>
      <c r="K893" s="457"/>
      <c r="L893" s="499"/>
      <c r="M893" s="556"/>
      <c r="N893" s="556"/>
      <c r="O893" s="499"/>
    </row>
    <row r="894" customFormat="false" ht="20.25" hidden="false" customHeight="true" outlineLevel="0" collapsed="false">
      <c r="A894" s="457"/>
      <c r="B894" s="457"/>
      <c r="C894" s="457"/>
      <c r="D894" s="499"/>
      <c r="E894" s="457"/>
      <c r="F894" s="457"/>
      <c r="G894" s="457"/>
      <c r="J894" s="457"/>
      <c r="K894" s="457"/>
      <c r="L894" s="499"/>
      <c r="M894" s="556"/>
      <c r="N894" s="556"/>
      <c r="O894" s="499"/>
    </row>
    <row r="895" customFormat="false" ht="20.25" hidden="false" customHeight="true" outlineLevel="0" collapsed="false">
      <c r="A895" s="457"/>
      <c r="B895" s="457"/>
      <c r="C895" s="457"/>
      <c r="D895" s="499"/>
      <c r="E895" s="457"/>
      <c r="F895" s="457"/>
      <c r="G895" s="457"/>
      <c r="J895" s="457"/>
      <c r="K895" s="457"/>
      <c r="L895" s="499"/>
      <c r="M895" s="556"/>
      <c r="N895" s="556"/>
      <c r="O895" s="499"/>
    </row>
    <row r="896" customFormat="false" ht="20.25" hidden="false" customHeight="true" outlineLevel="0" collapsed="false">
      <c r="A896" s="457"/>
      <c r="B896" s="457"/>
      <c r="C896" s="457"/>
      <c r="D896" s="499"/>
      <c r="E896" s="457"/>
      <c r="F896" s="457"/>
      <c r="G896" s="457"/>
      <c r="J896" s="457"/>
      <c r="K896" s="457"/>
      <c r="L896" s="499"/>
      <c r="M896" s="556"/>
      <c r="N896" s="556"/>
      <c r="O896" s="499"/>
    </row>
    <row r="897" customFormat="false" ht="20.25" hidden="false" customHeight="true" outlineLevel="0" collapsed="false">
      <c r="A897" s="457"/>
      <c r="B897" s="457"/>
      <c r="C897" s="457"/>
      <c r="D897" s="499"/>
      <c r="E897" s="457"/>
      <c r="F897" s="457"/>
      <c r="G897" s="457"/>
      <c r="J897" s="457"/>
      <c r="K897" s="457"/>
      <c r="L897" s="499"/>
      <c r="M897" s="556"/>
      <c r="N897" s="556"/>
      <c r="O897" s="499"/>
    </row>
    <row r="898" customFormat="false" ht="20.25" hidden="false" customHeight="true" outlineLevel="0" collapsed="false">
      <c r="A898" s="457"/>
      <c r="B898" s="457"/>
      <c r="C898" s="457"/>
      <c r="D898" s="499"/>
      <c r="E898" s="457"/>
      <c r="F898" s="457"/>
      <c r="G898" s="457"/>
      <c r="J898" s="457"/>
      <c r="K898" s="457"/>
      <c r="L898" s="499"/>
      <c r="M898" s="556"/>
      <c r="N898" s="556"/>
      <c r="O898" s="499"/>
    </row>
    <row r="899" customFormat="false" ht="20.25" hidden="false" customHeight="true" outlineLevel="0" collapsed="false">
      <c r="A899" s="457"/>
      <c r="B899" s="457"/>
      <c r="C899" s="457"/>
      <c r="D899" s="499"/>
      <c r="E899" s="457"/>
      <c r="F899" s="457"/>
      <c r="G899" s="457"/>
      <c r="J899" s="457"/>
      <c r="K899" s="457"/>
      <c r="L899" s="499"/>
      <c r="M899" s="556"/>
      <c r="N899" s="556"/>
      <c r="O899" s="499"/>
    </row>
    <row r="900" customFormat="false" ht="20.25" hidden="false" customHeight="true" outlineLevel="0" collapsed="false">
      <c r="A900" s="457"/>
      <c r="B900" s="457"/>
      <c r="C900" s="457"/>
      <c r="D900" s="499"/>
      <c r="E900" s="457"/>
      <c r="F900" s="457"/>
      <c r="G900" s="457"/>
      <c r="J900" s="457"/>
      <c r="K900" s="457"/>
      <c r="L900" s="499"/>
      <c r="M900" s="556"/>
      <c r="N900" s="556"/>
      <c r="O900" s="499"/>
    </row>
    <row r="901" customFormat="false" ht="20.25" hidden="false" customHeight="true" outlineLevel="0" collapsed="false">
      <c r="A901" s="457"/>
      <c r="B901" s="457"/>
      <c r="C901" s="457"/>
      <c r="D901" s="499"/>
      <c r="E901" s="457"/>
      <c r="F901" s="457"/>
      <c r="G901" s="457"/>
      <c r="J901" s="457"/>
      <c r="K901" s="457"/>
      <c r="L901" s="499"/>
      <c r="M901" s="556"/>
      <c r="N901" s="556"/>
      <c r="O901" s="499"/>
    </row>
    <row r="902" customFormat="false" ht="20.25" hidden="false" customHeight="true" outlineLevel="0" collapsed="false">
      <c r="A902" s="457"/>
      <c r="B902" s="457"/>
      <c r="C902" s="457"/>
      <c r="D902" s="499"/>
      <c r="E902" s="457"/>
      <c r="F902" s="457"/>
      <c r="G902" s="457"/>
      <c r="J902" s="457"/>
      <c r="K902" s="457"/>
      <c r="L902" s="499"/>
      <c r="M902" s="556"/>
      <c r="N902" s="556"/>
      <c r="O902" s="499"/>
    </row>
    <row r="903" customFormat="false" ht="20.25" hidden="false" customHeight="true" outlineLevel="0" collapsed="false">
      <c r="A903" s="457"/>
      <c r="B903" s="457"/>
      <c r="C903" s="457"/>
      <c r="D903" s="499"/>
      <c r="E903" s="457"/>
      <c r="F903" s="457"/>
      <c r="G903" s="457"/>
      <c r="J903" s="457"/>
      <c r="K903" s="457"/>
      <c r="L903" s="499"/>
      <c r="M903" s="556"/>
      <c r="N903" s="556"/>
      <c r="O903" s="499"/>
    </row>
    <row r="904" customFormat="false" ht="20.25" hidden="false" customHeight="true" outlineLevel="0" collapsed="false">
      <c r="A904" s="457"/>
      <c r="B904" s="457"/>
      <c r="C904" s="457"/>
      <c r="D904" s="499"/>
      <c r="E904" s="457"/>
      <c r="F904" s="457"/>
      <c r="G904" s="457"/>
      <c r="J904" s="457"/>
      <c r="K904" s="457"/>
      <c r="L904" s="499"/>
      <c r="M904" s="556"/>
      <c r="N904" s="556"/>
      <c r="O904" s="499"/>
    </row>
    <row r="905" customFormat="false" ht="20.25" hidden="false" customHeight="true" outlineLevel="0" collapsed="false">
      <c r="A905" s="457"/>
      <c r="B905" s="457"/>
      <c r="C905" s="457"/>
      <c r="D905" s="499"/>
      <c r="E905" s="457"/>
      <c r="F905" s="457"/>
      <c r="G905" s="457"/>
      <c r="J905" s="457"/>
      <c r="K905" s="457"/>
      <c r="L905" s="499"/>
      <c r="M905" s="556"/>
      <c r="N905" s="556"/>
      <c r="O905" s="499"/>
    </row>
    <row r="906" customFormat="false" ht="20.25" hidden="false" customHeight="true" outlineLevel="0" collapsed="false">
      <c r="A906" s="457"/>
      <c r="B906" s="457"/>
      <c r="C906" s="457"/>
      <c r="D906" s="499"/>
      <c r="E906" s="457"/>
      <c r="F906" s="457"/>
      <c r="G906" s="457"/>
      <c r="J906" s="457"/>
      <c r="K906" s="457"/>
      <c r="L906" s="499"/>
      <c r="M906" s="556"/>
      <c r="N906" s="556"/>
      <c r="O906" s="499"/>
    </row>
    <row r="907" customFormat="false" ht="20.25" hidden="false" customHeight="true" outlineLevel="0" collapsed="false">
      <c r="A907" s="457"/>
      <c r="B907" s="457"/>
      <c r="C907" s="457"/>
      <c r="D907" s="499"/>
      <c r="E907" s="457"/>
      <c r="F907" s="457"/>
      <c r="G907" s="457"/>
      <c r="J907" s="457"/>
      <c r="K907" s="457"/>
      <c r="L907" s="499"/>
      <c r="M907" s="556"/>
      <c r="N907" s="556"/>
      <c r="O907" s="499"/>
    </row>
    <row r="908" customFormat="false" ht="20.25" hidden="false" customHeight="true" outlineLevel="0" collapsed="false">
      <c r="A908" s="457"/>
      <c r="B908" s="457"/>
      <c r="C908" s="457"/>
      <c r="D908" s="499"/>
      <c r="E908" s="457"/>
      <c r="F908" s="457"/>
      <c r="G908" s="457"/>
      <c r="J908" s="457"/>
      <c r="K908" s="457"/>
      <c r="L908" s="499"/>
      <c r="M908" s="556"/>
      <c r="N908" s="556"/>
      <c r="O908" s="499"/>
    </row>
    <row r="909" customFormat="false" ht="20.25" hidden="false" customHeight="true" outlineLevel="0" collapsed="false">
      <c r="A909" s="457"/>
      <c r="B909" s="457"/>
      <c r="C909" s="457"/>
      <c r="D909" s="499"/>
      <c r="E909" s="457"/>
      <c r="F909" s="457"/>
      <c r="G909" s="457"/>
      <c r="J909" s="457"/>
      <c r="K909" s="457"/>
      <c r="L909" s="499"/>
      <c r="M909" s="556"/>
      <c r="N909" s="556"/>
      <c r="O909" s="499"/>
    </row>
    <row r="910" customFormat="false" ht="20.25" hidden="false" customHeight="true" outlineLevel="0" collapsed="false">
      <c r="A910" s="457"/>
      <c r="B910" s="457"/>
      <c r="C910" s="457"/>
      <c r="D910" s="499"/>
      <c r="E910" s="457"/>
      <c r="F910" s="457"/>
      <c r="G910" s="457"/>
      <c r="J910" s="457"/>
      <c r="K910" s="457"/>
      <c r="L910" s="499"/>
      <c r="M910" s="556"/>
      <c r="N910" s="556"/>
      <c r="O910" s="499"/>
    </row>
    <row r="911" customFormat="false" ht="20.25" hidden="false" customHeight="true" outlineLevel="0" collapsed="false">
      <c r="A911" s="457"/>
      <c r="B911" s="457"/>
      <c r="C911" s="457"/>
      <c r="D911" s="499"/>
      <c r="E911" s="457"/>
      <c r="F911" s="457"/>
      <c r="G911" s="457"/>
      <c r="J911" s="457"/>
      <c r="K911" s="457"/>
      <c r="L911" s="499"/>
      <c r="M911" s="556"/>
      <c r="N911" s="556"/>
      <c r="O911" s="499"/>
    </row>
    <row r="912" customFormat="false" ht="20.25" hidden="false" customHeight="true" outlineLevel="0" collapsed="false">
      <c r="A912" s="457"/>
      <c r="B912" s="457"/>
      <c r="C912" s="457"/>
      <c r="D912" s="499"/>
      <c r="E912" s="457"/>
      <c r="F912" s="457"/>
      <c r="G912" s="457"/>
      <c r="J912" s="457"/>
      <c r="K912" s="457"/>
      <c r="L912" s="499"/>
      <c r="M912" s="556"/>
      <c r="N912" s="556"/>
      <c r="O912" s="499"/>
    </row>
    <row r="913" customFormat="false" ht="20.25" hidden="false" customHeight="true" outlineLevel="0" collapsed="false">
      <c r="A913" s="457"/>
      <c r="B913" s="457"/>
      <c r="C913" s="457"/>
      <c r="D913" s="499"/>
      <c r="E913" s="457"/>
      <c r="F913" s="457"/>
      <c r="G913" s="457"/>
      <c r="J913" s="457"/>
      <c r="K913" s="457"/>
      <c r="L913" s="499"/>
      <c r="M913" s="556"/>
      <c r="N913" s="556"/>
      <c r="O913" s="499"/>
    </row>
    <row r="914" customFormat="false" ht="20.25" hidden="false" customHeight="true" outlineLevel="0" collapsed="false">
      <c r="A914" s="457"/>
      <c r="B914" s="457"/>
      <c r="C914" s="457"/>
      <c r="D914" s="499"/>
      <c r="E914" s="457"/>
      <c r="F914" s="457"/>
      <c r="G914" s="457"/>
      <c r="J914" s="457"/>
      <c r="K914" s="457"/>
      <c r="L914" s="499"/>
      <c r="M914" s="556"/>
      <c r="N914" s="556"/>
      <c r="O914" s="499"/>
    </row>
    <row r="915" customFormat="false" ht="20.25" hidden="false" customHeight="true" outlineLevel="0" collapsed="false">
      <c r="A915" s="457"/>
      <c r="B915" s="457"/>
      <c r="C915" s="457"/>
      <c r="D915" s="499"/>
      <c r="E915" s="457"/>
      <c r="F915" s="457"/>
      <c r="G915" s="457"/>
      <c r="J915" s="457"/>
      <c r="K915" s="457"/>
      <c r="L915" s="499"/>
      <c r="M915" s="556"/>
      <c r="N915" s="556"/>
      <c r="O915" s="499"/>
    </row>
    <row r="916" customFormat="false" ht="20.25" hidden="false" customHeight="true" outlineLevel="0" collapsed="false">
      <c r="A916" s="457"/>
      <c r="B916" s="457"/>
      <c r="C916" s="457"/>
      <c r="D916" s="499"/>
      <c r="E916" s="457"/>
      <c r="F916" s="457"/>
      <c r="G916" s="457"/>
      <c r="J916" s="457"/>
      <c r="K916" s="457"/>
      <c r="L916" s="499"/>
      <c r="M916" s="556"/>
      <c r="N916" s="556"/>
      <c r="O916" s="499"/>
    </row>
    <row r="917" customFormat="false" ht="20.25" hidden="false" customHeight="true" outlineLevel="0" collapsed="false">
      <c r="A917" s="457"/>
      <c r="B917" s="457"/>
      <c r="C917" s="457"/>
      <c r="D917" s="499"/>
      <c r="E917" s="457"/>
      <c r="F917" s="457"/>
      <c r="G917" s="457"/>
      <c r="J917" s="457"/>
      <c r="K917" s="457"/>
      <c r="L917" s="499"/>
      <c r="M917" s="556"/>
      <c r="N917" s="556"/>
      <c r="O917" s="499"/>
    </row>
    <row r="918" customFormat="false" ht="20.25" hidden="false" customHeight="true" outlineLevel="0" collapsed="false">
      <c r="A918" s="457"/>
      <c r="B918" s="457"/>
      <c r="C918" s="457"/>
      <c r="D918" s="499"/>
      <c r="E918" s="457"/>
      <c r="F918" s="457"/>
      <c r="G918" s="457"/>
      <c r="J918" s="457"/>
      <c r="K918" s="457"/>
      <c r="L918" s="499"/>
      <c r="M918" s="556"/>
      <c r="N918" s="556"/>
      <c r="O918" s="499"/>
    </row>
    <row r="919" customFormat="false" ht="20.25" hidden="false" customHeight="true" outlineLevel="0" collapsed="false">
      <c r="A919" s="457"/>
      <c r="B919" s="457"/>
      <c r="C919" s="457"/>
      <c r="D919" s="499"/>
      <c r="E919" s="457"/>
      <c r="F919" s="457"/>
      <c r="G919" s="457"/>
      <c r="J919" s="457"/>
      <c r="K919" s="457"/>
      <c r="L919" s="499"/>
      <c r="M919" s="556"/>
      <c r="N919" s="556"/>
      <c r="O919" s="499"/>
    </row>
    <row r="920" customFormat="false" ht="20.25" hidden="false" customHeight="true" outlineLevel="0" collapsed="false">
      <c r="A920" s="457"/>
      <c r="B920" s="457"/>
      <c r="C920" s="457"/>
      <c r="D920" s="499"/>
      <c r="E920" s="457"/>
      <c r="F920" s="457"/>
      <c r="G920" s="457"/>
      <c r="J920" s="457"/>
      <c r="K920" s="457"/>
      <c r="L920" s="499"/>
      <c r="M920" s="556"/>
      <c r="N920" s="556"/>
      <c r="O920" s="499"/>
    </row>
    <row r="921" customFormat="false" ht="20.25" hidden="false" customHeight="true" outlineLevel="0" collapsed="false">
      <c r="A921" s="457"/>
      <c r="B921" s="457"/>
      <c r="C921" s="457"/>
      <c r="D921" s="499"/>
      <c r="E921" s="457"/>
      <c r="F921" s="457"/>
      <c r="G921" s="457"/>
      <c r="J921" s="457"/>
      <c r="K921" s="457"/>
      <c r="L921" s="499"/>
      <c r="M921" s="556"/>
      <c r="N921" s="556"/>
      <c r="O921" s="499"/>
    </row>
    <row r="922" customFormat="false" ht="20.25" hidden="false" customHeight="true" outlineLevel="0" collapsed="false">
      <c r="A922" s="457"/>
      <c r="B922" s="457"/>
      <c r="C922" s="457"/>
      <c r="D922" s="499"/>
      <c r="E922" s="457"/>
      <c r="F922" s="457"/>
      <c r="G922" s="457"/>
      <c r="J922" s="457"/>
      <c r="K922" s="457"/>
      <c r="L922" s="499"/>
      <c r="M922" s="556"/>
      <c r="N922" s="556"/>
      <c r="O922" s="499"/>
    </row>
    <row r="923" customFormat="false" ht="20.25" hidden="false" customHeight="true" outlineLevel="0" collapsed="false">
      <c r="A923" s="457"/>
      <c r="B923" s="457"/>
      <c r="C923" s="457"/>
      <c r="D923" s="499"/>
      <c r="E923" s="457"/>
      <c r="F923" s="457"/>
      <c r="G923" s="457"/>
      <c r="J923" s="457"/>
      <c r="K923" s="457"/>
      <c r="L923" s="499"/>
      <c r="M923" s="556"/>
      <c r="N923" s="556"/>
      <c r="O923" s="499"/>
    </row>
    <row r="924" customFormat="false" ht="20.25" hidden="false" customHeight="true" outlineLevel="0" collapsed="false">
      <c r="A924" s="457"/>
      <c r="B924" s="457"/>
      <c r="C924" s="457"/>
      <c r="D924" s="499"/>
      <c r="E924" s="457"/>
      <c r="F924" s="457"/>
      <c r="G924" s="457"/>
      <c r="J924" s="457"/>
      <c r="K924" s="457"/>
      <c r="L924" s="499"/>
      <c r="M924" s="556"/>
      <c r="N924" s="556"/>
      <c r="O924" s="499"/>
    </row>
    <row r="925" customFormat="false" ht="20.25" hidden="false" customHeight="true" outlineLevel="0" collapsed="false">
      <c r="A925" s="457"/>
      <c r="B925" s="457"/>
      <c r="C925" s="457"/>
      <c r="D925" s="499"/>
      <c r="E925" s="457"/>
      <c r="F925" s="457"/>
      <c r="G925" s="457"/>
      <c r="J925" s="457"/>
      <c r="K925" s="457"/>
      <c r="L925" s="499"/>
      <c r="M925" s="556"/>
      <c r="N925" s="556"/>
      <c r="O925" s="499"/>
    </row>
    <row r="926" customFormat="false" ht="20.25" hidden="false" customHeight="true" outlineLevel="0" collapsed="false">
      <c r="A926" s="457"/>
      <c r="B926" s="457"/>
      <c r="C926" s="457"/>
      <c r="D926" s="499"/>
      <c r="E926" s="457"/>
      <c r="F926" s="457"/>
      <c r="G926" s="457"/>
      <c r="J926" s="457"/>
      <c r="K926" s="457"/>
      <c r="L926" s="499"/>
      <c r="M926" s="556"/>
      <c r="N926" s="556"/>
      <c r="O926" s="499"/>
    </row>
    <row r="927" customFormat="false" ht="20.25" hidden="false" customHeight="true" outlineLevel="0" collapsed="false">
      <c r="A927" s="457"/>
      <c r="B927" s="457"/>
      <c r="C927" s="457"/>
      <c r="D927" s="499"/>
      <c r="E927" s="457"/>
      <c r="F927" s="457"/>
      <c r="G927" s="457"/>
      <c r="J927" s="457"/>
      <c r="K927" s="457"/>
      <c r="L927" s="499"/>
      <c r="M927" s="556"/>
      <c r="N927" s="556"/>
      <c r="O927" s="499"/>
    </row>
    <row r="928" customFormat="false" ht="20.25" hidden="false" customHeight="true" outlineLevel="0" collapsed="false">
      <c r="A928" s="457"/>
      <c r="B928" s="457"/>
      <c r="C928" s="457"/>
      <c r="D928" s="499"/>
      <c r="E928" s="457"/>
      <c r="F928" s="457"/>
      <c r="G928" s="457"/>
      <c r="J928" s="457"/>
      <c r="K928" s="457"/>
      <c r="L928" s="499"/>
      <c r="M928" s="556"/>
      <c r="N928" s="556"/>
      <c r="O928" s="499"/>
    </row>
    <row r="929" customFormat="false" ht="20.25" hidden="false" customHeight="true" outlineLevel="0" collapsed="false">
      <c r="A929" s="457"/>
      <c r="B929" s="457"/>
      <c r="C929" s="457"/>
      <c r="D929" s="499"/>
      <c r="E929" s="457"/>
      <c r="F929" s="457"/>
      <c r="G929" s="457"/>
      <c r="J929" s="457"/>
      <c r="K929" s="457"/>
      <c r="L929" s="499"/>
      <c r="M929" s="556"/>
      <c r="N929" s="556"/>
      <c r="O929" s="499"/>
    </row>
    <row r="930" customFormat="false" ht="20.25" hidden="false" customHeight="true" outlineLevel="0" collapsed="false">
      <c r="A930" s="457"/>
      <c r="B930" s="457"/>
      <c r="C930" s="457"/>
      <c r="D930" s="499"/>
      <c r="E930" s="457"/>
      <c r="F930" s="457"/>
      <c r="G930" s="457"/>
      <c r="J930" s="457"/>
      <c r="K930" s="457"/>
      <c r="L930" s="499"/>
      <c r="M930" s="556"/>
      <c r="N930" s="556"/>
      <c r="O930" s="499"/>
    </row>
    <row r="931" customFormat="false" ht="20.25" hidden="false" customHeight="true" outlineLevel="0" collapsed="false">
      <c r="A931" s="457"/>
      <c r="B931" s="457"/>
      <c r="C931" s="457"/>
      <c r="D931" s="499"/>
      <c r="E931" s="457"/>
      <c r="F931" s="457"/>
      <c r="G931" s="457"/>
      <c r="J931" s="457"/>
      <c r="K931" s="457"/>
      <c r="L931" s="499"/>
      <c r="M931" s="556"/>
      <c r="N931" s="556"/>
      <c r="O931" s="499"/>
    </row>
    <row r="932" customFormat="false" ht="20.25" hidden="false" customHeight="true" outlineLevel="0" collapsed="false">
      <c r="A932" s="457"/>
      <c r="B932" s="457"/>
      <c r="C932" s="457"/>
      <c r="D932" s="499"/>
      <c r="E932" s="457"/>
      <c r="F932" s="457"/>
      <c r="G932" s="457"/>
      <c r="J932" s="457"/>
      <c r="K932" s="457"/>
      <c r="L932" s="499"/>
      <c r="M932" s="556"/>
      <c r="N932" s="556"/>
      <c r="O932" s="499"/>
    </row>
    <row r="933" customFormat="false" ht="20.25" hidden="false" customHeight="true" outlineLevel="0" collapsed="false">
      <c r="A933" s="457"/>
      <c r="B933" s="457"/>
      <c r="C933" s="457"/>
      <c r="D933" s="499"/>
      <c r="E933" s="457"/>
      <c r="F933" s="457"/>
      <c r="G933" s="457"/>
      <c r="J933" s="457"/>
      <c r="K933" s="457"/>
      <c r="L933" s="499"/>
      <c r="M933" s="556"/>
      <c r="N933" s="556"/>
      <c r="O933" s="499"/>
    </row>
    <row r="934" customFormat="false" ht="20.25" hidden="false" customHeight="true" outlineLevel="0" collapsed="false">
      <c r="A934" s="457"/>
      <c r="B934" s="457"/>
      <c r="C934" s="457"/>
      <c r="D934" s="499"/>
      <c r="E934" s="457"/>
      <c r="F934" s="457"/>
      <c r="G934" s="457"/>
      <c r="J934" s="457"/>
      <c r="K934" s="457"/>
      <c r="L934" s="499"/>
      <c r="M934" s="556"/>
      <c r="N934" s="556"/>
      <c r="O934" s="499"/>
    </row>
    <row r="935" customFormat="false" ht="20.25" hidden="false" customHeight="true" outlineLevel="0" collapsed="false">
      <c r="A935" s="457"/>
      <c r="B935" s="457"/>
      <c r="C935" s="457"/>
      <c r="D935" s="499"/>
      <c r="E935" s="457"/>
      <c r="F935" s="457"/>
      <c r="G935" s="457"/>
      <c r="J935" s="457"/>
      <c r="K935" s="457"/>
      <c r="L935" s="499"/>
      <c r="M935" s="556"/>
      <c r="N935" s="556"/>
      <c r="O935" s="499"/>
    </row>
    <row r="936" customFormat="false" ht="20.25" hidden="false" customHeight="true" outlineLevel="0" collapsed="false">
      <c r="A936" s="457"/>
      <c r="B936" s="457"/>
      <c r="C936" s="457"/>
      <c r="D936" s="499"/>
      <c r="E936" s="457"/>
      <c r="F936" s="457"/>
      <c r="G936" s="457"/>
      <c r="J936" s="457"/>
      <c r="K936" s="457"/>
      <c r="L936" s="499"/>
      <c r="M936" s="556"/>
      <c r="N936" s="556"/>
      <c r="O936" s="499"/>
    </row>
    <row r="937" customFormat="false" ht="20.25" hidden="false" customHeight="true" outlineLevel="0" collapsed="false">
      <c r="A937" s="457"/>
      <c r="B937" s="457"/>
      <c r="C937" s="457"/>
      <c r="D937" s="499"/>
      <c r="E937" s="457"/>
      <c r="F937" s="457"/>
      <c r="G937" s="457"/>
      <c r="J937" s="457"/>
      <c r="K937" s="457"/>
      <c r="L937" s="499"/>
      <c r="M937" s="556"/>
      <c r="N937" s="556"/>
      <c r="O937" s="499"/>
    </row>
    <row r="938" customFormat="false" ht="20.25" hidden="false" customHeight="true" outlineLevel="0" collapsed="false">
      <c r="A938" s="457"/>
      <c r="B938" s="457"/>
      <c r="C938" s="457"/>
      <c r="D938" s="499"/>
      <c r="E938" s="457"/>
      <c r="F938" s="457"/>
      <c r="G938" s="457"/>
      <c r="J938" s="457"/>
      <c r="K938" s="457"/>
      <c r="L938" s="499"/>
      <c r="M938" s="556"/>
      <c r="N938" s="556"/>
      <c r="O938" s="499"/>
    </row>
    <row r="939" customFormat="false" ht="20.25" hidden="false" customHeight="true" outlineLevel="0" collapsed="false">
      <c r="A939" s="457"/>
      <c r="B939" s="457"/>
      <c r="C939" s="457"/>
      <c r="D939" s="499"/>
      <c r="E939" s="457"/>
      <c r="F939" s="457"/>
      <c r="G939" s="457"/>
      <c r="J939" s="457"/>
      <c r="K939" s="457"/>
      <c r="L939" s="499"/>
      <c r="M939" s="556"/>
      <c r="N939" s="556"/>
      <c r="O939" s="499"/>
    </row>
    <row r="940" customFormat="false" ht="20.25" hidden="false" customHeight="true" outlineLevel="0" collapsed="false">
      <c r="A940" s="457"/>
      <c r="B940" s="457"/>
      <c r="C940" s="457"/>
      <c r="D940" s="499"/>
      <c r="E940" s="457"/>
      <c r="F940" s="457"/>
      <c r="G940" s="457"/>
      <c r="J940" s="457"/>
      <c r="K940" s="457"/>
      <c r="L940" s="499"/>
      <c r="M940" s="556"/>
      <c r="N940" s="556"/>
      <c r="O940" s="499"/>
    </row>
    <row r="941" customFormat="false" ht="20.25" hidden="false" customHeight="true" outlineLevel="0" collapsed="false">
      <c r="A941" s="457"/>
      <c r="B941" s="457"/>
      <c r="C941" s="457"/>
      <c r="D941" s="499"/>
      <c r="E941" s="457"/>
      <c r="F941" s="457"/>
      <c r="G941" s="457"/>
      <c r="J941" s="457"/>
      <c r="K941" s="457"/>
      <c r="L941" s="499"/>
      <c r="M941" s="556"/>
      <c r="N941" s="556"/>
      <c r="O941" s="499"/>
    </row>
    <row r="942" customFormat="false" ht="20.25" hidden="false" customHeight="true" outlineLevel="0" collapsed="false">
      <c r="A942" s="457"/>
      <c r="B942" s="457"/>
      <c r="C942" s="457"/>
      <c r="D942" s="499"/>
      <c r="E942" s="457"/>
      <c r="F942" s="457"/>
      <c r="G942" s="457"/>
      <c r="J942" s="457"/>
      <c r="K942" s="457"/>
      <c r="L942" s="499"/>
      <c r="M942" s="556"/>
      <c r="N942" s="556"/>
      <c r="O942" s="499"/>
    </row>
    <row r="943" customFormat="false" ht="20.25" hidden="false" customHeight="true" outlineLevel="0" collapsed="false">
      <c r="A943" s="457"/>
      <c r="B943" s="457"/>
      <c r="C943" s="457"/>
      <c r="D943" s="499"/>
      <c r="E943" s="457"/>
      <c r="F943" s="457"/>
      <c r="G943" s="457"/>
      <c r="J943" s="457"/>
      <c r="K943" s="457"/>
      <c r="L943" s="499"/>
      <c r="M943" s="556"/>
      <c r="N943" s="556"/>
      <c r="O943" s="499"/>
    </row>
    <row r="944" customFormat="false" ht="20.25" hidden="false" customHeight="true" outlineLevel="0" collapsed="false">
      <c r="A944" s="457"/>
      <c r="B944" s="457"/>
      <c r="C944" s="457"/>
      <c r="D944" s="499"/>
      <c r="E944" s="457"/>
      <c r="F944" s="457"/>
      <c r="G944" s="457"/>
      <c r="J944" s="457"/>
      <c r="K944" s="457"/>
      <c r="L944" s="499"/>
      <c r="M944" s="556"/>
      <c r="N944" s="556"/>
      <c r="O944" s="499"/>
    </row>
    <row r="945" customFormat="false" ht="20.25" hidden="false" customHeight="true" outlineLevel="0" collapsed="false">
      <c r="A945" s="457"/>
      <c r="B945" s="457"/>
      <c r="C945" s="457"/>
      <c r="D945" s="499"/>
      <c r="E945" s="457"/>
      <c r="F945" s="457"/>
      <c r="G945" s="457"/>
      <c r="J945" s="457"/>
      <c r="K945" s="457"/>
      <c r="L945" s="499"/>
      <c r="M945" s="556"/>
      <c r="N945" s="556"/>
      <c r="O945" s="499"/>
    </row>
    <row r="946" customFormat="false" ht="20.25" hidden="false" customHeight="true" outlineLevel="0" collapsed="false">
      <c r="A946" s="457"/>
      <c r="B946" s="457"/>
      <c r="C946" s="457"/>
      <c r="D946" s="499"/>
      <c r="E946" s="457"/>
      <c r="F946" s="457"/>
      <c r="G946" s="457"/>
      <c r="J946" s="457"/>
      <c r="K946" s="457"/>
      <c r="L946" s="499"/>
      <c r="M946" s="556"/>
      <c r="N946" s="556"/>
      <c r="O946" s="499"/>
    </row>
    <row r="947" customFormat="false" ht="20.25" hidden="false" customHeight="true" outlineLevel="0" collapsed="false">
      <c r="A947" s="457"/>
      <c r="B947" s="457"/>
      <c r="C947" s="457"/>
      <c r="D947" s="499"/>
      <c r="E947" s="457"/>
      <c r="F947" s="457"/>
      <c r="G947" s="457"/>
      <c r="J947" s="457"/>
      <c r="K947" s="457"/>
      <c r="L947" s="499"/>
      <c r="M947" s="556"/>
      <c r="N947" s="556"/>
      <c r="O947" s="499"/>
    </row>
    <row r="948" customFormat="false" ht="20.25" hidden="false" customHeight="true" outlineLevel="0" collapsed="false">
      <c r="A948" s="457"/>
      <c r="B948" s="457"/>
      <c r="C948" s="457"/>
      <c r="D948" s="499"/>
      <c r="E948" s="457"/>
      <c r="F948" s="457"/>
      <c r="G948" s="457"/>
      <c r="J948" s="457"/>
      <c r="K948" s="457"/>
      <c r="L948" s="499"/>
      <c r="M948" s="556"/>
      <c r="N948" s="556"/>
      <c r="O948" s="499"/>
    </row>
    <row r="949" customFormat="false" ht="20.25" hidden="false" customHeight="true" outlineLevel="0" collapsed="false">
      <c r="A949" s="457"/>
      <c r="B949" s="457"/>
      <c r="C949" s="457"/>
      <c r="D949" s="499"/>
      <c r="E949" s="457"/>
      <c r="F949" s="457"/>
      <c r="G949" s="457"/>
      <c r="J949" s="457"/>
      <c r="K949" s="457"/>
      <c r="L949" s="499"/>
      <c r="M949" s="556"/>
      <c r="N949" s="556"/>
      <c r="O949" s="499"/>
    </row>
    <row r="950" customFormat="false" ht="20.25" hidden="false" customHeight="true" outlineLevel="0" collapsed="false">
      <c r="A950" s="457"/>
      <c r="B950" s="457"/>
      <c r="C950" s="457"/>
      <c r="D950" s="499"/>
      <c r="E950" s="457"/>
      <c r="F950" s="457"/>
      <c r="G950" s="457"/>
      <c r="J950" s="457"/>
      <c r="K950" s="457"/>
      <c r="L950" s="499"/>
      <c r="M950" s="556"/>
      <c r="N950" s="556"/>
      <c r="O950" s="499"/>
    </row>
    <row r="951" customFormat="false" ht="20.25" hidden="false" customHeight="true" outlineLevel="0" collapsed="false">
      <c r="A951" s="457"/>
      <c r="B951" s="457"/>
      <c r="C951" s="457"/>
      <c r="D951" s="499"/>
      <c r="E951" s="457"/>
      <c r="F951" s="457"/>
      <c r="G951" s="457"/>
      <c r="J951" s="457"/>
      <c r="K951" s="457"/>
      <c r="L951" s="499"/>
      <c r="M951" s="556"/>
      <c r="N951" s="556"/>
      <c r="O951" s="499"/>
    </row>
    <row r="952" customFormat="false" ht="20.25" hidden="false" customHeight="true" outlineLevel="0" collapsed="false">
      <c r="A952" s="457"/>
      <c r="B952" s="457"/>
      <c r="C952" s="457"/>
      <c r="D952" s="499"/>
      <c r="E952" s="457"/>
      <c r="F952" s="457"/>
      <c r="G952" s="457"/>
      <c r="J952" s="457"/>
      <c r="K952" s="457"/>
      <c r="L952" s="499"/>
      <c r="M952" s="556"/>
      <c r="N952" s="556"/>
      <c r="O952" s="499"/>
    </row>
    <row r="953" customFormat="false" ht="20.25" hidden="false" customHeight="true" outlineLevel="0" collapsed="false">
      <c r="A953" s="457"/>
      <c r="B953" s="457"/>
      <c r="C953" s="457"/>
      <c r="D953" s="499"/>
      <c r="E953" s="457"/>
      <c r="F953" s="457"/>
      <c r="G953" s="457"/>
      <c r="J953" s="457"/>
      <c r="K953" s="457"/>
      <c r="L953" s="499"/>
      <c r="M953" s="556"/>
      <c r="N953" s="556"/>
      <c r="O953" s="499"/>
    </row>
    <row r="954" customFormat="false" ht="20.25" hidden="false" customHeight="true" outlineLevel="0" collapsed="false">
      <c r="A954" s="457"/>
      <c r="B954" s="457"/>
      <c r="C954" s="457"/>
      <c r="D954" s="499"/>
      <c r="E954" s="457"/>
      <c r="F954" s="457"/>
      <c r="G954" s="457"/>
      <c r="J954" s="457"/>
      <c r="K954" s="457"/>
      <c r="L954" s="499"/>
      <c r="M954" s="556"/>
      <c r="N954" s="556"/>
      <c r="O954" s="499"/>
    </row>
    <row r="955" customFormat="false" ht="20.25" hidden="false" customHeight="true" outlineLevel="0" collapsed="false">
      <c r="A955" s="457"/>
      <c r="B955" s="457"/>
      <c r="C955" s="457"/>
      <c r="D955" s="499"/>
      <c r="E955" s="457"/>
      <c r="F955" s="457"/>
      <c r="G955" s="457"/>
      <c r="J955" s="457"/>
      <c r="K955" s="457"/>
      <c r="L955" s="499"/>
      <c r="M955" s="556"/>
      <c r="N955" s="556"/>
      <c r="O955" s="499"/>
    </row>
    <row r="956" customFormat="false" ht="20.25" hidden="false" customHeight="true" outlineLevel="0" collapsed="false">
      <c r="A956" s="457"/>
      <c r="B956" s="457"/>
      <c r="C956" s="457"/>
      <c r="D956" s="499"/>
      <c r="E956" s="457"/>
      <c r="F956" s="457"/>
      <c r="G956" s="457"/>
      <c r="J956" s="457"/>
      <c r="K956" s="457"/>
      <c r="L956" s="499"/>
      <c r="M956" s="556"/>
      <c r="N956" s="556"/>
      <c r="O956" s="499"/>
    </row>
    <row r="957" customFormat="false" ht="20.25" hidden="false" customHeight="true" outlineLevel="0" collapsed="false">
      <c r="A957" s="457"/>
      <c r="B957" s="457"/>
      <c r="C957" s="457"/>
      <c r="D957" s="499"/>
      <c r="E957" s="457"/>
      <c r="F957" s="457"/>
      <c r="G957" s="457"/>
      <c r="J957" s="457"/>
      <c r="K957" s="457"/>
      <c r="L957" s="499"/>
      <c r="M957" s="556"/>
      <c r="N957" s="556"/>
      <c r="O957" s="499"/>
    </row>
    <row r="958" customFormat="false" ht="20.25" hidden="false" customHeight="true" outlineLevel="0" collapsed="false">
      <c r="A958" s="457"/>
      <c r="B958" s="457"/>
      <c r="C958" s="457"/>
      <c r="D958" s="499"/>
      <c r="E958" s="457"/>
      <c r="F958" s="457"/>
      <c r="G958" s="457"/>
      <c r="J958" s="457"/>
      <c r="K958" s="457"/>
      <c r="L958" s="499"/>
      <c r="M958" s="556"/>
      <c r="N958" s="556"/>
      <c r="O958" s="499"/>
    </row>
    <row r="959" customFormat="false" ht="20.25" hidden="false" customHeight="true" outlineLevel="0" collapsed="false">
      <c r="A959" s="457"/>
      <c r="B959" s="457"/>
      <c r="C959" s="457"/>
      <c r="D959" s="499"/>
      <c r="E959" s="457"/>
      <c r="F959" s="457"/>
      <c r="G959" s="457"/>
      <c r="J959" s="457"/>
      <c r="K959" s="457"/>
      <c r="L959" s="499"/>
      <c r="M959" s="556"/>
      <c r="N959" s="556"/>
      <c r="O959" s="499"/>
    </row>
    <row r="960" customFormat="false" ht="20.25" hidden="false" customHeight="true" outlineLevel="0" collapsed="false">
      <c r="A960" s="457"/>
      <c r="B960" s="457"/>
      <c r="C960" s="457"/>
      <c r="D960" s="499"/>
      <c r="E960" s="457"/>
      <c r="F960" s="457"/>
      <c r="G960" s="457"/>
      <c r="J960" s="457"/>
      <c r="K960" s="457"/>
      <c r="L960" s="499"/>
      <c r="M960" s="556"/>
      <c r="N960" s="556"/>
      <c r="O960" s="499"/>
    </row>
    <row r="961" customFormat="false" ht="20.25" hidden="false" customHeight="true" outlineLevel="0" collapsed="false">
      <c r="A961" s="457"/>
      <c r="B961" s="457"/>
      <c r="C961" s="457"/>
      <c r="D961" s="499"/>
      <c r="E961" s="457"/>
      <c r="F961" s="457"/>
      <c r="G961" s="457"/>
      <c r="J961" s="457"/>
      <c r="K961" s="457"/>
      <c r="L961" s="499"/>
      <c r="M961" s="556"/>
      <c r="N961" s="556"/>
      <c r="O961" s="499"/>
    </row>
    <row r="962" customFormat="false" ht="20.25" hidden="false" customHeight="true" outlineLevel="0" collapsed="false">
      <c r="A962" s="457"/>
      <c r="B962" s="457"/>
      <c r="C962" s="457"/>
      <c r="D962" s="499"/>
      <c r="E962" s="457"/>
      <c r="F962" s="457"/>
      <c r="G962" s="457"/>
      <c r="J962" s="457"/>
      <c r="K962" s="457"/>
      <c r="L962" s="499"/>
      <c r="M962" s="556"/>
      <c r="N962" s="556"/>
      <c r="O962" s="499"/>
    </row>
    <row r="963" customFormat="false" ht="20.25" hidden="false" customHeight="true" outlineLevel="0" collapsed="false">
      <c r="A963" s="457"/>
      <c r="B963" s="457"/>
      <c r="C963" s="457"/>
      <c r="D963" s="499"/>
      <c r="E963" s="457"/>
      <c r="F963" s="457"/>
      <c r="G963" s="457"/>
      <c r="J963" s="457"/>
      <c r="K963" s="457"/>
      <c r="L963" s="499"/>
      <c r="M963" s="556"/>
      <c r="N963" s="556"/>
      <c r="O963" s="499"/>
    </row>
    <row r="964" customFormat="false" ht="20.25" hidden="false" customHeight="true" outlineLevel="0" collapsed="false">
      <c r="A964" s="457"/>
      <c r="B964" s="457"/>
      <c r="C964" s="457"/>
      <c r="D964" s="499"/>
      <c r="E964" s="457"/>
      <c r="F964" s="457"/>
      <c r="G964" s="457"/>
      <c r="J964" s="457"/>
      <c r="K964" s="457"/>
      <c r="L964" s="499"/>
      <c r="M964" s="556"/>
      <c r="N964" s="556"/>
      <c r="O964" s="499"/>
    </row>
    <row r="965" customFormat="false" ht="20.25" hidden="false" customHeight="true" outlineLevel="0" collapsed="false">
      <c r="A965" s="457"/>
      <c r="B965" s="457"/>
      <c r="C965" s="457"/>
      <c r="D965" s="499"/>
      <c r="E965" s="457"/>
      <c r="F965" s="457"/>
      <c r="G965" s="457"/>
      <c r="J965" s="457"/>
      <c r="K965" s="457"/>
      <c r="L965" s="499"/>
      <c r="M965" s="556"/>
      <c r="N965" s="556"/>
      <c r="O965" s="499"/>
    </row>
    <row r="966" customFormat="false" ht="20.25" hidden="false" customHeight="true" outlineLevel="0" collapsed="false">
      <c r="A966" s="457"/>
      <c r="B966" s="457"/>
      <c r="C966" s="457"/>
      <c r="D966" s="499"/>
      <c r="E966" s="457"/>
      <c r="F966" s="457"/>
      <c r="G966" s="457"/>
      <c r="J966" s="457"/>
      <c r="K966" s="457"/>
      <c r="L966" s="499"/>
      <c r="M966" s="556"/>
      <c r="N966" s="556"/>
      <c r="O966" s="499"/>
    </row>
    <row r="967" customFormat="false" ht="20.25" hidden="false" customHeight="true" outlineLevel="0" collapsed="false">
      <c r="A967" s="457"/>
      <c r="B967" s="457"/>
      <c r="C967" s="457"/>
      <c r="D967" s="499"/>
      <c r="E967" s="457"/>
      <c r="F967" s="457"/>
      <c r="G967" s="457"/>
      <c r="J967" s="457"/>
      <c r="K967" s="457"/>
      <c r="L967" s="499"/>
      <c r="M967" s="556"/>
      <c r="N967" s="556"/>
      <c r="O967" s="499"/>
    </row>
    <row r="968" customFormat="false" ht="20.25" hidden="false" customHeight="true" outlineLevel="0" collapsed="false">
      <c r="A968" s="457"/>
      <c r="B968" s="457"/>
      <c r="C968" s="457"/>
      <c r="D968" s="499"/>
      <c r="E968" s="457"/>
      <c r="F968" s="457"/>
      <c r="G968" s="457"/>
      <c r="J968" s="457"/>
      <c r="K968" s="457"/>
      <c r="L968" s="499"/>
      <c r="M968" s="556"/>
      <c r="N968" s="556"/>
      <c r="O968" s="499"/>
    </row>
    <row r="969" customFormat="false" ht="20.25" hidden="false" customHeight="true" outlineLevel="0" collapsed="false">
      <c r="A969" s="457"/>
      <c r="B969" s="457"/>
      <c r="C969" s="457"/>
      <c r="D969" s="499"/>
      <c r="E969" s="457"/>
      <c r="F969" s="457"/>
      <c r="G969" s="457"/>
      <c r="J969" s="457"/>
      <c r="K969" s="457"/>
      <c r="L969" s="499"/>
      <c r="M969" s="556"/>
      <c r="N969" s="556"/>
      <c r="O969" s="499"/>
    </row>
    <row r="970" customFormat="false" ht="20.25" hidden="false" customHeight="true" outlineLevel="0" collapsed="false">
      <c r="A970" s="457"/>
      <c r="B970" s="457"/>
      <c r="C970" s="457"/>
      <c r="D970" s="499"/>
      <c r="E970" s="457"/>
      <c r="F970" s="457"/>
      <c r="G970" s="457"/>
      <c r="J970" s="457"/>
      <c r="K970" s="457"/>
      <c r="L970" s="499"/>
      <c r="M970" s="556"/>
      <c r="N970" s="556"/>
      <c r="O970" s="499"/>
    </row>
    <row r="971" customFormat="false" ht="20.25" hidden="false" customHeight="true" outlineLevel="0" collapsed="false">
      <c r="A971" s="457"/>
      <c r="B971" s="457"/>
      <c r="C971" s="457"/>
      <c r="D971" s="499"/>
      <c r="E971" s="457"/>
      <c r="F971" s="457"/>
      <c r="G971" s="457"/>
      <c r="J971" s="457"/>
      <c r="K971" s="457"/>
      <c r="L971" s="499"/>
      <c r="M971" s="556"/>
      <c r="N971" s="556"/>
      <c r="O971" s="499"/>
    </row>
    <row r="972" customFormat="false" ht="20.25" hidden="false" customHeight="true" outlineLevel="0" collapsed="false">
      <c r="A972" s="457"/>
      <c r="B972" s="457"/>
      <c r="C972" s="457"/>
      <c r="D972" s="499"/>
      <c r="E972" s="457"/>
      <c r="F972" s="457"/>
      <c r="G972" s="457"/>
      <c r="J972" s="457"/>
      <c r="K972" s="457"/>
      <c r="L972" s="499"/>
      <c r="M972" s="556"/>
      <c r="N972" s="556"/>
      <c r="O972" s="499"/>
    </row>
    <row r="973" customFormat="false" ht="20.25" hidden="false" customHeight="true" outlineLevel="0" collapsed="false">
      <c r="A973" s="457"/>
      <c r="B973" s="457"/>
      <c r="C973" s="457"/>
      <c r="D973" s="499"/>
      <c r="E973" s="457"/>
      <c r="F973" s="457"/>
      <c r="G973" s="457"/>
      <c r="J973" s="457"/>
      <c r="K973" s="457"/>
      <c r="L973" s="499"/>
      <c r="M973" s="556"/>
      <c r="N973" s="556"/>
      <c r="O973" s="499"/>
    </row>
    <row r="974" customFormat="false" ht="20.25" hidden="false" customHeight="true" outlineLevel="0" collapsed="false">
      <c r="A974" s="457"/>
      <c r="B974" s="457"/>
      <c r="C974" s="457"/>
      <c r="D974" s="499"/>
      <c r="E974" s="457"/>
      <c r="F974" s="457"/>
      <c r="G974" s="457"/>
      <c r="J974" s="457"/>
      <c r="K974" s="457"/>
      <c r="L974" s="499"/>
      <c r="M974" s="556"/>
      <c r="N974" s="556"/>
      <c r="O974" s="499"/>
    </row>
    <row r="975" customFormat="false" ht="20.25" hidden="false" customHeight="true" outlineLevel="0" collapsed="false">
      <c r="A975" s="457"/>
      <c r="B975" s="457"/>
      <c r="C975" s="457"/>
      <c r="D975" s="499"/>
      <c r="E975" s="457"/>
      <c r="F975" s="457"/>
      <c r="G975" s="457"/>
      <c r="J975" s="457"/>
      <c r="K975" s="457"/>
      <c r="L975" s="499"/>
      <c r="M975" s="556"/>
      <c r="N975" s="556"/>
      <c r="O975" s="499"/>
    </row>
    <row r="976" customFormat="false" ht="20.25" hidden="false" customHeight="true" outlineLevel="0" collapsed="false">
      <c r="A976" s="457"/>
      <c r="B976" s="457"/>
      <c r="C976" s="457"/>
      <c r="D976" s="499"/>
      <c r="E976" s="457"/>
      <c r="F976" s="457"/>
      <c r="G976" s="457"/>
      <c r="J976" s="457"/>
      <c r="K976" s="457"/>
      <c r="L976" s="499"/>
      <c r="M976" s="556"/>
      <c r="N976" s="556"/>
      <c r="O976" s="499"/>
    </row>
    <row r="977" customFormat="false" ht="20.25" hidden="false" customHeight="true" outlineLevel="0" collapsed="false">
      <c r="A977" s="457"/>
      <c r="B977" s="457"/>
      <c r="C977" s="457"/>
      <c r="D977" s="499"/>
      <c r="E977" s="457"/>
      <c r="F977" s="457"/>
      <c r="G977" s="457"/>
      <c r="J977" s="457"/>
      <c r="K977" s="457"/>
      <c r="L977" s="499"/>
      <c r="M977" s="556"/>
      <c r="N977" s="556"/>
      <c r="O977" s="499"/>
    </row>
    <row r="978" customFormat="false" ht="20.25" hidden="false" customHeight="true" outlineLevel="0" collapsed="false">
      <c r="A978" s="457"/>
      <c r="B978" s="457"/>
      <c r="C978" s="457"/>
      <c r="D978" s="499"/>
      <c r="E978" s="457"/>
      <c r="F978" s="457"/>
      <c r="G978" s="457"/>
      <c r="J978" s="457"/>
      <c r="K978" s="457"/>
      <c r="L978" s="499"/>
      <c r="M978" s="556"/>
      <c r="N978" s="556"/>
      <c r="O978" s="499"/>
    </row>
    <row r="979" customFormat="false" ht="20.25" hidden="false" customHeight="true" outlineLevel="0" collapsed="false">
      <c r="A979" s="457"/>
      <c r="B979" s="457"/>
      <c r="C979" s="457"/>
      <c r="D979" s="499"/>
      <c r="E979" s="457"/>
      <c r="F979" s="457"/>
      <c r="G979" s="457"/>
      <c r="J979" s="457"/>
      <c r="K979" s="457"/>
      <c r="L979" s="499"/>
      <c r="M979" s="556"/>
      <c r="N979" s="556"/>
      <c r="O979" s="499"/>
    </row>
    <row r="980" customFormat="false" ht="20.25" hidden="false" customHeight="true" outlineLevel="0" collapsed="false">
      <c r="A980" s="457"/>
      <c r="B980" s="457"/>
      <c r="C980" s="457"/>
      <c r="D980" s="499"/>
      <c r="E980" s="457"/>
      <c r="F980" s="457"/>
      <c r="G980" s="457"/>
      <c r="J980" s="457"/>
      <c r="K980" s="457"/>
      <c r="L980" s="499"/>
      <c r="M980" s="556"/>
      <c r="N980" s="556"/>
      <c r="O980" s="499"/>
    </row>
    <row r="981" customFormat="false" ht="20.25" hidden="false" customHeight="true" outlineLevel="0" collapsed="false">
      <c r="A981" s="457"/>
      <c r="B981" s="457"/>
      <c r="C981" s="457"/>
      <c r="D981" s="499"/>
      <c r="E981" s="457"/>
      <c r="F981" s="457"/>
      <c r="G981" s="457"/>
      <c r="J981" s="457"/>
      <c r="K981" s="457"/>
      <c r="L981" s="499"/>
      <c r="M981" s="556"/>
      <c r="N981" s="556"/>
      <c r="O981" s="499"/>
    </row>
    <row r="982" customFormat="false" ht="20.25" hidden="false" customHeight="true" outlineLevel="0" collapsed="false">
      <c r="A982" s="457"/>
      <c r="B982" s="457"/>
      <c r="C982" s="457"/>
      <c r="D982" s="499"/>
      <c r="E982" s="457"/>
      <c r="F982" s="457"/>
      <c r="G982" s="457"/>
      <c r="J982" s="457"/>
      <c r="K982" s="457"/>
      <c r="L982" s="499"/>
      <c r="M982" s="556"/>
      <c r="N982" s="556"/>
      <c r="O982" s="499"/>
    </row>
    <row r="983" customFormat="false" ht="20.25" hidden="false" customHeight="true" outlineLevel="0" collapsed="false">
      <c r="A983" s="457"/>
      <c r="B983" s="457"/>
      <c r="C983" s="457"/>
      <c r="D983" s="499"/>
      <c r="E983" s="457"/>
      <c r="F983" s="457"/>
      <c r="G983" s="457"/>
      <c r="J983" s="457"/>
      <c r="K983" s="457"/>
      <c r="L983" s="499"/>
      <c r="M983" s="556"/>
      <c r="N983" s="556"/>
      <c r="O983" s="499"/>
    </row>
    <row r="984" customFormat="false" ht="20.25" hidden="false" customHeight="true" outlineLevel="0" collapsed="false">
      <c r="A984" s="457"/>
      <c r="B984" s="457"/>
      <c r="C984" s="457"/>
      <c r="D984" s="499"/>
      <c r="E984" s="457"/>
      <c r="F984" s="457"/>
      <c r="G984" s="457"/>
      <c r="J984" s="457"/>
      <c r="K984" s="457"/>
      <c r="L984" s="499"/>
      <c r="M984" s="556"/>
      <c r="N984" s="556"/>
      <c r="O984" s="499"/>
    </row>
    <row r="985" customFormat="false" ht="20.25" hidden="false" customHeight="true" outlineLevel="0" collapsed="false">
      <c r="A985" s="457"/>
      <c r="B985" s="457"/>
      <c r="C985" s="457"/>
      <c r="D985" s="499"/>
      <c r="E985" s="457"/>
      <c r="F985" s="457"/>
      <c r="G985" s="457"/>
      <c r="J985" s="457"/>
      <c r="K985" s="457"/>
      <c r="L985" s="499"/>
      <c r="M985" s="556"/>
      <c r="N985" s="556"/>
      <c r="O985" s="499"/>
    </row>
    <row r="986" customFormat="false" ht="20.25" hidden="false" customHeight="true" outlineLevel="0" collapsed="false">
      <c r="A986" s="457"/>
      <c r="B986" s="457"/>
      <c r="C986" s="457"/>
      <c r="D986" s="499"/>
      <c r="E986" s="457"/>
      <c r="F986" s="457"/>
      <c r="G986" s="457"/>
      <c r="J986" s="457"/>
      <c r="K986" s="457"/>
      <c r="L986" s="499"/>
      <c r="M986" s="556"/>
      <c r="N986" s="556"/>
      <c r="O986" s="499"/>
    </row>
    <row r="987" customFormat="false" ht="20.25" hidden="false" customHeight="true" outlineLevel="0" collapsed="false">
      <c r="A987" s="457"/>
      <c r="B987" s="457"/>
      <c r="C987" s="457"/>
      <c r="D987" s="499"/>
      <c r="E987" s="457"/>
      <c r="F987" s="457"/>
      <c r="G987" s="457"/>
      <c r="J987" s="457"/>
      <c r="K987" s="457"/>
      <c r="L987" s="499"/>
      <c r="M987" s="556"/>
      <c r="N987" s="556"/>
      <c r="O987" s="499"/>
    </row>
    <row r="988" customFormat="false" ht="20.25" hidden="false" customHeight="true" outlineLevel="0" collapsed="false">
      <c r="A988" s="457"/>
      <c r="B988" s="457"/>
      <c r="C988" s="457"/>
      <c r="D988" s="499"/>
      <c r="E988" s="457"/>
      <c r="F988" s="457"/>
      <c r="G988" s="457"/>
      <c r="J988" s="457"/>
      <c r="K988" s="457"/>
      <c r="L988" s="499"/>
      <c r="M988" s="556"/>
      <c r="N988" s="556"/>
      <c r="O988" s="499"/>
    </row>
    <row r="989" customFormat="false" ht="20.25" hidden="false" customHeight="true" outlineLevel="0" collapsed="false">
      <c r="A989" s="457"/>
      <c r="B989" s="457"/>
      <c r="C989" s="457"/>
      <c r="D989" s="499"/>
      <c r="E989" s="457"/>
      <c r="F989" s="457"/>
      <c r="G989" s="457"/>
      <c r="J989" s="457"/>
      <c r="K989" s="457"/>
      <c r="L989" s="499"/>
      <c r="M989" s="556"/>
      <c r="N989" s="556"/>
      <c r="O989" s="499"/>
    </row>
    <row r="990" customFormat="false" ht="20.25" hidden="false" customHeight="true" outlineLevel="0" collapsed="false">
      <c r="A990" s="457"/>
      <c r="B990" s="457"/>
      <c r="C990" s="457"/>
      <c r="D990" s="499"/>
      <c r="E990" s="457"/>
      <c r="F990" s="457"/>
      <c r="G990" s="457"/>
      <c r="J990" s="457"/>
      <c r="K990" s="457"/>
      <c r="L990" s="499"/>
      <c r="M990" s="556"/>
      <c r="N990" s="556"/>
      <c r="O990" s="499"/>
    </row>
    <row r="991" customFormat="false" ht="20.25" hidden="false" customHeight="true" outlineLevel="0" collapsed="false">
      <c r="A991" s="457"/>
      <c r="B991" s="457"/>
      <c r="C991" s="457"/>
      <c r="D991" s="499"/>
      <c r="E991" s="457"/>
      <c r="F991" s="457"/>
      <c r="G991" s="457"/>
      <c r="J991" s="457"/>
      <c r="K991" s="457"/>
      <c r="L991" s="499"/>
      <c r="M991" s="556"/>
      <c r="N991" s="556"/>
      <c r="O991" s="499"/>
    </row>
    <row r="992" customFormat="false" ht="20.25" hidden="false" customHeight="true" outlineLevel="0" collapsed="false">
      <c r="A992" s="457"/>
      <c r="B992" s="457"/>
      <c r="C992" s="457"/>
      <c r="D992" s="499"/>
      <c r="E992" s="457"/>
      <c r="F992" s="457"/>
      <c r="G992" s="457"/>
      <c r="J992" s="457"/>
      <c r="K992" s="457"/>
      <c r="L992" s="499"/>
      <c r="M992" s="556"/>
      <c r="N992" s="556"/>
      <c r="O992" s="499"/>
    </row>
    <row r="993" customFormat="false" ht="20.25" hidden="false" customHeight="true" outlineLevel="0" collapsed="false">
      <c r="A993" s="457"/>
      <c r="B993" s="457"/>
      <c r="C993" s="457"/>
      <c r="D993" s="499"/>
      <c r="E993" s="457"/>
      <c r="F993" s="457"/>
      <c r="G993" s="457"/>
      <c r="J993" s="457"/>
      <c r="K993" s="457"/>
      <c r="L993" s="499"/>
      <c r="M993" s="556"/>
      <c r="N993" s="556"/>
      <c r="O993" s="499"/>
    </row>
    <row r="994" customFormat="false" ht="20.25" hidden="false" customHeight="true" outlineLevel="0" collapsed="false">
      <c r="A994" s="457"/>
      <c r="B994" s="457"/>
      <c r="C994" s="457"/>
      <c r="D994" s="499"/>
      <c r="E994" s="457"/>
      <c r="F994" s="457"/>
      <c r="G994" s="457"/>
      <c r="J994" s="457"/>
      <c r="K994" s="457"/>
      <c r="L994" s="499"/>
      <c r="M994" s="556"/>
      <c r="N994" s="556"/>
      <c r="O994" s="499"/>
    </row>
    <row r="995" customFormat="false" ht="20.25" hidden="false" customHeight="true" outlineLevel="0" collapsed="false">
      <c r="A995" s="457"/>
      <c r="B995" s="457"/>
      <c r="C995" s="457"/>
      <c r="D995" s="499"/>
      <c r="E995" s="457"/>
      <c r="F995" s="457"/>
      <c r="G995" s="457"/>
      <c r="J995" s="457"/>
      <c r="K995" s="457"/>
      <c r="L995" s="499"/>
      <c r="M995" s="556"/>
      <c r="N995" s="556"/>
      <c r="O995" s="499"/>
    </row>
    <row r="996" customFormat="false" ht="20.25" hidden="false" customHeight="true" outlineLevel="0" collapsed="false">
      <c r="A996" s="457"/>
      <c r="B996" s="457"/>
      <c r="C996" s="457"/>
      <c r="D996" s="499"/>
      <c r="E996" s="457"/>
      <c r="F996" s="457"/>
      <c r="G996" s="457"/>
      <c r="J996" s="457"/>
      <c r="K996" s="457"/>
      <c r="L996" s="499"/>
      <c r="M996" s="556"/>
      <c r="N996" s="556"/>
      <c r="O996" s="499"/>
    </row>
    <row r="997" customFormat="false" ht="20.25" hidden="false" customHeight="true" outlineLevel="0" collapsed="false">
      <c r="A997" s="457"/>
      <c r="B997" s="457"/>
      <c r="C997" s="457"/>
      <c r="D997" s="499"/>
      <c r="E997" s="457"/>
      <c r="F997" s="457"/>
      <c r="G997" s="457"/>
      <c r="J997" s="457"/>
      <c r="K997" s="457"/>
      <c r="L997" s="499"/>
      <c r="M997" s="556"/>
      <c r="N997" s="556"/>
      <c r="O997" s="499"/>
    </row>
    <row r="998" customFormat="false" ht="20.25" hidden="false" customHeight="true" outlineLevel="0" collapsed="false">
      <c r="A998" s="457"/>
      <c r="B998" s="457"/>
      <c r="C998" s="457"/>
      <c r="D998" s="499"/>
      <c r="E998" s="457"/>
      <c r="F998" s="457"/>
      <c r="G998" s="457"/>
      <c r="J998" s="457"/>
      <c r="K998" s="457"/>
      <c r="L998" s="499"/>
      <c r="M998" s="556"/>
      <c r="N998" s="556"/>
      <c r="O998" s="499"/>
    </row>
    <row r="999" customFormat="false" ht="20.25" hidden="false" customHeight="true" outlineLevel="0" collapsed="false">
      <c r="A999" s="457"/>
      <c r="B999" s="457"/>
      <c r="C999" s="457"/>
      <c r="D999" s="499"/>
      <c r="E999" s="457"/>
      <c r="F999" s="457"/>
      <c r="G999" s="457"/>
      <c r="J999" s="457"/>
      <c r="K999" s="457"/>
      <c r="L999" s="499"/>
      <c r="M999" s="556"/>
      <c r="N999" s="556"/>
      <c r="O999" s="499"/>
    </row>
    <row r="1000" customFormat="false" ht="20.25" hidden="false" customHeight="true" outlineLevel="0" collapsed="false">
      <c r="A1000" s="457"/>
      <c r="B1000" s="457"/>
      <c r="C1000" s="457"/>
      <c r="D1000" s="499"/>
      <c r="E1000" s="457"/>
      <c r="F1000" s="457"/>
      <c r="G1000" s="457"/>
      <c r="J1000" s="457"/>
      <c r="K1000" s="457"/>
      <c r="L1000" s="499"/>
      <c r="M1000" s="556"/>
      <c r="N1000" s="556"/>
      <c r="O1000" s="499"/>
    </row>
    <row r="1001" customFormat="false" ht="20.25" hidden="false" customHeight="true" outlineLevel="0" collapsed="false">
      <c r="A1001" s="457"/>
      <c r="B1001" s="457"/>
      <c r="C1001" s="457"/>
      <c r="D1001" s="499"/>
      <c r="E1001" s="457"/>
      <c r="F1001" s="457"/>
      <c r="G1001" s="457"/>
      <c r="J1001" s="457"/>
      <c r="K1001" s="457"/>
      <c r="L1001" s="499"/>
      <c r="M1001" s="556"/>
      <c r="N1001" s="556"/>
      <c r="O1001" s="499"/>
    </row>
    <row r="1002" customFormat="false" ht="20.25" hidden="false" customHeight="true" outlineLevel="0" collapsed="false">
      <c r="A1002" s="457"/>
      <c r="B1002" s="457"/>
      <c r="C1002" s="457"/>
      <c r="D1002" s="499"/>
      <c r="E1002" s="457"/>
      <c r="F1002" s="457"/>
      <c r="G1002" s="457"/>
      <c r="J1002" s="457"/>
      <c r="K1002" s="457"/>
      <c r="L1002" s="499"/>
      <c r="M1002" s="556"/>
      <c r="N1002" s="556"/>
      <c r="O1002" s="499"/>
    </row>
    <row r="1003" customFormat="false" ht="20.25" hidden="false" customHeight="true" outlineLevel="0" collapsed="false">
      <c r="A1003" s="457"/>
      <c r="B1003" s="457"/>
      <c r="C1003" s="457"/>
      <c r="D1003" s="499"/>
      <c r="E1003" s="457"/>
      <c r="F1003" s="457"/>
      <c r="G1003" s="457"/>
      <c r="J1003" s="457"/>
      <c r="K1003" s="457"/>
      <c r="L1003" s="499"/>
      <c r="M1003" s="556"/>
      <c r="N1003" s="556"/>
      <c r="O1003" s="499"/>
    </row>
    <row r="1004" customFormat="false" ht="20.25" hidden="false" customHeight="true" outlineLevel="0" collapsed="false">
      <c r="A1004" s="457"/>
      <c r="B1004" s="457"/>
      <c r="C1004" s="457"/>
      <c r="D1004" s="499"/>
      <c r="E1004" s="457"/>
      <c r="F1004" s="457"/>
      <c r="G1004" s="457"/>
      <c r="J1004" s="457"/>
      <c r="K1004" s="457"/>
      <c r="L1004" s="499"/>
      <c r="M1004" s="556"/>
      <c r="N1004" s="556"/>
      <c r="O1004" s="499"/>
    </row>
    <row r="1005" customFormat="false" ht="20.25" hidden="false" customHeight="true" outlineLevel="0" collapsed="false">
      <c r="A1005" s="457"/>
      <c r="B1005" s="457"/>
      <c r="C1005" s="457"/>
      <c r="D1005" s="499"/>
      <c r="E1005" s="457"/>
      <c r="F1005" s="457"/>
      <c r="G1005" s="457"/>
      <c r="J1005" s="457"/>
      <c r="K1005" s="457"/>
      <c r="L1005" s="499"/>
      <c r="M1005" s="556"/>
      <c r="N1005" s="556"/>
      <c r="O1005" s="499"/>
    </row>
    <row r="1006" customFormat="false" ht="20.25" hidden="false" customHeight="true" outlineLevel="0" collapsed="false">
      <c r="A1006" s="457"/>
      <c r="B1006" s="457"/>
      <c r="C1006" s="457"/>
      <c r="D1006" s="499"/>
      <c r="E1006" s="457"/>
      <c r="F1006" s="457"/>
      <c r="G1006" s="457"/>
      <c r="J1006" s="457"/>
      <c r="K1006" s="457"/>
      <c r="L1006" s="499"/>
      <c r="M1006" s="556"/>
      <c r="N1006" s="556"/>
      <c r="O1006" s="499"/>
    </row>
    <row r="1007" customFormat="false" ht="20.25" hidden="false" customHeight="true" outlineLevel="0" collapsed="false">
      <c r="A1007" s="457"/>
      <c r="B1007" s="457"/>
      <c r="C1007" s="457"/>
      <c r="D1007" s="499"/>
      <c r="E1007" s="457"/>
      <c r="F1007" s="457"/>
      <c r="G1007" s="457"/>
      <c r="J1007" s="457"/>
      <c r="K1007" s="457"/>
      <c r="L1007" s="499"/>
      <c r="M1007" s="556"/>
      <c r="N1007" s="556"/>
      <c r="O1007" s="499"/>
    </row>
    <row r="1008" customFormat="false" ht="20.25" hidden="false" customHeight="true" outlineLevel="0" collapsed="false">
      <c r="A1008" s="457"/>
      <c r="B1008" s="457"/>
      <c r="C1008" s="457"/>
      <c r="D1008" s="499"/>
      <c r="E1008" s="457"/>
      <c r="F1008" s="457"/>
      <c r="G1008" s="457"/>
      <c r="J1008" s="457"/>
      <c r="K1008" s="457"/>
      <c r="L1008" s="499"/>
      <c r="M1008" s="556"/>
      <c r="N1008" s="556"/>
      <c r="O1008" s="499"/>
    </row>
    <row r="1009" customFormat="false" ht="20.25" hidden="false" customHeight="true" outlineLevel="0" collapsed="false">
      <c r="A1009" s="457"/>
      <c r="B1009" s="457"/>
      <c r="C1009" s="457"/>
      <c r="D1009" s="499"/>
      <c r="E1009" s="457"/>
      <c r="F1009" s="457"/>
      <c r="G1009" s="457"/>
      <c r="J1009" s="457"/>
      <c r="K1009" s="457"/>
      <c r="L1009" s="499"/>
      <c r="M1009" s="556"/>
      <c r="N1009" s="556"/>
      <c r="O1009" s="499"/>
    </row>
    <row r="1010" customFormat="false" ht="20.25" hidden="false" customHeight="true" outlineLevel="0" collapsed="false">
      <c r="A1010" s="457"/>
      <c r="B1010" s="457"/>
      <c r="C1010" s="457"/>
      <c r="D1010" s="499"/>
      <c r="E1010" s="457"/>
      <c r="F1010" s="457"/>
      <c r="G1010" s="457"/>
      <c r="J1010" s="457"/>
      <c r="K1010" s="457"/>
      <c r="L1010" s="499"/>
      <c r="M1010" s="556"/>
      <c r="N1010" s="556"/>
      <c r="O1010" s="499"/>
    </row>
    <row r="1011" customFormat="false" ht="20.25" hidden="false" customHeight="true" outlineLevel="0" collapsed="false">
      <c r="A1011" s="457"/>
      <c r="B1011" s="457"/>
      <c r="C1011" s="457"/>
      <c r="D1011" s="499"/>
      <c r="E1011" s="457"/>
      <c r="F1011" s="457"/>
      <c r="G1011" s="457"/>
      <c r="J1011" s="457"/>
      <c r="K1011" s="457"/>
      <c r="L1011" s="499"/>
      <c r="M1011" s="556"/>
      <c r="N1011" s="556"/>
      <c r="O1011" s="499"/>
    </row>
    <row r="1012" customFormat="false" ht="20.25" hidden="false" customHeight="true" outlineLevel="0" collapsed="false">
      <c r="A1012" s="457"/>
      <c r="B1012" s="457"/>
      <c r="C1012" s="457"/>
      <c r="D1012" s="499"/>
      <c r="E1012" s="457"/>
      <c r="F1012" s="457"/>
      <c r="G1012" s="457"/>
      <c r="J1012" s="457"/>
      <c r="K1012" s="457"/>
      <c r="L1012" s="499"/>
      <c r="M1012" s="556"/>
      <c r="N1012" s="556"/>
      <c r="O1012" s="499"/>
    </row>
    <row r="1013" customFormat="false" ht="20.25" hidden="false" customHeight="true" outlineLevel="0" collapsed="false">
      <c r="A1013" s="457"/>
      <c r="B1013" s="457"/>
      <c r="C1013" s="457"/>
      <c r="D1013" s="499"/>
      <c r="E1013" s="457"/>
      <c r="F1013" s="457"/>
      <c r="G1013" s="457"/>
      <c r="J1013" s="457"/>
      <c r="K1013" s="457"/>
      <c r="L1013" s="499"/>
      <c r="M1013" s="556"/>
      <c r="N1013" s="556"/>
      <c r="O1013" s="499"/>
    </row>
    <row r="1014" customFormat="false" ht="20.25" hidden="false" customHeight="true" outlineLevel="0" collapsed="false">
      <c r="A1014" s="457"/>
      <c r="B1014" s="457"/>
      <c r="C1014" s="457"/>
      <c r="D1014" s="499"/>
      <c r="E1014" s="457"/>
      <c r="F1014" s="457"/>
      <c r="G1014" s="457"/>
      <c r="J1014" s="457"/>
      <c r="K1014" s="457"/>
      <c r="L1014" s="499"/>
      <c r="M1014" s="556"/>
      <c r="N1014" s="556"/>
      <c r="O1014" s="499"/>
    </row>
    <row r="1015" customFormat="false" ht="20.25" hidden="false" customHeight="true" outlineLevel="0" collapsed="false">
      <c r="A1015" s="457"/>
      <c r="B1015" s="457"/>
      <c r="C1015" s="457"/>
      <c r="D1015" s="499"/>
      <c r="E1015" s="457"/>
      <c r="F1015" s="457"/>
      <c r="G1015" s="457"/>
      <c r="J1015" s="457"/>
      <c r="K1015" s="457"/>
      <c r="L1015" s="499"/>
      <c r="M1015" s="556"/>
      <c r="N1015" s="556"/>
      <c r="O1015" s="499"/>
    </row>
    <row r="1016" customFormat="false" ht="20.25" hidden="false" customHeight="true" outlineLevel="0" collapsed="false">
      <c r="A1016" s="457"/>
      <c r="B1016" s="457"/>
      <c r="C1016" s="457"/>
      <c r="D1016" s="499"/>
      <c r="E1016" s="457"/>
      <c r="F1016" s="457"/>
      <c r="G1016" s="457"/>
      <c r="J1016" s="457"/>
      <c r="K1016" s="457"/>
      <c r="L1016" s="499"/>
      <c r="M1016" s="556"/>
      <c r="N1016" s="556"/>
      <c r="O1016" s="499"/>
    </row>
    <row r="1017" customFormat="false" ht="20.25" hidden="false" customHeight="true" outlineLevel="0" collapsed="false">
      <c r="A1017" s="457"/>
      <c r="B1017" s="457"/>
      <c r="C1017" s="457"/>
      <c r="D1017" s="499"/>
      <c r="E1017" s="457"/>
      <c r="F1017" s="457"/>
      <c r="G1017" s="457"/>
      <c r="J1017" s="457"/>
      <c r="K1017" s="457"/>
      <c r="L1017" s="499"/>
      <c r="M1017" s="556"/>
      <c r="N1017" s="556"/>
      <c r="O1017" s="499"/>
    </row>
    <row r="1018" customFormat="false" ht="20.25" hidden="false" customHeight="true" outlineLevel="0" collapsed="false">
      <c r="A1018" s="457"/>
      <c r="B1018" s="457"/>
      <c r="C1018" s="457"/>
      <c r="D1018" s="499"/>
      <c r="E1018" s="457"/>
      <c r="F1018" s="457"/>
      <c r="G1018" s="457"/>
      <c r="J1018" s="457"/>
      <c r="K1018" s="457"/>
      <c r="L1018" s="499"/>
      <c r="M1018" s="556"/>
      <c r="N1018" s="556"/>
      <c r="O1018" s="499"/>
    </row>
    <row r="1019" customFormat="false" ht="20.25" hidden="false" customHeight="true" outlineLevel="0" collapsed="false">
      <c r="A1019" s="457"/>
      <c r="B1019" s="457"/>
      <c r="C1019" s="457"/>
      <c r="D1019" s="499"/>
      <c r="E1019" s="457"/>
      <c r="F1019" s="457"/>
      <c r="G1019" s="457"/>
      <c r="J1019" s="457"/>
      <c r="K1019" s="457"/>
      <c r="L1019" s="499"/>
      <c r="M1019" s="556"/>
      <c r="N1019" s="556"/>
      <c r="O1019" s="499"/>
    </row>
    <row r="1020" customFormat="false" ht="20.25" hidden="false" customHeight="true" outlineLevel="0" collapsed="false">
      <c r="A1020" s="457"/>
      <c r="B1020" s="457"/>
      <c r="C1020" s="457"/>
      <c r="D1020" s="499"/>
      <c r="E1020" s="457"/>
      <c r="F1020" s="457"/>
      <c r="G1020" s="457"/>
      <c r="J1020" s="457"/>
      <c r="K1020" s="457"/>
      <c r="L1020" s="499"/>
      <c r="M1020" s="556"/>
      <c r="N1020" s="556"/>
      <c r="O1020" s="499"/>
    </row>
    <row r="1021" customFormat="false" ht="20.25" hidden="false" customHeight="true" outlineLevel="0" collapsed="false">
      <c r="A1021" s="457"/>
      <c r="B1021" s="457"/>
      <c r="C1021" s="457"/>
      <c r="D1021" s="499"/>
      <c r="E1021" s="457"/>
      <c r="F1021" s="457"/>
      <c r="G1021" s="457"/>
      <c r="J1021" s="457"/>
      <c r="K1021" s="457"/>
      <c r="L1021" s="499"/>
      <c r="M1021" s="556"/>
      <c r="N1021" s="556"/>
      <c r="O1021" s="499"/>
    </row>
    <row r="1022" customFormat="false" ht="20.25" hidden="false" customHeight="true" outlineLevel="0" collapsed="false">
      <c r="A1022" s="457"/>
      <c r="B1022" s="457"/>
      <c r="C1022" s="457"/>
      <c r="D1022" s="499"/>
      <c r="E1022" s="457"/>
      <c r="F1022" s="457"/>
      <c r="G1022" s="457"/>
      <c r="J1022" s="457"/>
      <c r="K1022" s="457"/>
      <c r="L1022" s="499"/>
      <c r="M1022" s="556"/>
      <c r="N1022" s="556"/>
      <c r="O1022" s="499"/>
    </row>
    <row r="1023" customFormat="false" ht="20.25" hidden="false" customHeight="true" outlineLevel="0" collapsed="false">
      <c r="A1023" s="457"/>
      <c r="B1023" s="457"/>
      <c r="C1023" s="457"/>
      <c r="D1023" s="499"/>
      <c r="E1023" s="457"/>
      <c r="F1023" s="457"/>
      <c r="G1023" s="457"/>
      <c r="J1023" s="457"/>
      <c r="K1023" s="457"/>
      <c r="L1023" s="499"/>
      <c r="M1023" s="556"/>
      <c r="N1023" s="556"/>
      <c r="O1023" s="499"/>
    </row>
    <row r="1024" customFormat="false" ht="20.25" hidden="false" customHeight="true" outlineLevel="0" collapsed="false">
      <c r="A1024" s="457"/>
      <c r="B1024" s="457"/>
      <c r="C1024" s="457"/>
      <c r="D1024" s="499"/>
      <c r="E1024" s="457"/>
      <c r="F1024" s="457"/>
      <c r="G1024" s="457"/>
      <c r="J1024" s="457"/>
      <c r="K1024" s="457"/>
      <c r="L1024" s="499"/>
      <c r="M1024" s="556"/>
      <c r="N1024" s="556"/>
      <c r="O1024" s="499"/>
    </row>
    <row r="1025" customFormat="false" ht="20.25" hidden="false" customHeight="true" outlineLevel="0" collapsed="false">
      <c r="A1025" s="457"/>
      <c r="B1025" s="457"/>
      <c r="C1025" s="457"/>
      <c r="D1025" s="499"/>
      <c r="E1025" s="457"/>
      <c r="F1025" s="457"/>
      <c r="G1025" s="457"/>
      <c r="J1025" s="457"/>
      <c r="K1025" s="457"/>
      <c r="L1025" s="499"/>
      <c r="M1025" s="556"/>
      <c r="N1025" s="556"/>
      <c r="O1025" s="499"/>
    </row>
    <row r="1026" customFormat="false" ht="20.25" hidden="false" customHeight="true" outlineLevel="0" collapsed="false">
      <c r="A1026" s="457"/>
      <c r="B1026" s="457"/>
      <c r="C1026" s="457"/>
      <c r="D1026" s="499"/>
      <c r="E1026" s="457"/>
      <c r="F1026" s="457"/>
      <c r="G1026" s="457"/>
      <c r="J1026" s="457"/>
      <c r="K1026" s="457"/>
      <c r="L1026" s="499"/>
      <c r="M1026" s="556"/>
      <c r="N1026" s="556"/>
      <c r="O1026" s="499"/>
    </row>
    <row r="1027" customFormat="false" ht="20.25" hidden="false" customHeight="true" outlineLevel="0" collapsed="false">
      <c r="A1027" s="457"/>
      <c r="B1027" s="457"/>
      <c r="C1027" s="457"/>
      <c r="D1027" s="499"/>
      <c r="E1027" s="457"/>
      <c r="F1027" s="457"/>
      <c r="G1027" s="457"/>
      <c r="J1027" s="457"/>
      <c r="K1027" s="457"/>
      <c r="L1027" s="499"/>
      <c r="M1027" s="556"/>
      <c r="N1027" s="556"/>
      <c r="O1027" s="499"/>
    </row>
    <row r="1028" customFormat="false" ht="20.25" hidden="false" customHeight="true" outlineLevel="0" collapsed="false">
      <c r="A1028" s="457"/>
      <c r="B1028" s="457"/>
      <c r="C1028" s="457"/>
      <c r="D1028" s="499"/>
      <c r="E1028" s="457"/>
      <c r="F1028" s="457"/>
      <c r="G1028" s="457"/>
      <c r="J1028" s="457"/>
      <c r="K1028" s="457"/>
      <c r="L1028" s="499"/>
      <c r="M1028" s="556"/>
      <c r="N1028" s="556"/>
      <c r="O1028" s="499"/>
    </row>
    <row r="1029" customFormat="false" ht="20.25" hidden="false" customHeight="true" outlineLevel="0" collapsed="false">
      <c r="A1029" s="457"/>
      <c r="B1029" s="457"/>
      <c r="C1029" s="457"/>
      <c r="D1029" s="499"/>
      <c r="E1029" s="457"/>
      <c r="F1029" s="457"/>
      <c r="G1029" s="457"/>
      <c r="J1029" s="457"/>
      <c r="K1029" s="457"/>
      <c r="L1029" s="499"/>
      <c r="M1029" s="556"/>
      <c r="N1029" s="556"/>
      <c r="O1029" s="499"/>
    </row>
    <row r="1030" customFormat="false" ht="20.25" hidden="false" customHeight="true" outlineLevel="0" collapsed="false">
      <c r="A1030" s="457"/>
      <c r="B1030" s="457"/>
      <c r="C1030" s="457"/>
      <c r="D1030" s="499"/>
      <c r="E1030" s="457"/>
      <c r="F1030" s="457"/>
      <c r="G1030" s="457"/>
      <c r="J1030" s="457"/>
      <c r="K1030" s="457"/>
      <c r="L1030" s="499"/>
      <c r="M1030" s="556"/>
      <c r="N1030" s="556"/>
      <c r="O1030" s="499"/>
    </row>
    <row r="1031" customFormat="false" ht="20.25" hidden="false" customHeight="true" outlineLevel="0" collapsed="false">
      <c r="A1031" s="457"/>
      <c r="B1031" s="457"/>
      <c r="C1031" s="457"/>
      <c r="D1031" s="499"/>
      <c r="E1031" s="457"/>
      <c r="F1031" s="457"/>
      <c r="G1031" s="457"/>
      <c r="J1031" s="457"/>
      <c r="K1031" s="457"/>
      <c r="L1031" s="499"/>
      <c r="M1031" s="556"/>
      <c r="N1031" s="556"/>
      <c r="O1031" s="499"/>
    </row>
    <row r="1032" customFormat="false" ht="20.25" hidden="false" customHeight="true" outlineLevel="0" collapsed="false">
      <c r="A1032" s="457"/>
      <c r="B1032" s="457"/>
      <c r="C1032" s="457"/>
      <c r="D1032" s="499"/>
      <c r="E1032" s="457"/>
      <c r="F1032" s="457"/>
      <c r="G1032" s="457"/>
      <c r="J1032" s="457"/>
      <c r="K1032" s="457"/>
      <c r="L1032" s="499"/>
      <c r="M1032" s="556"/>
      <c r="N1032" s="556"/>
      <c r="O1032" s="499"/>
    </row>
    <row r="1033" customFormat="false" ht="20.25" hidden="false" customHeight="true" outlineLevel="0" collapsed="false">
      <c r="A1033" s="457"/>
      <c r="B1033" s="457"/>
      <c r="C1033" s="457"/>
      <c r="D1033" s="499"/>
      <c r="E1033" s="457"/>
      <c r="F1033" s="457"/>
      <c r="G1033" s="457"/>
      <c r="J1033" s="457"/>
      <c r="K1033" s="457"/>
      <c r="L1033" s="499"/>
      <c r="M1033" s="556"/>
      <c r="N1033" s="556"/>
      <c r="O1033" s="499"/>
    </row>
    <row r="1034" customFormat="false" ht="20.25" hidden="false" customHeight="true" outlineLevel="0" collapsed="false">
      <c r="A1034" s="457"/>
      <c r="B1034" s="457"/>
      <c r="C1034" s="457"/>
      <c r="D1034" s="499"/>
      <c r="E1034" s="457"/>
      <c r="F1034" s="457"/>
      <c r="G1034" s="457"/>
      <c r="J1034" s="457"/>
      <c r="K1034" s="457"/>
      <c r="L1034" s="499"/>
      <c r="M1034" s="556"/>
      <c r="N1034" s="556"/>
      <c r="O1034" s="499"/>
    </row>
    <row r="1035" customFormat="false" ht="20.25" hidden="false" customHeight="true" outlineLevel="0" collapsed="false">
      <c r="A1035" s="457"/>
      <c r="B1035" s="457"/>
      <c r="C1035" s="457"/>
      <c r="D1035" s="499"/>
      <c r="E1035" s="457"/>
      <c r="F1035" s="457"/>
      <c r="G1035" s="457"/>
      <c r="J1035" s="457"/>
      <c r="K1035" s="457"/>
      <c r="L1035" s="499"/>
      <c r="M1035" s="556"/>
      <c r="N1035" s="556"/>
      <c r="O1035" s="499"/>
    </row>
    <row r="1036" customFormat="false" ht="20.25" hidden="false" customHeight="true" outlineLevel="0" collapsed="false">
      <c r="A1036" s="457"/>
      <c r="B1036" s="457"/>
      <c r="C1036" s="457"/>
      <c r="D1036" s="499"/>
      <c r="E1036" s="457"/>
      <c r="F1036" s="457"/>
      <c r="G1036" s="457"/>
      <c r="J1036" s="457"/>
      <c r="K1036" s="457"/>
      <c r="L1036" s="499"/>
      <c r="M1036" s="556"/>
      <c r="N1036" s="556"/>
      <c r="O1036" s="499"/>
    </row>
    <row r="1037" customFormat="false" ht="20.25" hidden="false" customHeight="true" outlineLevel="0" collapsed="false">
      <c r="A1037" s="457"/>
      <c r="B1037" s="457"/>
      <c r="C1037" s="457"/>
      <c r="D1037" s="499"/>
      <c r="E1037" s="457"/>
      <c r="F1037" s="457"/>
      <c r="G1037" s="457"/>
      <c r="J1037" s="457"/>
      <c r="K1037" s="457"/>
      <c r="L1037" s="499"/>
      <c r="M1037" s="556"/>
      <c r="N1037" s="556"/>
      <c r="O1037" s="499"/>
    </row>
    <row r="1038" customFormat="false" ht="20.25" hidden="false" customHeight="true" outlineLevel="0" collapsed="false">
      <c r="A1038" s="457"/>
      <c r="B1038" s="457"/>
      <c r="C1038" s="457"/>
      <c r="D1038" s="499"/>
      <c r="E1038" s="457"/>
      <c r="F1038" s="457"/>
      <c r="G1038" s="457"/>
      <c r="J1038" s="457"/>
      <c r="K1038" s="457"/>
      <c r="L1038" s="499"/>
      <c r="M1038" s="556"/>
      <c r="N1038" s="556"/>
      <c r="O1038" s="499"/>
    </row>
    <row r="1039" customFormat="false" ht="20.25" hidden="false" customHeight="true" outlineLevel="0" collapsed="false">
      <c r="A1039" s="457"/>
      <c r="B1039" s="457"/>
      <c r="C1039" s="457"/>
      <c r="D1039" s="499"/>
      <c r="E1039" s="457"/>
      <c r="F1039" s="457"/>
      <c r="G1039" s="457"/>
      <c r="J1039" s="457"/>
      <c r="K1039" s="457"/>
      <c r="L1039" s="499"/>
      <c r="M1039" s="556"/>
      <c r="N1039" s="556"/>
      <c r="O1039" s="499"/>
    </row>
    <row r="1040" customFormat="false" ht="20.25" hidden="false" customHeight="true" outlineLevel="0" collapsed="false">
      <c r="A1040" s="457"/>
      <c r="B1040" s="457"/>
      <c r="C1040" s="457"/>
      <c r="D1040" s="499"/>
      <c r="E1040" s="457"/>
      <c r="F1040" s="457"/>
      <c r="G1040" s="457"/>
      <c r="J1040" s="457"/>
      <c r="K1040" s="457"/>
      <c r="L1040" s="499"/>
      <c r="M1040" s="556"/>
      <c r="N1040" s="556"/>
      <c r="O1040" s="499"/>
    </row>
    <row r="1041" customFormat="false" ht="20.25" hidden="false" customHeight="true" outlineLevel="0" collapsed="false">
      <c r="A1041" s="457"/>
      <c r="B1041" s="457"/>
      <c r="C1041" s="457"/>
      <c r="D1041" s="499"/>
      <c r="E1041" s="457"/>
      <c r="F1041" s="457"/>
      <c r="G1041" s="457"/>
      <c r="J1041" s="457"/>
      <c r="K1041" s="457"/>
      <c r="L1041" s="499"/>
      <c r="M1041" s="556"/>
      <c r="N1041" s="556"/>
      <c r="O1041" s="499"/>
    </row>
    <row r="1042" customFormat="false" ht="20.25" hidden="false" customHeight="true" outlineLevel="0" collapsed="false">
      <c r="A1042" s="457"/>
      <c r="B1042" s="457"/>
      <c r="C1042" s="457"/>
      <c r="D1042" s="499"/>
      <c r="E1042" s="457"/>
      <c r="F1042" s="457"/>
      <c r="G1042" s="457"/>
      <c r="J1042" s="457"/>
      <c r="K1042" s="457"/>
      <c r="L1042" s="499"/>
      <c r="M1042" s="556"/>
      <c r="N1042" s="556"/>
      <c r="O1042" s="499"/>
    </row>
    <row r="1043" customFormat="false" ht="20.25" hidden="false" customHeight="true" outlineLevel="0" collapsed="false">
      <c r="A1043" s="457"/>
      <c r="B1043" s="457"/>
      <c r="C1043" s="457"/>
      <c r="D1043" s="499"/>
      <c r="E1043" s="457"/>
      <c r="F1043" s="457"/>
      <c r="G1043" s="457"/>
      <c r="J1043" s="457"/>
      <c r="K1043" s="457"/>
      <c r="L1043" s="499"/>
      <c r="M1043" s="556"/>
      <c r="N1043" s="556"/>
      <c r="O1043" s="499"/>
    </row>
    <row r="1044" customFormat="false" ht="20.25" hidden="false" customHeight="true" outlineLevel="0" collapsed="false">
      <c r="A1044" s="457"/>
      <c r="B1044" s="457"/>
      <c r="C1044" s="457"/>
      <c r="D1044" s="499"/>
      <c r="E1044" s="457"/>
      <c r="F1044" s="457"/>
      <c r="G1044" s="457"/>
      <c r="J1044" s="457"/>
      <c r="K1044" s="457"/>
      <c r="L1044" s="499"/>
      <c r="M1044" s="556"/>
      <c r="N1044" s="556"/>
      <c r="O1044" s="499"/>
    </row>
    <row r="1045" customFormat="false" ht="20.25" hidden="false" customHeight="true" outlineLevel="0" collapsed="false">
      <c r="A1045" s="457"/>
      <c r="B1045" s="457"/>
      <c r="C1045" s="457"/>
      <c r="D1045" s="499"/>
      <c r="E1045" s="457"/>
      <c r="F1045" s="457"/>
      <c r="G1045" s="457"/>
      <c r="J1045" s="457"/>
      <c r="K1045" s="457"/>
      <c r="L1045" s="499"/>
      <c r="M1045" s="556"/>
      <c r="N1045" s="556"/>
      <c r="O1045" s="499"/>
    </row>
    <row r="1046" customFormat="false" ht="20.25" hidden="false" customHeight="true" outlineLevel="0" collapsed="false">
      <c r="A1046" s="457"/>
      <c r="B1046" s="457"/>
      <c r="C1046" s="457"/>
      <c r="D1046" s="499"/>
      <c r="E1046" s="457"/>
      <c r="F1046" s="457"/>
      <c r="G1046" s="457"/>
      <c r="J1046" s="457"/>
      <c r="K1046" s="457"/>
      <c r="L1046" s="499"/>
      <c r="M1046" s="556"/>
      <c r="N1046" s="556"/>
      <c r="O1046" s="499"/>
    </row>
    <row r="1047" customFormat="false" ht="20.25" hidden="false" customHeight="true" outlineLevel="0" collapsed="false">
      <c r="A1047" s="457"/>
      <c r="B1047" s="457"/>
      <c r="C1047" s="457"/>
      <c r="D1047" s="499"/>
      <c r="E1047" s="457"/>
      <c r="F1047" s="457"/>
      <c r="G1047" s="457"/>
      <c r="J1047" s="457"/>
      <c r="K1047" s="457"/>
      <c r="L1047" s="499"/>
      <c r="M1047" s="556"/>
      <c r="N1047" s="556"/>
      <c r="O1047" s="499"/>
    </row>
    <row r="1048" customFormat="false" ht="20.25" hidden="false" customHeight="true" outlineLevel="0" collapsed="false">
      <c r="A1048" s="457"/>
      <c r="B1048" s="457"/>
      <c r="C1048" s="457"/>
      <c r="D1048" s="499"/>
      <c r="E1048" s="457"/>
      <c r="F1048" s="457"/>
      <c r="G1048" s="457"/>
      <c r="J1048" s="457"/>
      <c r="K1048" s="457"/>
      <c r="L1048" s="499"/>
      <c r="M1048" s="556"/>
      <c r="N1048" s="556"/>
      <c r="O1048" s="499"/>
    </row>
    <row r="1049" customFormat="false" ht="20.25" hidden="false" customHeight="true" outlineLevel="0" collapsed="false">
      <c r="A1049" s="457"/>
      <c r="B1049" s="457"/>
      <c r="C1049" s="457"/>
      <c r="D1049" s="499"/>
      <c r="E1049" s="457"/>
      <c r="F1049" s="457"/>
      <c r="G1049" s="457"/>
      <c r="J1049" s="457"/>
      <c r="K1049" s="457"/>
      <c r="L1049" s="499"/>
      <c r="M1049" s="556"/>
      <c r="N1049" s="556"/>
      <c r="O1049" s="499"/>
    </row>
    <row r="1050" customFormat="false" ht="20.25" hidden="false" customHeight="true" outlineLevel="0" collapsed="false">
      <c r="A1050" s="457"/>
      <c r="B1050" s="457"/>
      <c r="C1050" s="457"/>
      <c r="D1050" s="499"/>
      <c r="E1050" s="457"/>
      <c r="F1050" s="457"/>
      <c r="G1050" s="457"/>
      <c r="J1050" s="457"/>
      <c r="K1050" s="457"/>
      <c r="L1050" s="499"/>
      <c r="M1050" s="556"/>
      <c r="N1050" s="556"/>
      <c r="O1050" s="499"/>
    </row>
    <row r="1051" customFormat="false" ht="20.25" hidden="false" customHeight="true" outlineLevel="0" collapsed="false">
      <c r="A1051" s="457"/>
      <c r="B1051" s="457"/>
      <c r="C1051" s="457"/>
      <c r="D1051" s="499"/>
      <c r="E1051" s="457"/>
      <c r="F1051" s="457"/>
      <c r="G1051" s="457"/>
      <c r="J1051" s="457"/>
      <c r="K1051" s="457"/>
      <c r="L1051" s="499"/>
      <c r="M1051" s="556"/>
      <c r="N1051" s="556"/>
      <c r="O1051" s="499"/>
    </row>
    <row r="1052" customFormat="false" ht="20.25" hidden="false" customHeight="true" outlineLevel="0" collapsed="false">
      <c r="A1052" s="457"/>
      <c r="B1052" s="457"/>
      <c r="C1052" s="457"/>
      <c r="D1052" s="499"/>
      <c r="E1052" s="457"/>
      <c r="F1052" s="457"/>
      <c r="G1052" s="457"/>
      <c r="J1052" s="457"/>
      <c r="K1052" s="457"/>
      <c r="L1052" s="499"/>
      <c r="M1052" s="556"/>
      <c r="N1052" s="556"/>
      <c r="O1052" s="499"/>
    </row>
    <row r="1053" customFormat="false" ht="20.25" hidden="false" customHeight="true" outlineLevel="0" collapsed="false">
      <c r="A1053" s="457"/>
      <c r="B1053" s="457"/>
      <c r="C1053" s="457"/>
      <c r="D1053" s="499"/>
      <c r="E1053" s="457"/>
      <c r="F1053" s="457"/>
      <c r="G1053" s="457"/>
      <c r="J1053" s="457"/>
      <c r="K1053" s="457"/>
      <c r="L1053" s="499"/>
      <c r="M1053" s="556"/>
      <c r="N1053" s="556"/>
      <c r="O1053" s="499"/>
    </row>
    <row r="1054" customFormat="false" ht="20.25" hidden="false" customHeight="true" outlineLevel="0" collapsed="false">
      <c r="A1054" s="457"/>
      <c r="B1054" s="457"/>
      <c r="C1054" s="457"/>
      <c r="D1054" s="499"/>
      <c r="E1054" s="457"/>
      <c r="F1054" s="457"/>
      <c r="G1054" s="457"/>
      <c r="J1054" s="457"/>
      <c r="K1054" s="457"/>
      <c r="L1054" s="499"/>
      <c r="M1054" s="556"/>
      <c r="N1054" s="556"/>
      <c r="O1054" s="499"/>
    </row>
    <row r="1055" customFormat="false" ht="20.25" hidden="false" customHeight="true" outlineLevel="0" collapsed="false">
      <c r="A1055" s="457"/>
      <c r="B1055" s="457"/>
      <c r="C1055" s="457"/>
      <c r="D1055" s="499"/>
      <c r="E1055" s="457"/>
      <c r="F1055" s="457"/>
      <c r="G1055" s="457"/>
      <c r="J1055" s="457"/>
      <c r="K1055" s="457"/>
      <c r="L1055" s="499"/>
      <c r="M1055" s="556"/>
      <c r="N1055" s="556"/>
      <c r="O1055" s="499"/>
    </row>
    <row r="1056" customFormat="false" ht="20.25" hidden="false" customHeight="true" outlineLevel="0" collapsed="false">
      <c r="A1056" s="457"/>
      <c r="B1056" s="457"/>
      <c r="C1056" s="457"/>
      <c r="D1056" s="499"/>
      <c r="E1056" s="457"/>
      <c r="F1056" s="457"/>
      <c r="G1056" s="457"/>
      <c r="J1056" s="457"/>
      <c r="K1056" s="457"/>
      <c r="L1056" s="499"/>
      <c r="M1056" s="556"/>
      <c r="N1056" s="556"/>
      <c r="O1056" s="499"/>
    </row>
    <row r="1057" customFormat="false" ht="20.25" hidden="false" customHeight="true" outlineLevel="0" collapsed="false">
      <c r="A1057" s="457"/>
      <c r="B1057" s="457"/>
      <c r="C1057" s="457"/>
      <c r="D1057" s="499"/>
      <c r="E1057" s="457"/>
      <c r="F1057" s="457"/>
      <c r="G1057" s="457"/>
      <c r="J1057" s="457"/>
      <c r="K1057" s="457"/>
      <c r="L1057" s="499"/>
      <c r="M1057" s="556"/>
      <c r="N1057" s="556"/>
      <c r="O1057" s="499"/>
    </row>
    <row r="1058" customFormat="false" ht="20.25" hidden="false" customHeight="true" outlineLevel="0" collapsed="false">
      <c r="A1058" s="457"/>
      <c r="B1058" s="457"/>
      <c r="C1058" s="457"/>
      <c r="D1058" s="499"/>
      <c r="E1058" s="457"/>
      <c r="F1058" s="457"/>
      <c r="G1058" s="457"/>
      <c r="J1058" s="457"/>
      <c r="K1058" s="457"/>
      <c r="L1058" s="499"/>
      <c r="M1058" s="556"/>
      <c r="N1058" s="556"/>
      <c r="O1058" s="499"/>
    </row>
    <row r="1059" customFormat="false" ht="20.25" hidden="false" customHeight="true" outlineLevel="0" collapsed="false">
      <c r="A1059" s="457"/>
      <c r="B1059" s="457"/>
      <c r="C1059" s="457"/>
      <c r="D1059" s="499"/>
      <c r="E1059" s="457"/>
      <c r="F1059" s="457"/>
      <c r="G1059" s="457"/>
      <c r="J1059" s="457"/>
      <c r="K1059" s="457"/>
      <c r="L1059" s="499"/>
      <c r="M1059" s="556"/>
      <c r="N1059" s="556"/>
      <c r="O1059" s="499"/>
    </row>
    <row r="1060" customFormat="false" ht="20.25" hidden="false" customHeight="true" outlineLevel="0" collapsed="false">
      <c r="A1060" s="457"/>
      <c r="B1060" s="457"/>
      <c r="C1060" s="457"/>
      <c r="D1060" s="499"/>
      <c r="E1060" s="457"/>
      <c r="F1060" s="457"/>
      <c r="G1060" s="457"/>
      <c r="J1060" s="457"/>
      <c r="K1060" s="457"/>
      <c r="L1060" s="499"/>
      <c r="M1060" s="556"/>
      <c r="N1060" s="556"/>
      <c r="O1060" s="499"/>
    </row>
    <row r="1061" customFormat="false" ht="20.25" hidden="false" customHeight="true" outlineLevel="0" collapsed="false">
      <c r="A1061" s="457"/>
      <c r="B1061" s="457"/>
      <c r="C1061" s="457"/>
      <c r="D1061" s="499"/>
      <c r="E1061" s="457"/>
      <c r="F1061" s="457"/>
      <c r="G1061" s="457"/>
      <c r="J1061" s="457"/>
      <c r="K1061" s="457"/>
      <c r="L1061" s="499"/>
      <c r="M1061" s="556"/>
      <c r="N1061" s="556"/>
      <c r="O1061" s="499"/>
    </row>
    <row r="1062" customFormat="false" ht="20.25" hidden="false" customHeight="true" outlineLevel="0" collapsed="false">
      <c r="A1062" s="457"/>
      <c r="B1062" s="457"/>
      <c r="C1062" s="457"/>
      <c r="D1062" s="499"/>
      <c r="E1062" s="457"/>
      <c r="F1062" s="457"/>
      <c r="G1062" s="457"/>
      <c r="J1062" s="457"/>
      <c r="K1062" s="457"/>
      <c r="L1062" s="499"/>
      <c r="M1062" s="556"/>
      <c r="N1062" s="556"/>
      <c r="O1062" s="499"/>
    </row>
    <row r="1063" customFormat="false" ht="20.25" hidden="false" customHeight="true" outlineLevel="0" collapsed="false">
      <c r="A1063" s="457"/>
      <c r="B1063" s="457"/>
      <c r="C1063" s="457"/>
      <c r="D1063" s="499"/>
      <c r="E1063" s="457"/>
      <c r="F1063" s="457"/>
      <c r="G1063" s="457"/>
      <c r="J1063" s="457"/>
      <c r="K1063" s="457"/>
      <c r="L1063" s="499"/>
      <c r="M1063" s="556"/>
      <c r="N1063" s="556"/>
      <c r="O1063" s="499"/>
    </row>
    <row r="1064" customFormat="false" ht="20.25" hidden="false" customHeight="true" outlineLevel="0" collapsed="false">
      <c r="A1064" s="457"/>
      <c r="B1064" s="457"/>
      <c r="C1064" s="457"/>
      <c r="D1064" s="499"/>
      <c r="E1064" s="457"/>
      <c r="F1064" s="457"/>
      <c r="G1064" s="457"/>
      <c r="J1064" s="457"/>
      <c r="K1064" s="457"/>
      <c r="L1064" s="499"/>
      <c r="M1064" s="556"/>
      <c r="N1064" s="556"/>
      <c r="O1064" s="499"/>
    </row>
    <row r="1065" customFormat="false" ht="20.25" hidden="false" customHeight="true" outlineLevel="0" collapsed="false">
      <c r="A1065" s="457"/>
      <c r="B1065" s="457"/>
      <c r="C1065" s="457"/>
      <c r="D1065" s="499"/>
      <c r="E1065" s="457"/>
      <c r="F1065" s="457"/>
      <c r="G1065" s="457"/>
      <c r="J1065" s="457"/>
      <c r="K1065" s="457"/>
      <c r="L1065" s="499"/>
      <c r="M1065" s="556"/>
      <c r="N1065" s="556"/>
      <c r="O1065" s="499"/>
    </row>
    <row r="1066" customFormat="false" ht="20.25" hidden="false" customHeight="true" outlineLevel="0" collapsed="false">
      <c r="A1066" s="457"/>
      <c r="B1066" s="457"/>
      <c r="C1066" s="457"/>
      <c r="D1066" s="499"/>
      <c r="E1066" s="457"/>
      <c r="F1066" s="457"/>
      <c r="G1066" s="457"/>
      <c r="J1066" s="457"/>
      <c r="K1066" s="457"/>
      <c r="L1066" s="499"/>
      <c r="M1066" s="556"/>
      <c r="N1066" s="556"/>
      <c r="O1066" s="499"/>
    </row>
    <row r="1067" customFormat="false" ht="20.25" hidden="false" customHeight="true" outlineLevel="0" collapsed="false">
      <c r="A1067" s="457"/>
      <c r="B1067" s="457"/>
      <c r="C1067" s="457"/>
      <c r="D1067" s="499"/>
      <c r="E1067" s="457"/>
      <c r="F1067" s="457"/>
      <c r="G1067" s="457"/>
      <c r="J1067" s="457"/>
      <c r="K1067" s="457"/>
      <c r="L1067" s="499"/>
      <c r="M1067" s="556"/>
      <c r="N1067" s="556"/>
      <c r="O1067" s="499"/>
    </row>
    <row r="1068" customFormat="false" ht="20.25" hidden="false" customHeight="true" outlineLevel="0" collapsed="false">
      <c r="A1068" s="457"/>
      <c r="B1068" s="457"/>
      <c r="C1068" s="457"/>
      <c r="D1068" s="499"/>
      <c r="E1068" s="457"/>
      <c r="F1068" s="457"/>
      <c r="G1068" s="457"/>
      <c r="J1068" s="457"/>
      <c r="K1068" s="457"/>
      <c r="L1068" s="499"/>
      <c r="M1068" s="556"/>
      <c r="N1068" s="556"/>
      <c r="O1068" s="499"/>
    </row>
    <row r="1069" customFormat="false" ht="20.25" hidden="false" customHeight="true" outlineLevel="0" collapsed="false">
      <c r="A1069" s="457"/>
      <c r="B1069" s="457"/>
      <c r="C1069" s="457"/>
      <c r="D1069" s="499"/>
      <c r="E1069" s="457"/>
      <c r="F1069" s="457"/>
      <c r="G1069" s="457"/>
      <c r="J1069" s="457"/>
      <c r="K1069" s="457"/>
      <c r="L1069" s="499"/>
      <c r="M1069" s="556"/>
      <c r="N1069" s="556"/>
      <c r="O1069" s="499"/>
    </row>
    <row r="1070" customFormat="false" ht="20.25" hidden="false" customHeight="true" outlineLevel="0" collapsed="false">
      <c r="A1070" s="457"/>
      <c r="B1070" s="457"/>
      <c r="C1070" s="457"/>
      <c r="D1070" s="499"/>
      <c r="E1070" s="457"/>
      <c r="F1070" s="457"/>
      <c r="G1070" s="457"/>
      <c r="J1070" s="457"/>
      <c r="K1070" s="457"/>
      <c r="L1070" s="499"/>
      <c r="M1070" s="556"/>
      <c r="N1070" s="556"/>
      <c r="O1070" s="499"/>
    </row>
    <row r="1071" customFormat="false" ht="20.25" hidden="false" customHeight="true" outlineLevel="0" collapsed="false">
      <c r="A1071" s="457"/>
      <c r="B1071" s="457"/>
      <c r="C1071" s="457"/>
      <c r="D1071" s="499"/>
      <c r="E1071" s="457"/>
      <c r="F1071" s="457"/>
      <c r="G1071" s="457"/>
      <c r="J1071" s="457"/>
      <c r="K1071" s="457"/>
      <c r="L1071" s="499"/>
      <c r="M1071" s="556"/>
      <c r="N1071" s="556"/>
      <c r="O1071" s="499"/>
    </row>
    <row r="1072" customFormat="false" ht="20.25" hidden="false" customHeight="true" outlineLevel="0" collapsed="false">
      <c r="A1072" s="457"/>
      <c r="B1072" s="457"/>
      <c r="C1072" s="457"/>
      <c r="D1072" s="499"/>
      <c r="E1072" s="457"/>
      <c r="F1072" s="457"/>
      <c r="G1072" s="457"/>
      <c r="J1072" s="457"/>
      <c r="K1072" s="457"/>
      <c r="L1072" s="499"/>
      <c r="M1072" s="556"/>
      <c r="N1072" s="556"/>
      <c r="O1072" s="499"/>
    </row>
    <row r="1073" customFormat="false" ht="20.25" hidden="false" customHeight="true" outlineLevel="0" collapsed="false">
      <c r="A1073" s="457"/>
      <c r="B1073" s="457"/>
      <c r="C1073" s="457"/>
      <c r="D1073" s="499"/>
      <c r="E1073" s="457"/>
      <c r="F1073" s="457"/>
      <c r="G1073" s="457"/>
      <c r="J1073" s="457"/>
      <c r="K1073" s="457"/>
      <c r="L1073" s="499"/>
      <c r="M1073" s="556"/>
      <c r="N1073" s="556"/>
      <c r="O1073" s="499"/>
    </row>
    <row r="1074" customFormat="false" ht="20.25" hidden="false" customHeight="true" outlineLevel="0" collapsed="false">
      <c r="A1074" s="457"/>
      <c r="B1074" s="457"/>
      <c r="C1074" s="457"/>
      <c r="D1074" s="499"/>
      <c r="E1074" s="457"/>
      <c r="F1074" s="457"/>
      <c r="G1074" s="457"/>
      <c r="J1074" s="457"/>
      <c r="K1074" s="457"/>
      <c r="L1074" s="499"/>
      <c r="M1074" s="556"/>
      <c r="N1074" s="556"/>
      <c r="O1074" s="499"/>
    </row>
    <row r="1075" customFormat="false" ht="20.25" hidden="false" customHeight="true" outlineLevel="0" collapsed="false">
      <c r="A1075" s="457"/>
      <c r="B1075" s="457"/>
      <c r="C1075" s="457"/>
      <c r="D1075" s="499"/>
      <c r="E1075" s="457"/>
      <c r="F1075" s="457"/>
      <c r="G1075" s="457"/>
      <c r="J1075" s="457"/>
      <c r="K1075" s="457"/>
      <c r="L1075" s="499"/>
      <c r="M1075" s="556"/>
      <c r="N1075" s="556"/>
      <c r="O1075" s="499"/>
    </row>
    <row r="1076" customFormat="false" ht="20.25" hidden="false" customHeight="true" outlineLevel="0" collapsed="false">
      <c r="A1076" s="457"/>
      <c r="B1076" s="457"/>
      <c r="C1076" s="457"/>
      <c r="D1076" s="499"/>
      <c r="E1076" s="457"/>
      <c r="F1076" s="457"/>
      <c r="G1076" s="457"/>
      <c r="J1076" s="457"/>
      <c r="K1076" s="457"/>
      <c r="L1076" s="499"/>
      <c r="M1076" s="556"/>
      <c r="N1076" s="556"/>
      <c r="O1076" s="499"/>
    </row>
    <row r="1077" customFormat="false" ht="20.25" hidden="false" customHeight="true" outlineLevel="0" collapsed="false">
      <c r="A1077" s="457"/>
      <c r="B1077" s="457"/>
      <c r="C1077" s="457"/>
      <c r="D1077" s="499"/>
      <c r="E1077" s="457"/>
      <c r="F1077" s="457"/>
      <c r="G1077" s="457"/>
      <c r="J1077" s="457"/>
      <c r="K1077" s="457"/>
      <c r="L1077" s="499"/>
      <c r="M1077" s="556"/>
      <c r="N1077" s="556"/>
      <c r="O1077" s="499"/>
    </row>
    <row r="1078" customFormat="false" ht="20.25" hidden="false" customHeight="true" outlineLevel="0" collapsed="false">
      <c r="A1078" s="457"/>
      <c r="B1078" s="457"/>
      <c r="C1078" s="457"/>
      <c r="D1078" s="499"/>
      <c r="E1078" s="457"/>
      <c r="F1078" s="457"/>
      <c r="G1078" s="457"/>
      <c r="J1078" s="457"/>
      <c r="K1078" s="457"/>
      <c r="L1078" s="499"/>
      <c r="M1078" s="556"/>
      <c r="N1078" s="556"/>
      <c r="O1078" s="499"/>
    </row>
    <row r="1079" customFormat="false" ht="20.25" hidden="false" customHeight="true" outlineLevel="0" collapsed="false">
      <c r="A1079" s="457"/>
      <c r="B1079" s="457"/>
      <c r="C1079" s="457"/>
      <c r="D1079" s="499"/>
      <c r="E1079" s="457"/>
      <c r="F1079" s="457"/>
      <c r="G1079" s="457"/>
      <c r="J1079" s="457"/>
      <c r="K1079" s="457"/>
      <c r="L1079" s="499"/>
      <c r="M1079" s="556"/>
      <c r="N1079" s="556"/>
      <c r="O1079" s="499"/>
    </row>
    <row r="1080" customFormat="false" ht="20.25" hidden="false" customHeight="true" outlineLevel="0" collapsed="false">
      <c r="A1080" s="457"/>
      <c r="B1080" s="457"/>
      <c r="C1080" s="457"/>
      <c r="D1080" s="499"/>
      <c r="E1080" s="457"/>
      <c r="F1080" s="457"/>
      <c r="G1080" s="457"/>
      <c r="J1080" s="457"/>
      <c r="K1080" s="457"/>
      <c r="L1080" s="499"/>
      <c r="M1080" s="556"/>
      <c r="N1080" s="556"/>
      <c r="O1080" s="499"/>
    </row>
    <row r="1081" customFormat="false" ht="20.25" hidden="false" customHeight="true" outlineLevel="0" collapsed="false">
      <c r="A1081" s="457"/>
      <c r="B1081" s="457"/>
      <c r="C1081" s="457"/>
      <c r="D1081" s="499"/>
      <c r="E1081" s="457"/>
      <c r="F1081" s="457"/>
      <c r="G1081" s="457"/>
      <c r="J1081" s="457"/>
      <c r="K1081" s="457"/>
      <c r="L1081" s="499"/>
      <c r="M1081" s="556"/>
      <c r="N1081" s="556"/>
      <c r="O1081" s="499"/>
    </row>
    <row r="1082" customFormat="false" ht="20.25" hidden="false" customHeight="true" outlineLevel="0" collapsed="false">
      <c r="A1082" s="457"/>
      <c r="B1082" s="457"/>
      <c r="C1082" s="457"/>
      <c r="D1082" s="499"/>
      <c r="E1082" s="457"/>
      <c r="F1082" s="457"/>
      <c r="G1082" s="457"/>
      <c r="J1082" s="457"/>
      <c r="K1082" s="457"/>
      <c r="L1082" s="499"/>
      <c r="M1082" s="556"/>
      <c r="N1082" s="556"/>
      <c r="O1082" s="499"/>
    </row>
    <row r="1083" customFormat="false" ht="20.25" hidden="false" customHeight="true" outlineLevel="0" collapsed="false">
      <c r="A1083" s="457"/>
      <c r="B1083" s="457"/>
      <c r="C1083" s="457"/>
      <c r="D1083" s="499"/>
      <c r="E1083" s="457"/>
      <c r="F1083" s="457"/>
      <c r="G1083" s="457"/>
      <c r="J1083" s="457"/>
      <c r="K1083" s="457"/>
      <c r="L1083" s="499"/>
      <c r="M1083" s="556"/>
      <c r="N1083" s="556"/>
      <c r="O1083" s="499"/>
    </row>
    <row r="1084" customFormat="false" ht="20.25" hidden="false" customHeight="true" outlineLevel="0" collapsed="false">
      <c r="A1084" s="457"/>
      <c r="B1084" s="457"/>
      <c r="C1084" s="457"/>
      <c r="D1084" s="499"/>
      <c r="E1084" s="457"/>
      <c r="F1084" s="457"/>
      <c r="G1084" s="457"/>
      <c r="J1084" s="457"/>
      <c r="K1084" s="457"/>
      <c r="L1084" s="499"/>
      <c r="M1084" s="556"/>
      <c r="N1084" s="556"/>
      <c r="O1084" s="499"/>
    </row>
    <row r="1085" customFormat="false" ht="20.25" hidden="false" customHeight="true" outlineLevel="0" collapsed="false">
      <c r="A1085" s="457"/>
      <c r="B1085" s="457"/>
      <c r="C1085" s="457"/>
      <c r="D1085" s="499"/>
      <c r="E1085" s="457"/>
      <c r="F1085" s="457"/>
      <c r="G1085" s="457"/>
      <c r="J1085" s="457"/>
      <c r="K1085" s="457"/>
      <c r="L1085" s="499"/>
      <c r="M1085" s="556"/>
      <c r="N1085" s="556"/>
      <c r="O1085" s="499"/>
    </row>
    <row r="1086" customFormat="false" ht="20.25" hidden="false" customHeight="true" outlineLevel="0" collapsed="false">
      <c r="A1086" s="457"/>
      <c r="B1086" s="457"/>
      <c r="C1086" s="457"/>
      <c r="D1086" s="499"/>
      <c r="E1086" s="457"/>
      <c r="F1086" s="457"/>
      <c r="G1086" s="457"/>
      <c r="J1086" s="457"/>
      <c r="K1086" s="457"/>
      <c r="L1086" s="499"/>
      <c r="M1086" s="556"/>
      <c r="N1086" s="556"/>
      <c r="O1086" s="499"/>
    </row>
    <row r="1087" customFormat="false" ht="20.25" hidden="false" customHeight="true" outlineLevel="0" collapsed="false">
      <c r="A1087" s="457"/>
      <c r="B1087" s="457"/>
      <c r="C1087" s="457"/>
      <c r="D1087" s="499"/>
      <c r="E1087" s="457"/>
      <c r="F1087" s="457"/>
      <c r="G1087" s="457"/>
      <c r="J1087" s="457"/>
      <c r="K1087" s="457"/>
      <c r="L1087" s="499"/>
      <c r="M1087" s="556"/>
      <c r="N1087" s="556"/>
      <c r="O1087" s="499"/>
    </row>
    <row r="1088" customFormat="false" ht="20.25" hidden="false" customHeight="true" outlineLevel="0" collapsed="false">
      <c r="A1088" s="457"/>
      <c r="B1088" s="457"/>
      <c r="C1088" s="457"/>
      <c r="D1088" s="499"/>
      <c r="E1088" s="457"/>
      <c r="F1088" s="457"/>
      <c r="G1088" s="457"/>
      <c r="J1088" s="457"/>
      <c r="K1088" s="457"/>
      <c r="L1088" s="499"/>
      <c r="M1088" s="556"/>
      <c r="N1088" s="556"/>
      <c r="O1088" s="499"/>
    </row>
    <row r="1089" customFormat="false" ht="20.25" hidden="false" customHeight="true" outlineLevel="0" collapsed="false">
      <c r="A1089" s="457"/>
      <c r="B1089" s="457"/>
      <c r="C1089" s="457"/>
      <c r="D1089" s="499"/>
      <c r="E1089" s="457"/>
      <c r="F1089" s="457"/>
      <c r="G1089" s="457"/>
      <c r="J1089" s="457"/>
      <c r="K1089" s="457"/>
      <c r="L1089" s="499"/>
      <c r="M1089" s="556"/>
      <c r="N1089" s="556"/>
      <c r="O1089" s="499"/>
    </row>
    <row r="1090" customFormat="false" ht="20.25" hidden="false" customHeight="true" outlineLevel="0" collapsed="false">
      <c r="A1090" s="457"/>
      <c r="B1090" s="457"/>
      <c r="C1090" s="457"/>
      <c r="D1090" s="499"/>
      <c r="E1090" s="457"/>
      <c r="F1090" s="457"/>
      <c r="G1090" s="457"/>
      <c r="J1090" s="457"/>
      <c r="K1090" s="457"/>
      <c r="L1090" s="499"/>
      <c r="M1090" s="556"/>
      <c r="N1090" s="556"/>
      <c r="O1090" s="499"/>
    </row>
    <row r="1091" customFormat="false" ht="20.25" hidden="false" customHeight="true" outlineLevel="0" collapsed="false">
      <c r="A1091" s="457"/>
      <c r="B1091" s="457"/>
      <c r="C1091" s="457"/>
      <c r="D1091" s="499"/>
      <c r="E1091" s="457"/>
      <c r="F1091" s="457"/>
      <c r="G1091" s="457"/>
      <c r="J1091" s="457"/>
      <c r="K1091" s="457"/>
      <c r="L1091" s="499"/>
      <c r="M1091" s="556"/>
      <c r="N1091" s="556"/>
      <c r="O1091" s="499"/>
    </row>
    <row r="1092" customFormat="false" ht="20.25" hidden="false" customHeight="true" outlineLevel="0" collapsed="false">
      <c r="A1092" s="457"/>
      <c r="B1092" s="457"/>
      <c r="C1092" s="457"/>
      <c r="D1092" s="499"/>
      <c r="E1092" s="457"/>
      <c r="F1092" s="457"/>
      <c r="G1092" s="457"/>
      <c r="J1092" s="457"/>
      <c r="K1092" s="457"/>
      <c r="L1092" s="499"/>
      <c r="M1092" s="556"/>
      <c r="N1092" s="556"/>
      <c r="O1092" s="499"/>
    </row>
    <row r="1093" customFormat="false" ht="20.25" hidden="false" customHeight="true" outlineLevel="0" collapsed="false">
      <c r="A1093" s="457"/>
      <c r="B1093" s="457"/>
      <c r="C1093" s="457"/>
      <c r="D1093" s="499"/>
      <c r="E1093" s="457"/>
      <c r="F1093" s="457"/>
      <c r="G1093" s="457"/>
      <c r="J1093" s="457"/>
      <c r="K1093" s="457"/>
      <c r="L1093" s="499"/>
      <c r="M1093" s="556"/>
      <c r="N1093" s="556"/>
      <c r="O1093" s="499"/>
    </row>
    <row r="1094" customFormat="false" ht="20.25" hidden="false" customHeight="true" outlineLevel="0" collapsed="false">
      <c r="A1094" s="457"/>
      <c r="B1094" s="457"/>
      <c r="C1094" s="457"/>
      <c r="D1094" s="499"/>
      <c r="E1094" s="457"/>
      <c r="F1094" s="457"/>
      <c r="G1094" s="457"/>
      <c r="J1094" s="457"/>
      <c r="K1094" s="457"/>
      <c r="L1094" s="499"/>
      <c r="M1094" s="556"/>
      <c r="N1094" s="556"/>
      <c r="O1094" s="499"/>
    </row>
    <row r="1095" customFormat="false" ht="20.25" hidden="false" customHeight="true" outlineLevel="0" collapsed="false">
      <c r="A1095" s="457"/>
      <c r="B1095" s="457"/>
      <c r="C1095" s="457"/>
      <c r="D1095" s="499"/>
      <c r="E1095" s="457"/>
      <c r="F1095" s="457"/>
      <c r="G1095" s="457"/>
      <c r="J1095" s="457"/>
      <c r="K1095" s="457"/>
      <c r="L1095" s="499"/>
      <c r="M1095" s="556"/>
      <c r="N1095" s="556"/>
      <c r="O1095" s="499"/>
    </row>
    <row r="1096" customFormat="false" ht="20.25" hidden="false" customHeight="true" outlineLevel="0" collapsed="false">
      <c r="A1096" s="457"/>
      <c r="B1096" s="457"/>
      <c r="C1096" s="457"/>
      <c r="D1096" s="499"/>
      <c r="E1096" s="457"/>
      <c r="F1096" s="457"/>
      <c r="G1096" s="457"/>
      <c r="J1096" s="457"/>
      <c r="K1096" s="457"/>
      <c r="L1096" s="499"/>
      <c r="M1096" s="556"/>
      <c r="N1096" s="556"/>
      <c r="O1096" s="499"/>
    </row>
    <row r="1097" customFormat="false" ht="20.25" hidden="false" customHeight="true" outlineLevel="0" collapsed="false">
      <c r="A1097" s="457"/>
      <c r="B1097" s="457"/>
      <c r="C1097" s="457"/>
      <c r="D1097" s="499"/>
      <c r="E1097" s="457"/>
      <c r="F1097" s="457"/>
      <c r="G1097" s="457"/>
      <c r="J1097" s="457"/>
      <c r="K1097" s="457"/>
      <c r="L1097" s="499"/>
      <c r="M1097" s="556"/>
      <c r="N1097" s="556"/>
      <c r="O1097" s="499"/>
    </row>
    <row r="1098" customFormat="false" ht="20.25" hidden="false" customHeight="true" outlineLevel="0" collapsed="false">
      <c r="A1098" s="457"/>
      <c r="B1098" s="457"/>
      <c r="C1098" s="457"/>
      <c r="D1098" s="499"/>
      <c r="E1098" s="457"/>
      <c r="F1098" s="457"/>
      <c r="G1098" s="457"/>
      <c r="J1098" s="457"/>
      <c r="K1098" s="457"/>
      <c r="L1098" s="499"/>
      <c r="M1098" s="556"/>
      <c r="N1098" s="556"/>
      <c r="O1098" s="499"/>
    </row>
    <row r="1099" customFormat="false" ht="20.25" hidden="false" customHeight="true" outlineLevel="0" collapsed="false">
      <c r="A1099" s="457"/>
      <c r="B1099" s="457"/>
      <c r="C1099" s="457"/>
      <c r="D1099" s="499"/>
      <c r="E1099" s="457"/>
      <c r="F1099" s="457"/>
      <c r="G1099" s="457"/>
      <c r="J1099" s="457"/>
      <c r="K1099" s="457"/>
      <c r="L1099" s="499"/>
      <c r="M1099" s="556"/>
      <c r="N1099" s="556"/>
      <c r="O1099" s="499"/>
    </row>
    <row r="1100" customFormat="false" ht="20.25" hidden="false" customHeight="true" outlineLevel="0" collapsed="false">
      <c r="A1100" s="457"/>
      <c r="B1100" s="457"/>
      <c r="C1100" s="457"/>
      <c r="D1100" s="499"/>
      <c r="E1100" s="457"/>
      <c r="F1100" s="457"/>
      <c r="G1100" s="457"/>
      <c r="J1100" s="457"/>
      <c r="K1100" s="457"/>
      <c r="L1100" s="499"/>
      <c r="M1100" s="556"/>
      <c r="N1100" s="556"/>
      <c r="O1100" s="499"/>
    </row>
    <row r="1101" customFormat="false" ht="20.25" hidden="false" customHeight="true" outlineLevel="0" collapsed="false">
      <c r="A1101" s="457"/>
      <c r="B1101" s="457"/>
      <c r="C1101" s="457"/>
      <c r="D1101" s="499"/>
      <c r="E1101" s="457"/>
      <c r="F1101" s="457"/>
      <c r="G1101" s="457"/>
      <c r="J1101" s="457"/>
      <c r="K1101" s="457"/>
      <c r="L1101" s="499"/>
      <c r="M1101" s="556"/>
      <c r="N1101" s="556"/>
      <c r="O1101" s="499"/>
    </row>
    <row r="1102" customFormat="false" ht="20.25" hidden="false" customHeight="true" outlineLevel="0" collapsed="false">
      <c r="A1102" s="457"/>
      <c r="B1102" s="457"/>
      <c r="C1102" s="457"/>
      <c r="D1102" s="499"/>
      <c r="E1102" s="457"/>
      <c r="F1102" s="457"/>
      <c r="G1102" s="457"/>
      <c r="J1102" s="457"/>
      <c r="K1102" s="457"/>
      <c r="L1102" s="499"/>
      <c r="M1102" s="556"/>
      <c r="N1102" s="556"/>
      <c r="O1102" s="499"/>
    </row>
    <row r="1103" customFormat="false" ht="20.25" hidden="false" customHeight="true" outlineLevel="0" collapsed="false">
      <c r="A1103" s="457"/>
      <c r="B1103" s="457"/>
      <c r="C1103" s="457"/>
      <c r="D1103" s="499"/>
      <c r="E1103" s="457"/>
      <c r="F1103" s="457"/>
      <c r="G1103" s="457"/>
      <c r="J1103" s="457"/>
      <c r="K1103" s="457"/>
      <c r="L1103" s="499"/>
      <c r="M1103" s="556"/>
      <c r="N1103" s="556"/>
      <c r="O1103" s="499"/>
    </row>
    <row r="1104" customFormat="false" ht="20.25" hidden="false" customHeight="true" outlineLevel="0" collapsed="false">
      <c r="A1104" s="457"/>
      <c r="B1104" s="457"/>
      <c r="C1104" s="457"/>
      <c r="D1104" s="499"/>
      <c r="E1104" s="457"/>
      <c r="F1104" s="457"/>
      <c r="G1104" s="457"/>
      <c r="J1104" s="457"/>
      <c r="K1104" s="457"/>
      <c r="L1104" s="499"/>
      <c r="M1104" s="556"/>
      <c r="N1104" s="556"/>
      <c r="O1104" s="499"/>
    </row>
    <row r="1105" customFormat="false" ht="20.25" hidden="false" customHeight="true" outlineLevel="0" collapsed="false">
      <c r="A1105" s="457"/>
      <c r="B1105" s="457"/>
      <c r="C1105" s="457"/>
      <c r="D1105" s="499"/>
      <c r="E1105" s="457"/>
      <c r="F1105" s="457"/>
      <c r="G1105" s="457"/>
      <c r="J1105" s="457"/>
      <c r="K1105" s="457"/>
      <c r="L1105" s="499"/>
      <c r="M1105" s="556"/>
      <c r="N1105" s="556"/>
      <c r="O1105" s="499"/>
    </row>
    <row r="1106" customFormat="false" ht="20.25" hidden="false" customHeight="true" outlineLevel="0" collapsed="false">
      <c r="A1106" s="457"/>
      <c r="B1106" s="457"/>
      <c r="C1106" s="457"/>
      <c r="D1106" s="499"/>
      <c r="E1106" s="457"/>
      <c r="F1106" s="457"/>
      <c r="G1106" s="457"/>
      <c r="J1106" s="457"/>
      <c r="K1106" s="457"/>
      <c r="L1106" s="499"/>
      <c r="M1106" s="556"/>
      <c r="N1106" s="556"/>
      <c r="O1106" s="499"/>
    </row>
    <row r="1107" customFormat="false" ht="20.25" hidden="false" customHeight="true" outlineLevel="0" collapsed="false">
      <c r="A1107" s="457"/>
      <c r="B1107" s="457"/>
      <c r="C1107" s="457"/>
      <c r="D1107" s="499"/>
      <c r="E1107" s="457"/>
      <c r="F1107" s="457"/>
      <c r="G1107" s="457"/>
      <c r="J1107" s="457"/>
      <c r="K1107" s="457"/>
      <c r="L1107" s="499"/>
      <c r="M1107" s="556"/>
      <c r="N1107" s="556"/>
      <c r="O1107" s="499"/>
    </row>
    <row r="1108" customFormat="false" ht="20.25" hidden="false" customHeight="true" outlineLevel="0" collapsed="false">
      <c r="A1108" s="457"/>
      <c r="B1108" s="457"/>
      <c r="C1108" s="457"/>
      <c r="D1108" s="499"/>
      <c r="E1108" s="457"/>
      <c r="F1108" s="457"/>
      <c r="G1108" s="457"/>
      <c r="J1108" s="457"/>
      <c r="K1108" s="457"/>
      <c r="L1108" s="499"/>
      <c r="M1108" s="556"/>
      <c r="N1108" s="556"/>
      <c r="O1108" s="499"/>
    </row>
    <row r="1109" customFormat="false" ht="20.25" hidden="false" customHeight="true" outlineLevel="0" collapsed="false">
      <c r="A1109" s="457"/>
      <c r="B1109" s="457"/>
      <c r="C1109" s="457"/>
      <c r="D1109" s="499"/>
      <c r="E1109" s="457"/>
      <c r="F1109" s="457"/>
      <c r="G1109" s="457"/>
      <c r="J1109" s="457"/>
      <c r="K1109" s="457"/>
      <c r="L1109" s="499"/>
      <c r="M1109" s="556"/>
      <c r="N1109" s="556"/>
      <c r="O1109" s="499"/>
    </row>
    <row r="1110" customFormat="false" ht="20.25" hidden="false" customHeight="true" outlineLevel="0" collapsed="false">
      <c r="A1110" s="457"/>
      <c r="B1110" s="457"/>
      <c r="C1110" s="457"/>
      <c r="D1110" s="499"/>
      <c r="E1110" s="457"/>
      <c r="F1110" s="457"/>
      <c r="G1110" s="457"/>
      <c r="J1110" s="457"/>
      <c r="K1110" s="457"/>
      <c r="L1110" s="499"/>
      <c r="M1110" s="556"/>
      <c r="N1110" s="556"/>
      <c r="O1110" s="499"/>
    </row>
    <row r="1111" customFormat="false" ht="20.25" hidden="false" customHeight="true" outlineLevel="0" collapsed="false">
      <c r="A1111" s="457"/>
      <c r="B1111" s="457"/>
      <c r="C1111" s="457"/>
      <c r="D1111" s="499"/>
      <c r="E1111" s="457"/>
      <c r="F1111" s="457"/>
      <c r="G1111" s="457"/>
      <c r="J1111" s="457"/>
      <c r="K1111" s="457"/>
      <c r="L1111" s="499"/>
      <c r="M1111" s="556"/>
      <c r="N1111" s="556"/>
      <c r="O1111" s="499"/>
    </row>
    <row r="1112" customFormat="false" ht="20.25" hidden="false" customHeight="true" outlineLevel="0" collapsed="false">
      <c r="A1112" s="457"/>
      <c r="B1112" s="457"/>
      <c r="C1112" s="457"/>
      <c r="D1112" s="499"/>
      <c r="E1112" s="457"/>
      <c r="F1112" s="457"/>
      <c r="G1112" s="457"/>
      <c r="J1112" s="457"/>
      <c r="K1112" s="457"/>
      <c r="L1112" s="499"/>
      <c r="M1112" s="556"/>
      <c r="N1112" s="556"/>
      <c r="O1112" s="499"/>
    </row>
    <row r="1113" customFormat="false" ht="20.25" hidden="false" customHeight="true" outlineLevel="0" collapsed="false">
      <c r="A1113" s="457"/>
      <c r="B1113" s="457"/>
      <c r="C1113" s="457"/>
      <c r="D1113" s="499"/>
      <c r="E1113" s="457"/>
      <c r="F1113" s="457"/>
      <c r="G1113" s="457"/>
      <c r="J1113" s="457"/>
      <c r="K1113" s="457"/>
      <c r="L1113" s="499"/>
      <c r="M1113" s="556"/>
      <c r="N1113" s="556"/>
      <c r="O1113" s="499"/>
    </row>
    <row r="1114" customFormat="false" ht="20.25" hidden="false" customHeight="true" outlineLevel="0" collapsed="false">
      <c r="A1114" s="457"/>
      <c r="B1114" s="457"/>
      <c r="C1114" s="457"/>
      <c r="D1114" s="499"/>
      <c r="E1114" s="457"/>
      <c r="F1114" s="457"/>
      <c r="G1114" s="457"/>
      <c r="J1114" s="457"/>
      <c r="K1114" s="457"/>
      <c r="L1114" s="499"/>
      <c r="M1114" s="556"/>
      <c r="N1114" s="556"/>
      <c r="O1114" s="499"/>
    </row>
    <row r="1115" customFormat="false" ht="20.25" hidden="false" customHeight="true" outlineLevel="0" collapsed="false">
      <c r="A1115" s="457"/>
      <c r="B1115" s="457"/>
      <c r="C1115" s="457"/>
      <c r="D1115" s="499"/>
      <c r="E1115" s="457"/>
      <c r="F1115" s="457"/>
      <c r="G1115" s="457"/>
      <c r="J1115" s="457"/>
      <c r="K1115" s="457"/>
      <c r="L1115" s="499"/>
      <c r="M1115" s="556"/>
      <c r="N1115" s="556"/>
      <c r="O1115" s="499"/>
    </row>
    <row r="1116" customFormat="false" ht="20.25" hidden="false" customHeight="true" outlineLevel="0" collapsed="false">
      <c r="A1116" s="457"/>
      <c r="B1116" s="457"/>
      <c r="C1116" s="457"/>
      <c r="D1116" s="499"/>
      <c r="E1116" s="457"/>
      <c r="F1116" s="457"/>
      <c r="G1116" s="457"/>
      <c r="J1116" s="457"/>
      <c r="K1116" s="457"/>
      <c r="L1116" s="499"/>
      <c r="M1116" s="556"/>
      <c r="N1116" s="556"/>
      <c r="O1116" s="499"/>
    </row>
    <row r="1117" customFormat="false" ht="20.25" hidden="false" customHeight="true" outlineLevel="0" collapsed="false">
      <c r="A1117" s="457"/>
      <c r="B1117" s="457"/>
      <c r="C1117" s="457"/>
      <c r="D1117" s="499"/>
      <c r="E1117" s="457"/>
      <c r="F1117" s="457"/>
      <c r="G1117" s="457"/>
      <c r="J1117" s="457"/>
      <c r="K1117" s="457"/>
      <c r="L1117" s="499"/>
      <c r="M1117" s="556"/>
      <c r="N1117" s="556"/>
      <c r="O1117" s="499"/>
    </row>
    <row r="1118" customFormat="false" ht="20.25" hidden="false" customHeight="true" outlineLevel="0" collapsed="false">
      <c r="A1118" s="457"/>
      <c r="B1118" s="457"/>
      <c r="C1118" s="457"/>
      <c r="D1118" s="499"/>
      <c r="E1118" s="457"/>
      <c r="F1118" s="457"/>
      <c r="G1118" s="457"/>
      <c r="J1118" s="457"/>
      <c r="K1118" s="457"/>
      <c r="L1118" s="499"/>
      <c r="M1118" s="556"/>
      <c r="N1118" s="556"/>
      <c r="O1118" s="499"/>
    </row>
    <row r="1119" customFormat="false" ht="20.25" hidden="false" customHeight="true" outlineLevel="0" collapsed="false">
      <c r="A1119" s="457"/>
      <c r="B1119" s="457"/>
      <c r="C1119" s="457"/>
      <c r="D1119" s="499"/>
      <c r="E1119" s="457"/>
      <c r="F1119" s="457"/>
      <c r="G1119" s="457"/>
      <c r="J1119" s="457"/>
      <c r="K1119" s="457"/>
      <c r="L1119" s="499"/>
      <c r="M1119" s="556"/>
      <c r="N1119" s="556"/>
      <c r="O1119" s="499"/>
    </row>
    <row r="1120" customFormat="false" ht="20.25" hidden="false" customHeight="true" outlineLevel="0" collapsed="false">
      <c r="A1120" s="457"/>
      <c r="B1120" s="457"/>
      <c r="C1120" s="457"/>
      <c r="D1120" s="499"/>
      <c r="E1120" s="457"/>
      <c r="F1120" s="457"/>
      <c r="G1120" s="457"/>
      <c r="J1120" s="457"/>
      <c r="K1120" s="457"/>
      <c r="L1120" s="499"/>
      <c r="M1120" s="556"/>
      <c r="N1120" s="556"/>
      <c r="O1120" s="499"/>
    </row>
    <row r="1121" customFormat="false" ht="20.25" hidden="false" customHeight="true" outlineLevel="0" collapsed="false">
      <c r="A1121" s="457"/>
      <c r="B1121" s="457"/>
      <c r="C1121" s="457"/>
      <c r="D1121" s="499"/>
      <c r="E1121" s="457"/>
      <c r="F1121" s="457"/>
      <c r="G1121" s="457"/>
      <c r="J1121" s="457"/>
      <c r="K1121" s="457"/>
      <c r="L1121" s="499"/>
      <c r="M1121" s="556"/>
      <c r="N1121" s="556"/>
      <c r="O1121" s="499"/>
    </row>
    <row r="1122" customFormat="false" ht="20.25" hidden="false" customHeight="true" outlineLevel="0" collapsed="false">
      <c r="A1122" s="457"/>
      <c r="B1122" s="457"/>
      <c r="C1122" s="457"/>
      <c r="D1122" s="499"/>
      <c r="E1122" s="457"/>
      <c r="F1122" s="457"/>
      <c r="G1122" s="457"/>
      <c r="J1122" s="457"/>
      <c r="K1122" s="457"/>
      <c r="L1122" s="499"/>
      <c r="M1122" s="556"/>
      <c r="N1122" s="556"/>
      <c r="O1122" s="499"/>
    </row>
    <row r="1123" customFormat="false" ht="20.25" hidden="false" customHeight="true" outlineLevel="0" collapsed="false">
      <c r="A1123" s="457"/>
      <c r="B1123" s="457"/>
      <c r="C1123" s="457"/>
      <c r="D1123" s="499"/>
      <c r="E1123" s="457"/>
      <c r="F1123" s="457"/>
      <c r="G1123" s="457"/>
      <c r="J1123" s="457"/>
      <c r="K1123" s="457"/>
      <c r="L1123" s="499"/>
      <c r="M1123" s="556"/>
      <c r="N1123" s="556"/>
      <c r="O1123" s="499"/>
    </row>
    <row r="1124" customFormat="false" ht="20.25" hidden="false" customHeight="true" outlineLevel="0" collapsed="false">
      <c r="A1124" s="457"/>
      <c r="B1124" s="457"/>
      <c r="C1124" s="457"/>
      <c r="D1124" s="499"/>
      <c r="E1124" s="457"/>
      <c r="F1124" s="457"/>
      <c r="G1124" s="457"/>
      <c r="J1124" s="457"/>
      <c r="K1124" s="457"/>
      <c r="L1124" s="499"/>
      <c r="M1124" s="556"/>
      <c r="N1124" s="556"/>
      <c r="O1124" s="499"/>
    </row>
    <row r="1125" customFormat="false" ht="20.25" hidden="false" customHeight="true" outlineLevel="0" collapsed="false">
      <c r="A1125" s="457"/>
      <c r="B1125" s="457"/>
      <c r="C1125" s="457"/>
      <c r="D1125" s="499"/>
      <c r="E1125" s="457"/>
      <c r="F1125" s="457"/>
      <c r="G1125" s="457"/>
      <c r="J1125" s="457"/>
      <c r="K1125" s="457"/>
      <c r="L1125" s="499"/>
      <c r="M1125" s="556"/>
      <c r="N1125" s="556"/>
      <c r="O1125" s="499"/>
    </row>
    <row r="1126" customFormat="false" ht="20.25" hidden="false" customHeight="true" outlineLevel="0" collapsed="false">
      <c r="A1126" s="457"/>
      <c r="B1126" s="457"/>
      <c r="C1126" s="457"/>
      <c r="D1126" s="499"/>
      <c r="E1126" s="457"/>
      <c r="F1126" s="457"/>
      <c r="G1126" s="457"/>
      <c r="J1126" s="457"/>
      <c r="K1126" s="457"/>
      <c r="L1126" s="499"/>
      <c r="M1126" s="556"/>
      <c r="N1126" s="556"/>
      <c r="O1126" s="499"/>
    </row>
    <row r="1127" customFormat="false" ht="20.25" hidden="false" customHeight="true" outlineLevel="0" collapsed="false">
      <c r="A1127" s="457"/>
      <c r="B1127" s="457"/>
      <c r="C1127" s="457"/>
      <c r="D1127" s="499"/>
      <c r="E1127" s="457"/>
      <c r="F1127" s="457"/>
      <c r="G1127" s="457"/>
      <c r="J1127" s="457"/>
      <c r="K1127" s="457"/>
      <c r="L1127" s="499"/>
      <c r="M1127" s="556"/>
      <c r="N1127" s="556"/>
      <c r="O1127" s="499"/>
    </row>
    <row r="1128" customFormat="false" ht="20.25" hidden="false" customHeight="true" outlineLevel="0" collapsed="false">
      <c r="A1128" s="457"/>
      <c r="B1128" s="457"/>
      <c r="C1128" s="457"/>
      <c r="D1128" s="499"/>
      <c r="E1128" s="457"/>
      <c r="F1128" s="457"/>
      <c r="G1128" s="457"/>
      <c r="J1128" s="457"/>
      <c r="K1128" s="457"/>
      <c r="L1128" s="499"/>
      <c r="M1128" s="556"/>
      <c r="N1128" s="556"/>
      <c r="O1128" s="499"/>
    </row>
    <row r="1129" customFormat="false" ht="20.25" hidden="false" customHeight="true" outlineLevel="0" collapsed="false">
      <c r="A1129" s="457"/>
      <c r="B1129" s="457"/>
      <c r="C1129" s="457"/>
      <c r="D1129" s="499"/>
      <c r="E1129" s="457"/>
      <c r="F1129" s="457"/>
      <c r="G1129" s="457"/>
      <c r="J1129" s="457"/>
      <c r="K1129" s="457"/>
      <c r="L1129" s="499"/>
      <c r="M1129" s="556"/>
      <c r="N1129" s="556"/>
      <c r="O1129" s="499"/>
    </row>
    <row r="1130" customFormat="false" ht="20.25" hidden="false" customHeight="true" outlineLevel="0" collapsed="false">
      <c r="A1130" s="457"/>
      <c r="B1130" s="457"/>
      <c r="C1130" s="457"/>
      <c r="D1130" s="499"/>
      <c r="E1130" s="457"/>
      <c r="F1130" s="457"/>
      <c r="G1130" s="457"/>
      <c r="J1130" s="457"/>
      <c r="K1130" s="457"/>
      <c r="L1130" s="499"/>
      <c r="M1130" s="556"/>
      <c r="N1130" s="556"/>
      <c r="O1130" s="499"/>
    </row>
    <row r="1131" customFormat="false" ht="20.25" hidden="false" customHeight="true" outlineLevel="0" collapsed="false">
      <c r="A1131" s="457"/>
      <c r="B1131" s="457"/>
      <c r="C1131" s="457"/>
      <c r="D1131" s="499"/>
      <c r="E1131" s="457"/>
      <c r="F1131" s="457"/>
      <c r="G1131" s="457"/>
      <c r="J1131" s="457"/>
      <c r="K1131" s="457"/>
      <c r="L1131" s="499"/>
      <c r="M1131" s="556"/>
      <c r="N1131" s="556"/>
      <c r="O1131" s="499"/>
    </row>
    <row r="1132" customFormat="false" ht="20.25" hidden="false" customHeight="true" outlineLevel="0" collapsed="false">
      <c r="A1132" s="457"/>
      <c r="B1132" s="457"/>
      <c r="C1132" s="457"/>
      <c r="D1132" s="499"/>
      <c r="E1132" s="457"/>
      <c r="F1132" s="457"/>
      <c r="G1132" s="457"/>
      <c r="J1132" s="457"/>
      <c r="K1132" s="457"/>
      <c r="L1132" s="499"/>
      <c r="M1132" s="556"/>
      <c r="N1132" s="556"/>
      <c r="O1132" s="499"/>
    </row>
    <row r="1133" customFormat="false" ht="20.25" hidden="false" customHeight="true" outlineLevel="0" collapsed="false">
      <c r="A1133" s="457"/>
      <c r="B1133" s="457"/>
      <c r="C1133" s="457"/>
      <c r="D1133" s="499"/>
      <c r="E1133" s="457"/>
      <c r="F1133" s="457"/>
      <c r="G1133" s="457"/>
      <c r="J1133" s="457"/>
      <c r="K1133" s="457"/>
      <c r="L1133" s="499"/>
      <c r="M1133" s="556"/>
      <c r="N1133" s="556"/>
      <c r="O1133" s="499"/>
    </row>
    <row r="1134" customFormat="false" ht="20.25" hidden="false" customHeight="true" outlineLevel="0" collapsed="false">
      <c r="A1134" s="457"/>
      <c r="B1134" s="457"/>
      <c r="C1134" s="457"/>
      <c r="D1134" s="499"/>
      <c r="E1134" s="457"/>
      <c r="F1134" s="457"/>
      <c r="G1134" s="457"/>
      <c r="J1134" s="457"/>
      <c r="K1134" s="457"/>
      <c r="L1134" s="499"/>
      <c r="M1134" s="556"/>
      <c r="N1134" s="556"/>
      <c r="O1134" s="499"/>
    </row>
    <row r="1135" customFormat="false" ht="20.25" hidden="false" customHeight="true" outlineLevel="0" collapsed="false">
      <c r="A1135" s="457"/>
      <c r="B1135" s="457"/>
      <c r="C1135" s="457"/>
      <c r="D1135" s="499"/>
      <c r="E1135" s="457"/>
      <c r="F1135" s="457"/>
      <c r="G1135" s="457"/>
      <c r="J1135" s="457"/>
      <c r="K1135" s="457"/>
      <c r="L1135" s="499"/>
      <c r="M1135" s="556"/>
      <c r="N1135" s="556"/>
      <c r="O1135" s="499"/>
    </row>
    <row r="1136" customFormat="false" ht="20.25" hidden="false" customHeight="true" outlineLevel="0" collapsed="false">
      <c r="A1136" s="457"/>
      <c r="B1136" s="457"/>
      <c r="C1136" s="457"/>
      <c r="D1136" s="499"/>
      <c r="E1136" s="457"/>
      <c r="F1136" s="457"/>
      <c r="G1136" s="457"/>
      <c r="J1136" s="457"/>
      <c r="K1136" s="457"/>
      <c r="L1136" s="499"/>
      <c r="M1136" s="556"/>
      <c r="N1136" s="556"/>
      <c r="O1136" s="499"/>
    </row>
    <row r="1137" customFormat="false" ht="20.25" hidden="false" customHeight="true" outlineLevel="0" collapsed="false">
      <c r="A1137" s="457"/>
      <c r="B1137" s="457"/>
      <c r="C1137" s="457"/>
      <c r="D1137" s="499"/>
      <c r="E1137" s="457"/>
      <c r="F1137" s="457"/>
      <c r="G1137" s="457"/>
      <c r="J1137" s="457"/>
      <c r="K1137" s="457"/>
      <c r="L1137" s="499"/>
      <c r="M1137" s="556"/>
      <c r="N1137" s="556"/>
      <c r="O1137" s="499"/>
    </row>
    <row r="1138" customFormat="false" ht="20.25" hidden="false" customHeight="true" outlineLevel="0" collapsed="false">
      <c r="A1138" s="457"/>
      <c r="B1138" s="457"/>
      <c r="C1138" s="457"/>
      <c r="D1138" s="499"/>
      <c r="E1138" s="457"/>
      <c r="F1138" s="457"/>
      <c r="G1138" s="457"/>
      <c r="J1138" s="457"/>
      <c r="K1138" s="457"/>
      <c r="L1138" s="499"/>
      <c r="M1138" s="556"/>
      <c r="N1138" s="556"/>
      <c r="O1138" s="499"/>
    </row>
    <row r="1139" customFormat="false" ht="20.25" hidden="false" customHeight="true" outlineLevel="0" collapsed="false">
      <c r="A1139" s="457"/>
      <c r="B1139" s="457"/>
      <c r="C1139" s="457"/>
      <c r="D1139" s="499"/>
      <c r="E1139" s="457"/>
      <c r="F1139" s="457"/>
      <c r="G1139" s="457"/>
      <c r="J1139" s="457"/>
      <c r="K1139" s="457"/>
      <c r="L1139" s="499"/>
      <c r="M1139" s="556"/>
      <c r="N1139" s="556"/>
      <c r="O1139" s="499"/>
    </row>
    <row r="1140" customFormat="false" ht="20.25" hidden="false" customHeight="true" outlineLevel="0" collapsed="false">
      <c r="A1140" s="457"/>
      <c r="B1140" s="457"/>
      <c r="C1140" s="457"/>
      <c r="D1140" s="499"/>
      <c r="E1140" s="457"/>
      <c r="F1140" s="457"/>
      <c r="G1140" s="457"/>
      <c r="J1140" s="457"/>
      <c r="K1140" s="457"/>
      <c r="L1140" s="499"/>
      <c r="M1140" s="556"/>
      <c r="N1140" s="556"/>
      <c r="O1140" s="499"/>
    </row>
    <row r="1141" customFormat="false" ht="20.25" hidden="false" customHeight="true" outlineLevel="0" collapsed="false">
      <c r="A1141" s="457"/>
      <c r="B1141" s="457"/>
      <c r="C1141" s="457"/>
      <c r="D1141" s="499"/>
      <c r="E1141" s="457"/>
      <c r="F1141" s="457"/>
      <c r="G1141" s="457"/>
      <c r="J1141" s="457"/>
      <c r="K1141" s="457"/>
      <c r="L1141" s="499"/>
      <c r="M1141" s="556"/>
      <c r="N1141" s="556"/>
      <c r="O1141" s="499"/>
    </row>
    <row r="1142" customFormat="false" ht="20.25" hidden="false" customHeight="true" outlineLevel="0" collapsed="false">
      <c r="A1142" s="457"/>
      <c r="B1142" s="457"/>
      <c r="C1142" s="457"/>
      <c r="D1142" s="499"/>
      <c r="E1142" s="457"/>
      <c r="F1142" s="457"/>
      <c r="G1142" s="457"/>
      <c r="J1142" s="457"/>
      <c r="K1142" s="457"/>
      <c r="L1142" s="499"/>
      <c r="M1142" s="556"/>
      <c r="N1142" s="556"/>
      <c r="O1142" s="499"/>
    </row>
    <row r="1143" customFormat="false" ht="20.25" hidden="false" customHeight="true" outlineLevel="0" collapsed="false">
      <c r="A1143" s="457"/>
      <c r="B1143" s="457"/>
      <c r="C1143" s="457"/>
      <c r="D1143" s="499"/>
      <c r="E1143" s="457"/>
      <c r="F1143" s="457"/>
      <c r="G1143" s="457"/>
      <c r="J1143" s="457"/>
      <c r="K1143" s="457"/>
      <c r="L1143" s="499"/>
      <c r="M1143" s="556"/>
      <c r="N1143" s="556"/>
      <c r="O1143" s="499"/>
    </row>
    <row r="1144" customFormat="false" ht="20.25" hidden="false" customHeight="true" outlineLevel="0" collapsed="false">
      <c r="A1144" s="457"/>
      <c r="B1144" s="457"/>
      <c r="C1144" s="457"/>
      <c r="D1144" s="499"/>
      <c r="E1144" s="457"/>
      <c r="F1144" s="457"/>
      <c r="G1144" s="457"/>
      <c r="J1144" s="457"/>
      <c r="K1144" s="457"/>
      <c r="L1144" s="499"/>
      <c r="M1144" s="556"/>
      <c r="N1144" s="556"/>
      <c r="O1144" s="499"/>
    </row>
    <row r="1145" customFormat="false" ht="20.25" hidden="false" customHeight="true" outlineLevel="0" collapsed="false">
      <c r="A1145" s="457"/>
      <c r="B1145" s="457"/>
      <c r="C1145" s="457"/>
      <c r="D1145" s="499"/>
      <c r="E1145" s="457"/>
      <c r="F1145" s="457"/>
      <c r="G1145" s="457"/>
      <c r="J1145" s="457"/>
      <c r="K1145" s="457"/>
      <c r="L1145" s="499"/>
      <c r="M1145" s="556"/>
      <c r="N1145" s="556"/>
      <c r="O1145" s="499"/>
    </row>
    <row r="1146" customFormat="false" ht="20.25" hidden="false" customHeight="true" outlineLevel="0" collapsed="false">
      <c r="A1146" s="457"/>
      <c r="B1146" s="457"/>
      <c r="C1146" s="457"/>
      <c r="D1146" s="499"/>
      <c r="E1146" s="457"/>
      <c r="F1146" s="457"/>
      <c r="G1146" s="457"/>
      <c r="J1146" s="457"/>
      <c r="K1146" s="457"/>
      <c r="L1146" s="499"/>
      <c r="M1146" s="556"/>
      <c r="N1146" s="556"/>
      <c r="O1146" s="499"/>
    </row>
    <row r="1147" customFormat="false" ht="20.25" hidden="false" customHeight="true" outlineLevel="0" collapsed="false">
      <c r="A1147" s="457"/>
      <c r="B1147" s="457"/>
      <c r="C1147" s="457"/>
      <c r="D1147" s="499"/>
      <c r="E1147" s="457"/>
      <c r="F1147" s="457"/>
      <c r="G1147" s="457"/>
      <c r="J1147" s="457"/>
      <c r="K1147" s="457"/>
      <c r="L1147" s="499"/>
      <c r="M1147" s="556"/>
      <c r="N1147" s="556"/>
      <c r="O1147" s="499"/>
    </row>
    <row r="1148" customFormat="false" ht="20.25" hidden="false" customHeight="true" outlineLevel="0" collapsed="false">
      <c r="A1148" s="457"/>
      <c r="B1148" s="457"/>
      <c r="C1148" s="457"/>
      <c r="D1148" s="499"/>
      <c r="E1148" s="457"/>
      <c r="F1148" s="457"/>
      <c r="G1148" s="457"/>
      <c r="J1148" s="457"/>
      <c r="K1148" s="457"/>
      <c r="L1148" s="499"/>
      <c r="M1148" s="556"/>
      <c r="N1148" s="556"/>
      <c r="O1148" s="499"/>
    </row>
    <row r="1149" customFormat="false" ht="20.25" hidden="false" customHeight="true" outlineLevel="0" collapsed="false">
      <c r="A1149" s="457"/>
      <c r="B1149" s="457"/>
      <c r="C1149" s="457"/>
      <c r="D1149" s="499"/>
      <c r="E1149" s="457"/>
      <c r="F1149" s="457"/>
      <c r="G1149" s="457"/>
      <c r="J1149" s="457"/>
      <c r="K1149" s="457"/>
      <c r="L1149" s="499"/>
      <c r="M1149" s="556"/>
      <c r="N1149" s="556"/>
      <c r="O1149" s="499"/>
    </row>
    <row r="1150" customFormat="false" ht="20.25" hidden="false" customHeight="true" outlineLevel="0" collapsed="false">
      <c r="A1150" s="457"/>
      <c r="B1150" s="457"/>
      <c r="C1150" s="457"/>
      <c r="D1150" s="499"/>
      <c r="E1150" s="457"/>
      <c r="F1150" s="457"/>
      <c r="G1150" s="457"/>
      <c r="J1150" s="457"/>
      <c r="K1150" s="457"/>
      <c r="L1150" s="499"/>
      <c r="M1150" s="556"/>
      <c r="N1150" s="556"/>
      <c r="O1150" s="499"/>
    </row>
    <row r="1151" customFormat="false" ht="20.25" hidden="false" customHeight="true" outlineLevel="0" collapsed="false">
      <c r="A1151" s="457"/>
      <c r="B1151" s="457"/>
      <c r="C1151" s="457"/>
      <c r="D1151" s="499"/>
      <c r="E1151" s="457"/>
      <c r="F1151" s="457"/>
      <c r="G1151" s="457"/>
      <c r="J1151" s="457"/>
      <c r="K1151" s="457"/>
      <c r="L1151" s="499"/>
      <c r="M1151" s="556"/>
      <c r="N1151" s="556"/>
      <c r="O1151" s="499"/>
    </row>
    <row r="1152" customFormat="false" ht="20.25" hidden="false" customHeight="true" outlineLevel="0" collapsed="false">
      <c r="A1152" s="457"/>
      <c r="B1152" s="457"/>
      <c r="C1152" s="457"/>
      <c r="D1152" s="499"/>
      <c r="E1152" s="457"/>
      <c r="F1152" s="457"/>
      <c r="G1152" s="457"/>
      <c r="J1152" s="457"/>
      <c r="K1152" s="457"/>
      <c r="L1152" s="499"/>
      <c r="M1152" s="556"/>
      <c r="N1152" s="556"/>
      <c r="O1152" s="499"/>
    </row>
    <row r="1153" customFormat="false" ht="20.25" hidden="false" customHeight="true" outlineLevel="0" collapsed="false">
      <c r="A1153" s="457"/>
      <c r="B1153" s="457"/>
      <c r="C1153" s="457"/>
      <c r="D1153" s="499"/>
      <c r="E1153" s="457"/>
      <c r="F1153" s="457"/>
      <c r="G1153" s="457"/>
      <c r="J1153" s="457"/>
      <c r="K1153" s="457"/>
      <c r="L1153" s="499"/>
      <c r="M1153" s="556"/>
      <c r="N1153" s="556"/>
      <c r="O1153" s="499"/>
    </row>
    <row r="1154" customFormat="false" ht="20.25" hidden="false" customHeight="true" outlineLevel="0" collapsed="false">
      <c r="A1154" s="457"/>
      <c r="B1154" s="457"/>
      <c r="C1154" s="457"/>
      <c r="D1154" s="499"/>
      <c r="E1154" s="457"/>
      <c r="F1154" s="457"/>
      <c r="G1154" s="457"/>
      <c r="J1154" s="457"/>
      <c r="K1154" s="457"/>
      <c r="L1154" s="499"/>
      <c r="M1154" s="556"/>
      <c r="N1154" s="556"/>
      <c r="O1154" s="499"/>
    </row>
    <row r="1155" customFormat="false" ht="20.25" hidden="false" customHeight="true" outlineLevel="0" collapsed="false">
      <c r="A1155" s="457"/>
      <c r="B1155" s="457"/>
      <c r="C1155" s="457"/>
      <c r="D1155" s="499"/>
      <c r="E1155" s="457"/>
      <c r="F1155" s="457"/>
      <c r="G1155" s="457"/>
      <c r="J1155" s="457"/>
      <c r="K1155" s="457"/>
      <c r="L1155" s="499"/>
      <c r="M1155" s="556"/>
      <c r="N1155" s="556"/>
      <c r="O1155" s="499"/>
    </row>
    <row r="1156" customFormat="false" ht="20.25" hidden="false" customHeight="true" outlineLevel="0" collapsed="false">
      <c r="A1156" s="457"/>
      <c r="B1156" s="457"/>
      <c r="C1156" s="457"/>
      <c r="D1156" s="499"/>
      <c r="E1156" s="457"/>
      <c r="F1156" s="457"/>
      <c r="G1156" s="457"/>
      <c r="J1156" s="457"/>
      <c r="K1156" s="457"/>
      <c r="L1156" s="499"/>
      <c r="M1156" s="556"/>
      <c r="N1156" s="556"/>
      <c r="O1156" s="499"/>
    </row>
    <row r="1157" customFormat="false" ht="20.25" hidden="false" customHeight="true" outlineLevel="0" collapsed="false">
      <c r="A1157" s="457"/>
      <c r="B1157" s="457"/>
      <c r="C1157" s="457"/>
      <c r="D1157" s="499"/>
      <c r="E1157" s="457"/>
      <c r="F1157" s="457"/>
      <c r="G1157" s="457"/>
      <c r="J1157" s="457"/>
      <c r="K1157" s="457"/>
      <c r="L1157" s="499"/>
      <c r="M1157" s="556"/>
      <c r="N1157" s="556"/>
      <c r="O1157" s="499"/>
    </row>
    <row r="1158" customFormat="false" ht="20.25" hidden="false" customHeight="true" outlineLevel="0" collapsed="false">
      <c r="A1158" s="457"/>
      <c r="B1158" s="457"/>
      <c r="C1158" s="457"/>
      <c r="D1158" s="499"/>
      <c r="E1158" s="457"/>
      <c r="F1158" s="457"/>
      <c r="G1158" s="457"/>
      <c r="J1158" s="457"/>
      <c r="K1158" s="457"/>
      <c r="L1158" s="499"/>
      <c r="M1158" s="556"/>
      <c r="N1158" s="556"/>
      <c r="O1158" s="499"/>
    </row>
    <row r="1159" customFormat="false" ht="20.25" hidden="false" customHeight="true" outlineLevel="0" collapsed="false">
      <c r="A1159" s="457"/>
      <c r="B1159" s="457"/>
      <c r="C1159" s="457"/>
      <c r="D1159" s="499"/>
      <c r="E1159" s="457"/>
      <c r="F1159" s="457"/>
      <c r="G1159" s="457"/>
      <c r="J1159" s="457"/>
      <c r="K1159" s="457"/>
      <c r="L1159" s="499"/>
      <c r="M1159" s="556"/>
      <c r="N1159" s="556"/>
      <c r="O1159" s="499"/>
    </row>
    <row r="1160" customFormat="false" ht="20.25" hidden="false" customHeight="true" outlineLevel="0" collapsed="false">
      <c r="A1160" s="457"/>
      <c r="B1160" s="457"/>
      <c r="C1160" s="457"/>
      <c r="D1160" s="499"/>
      <c r="E1160" s="457"/>
      <c r="F1160" s="457"/>
      <c r="G1160" s="457"/>
      <c r="J1160" s="457"/>
      <c r="K1160" s="457"/>
      <c r="L1160" s="499"/>
      <c r="M1160" s="556"/>
      <c r="N1160" s="556"/>
      <c r="O1160" s="499"/>
    </row>
    <row r="1161" customFormat="false" ht="20.25" hidden="false" customHeight="true" outlineLevel="0" collapsed="false">
      <c r="A1161" s="457"/>
      <c r="B1161" s="457"/>
      <c r="C1161" s="457"/>
      <c r="D1161" s="499"/>
      <c r="E1161" s="457"/>
      <c r="F1161" s="457"/>
      <c r="G1161" s="457"/>
      <c r="J1161" s="457"/>
      <c r="K1161" s="457"/>
      <c r="L1161" s="499"/>
      <c r="M1161" s="556"/>
      <c r="N1161" s="556"/>
      <c r="O1161" s="499"/>
    </row>
    <row r="1162" customFormat="false" ht="20.25" hidden="false" customHeight="true" outlineLevel="0" collapsed="false">
      <c r="A1162" s="457"/>
      <c r="B1162" s="457"/>
      <c r="C1162" s="457"/>
      <c r="D1162" s="499"/>
      <c r="E1162" s="457"/>
      <c r="F1162" s="457"/>
      <c r="G1162" s="457"/>
      <c r="J1162" s="457"/>
      <c r="K1162" s="457"/>
      <c r="L1162" s="499"/>
      <c r="M1162" s="556"/>
      <c r="N1162" s="556"/>
      <c r="O1162" s="499"/>
    </row>
    <row r="1163" customFormat="false" ht="20.25" hidden="false" customHeight="true" outlineLevel="0" collapsed="false">
      <c r="A1163" s="457"/>
      <c r="B1163" s="457"/>
      <c r="C1163" s="457"/>
      <c r="D1163" s="499"/>
      <c r="E1163" s="457"/>
      <c r="F1163" s="457"/>
      <c r="G1163" s="457"/>
      <c r="J1163" s="457"/>
      <c r="K1163" s="457"/>
      <c r="L1163" s="499"/>
      <c r="M1163" s="556"/>
      <c r="N1163" s="556"/>
      <c r="O1163" s="499"/>
    </row>
    <row r="1164" customFormat="false" ht="20.25" hidden="false" customHeight="true" outlineLevel="0" collapsed="false">
      <c r="A1164" s="457"/>
      <c r="B1164" s="457"/>
      <c r="C1164" s="457"/>
      <c r="D1164" s="499"/>
      <c r="E1164" s="457"/>
      <c r="F1164" s="457"/>
      <c r="G1164" s="457"/>
      <c r="J1164" s="457"/>
      <c r="K1164" s="457"/>
      <c r="L1164" s="499"/>
      <c r="M1164" s="556"/>
      <c r="N1164" s="556"/>
      <c r="O1164" s="499"/>
    </row>
    <row r="1165" customFormat="false" ht="20.25" hidden="false" customHeight="true" outlineLevel="0" collapsed="false">
      <c r="A1165" s="457"/>
      <c r="B1165" s="457"/>
      <c r="C1165" s="457"/>
      <c r="D1165" s="499"/>
      <c r="E1165" s="457"/>
      <c r="F1165" s="457"/>
      <c r="G1165" s="457"/>
      <c r="J1165" s="457"/>
      <c r="K1165" s="457"/>
      <c r="L1165" s="499"/>
      <c r="M1165" s="556"/>
      <c r="N1165" s="556"/>
      <c r="O1165" s="499"/>
    </row>
    <row r="1166" customFormat="false" ht="20.25" hidden="false" customHeight="true" outlineLevel="0" collapsed="false">
      <c r="A1166" s="457"/>
      <c r="B1166" s="457"/>
      <c r="C1166" s="457"/>
      <c r="D1166" s="499"/>
      <c r="E1166" s="457"/>
      <c r="F1166" s="457"/>
      <c r="G1166" s="457"/>
      <c r="J1166" s="457"/>
      <c r="K1166" s="457"/>
      <c r="L1166" s="499"/>
      <c r="M1166" s="556"/>
      <c r="N1166" s="556"/>
      <c r="O1166" s="499"/>
    </row>
    <row r="1167" customFormat="false" ht="20.25" hidden="false" customHeight="true" outlineLevel="0" collapsed="false">
      <c r="A1167" s="457"/>
      <c r="B1167" s="457"/>
      <c r="C1167" s="457"/>
      <c r="D1167" s="499"/>
      <c r="E1167" s="457"/>
      <c r="F1167" s="457"/>
      <c r="G1167" s="457"/>
      <c r="J1167" s="457"/>
      <c r="K1167" s="457"/>
      <c r="L1167" s="499"/>
      <c r="M1167" s="556"/>
      <c r="N1167" s="556"/>
      <c r="O1167" s="499"/>
    </row>
    <row r="1168" customFormat="false" ht="20.25" hidden="false" customHeight="true" outlineLevel="0" collapsed="false">
      <c r="A1168" s="457"/>
      <c r="B1168" s="457"/>
      <c r="C1168" s="457"/>
      <c r="D1168" s="499"/>
      <c r="E1168" s="457"/>
      <c r="F1168" s="457"/>
      <c r="G1168" s="457"/>
      <c r="J1168" s="457"/>
      <c r="K1168" s="457"/>
      <c r="L1168" s="499"/>
      <c r="M1168" s="556"/>
      <c r="N1168" s="556"/>
      <c r="O1168" s="499"/>
    </row>
    <row r="1169" customFormat="false" ht="20.25" hidden="false" customHeight="true" outlineLevel="0" collapsed="false">
      <c r="A1169" s="457"/>
      <c r="B1169" s="457"/>
      <c r="C1169" s="457"/>
      <c r="D1169" s="499"/>
      <c r="E1169" s="457"/>
      <c r="F1169" s="457"/>
      <c r="G1169" s="457"/>
      <c r="J1169" s="457"/>
      <c r="K1169" s="457"/>
      <c r="L1169" s="499"/>
      <c r="M1169" s="556"/>
      <c r="N1169" s="556"/>
      <c r="O1169" s="499"/>
    </row>
    <row r="1170" customFormat="false" ht="20.25" hidden="false" customHeight="true" outlineLevel="0" collapsed="false">
      <c r="A1170" s="457"/>
      <c r="B1170" s="457"/>
      <c r="C1170" s="457"/>
      <c r="D1170" s="499"/>
      <c r="E1170" s="457"/>
      <c r="F1170" s="457"/>
      <c r="G1170" s="457"/>
      <c r="J1170" s="457"/>
      <c r="K1170" s="457"/>
      <c r="L1170" s="499"/>
      <c r="M1170" s="556"/>
      <c r="N1170" s="556"/>
      <c r="O1170" s="499"/>
    </row>
    <row r="1171" customFormat="false" ht="20.25" hidden="false" customHeight="true" outlineLevel="0" collapsed="false">
      <c r="A1171" s="457"/>
      <c r="B1171" s="457"/>
      <c r="C1171" s="457"/>
      <c r="D1171" s="499"/>
      <c r="E1171" s="457"/>
      <c r="F1171" s="457"/>
      <c r="G1171" s="457"/>
      <c r="J1171" s="457"/>
      <c r="K1171" s="457"/>
      <c r="L1171" s="499"/>
      <c r="M1171" s="556"/>
      <c r="N1171" s="556"/>
      <c r="O1171" s="499"/>
    </row>
    <row r="1172" customFormat="false" ht="20.25" hidden="false" customHeight="true" outlineLevel="0" collapsed="false">
      <c r="A1172" s="457"/>
      <c r="B1172" s="457"/>
      <c r="C1172" s="457"/>
      <c r="D1172" s="499"/>
      <c r="E1172" s="457"/>
      <c r="F1172" s="457"/>
      <c r="G1172" s="457"/>
      <c r="J1172" s="457"/>
      <c r="K1172" s="457"/>
      <c r="L1172" s="499"/>
      <c r="M1172" s="556"/>
      <c r="N1172" s="556"/>
      <c r="O1172" s="499"/>
    </row>
    <row r="1173" customFormat="false" ht="20.25" hidden="false" customHeight="true" outlineLevel="0" collapsed="false">
      <c r="A1173" s="457"/>
      <c r="B1173" s="457"/>
      <c r="C1173" s="457"/>
      <c r="D1173" s="499"/>
      <c r="E1173" s="457"/>
      <c r="F1173" s="457"/>
      <c r="G1173" s="457"/>
      <c r="J1173" s="457"/>
      <c r="K1173" s="457"/>
      <c r="L1173" s="499"/>
      <c r="M1173" s="556"/>
      <c r="N1173" s="556"/>
      <c r="O1173" s="499"/>
    </row>
    <row r="1174" customFormat="false" ht="20.25" hidden="false" customHeight="true" outlineLevel="0" collapsed="false">
      <c r="A1174" s="457"/>
      <c r="B1174" s="457"/>
      <c r="C1174" s="457"/>
      <c r="D1174" s="499"/>
      <c r="E1174" s="457"/>
      <c r="F1174" s="457"/>
      <c r="G1174" s="457"/>
      <c r="J1174" s="457"/>
      <c r="K1174" s="457"/>
      <c r="L1174" s="499"/>
      <c r="M1174" s="556"/>
      <c r="N1174" s="556"/>
      <c r="O1174" s="499"/>
    </row>
    <row r="1175" customFormat="false" ht="20.25" hidden="false" customHeight="true" outlineLevel="0" collapsed="false">
      <c r="A1175" s="457"/>
      <c r="B1175" s="457"/>
      <c r="C1175" s="457"/>
      <c r="D1175" s="499"/>
      <c r="E1175" s="457"/>
      <c r="F1175" s="457"/>
      <c r="G1175" s="457"/>
      <c r="J1175" s="457"/>
      <c r="K1175" s="457"/>
      <c r="L1175" s="499"/>
      <c r="M1175" s="556"/>
      <c r="N1175" s="556"/>
      <c r="O1175" s="499"/>
    </row>
    <row r="1176" customFormat="false" ht="20.25" hidden="false" customHeight="true" outlineLevel="0" collapsed="false">
      <c r="A1176" s="457"/>
      <c r="B1176" s="457"/>
      <c r="C1176" s="457"/>
      <c r="D1176" s="499"/>
      <c r="E1176" s="457"/>
      <c r="F1176" s="457"/>
      <c r="G1176" s="457"/>
      <c r="J1176" s="457"/>
      <c r="K1176" s="457"/>
      <c r="L1176" s="499"/>
      <c r="M1176" s="556"/>
      <c r="N1176" s="556"/>
      <c r="O1176" s="499"/>
    </row>
    <row r="1177" customFormat="false" ht="20.25" hidden="false" customHeight="true" outlineLevel="0" collapsed="false">
      <c r="A1177" s="457"/>
      <c r="B1177" s="457"/>
      <c r="C1177" s="457"/>
      <c r="D1177" s="499"/>
      <c r="E1177" s="457"/>
      <c r="F1177" s="457"/>
      <c r="G1177" s="457"/>
      <c r="J1177" s="457"/>
      <c r="K1177" s="457"/>
      <c r="L1177" s="499"/>
      <c r="M1177" s="556"/>
      <c r="N1177" s="556"/>
      <c r="O1177" s="499"/>
    </row>
    <row r="1178" customFormat="false" ht="20.25" hidden="false" customHeight="true" outlineLevel="0" collapsed="false">
      <c r="A1178" s="457"/>
      <c r="B1178" s="457"/>
      <c r="C1178" s="457"/>
      <c r="D1178" s="499"/>
      <c r="E1178" s="457"/>
      <c r="F1178" s="457"/>
      <c r="G1178" s="457"/>
      <c r="J1178" s="457"/>
      <c r="K1178" s="457"/>
      <c r="L1178" s="499"/>
      <c r="M1178" s="556"/>
      <c r="N1178" s="556"/>
      <c r="O1178" s="499"/>
    </row>
    <row r="1179" customFormat="false" ht="20.25" hidden="false" customHeight="true" outlineLevel="0" collapsed="false">
      <c r="A1179" s="457"/>
      <c r="B1179" s="457"/>
      <c r="C1179" s="457"/>
      <c r="D1179" s="499"/>
      <c r="E1179" s="457"/>
      <c r="F1179" s="457"/>
      <c r="G1179" s="457"/>
      <c r="J1179" s="457"/>
      <c r="K1179" s="457"/>
      <c r="L1179" s="499"/>
      <c r="M1179" s="556"/>
      <c r="N1179" s="556"/>
      <c r="O1179" s="499"/>
    </row>
    <row r="1180" customFormat="false" ht="20.25" hidden="false" customHeight="true" outlineLevel="0" collapsed="false">
      <c r="A1180" s="457"/>
      <c r="B1180" s="457"/>
      <c r="C1180" s="457"/>
      <c r="D1180" s="499"/>
      <c r="E1180" s="457"/>
      <c r="F1180" s="457"/>
      <c r="G1180" s="457"/>
      <c r="J1180" s="457"/>
      <c r="K1180" s="457"/>
      <c r="L1180" s="499"/>
      <c r="M1180" s="556"/>
      <c r="N1180" s="556"/>
      <c r="O1180" s="499"/>
    </row>
    <row r="1181" customFormat="false" ht="20.25" hidden="false" customHeight="true" outlineLevel="0" collapsed="false">
      <c r="A1181" s="457"/>
      <c r="B1181" s="457"/>
      <c r="C1181" s="457"/>
      <c r="D1181" s="499"/>
      <c r="E1181" s="457"/>
      <c r="F1181" s="457"/>
      <c r="G1181" s="457"/>
      <c r="J1181" s="457"/>
      <c r="K1181" s="457"/>
      <c r="L1181" s="499"/>
      <c r="M1181" s="556"/>
      <c r="N1181" s="556"/>
      <c r="O1181" s="499"/>
    </row>
    <row r="1182" customFormat="false" ht="20.25" hidden="false" customHeight="true" outlineLevel="0" collapsed="false">
      <c r="A1182" s="457"/>
      <c r="B1182" s="457"/>
      <c r="C1182" s="457"/>
      <c r="D1182" s="499"/>
      <c r="E1182" s="457"/>
      <c r="F1182" s="457"/>
      <c r="G1182" s="457"/>
      <c r="J1182" s="457"/>
      <c r="K1182" s="457"/>
      <c r="L1182" s="499"/>
      <c r="M1182" s="556"/>
      <c r="N1182" s="556"/>
      <c r="O1182" s="499"/>
    </row>
    <row r="1183" customFormat="false" ht="20.25" hidden="false" customHeight="true" outlineLevel="0" collapsed="false">
      <c r="A1183" s="457"/>
      <c r="B1183" s="457"/>
      <c r="C1183" s="457"/>
      <c r="D1183" s="499"/>
      <c r="E1183" s="457"/>
      <c r="F1183" s="457"/>
      <c r="G1183" s="457"/>
      <c r="J1183" s="457"/>
      <c r="K1183" s="457"/>
      <c r="L1183" s="499"/>
      <c r="M1183" s="556"/>
      <c r="N1183" s="556"/>
      <c r="O1183" s="499"/>
    </row>
    <row r="1184" customFormat="false" ht="20.25" hidden="false" customHeight="true" outlineLevel="0" collapsed="false">
      <c r="A1184" s="457"/>
      <c r="B1184" s="457"/>
      <c r="C1184" s="457"/>
      <c r="D1184" s="499"/>
      <c r="E1184" s="457"/>
      <c r="F1184" s="457"/>
      <c r="G1184" s="457"/>
      <c r="J1184" s="457"/>
      <c r="K1184" s="457"/>
      <c r="L1184" s="499"/>
      <c r="M1184" s="556"/>
      <c r="N1184" s="556"/>
      <c r="O1184" s="499"/>
    </row>
    <row r="1185" customFormat="false" ht="20.25" hidden="false" customHeight="true" outlineLevel="0" collapsed="false">
      <c r="A1185" s="457"/>
      <c r="B1185" s="457"/>
      <c r="C1185" s="457"/>
      <c r="D1185" s="499"/>
      <c r="E1185" s="457"/>
      <c r="F1185" s="457"/>
      <c r="G1185" s="457"/>
      <c r="J1185" s="457"/>
      <c r="K1185" s="457"/>
      <c r="L1185" s="499"/>
      <c r="M1185" s="556"/>
      <c r="N1185" s="556"/>
      <c r="O1185" s="499"/>
    </row>
    <row r="1186" customFormat="false" ht="20.25" hidden="false" customHeight="true" outlineLevel="0" collapsed="false">
      <c r="A1186" s="457"/>
      <c r="B1186" s="457"/>
      <c r="C1186" s="457"/>
      <c r="D1186" s="499"/>
      <c r="E1186" s="457"/>
      <c r="F1186" s="457"/>
      <c r="G1186" s="457"/>
      <c r="J1186" s="457"/>
      <c r="K1186" s="457"/>
      <c r="L1186" s="499"/>
      <c r="M1186" s="556"/>
      <c r="N1186" s="556"/>
      <c r="O1186" s="499"/>
    </row>
    <row r="1187" customFormat="false" ht="20.25" hidden="false" customHeight="true" outlineLevel="0" collapsed="false">
      <c r="A1187" s="457"/>
      <c r="B1187" s="457"/>
      <c r="C1187" s="457"/>
      <c r="D1187" s="499"/>
      <c r="E1187" s="457"/>
      <c r="F1187" s="457"/>
      <c r="G1187" s="457"/>
      <c r="J1187" s="457"/>
      <c r="K1187" s="457"/>
      <c r="L1187" s="499"/>
      <c r="M1187" s="556"/>
      <c r="N1187" s="556"/>
      <c r="O1187" s="499"/>
    </row>
    <row r="1188" customFormat="false" ht="20.25" hidden="false" customHeight="true" outlineLevel="0" collapsed="false">
      <c r="A1188" s="457"/>
      <c r="B1188" s="457"/>
      <c r="C1188" s="457"/>
      <c r="D1188" s="499"/>
      <c r="E1188" s="457"/>
      <c r="F1188" s="457"/>
      <c r="G1188" s="457"/>
      <c r="J1188" s="457"/>
      <c r="K1188" s="457"/>
      <c r="L1188" s="499"/>
      <c r="M1188" s="556"/>
      <c r="N1188" s="556"/>
      <c r="O1188" s="499"/>
    </row>
    <row r="1189" customFormat="false" ht="20.25" hidden="false" customHeight="true" outlineLevel="0" collapsed="false">
      <c r="A1189" s="457"/>
      <c r="B1189" s="457"/>
      <c r="C1189" s="457"/>
      <c r="D1189" s="499"/>
      <c r="E1189" s="457"/>
      <c r="F1189" s="457"/>
      <c r="G1189" s="457"/>
      <c r="J1189" s="457"/>
      <c r="K1189" s="457"/>
      <c r="L1189" s="499"/>
      <c r="M1189" s="556"/>
      <c r="N1189" s="556"/>
      <c r="O1189" s="499"/>
    </row>
    <row r="1190" customFormat="false" ht="20.25" hidden="false" customHeight="true" outlineLevel="0" collapsed="false">
      <c r="A1190" s="457"/>
      <c r="B1190" s="457"/>
      <c r="C1190" s="457"/>
      <c r="D1190" s="499"/>
      <c r="E1190" s="457"/>
      <c r="F1190" s="457"/>
      <c r="G1190" s="457"/>
      <c r="J1190" s="457"/>
      <c r="K1190" s="457"/>
      <c r="L1190" s="499"/>
      <c r="M1190" s="556"/>
      <c r="N1190" s="556"/>
      <c r="O1190" s="499"/>
    </row>
    <row r="1191" customFormat="false" ht="20.25" hidden="false" customHeight="true" outlineLevel="0" collapsed="false">
      <c r="A1191" s="457"/>
      <c r="B1191" s="457"/>
      <c r="C1191" s="457"/>
      <c r="D1191" s="499"/>
      <c r="E1191" s="457"/>
      <c r="F1191" s="457"/>
      <c r="G1191" s="457"/>
      <c r="J1191" s="457"/>
      <c r="K1191" s="457"/>
      <c r="L1191" s="499"/>
      <c r="M1191" s="556"/>
      <c r="N1191" s="556"/>
      <c r="O1191" s="499"/>
    </row>
    <row r="1192" customFormat="false" ht="20.25" hidden="false" customHeight="true" outlineLevel="0" collapsed="false">
      <c r="A1192" s="457"/>
      <c r="B1192" s="457"/>
      <c r="C1192" s="457"/>
      <c r="D1192" s="499"/>
      <c r="E1192" s="457"/>
      <c r="F1192" s="457"/>
      <c r="G1192" s="457"/>
      <c r="J1192" s="457"/>
      <c r="K1192" s="457"/>
      <c r="L1192" s="499"/>
      <c r="M1192" s="556"/>
      <c r="N1192" s="556"/>
      <c r="O1192" s="499"/>
    </row>
    <row r="1193" customFormat="false" ht="20.25" hidden="false" customHeight="true" outlineLevel="0" collapsed="false">
      <c r="A1193" s="457"/>
      <c r="B1193" s="457"/>
      <c r="C1193" s="457"/>
      <c r="D1193" s="499"/>
      <c r="E1193" s="457"/>
      <c r="F1193" s="457"/>
      <c r="G1193" s="457"/>
      <c r="J1193" s="457"/>
      <c r="K1193" s="457"/>
      <c r="L1193" s="499"/>
      <c r="M1193" s="556"/>
      <c r="N1193" s="556"/>
      <c r="O1193" s="499"/>
    </row>
    <row r="1194" customFormat="false" ht="20.25" hidden="false" customHeight="true" outlineLevel="0" collapsed="false">
      <c r="A1194" s="457"/>
      <c r="B1194" s="457"/>
      <c r="C1194" s="457"/>
      <c r="D1194" s="499"/>
      <c r="E1194" s="457"/>
      <c r="F1194" s="457"/>
      <c r="G1194" s="457"/>
      <c r="J1194" s="457"/>
      <c r="K1194" s="457"/>
      <c r="L1194" s="499"/>
      <c r="M1194" s="556"/>
      <c r="N1194" s="556"/>
      <c r="O1194" s="499"/>
    </row>
    <row r="1195" customFormat="false" ht="20.25" hidden="false" customHeight="true" outlineLevel="0" collapsed="false">
      <c r="A1195" s="457"/>
      <c r="B1195" s="457"/>
      <c r="C1195" s="457"/>
      <c r="D1195" s="499"/>
      <c r="E1195" s="457"/>
      <c r="F1195" s="457"/>
      <c r="G1195" s="457"/>
      <c r="J1195" s="457"/>
      <c r="K1195" s="457"/>
      <c r="L1195" s="499"/>
      <c r="M1195" s="556"/>
      <c r="N1195" s="556"/>
      <c r="O1195" s="499"/>
    </row>
    <row r="1196" customFormat="false" ht="20.25" hidden="false" customHeight="true" outlineLevel="0" collapsed="false">
      <c r="A1196" s="457"/>
      <c r="B1196" s="457"/>
      <c r="C1196" s="457"/>
      <c r="D1196" s="499"/>
      <c r="E1196" s="457"/>
      <c r="F1196" s="457"/>
      <c r="G1196" s="457"/>
      <c r="J1196" s="457"/>
      <c r="K1196" s="457"/>
      <c r="L1196" s="499"/>
      <c r="M1196" s="556"/>
      <c r="N1196" s="556"/>
      <c r="O1196" s="499"/>
    </row>
    <row r="1197" customFormat="false" ht="20.25" hidden="false" customHeight="true" outlineLevel="0" collapsed="false">
      <c r="A1197" s="457"/>
      <c r="B1197" s="457"/>
      <c r="C1197" s="457"/>
      <c r="D1197" s="499"/>
      <c r="E1197" s="457"/>
      <c r="F1197" s="457"/>
      <c r="G1197" s="457"/>
      <c r="J1197" s="457"/>
      <c r="K1197" s="457"/>
      <c r="L1197" s="499"/>
      <c r="M1197" s="556"/>
      <c r="N1197" s="556"/>
      <c r="O1197" s="499"/>
    </row>
    <row r="1198" customFormat="false" ht="20.25" hidden="false" customHeight="true" outlineLevel="0" collapsed="false">
      <c r="A1198" s="457"/>
      <c r="B1198" s="457"/>
      <c r="C1198" s="457"/>
      <c r="D1198" s="499"/>
      <c r="E1198" s="457"/>
      <c r="F1198" s="457"/>
      <c r="G1198" s="457"/>
      <c r="J1198" s="457"/>
      <c r="K1198" s="457"/>
      <c r="L1198" s="499"/>
      <c r="M1198" s="556"/>
      <c r="N1198" s="556"/>
      <c r="O1198" s="499"/>
    </row>
    <row r="1199" customFormat="false" ht="20.25" hidden="false" customHeight="true" outlineLevel="0" collapsed="false">
      <c r="A1199" s="457"/>
      <c r="B1199" s="457"/>
      <c r="C1199" s="457"/>
      <c r="D1199" s="499"/>
      <c r="E1199" s="457"/>
      <c r="F1199" s="457"/>
      <c r="G1199" s="457"/>
      <c r="J1199" s="457"/>
      <c r="K1199" s="457"/>
      <c r="L1199" s="499"/>
      <c r="M1199" s="556"/>
      <c r="N1199" s="556"/>
      <c r="O1199" s="499"/>
    </row>
    <row r="1200" customFormat="false" ht="20.25" hidden="false" customHeight="true" outlineLevel="0" collapsed="false">
      <c r="A1200" s="457"/>
      <c r="B1200" s="457"/>
      <c r="C1200" s="457"/>
      <c r="D1200" s="499"/>
      <c r="E1200" s="457"/>
      <c r="F1200" s="457"/>
      <c r="G1200" s="457"/>
      <c r="J1200" s="457"/>
      <c r="K1200" s="457"/>
      <c r="L1200" s="499"/>
      <c r="M1200" s="556"/>
      <c r="N1200" s="556"/>
      <c r="O1200" s="499"/>
    </row>
    <row r="1201" customFormat="false" ht="20.25" hidden="false" customHeight="true" outlineLevel="0" collapsed="false">
      <c r="A1201" s="457"/>
      <c r="B1201" s="457"/>
      <c r="C1201" s="457"/>
      <c r="D1201" s="499"/>
      <c r="E1201" s="457"/>
      <c r="F1201" s="457"/>
      <c r="G1201" s="457"/>
      <c r="J1201" s="457"/>
      <c r="K1201" s="457"/>
      <c r="L1201" s="499"/>
      <c r="M1201" s="556"/>
      <c r="N1201" s="556"/>
      <c r="O1201" s="499"/>
    </row>
    <row r="1202" customFormat="false" ht="20.25" hidden="false" customHeight="true" outlineLevel="0" collapsed="false">
      <c r="A1202" s="457"/>
      <c r="B1202" s="457"/>
      <c r="C1202" s="457"/>
      <c r="D1202" s="499"/>
      <c r="E1202" s="457"/>
      <c r="F1202" s="457"/>
      <c r="G1202" s="457"/>
      <c r="J1202" s="457"/>
      <c r="K1202" s="457"/>
      <c r="L1202" s="499"/>
      <c r="M1202" s="556"/>
      <c r="N1202" s="556"/>
      <c r="O1202" s="499"/>
    </row>
    <row r="1203" customFormat="false" ht="20.25" hidden="false" customHeight="true" outlineLevel="0" collapsed="false">
      <c r="A1203" s="457"/>
      <c r="B1203" s="457"/>
      <c r="C1203" s="457"/>
      <c r="D1203" s="499"/>
      <c r="E1203" s="457"/>
      <c r="F1203" s="457"/>
      <c r="G1203" s="457"/>
      <c r="J1203" s="457"/>
      <c r="K1203" s="457"/>
      <c r="L1203" s="499"/>
      <c r="M1203" s="556"/>
      <c r="N1203" s="556"/>
      <c r="O1203" s="499"/>
    </row>
    <row r="1204" customFormat="false" ht="20.25" hidden="false" customHeight="true" outlineLevel="0" collapsed="false">
      <c r="A1204" s="457"/>
      <c r="B1204" s="457"/>
      <c r="C1204" s="457"/>
      <c r="D1204" s="499"/>
      <c r="E1204" s="457"/>
      <c r="F1204" s="457"/>
      <c r="G1204" s="457"/>
      <c r="J1204" s="457"/>
      <c r="K1204" s="457"/>
      <c r="L1204" s="499"/>
      <c r="M1204" s="556"/>
      <c r="N1204" s="556"/>
      <c r="O1204" s="499"/>
    </row>
    <row r="1205" customFormat="false" ht="20.25" hidden="false" customHeight="true" outlineLevel="0" collapsed="false">
      <c r="A1205" s="457"/>
      <c r="B1205" s="457"/>
      <c r="C1205" s="457"/>
      <c r="D1205" s="499"/>
      <c r="E1205" s="457"/>
      <c r="F1205" s="457"/>
      <c r="G1205" s="457"/>
      <c r="J1205" s="457"/>
      <c r="K1205" s="457"/>
      <c r="L1205" s="499"/>
      <c r="M1205" s="556"/>
      <c r="N1205" s="556"/>
      <c r="O1205" s="499"/>
    </row>
    <row r="1206" customFormat="false" ht="20.25" hidden="false" customHeight="true" outlineLevel="0" collapsed="false">
      <c r="A1206" s="457"/>
      <c r="B1206" s="457"/>
      <c r="C1206" s="457"/>
      <c r="D1206" s="499"/>
      <c r="E1206" s="457"/>
      <c r="F1206" s="457"/>
      <c r="G1206" s="457"/>
      <c r="J1206" s="457"/>
      <c r="K1206" s="457"/>
      <c r="L1206" s="499"/>
      <c r="M1206" s="556"/>
      <c r="N1206" s="556"/>
      <c r="O1206" s="499"/>
    </row>
    <row r="1207" customFormat="false" ht="20.25" hidden="false" customHeight="true" outlineLevel="0" collapsed="false">
      <c r="A1207" s="457"/>
      <c r="B1207" s="457"/>
      <c r="C1207" s="457"/>
      <c r="D1207" s="499"/>
      <c r="E1207" s="457"/>
      <c r="F1207" s="457"/>
      <c r="G1207" s="457"/>
      <c r="J1207" s="457"/>
      <c r="K1207" s="457"/>
      <c r="L1207" s="499"/>
      <c r="M1207" s="556"/>
      <c r="N1207" s="556"/>
      <c r="O1207" s="499"/>
    </row>
    <row r="1208" customFormat="false" ht="20.25" hidden="false" customHeight="true" outlineLevel="0" collapsed="false">
      <c r="A1208" s="457"/>
      <c r="B1208" s="457"/>
      <c r="C1208" s="457"/>
      <c r="D1208" s="499"/>
      <c r="E1208" s="457"/>
      <c r="F1208" s="457"/>
      <c r="G1208" s="457"/>
      <c r="J1208" s="457"/>
      <c r="K1208" s="457"/>
      <c r="L1208" s="499"/>
      <c r="M1208" s="556"/>
      <c r="N1208" s="556"/>
      <c r="O1208" s="499"/>
    </row>
    <row r="1209" customFormat="false" ht="20.25" hidden="false" customHeight="true" outlineLevel="0" collapsed="false">
      <c r="A1209" s="457"/>
      <c r="B1209" s="457"/>
      <c r="C1209" s="457"/>
      <c r="D1209" s="499"/>
      <c r="E1209" s="457"/>
      <c r="F1209" s="457"/>
      <c r="G1209" s="457"/>
      <c r="J1209" s="457"/>
      <c r="K1209" s="457"/>
      <c r="L1209" s="499"/>
      <c r="M1209" s="556"/>
      <c r="N1209" s="556"/>
      <c r="O1209" s="499"/>
    </row>
    <row r="1210" customFormat="false" ht="20.25" hidden="false" customHeight="true" outlineLevel="0" collapsed="false">
      <c r="A1210" s="457"/>
      <c r="B1210" s="457"/>
      <c r="C1210" s="457"/>
      <c r="D1210" s="499"/>
      <c r="E1210" s="457"/>
      <c r="F1210" s="457"/>
      <c r="G1210" s="457"/>
      <c r="J1210" s="457"/>
      <c r="K1210" s="457"/>
      <c r="L1210" s="499"/>
      <c r="M1210" s="556"/>
      <c r="N1210" s="556"/>
      <c r="O1210" s="499"/>
    </row>
    <row r="1211" customFormat="false" ht="20.25" hidden="false" customHeight="true" outlineLevel="0" collapsed="false">
      <c r="A1211" s="457"/>
      <c r="B1211" s="457"/>
      <c r="C1211" s="457"/>
      <c r="D1211" s="499"/>
      <c r="E1211" s="457"/>
      <c r="F1211" s="457"/>
      <c r="G1211" s="457"/>
      <c r="J1211" s="457"/>
      <c r="K1211" s="457"/>
      <c r="L1211" s="499"/>
      <c r="M1211" s="556"/>
      <c r="N1211" s="556"/>
      <c r="O1211" s="499"/>
    </row>
    <row r="1212" customFormat="false" ht="20.25" hidden="false" customHeight="true" outlineLevel="0" collapsed="false">
      <c r="A1212" s="457"/>
      <c r="B1212" s="457"/>
      <c r="C1212" s="457"/>
      <c r="D1212" s="499"/>
      <c r="E1212" s="457"/>
      <c r="F1212" s="457"/>
      <c r="G1212" s="457"/>
      <c r="J1212" s="457"/>
      <c r="K1212" s="457"/>
      <c r="L1212" s="499"/>
      <c r="M1212" s="556"/>
      <c r="N1212" s="556"/>
      <c r="O1212" s="499"/>
    </row>
    <row r="1213" customFormat="false" ht="20.25" hidden="false" customHeight="true" outlineLevel="0" collapsed="false">
      <c r="A1213" s="457"/>
      <c r="B1213" s="457"/>
      <c r="C1213" s="457"/>
      <c r="D1213" s="499"/>
      <c r="E1213" s="457"/>
      <c r="F1213" s="457"/>
      <c r="G1213" s="457"/>
      <c r="J1213" s="457"/>
      <c r="K1213" s="457"/>
      <c r="L1213" s="499"/>
      <c r="M1213" s="556"/>
      <c r="N1213" s="556"/>
      <c r="O1213" s="499"/>
    </row>
    <row r="1214" customFormat="false" ht="20.25" hidden="false" customHeight="true" outlineLevel="0" collapsed="false">
      <c r="A1214" s="457"/>
      <c r="B1214" s="457"/>
      <c r="C1214" s="457"/>
      <c r="D1214" s="499"/>
      <c r="E1214" s="457"/>
      <c r="F1214" s="457"/>
      <c r="G1214" s="457"/>
      <c r="J1214" s="457"/>
      <c r="K1214" s="457"/>
      <c r="L1214" s="499"/>
      <c r="M1214" s="556"/>
      <c r="N1214" s="556"/>
      <c r="O1214" s="499"/>
    </row>
    <row r="1215" customFormat="false" ht="20.25" hidden="false" customHeight="true" outlineLevel="0" collapsed="false">
      <c r="A1215" s="457"/>
      <c r="B1215" s="457"/>
      <c r="C1215" s="457"/>
      <c r="D1215" s="499"/>
      <c r="E1215" s="457"/>
      <c r="F1215" s="457"/>
      <c r="G1215" s="457"/>
      <c r="J1215" s="457"/>
      <c r="K1215" s="457"/>
      <c r="L1215" s="499"/>
      <c r="M1215" s="556"/>
      <c r="N1215" s="556"/>
      <c r="O1215" s="499"/>
    </row>
    <row r="1216" customFormat="false" ht="20.25" hidden="false" customHeight="true" outlineLevel="0" collapsed="false">
      <c r="A1216" s="457"/>
      <c r="B1216" s="457"/>
      <c r="C1216" s="457"/>
      <c r="D1216" s="499"/>
      <c r="E1216" s="457"/>
      <c r="F1216" s="457"/>
      <c r="G1216" s="457"/>
      <c r="J1216" s="457"/>
      <c r="K1216" s="457"/>
      <c r="L1216" s="499"/>
      <c r="M1216" s="556"/>
      <c r="N1216" s="556"/>
      <c r="O1216" s="499"/>
    </row>
    <row r="1217" customFormat="false" ht="20.25" hidden="false" customHeight="true" outlineLevel="0" collapsed="false">
      <c r="A1217" s="457"/>
      <c r="B1217" s="457"/>
      <c r="C1217" s="457"/>
      <c r="D1217" s="499"/>
      <c r="E1217" s="457"/>
      <c r="F1217" s="457"/>
      <c r="G1217" s="457"/>
      <c r="J1217" s="457"/>
      <c r="K1217" s="457"/>
      <c r="L1217" s="499"/>
      <c r="M1217" s="556"/>
      <c r="N1217" s="556"/>
      <c r="O1217" s="499"/>
    </row>
    <row r="1218" customFormat="false" ht="20.25" hidden="false" customHeight="true" outlineLevel="0" collapsed="false">
      <c r="A1218" s="457"/>
      <c r="B1218" s="457"/>
      <c r="C1218" s="457"/>
      <c r="D1218" s="499"/>
      <c r="E1218" s="457"/>
      <c r="F1218" s="457"/>
      <c r="G1218" s="457"/>
      <c r="J1218" s="457"/>
      <c r="K1218" s="457"/>
      <c r="L1218" s="499"/>
      <c r="M1218" s="556"/>
      <c r="N1218" s="556"/>
      <c r="O1218" s="499"/>
    </row>
    <row r="1219" customFormat="false" ht="20.25" hidden="false" customHeight="true" outlineLevel="0" collapsed="false">
      <c r="A1219" s="457"/>
      <c r="B1219" s="457"/>
      <c r="C1219" s="457"/>
      <c r="D1219" s="499"/>
      <c r="E1219" s="457"/>
      <c r="F1219" s="457"/>
      <c r="G1219" s="457"/>
      <c r="J1219" s="457"/>
      <c r="K1219" s="457"/>
      <c r="L1219" s="499"/>
      <c r="M1219" s="556"/>
      <c r="N1219" s="556"/>
      <c r="O1219" s="499"/>
    </row>
    <row r="1220" customFormat="false" ht="20.25" hidden="false" customHeight="true" outlineLevel="0" collapsed="false">
      <c r="A1220" s="457"/>
      <c r="B1220" s="457"/>
      <c r="C1220" s="457"/>
      <c r="D1220" s="499"/>
      <c r="E1220" s="457"/>
      <c r="F1220" s="457"/>
      <c r="G1220" s="457"/>
      <c r="J1220" s="457"/>
      <c r="K1220" s="457"/>
      <c r="L1220" s="499"/>
      <c r="M1220" s="556"/>
      <c r="N1220" s="556"/>
      <c r="O1220" s="499"/>
    </row>
    <row r="1221" customFormat="false" ht="20.25" hidden="false" customHeight="true" outlineLevel="0" collapsed="false">
      <c r="A1221" s="457"/>
      <c r="B1221" s="457"/>
      <c r="C1221" s="457"/>
      <c r="D1221" s="499"/>
      <c r="E1221" s="457"/>
      <c r="F1221" s="457"/>
      <c r="G1221" s="457"/>
      <c r="J1221" s="457"/>
      <c r="K1221" s="457"/>
      <c r="L1221" s="499"/>
      <c r="M1221" s="556"/>
      <c r="N1221" s="556"/>
      <c r="O1221" s="499"/>
    </row>
    <row r="1222" customFormat="false" ht="20.25" hidden="false" customHeight="true" outlineLevel="0" collapsed="false">
      <c r="A1222" s="457"/>
      <c r="B1222" s="457"/>
      <c r="C1222" s="457"/>
      <c r="D1222" s="499"/>
      <c r="E1222" s="457"/>
      <c r="F1222" s="457"/>
      <c r="G1222" s="457"/>
      <c r="J1222" s="457"/>
      <c r="K1222" s="457"/>
      <c r="L1222" s="499"/>
      <c r="M1222" s="556"/>
      <c r="N1222" s="556"/>
      <c r="O1222" s="499"/>
    </row>
    <row r="1223" customFormat="false" ht="20.25" hidden="false" customHeight="true" outlineLevel="0" collapsed="false">
      <c r="A1223" s="457"/>
      <c r="B1223" s="457"/>
      <c r="C1223" s="457"/>
      <c r="D1223" s="499"/>
      <c r="E1223" s="457"/>
      <c r="F1223" s="457"/>
      <c r="G1223" s="457"/>
      <c r="J1223" s="457"/>
      <c r="K1223" s="457"/>
      <c r="L1223" s="499"/>
      <c r="M1223" s="556"/>
      <c r="N1223" s="556"/>
      <c r="O1223" s="499"/>
    </row>
    <row r="1224" customFormat="false" ht="20.25" hidden="false" customHeight="true" outlineLevel="0" collapsed="false">
      <c r="A1224" s="457"/>
      <c r="B1224" s="457"/>
      <c r="C1224" s="457"/>
      <c r="D1224" s="499"/>
      <c r="E1224" s="457"/>
      <c r="F1224" s="457"/>
      <c r="G1224" s="457"/>
      <c r="J1224" s="457"/>
      <c r="K1224" s="457"/>
      <c r="L1224" s="499"/>
      <c r="M1224" s="556"/>
      <c r="N1224" s="556"/>
      <c r="O1224" s="499"/>
    </row>
    <row r="1225" customFormat="false" ht="20.25" hidden="false" customHeight="true" outlineLevel="0" collapsed="false">
      <c r="A1225" s="457"/>
      <c r="B1225" s="457"/>
      <c r="C1225" s="457"/>
      <c r="D1225" s="499"/>
      <c r="E1225" s="457"/>
      <c r="F1225" s="457"/>
      <c r="G1225" s="457"/>
      <c r="J1225" s="457"/>
      <c r="K1225" s="457"/>
      <c r="L1225" s="499"/>
      <c r="M1225" s="556"/>
      <c r="N1225" s="556"/>
      <c r="O1225" s="499"/>
    </row>
    <row r="1226" customFormat="false" ht="20.25" hidden="false" customHeight="true" outlineLevel="0" collapsed="false">
      <c r="A1226" s="457"/>
      <c r="B1226" s="457"/>
      <c r="C1226" s="457"/>
      <c r="D1226" s="499"/>
      <c r="E1226" s="457"/>
      <c r="F1226" s="457"/>
      <c r="G1226" s="457"/>
      <c r="J1226" s="457"/>
      <c r="K1226" s="457"/>
      <c r="L1226" s="499"/>
      <c r="M1226" s="556"/>
      <c r="N1226" s="556"/>
      <c r="O1226" s="499"/>
    </row>
    <row r="1227" customFormat="false" ht="20.25" hidden="false" customHeight="true" outlineLevel="0" collapsed="false">
      <c r="A1227" s="457"/>
      <c r="B1227" s="457"/>
      <c r="C1227" s="457"/>
      <c r="D1227" s="499"/>
      <c r="E1227" s="457"/>
      <c r="F1227" s="457"/>
      <c r="G1227" s="457"/>
      <c r="J1227" s="457"/>
      <c r="K1227" s="457"/>
      <c r="L1227" s="499"/>
      <c r="M1227" s="556"/>
      <c r="N1227" s="556"/>
      <c r="O1227" s="499"/>
    </row>
    <row r="1228" customFormat="false" ht="20.25" hidden="false" customHeight="true" outlineLevel="0" collapsed="false">
      <c r="A1228" s="457"/>
      <c r="B1228" s="457"/>
      <c r="C1228" s="457"/>
      <c r="D1228" s="499"/>
      <c r="E1228" s="457"/>
      <c r="F1228" s="457"/>
      <c r="G1228" s="457"/>
      <c r="J1228" s="457"/>
      <c r="K1228" s="457"/>
      <c r="L1228" s="499"/>
      <c r="M1228" s="556"/>
      <c r="N1228" s="556"/>
      <c r="O1228" s="499"/>
    </row>
    <row r="1229" customFormat="false" ht="20.25" hidden="false" customHeight="true" outlineLevel="0" collapsed="false">
      <c r="A1229" s="457"/>
      <c r="B1229" s="457"/>
      <c r="C1229" s="457"/>
      <c r="D1229" s="499"/>
      <c r="E1229" s="457"/>
      <c r="F1229" s="457"/>
      <c r="G1229" s="457"/>
      <c r="J1229" s="457"/>
      <c r="K1229" s="457"/>
      <c r="L1229" s="499"/>
      <c r="M1229" s="556"/>
      <c r="N1229" s="556"/>
      <c r="O1229" s="499"/>
    </row>
    <row r="1230" customFormat="false" ht="20.25" hidden="false" customHeight="true" outlineLevel="0" collapsed="false">
      <c r="A1230" s="457"/>
      <c r="B1230" s="457"/>
      <c r="C1230" s="457"/>
      <c r="D1230" s="499"/>
      <c r="E1230" s="457"/>
      <c r="F1230" s="457"/>
      <c r="G1230" s="457"/>
      <c r="J1230" s="457"/>
      <c r="K1230" s="457"/>
      <c r="L1230" s="499"/>
      <c r="M1230" s="556"/>
      <c r="N1230" s="556"/>
      <c r="O1230" s="499"/>
    </row>
    <row r="1231" customFormat="false" ht="20.25" hidden="false" customHeight="true" outlineLevel="0" collapsed="false">
      <c r="A1231" s="457"/>
      <c r="B1231" s="457"/>
      <c r="C1231" s="457"/>
      <c r="D1231" s="499"/>
      <c r="E1231" s="457"/>
      <c r="F1231" s="457"/>
      <c r="G1231" s="457"/>
      <c r="J1231" s="457"/>
      <c r="K1231" s="457"/>
      <c r="L1231" s="499"/>
      <c r="M1231" s="556"/>
      <c r="N1231" s="556"/>
      <c r="O1231" s="499"/>
    </row>
    <row r="1232" customFormat="false" ht="20.25" hidden="false" customHeight="true" outlineLevel="0" collapsed="false">
      <c r="A1232" s="457"/>
      <c r="B1232" s="457"/>
      <c r="C1232" s="457"/>
      <c r="D1232" s="499"/>
      <c r="E1232" s="457"/>
      <c r="F1232" s="457"/>
      <c r="G1232" s="457"/>
      <c r="J1232" s="457"/>
      <c r="K1232" s="457"/>
      <c r="L1232" s="499"/>
      <c r="M1232" s="556"/>
      <c r="N1232" s="556"/>
      <c r="O1232" s="499"/>
    </row>
    <row r="1233" customFormat="false" ht="20.25" hidden="false" customHeight="true" outlineLevel="0" collapsed="false">
      <c r="A1233" s="457"/>
      <c r="B1233" s="457"/>
      <c r="C1233" s="457"/>
      <c r="D1233" s="499"/>
      <c r="E1233" s="457"/>
      <c r="F1233" s="457"/>
      <c r="G1233" s="457"/>
      <c r="J1233" s="457"/>
      <c r="K1233" s="457"/>
      <c r="L1233" s="499"/>
      <c r="M1233" s="556"/>
      <c r="N1233" s="556"/>
      <c r="O1233" s="499"/>
    </row>
    <row r="1234" customFormat="false" ht="20.25" hidden="false" customHeight="true" outlineLevel="0" collapsed="false">
      <c r="A1234" s="457"/>
      <c r="B1234" s="457"/>
      <c r="C1234" s="457"/>
      <c r="D1234" s="499"/>
      <c r="E1234" s="457"/>
      <c r="F1234" s="457"/>
      <c r="G1234" s="457"/>
      <c r="J1234" s="457"/>
      <c r="K1234" s="457"/>
      <c r="L1234" s="499"/>
      <c r="M1234" s="556"/>
      <c r="N1234" s="556"/>
      <c r="O1234" s="499"/>
    </row>
    <row r="1235" customFormat="false" ht="20.25" hidden="false" customHeight="true" outlineLevel="0" collapsed="false">
      <c r="A1235" s="457"/>
      <c r="B1235" s="457"/>
      <c r="C1235" s="457"/>
      <c r="D1235" s="499"/>
      <c r="E1235" s="457"/>
      <c r="F1235" s="457"/>
      <c r="G1235" s="457"/>
      <c r="J1235" s="457"/>
      <c r="K1235" s="457"/>
      <c r="L1235" s="499"/>
      <c r="M1235" s="556"/>
      <c r="N1235" s="556"/>
      <c r="O1235" s="499"/>
    </row>
    <row r="1236" customFormat="false" ht="20.25" hidden="false" customHeight="true" outlineLevel="0" collapsed="false">
      <c r="A1236" s="457"/>
      <c r="B1236" s="457"/>
      <c r="C1236" s="457"/>
      <c r="D1236" s="499"/>
      <c r="E1236" s="457"/>
      <c r="F1236" s="457"/>
      <c r="G1236" s="457"/>
      <c r="J1236" s="457"/>
      <c r="K1236" s="457"/>
      <c r="L1236" s="499"/>
      <c r="M1236" s="556"/>
      <c r="N1236" s="556"/>
      <c r="O1236" s="499"/>
    </row>
    <row r="1237" customFormat="false" ht="20.25" hidden="false" customHeight="true" outlineLevel="0" collapsed="false">
      <c r="A1237" s="457"/>
      <c r="B1237" s="457"/>
      <c r="C1237" s="457"/>
      <c r="D1237" s="499"/>
      <c r="E1237" s="457"/>
      <c r="F1237" s="457"/>
      <c r="G1237" s="457"/>
      <c r="J1237" s="457"/>
      <c r="K1237" s="457"/>
      <c r="L1237" s="499"/>
      <c r="M1237" s="556"/>
      <c r="N1237" s="556"/>
      <c r="O1237" s="499"/>
    </row>
    <row r="1238" customFormat="false" ht="20.25" hidden="false" customHeight="true" outlineLevel="0" collapsed="false">
      <c r="A1238" s="457"/>
      <c r="B1238" s="457"/>
      <c r="C1238" s="457"/>
      <c r="D1238" s="499"/>
      <c r="E1238" s="457"/>
      <c r="F1238" s="457"/>
      <c r="G1238" s="457"/>
      <c r="J1238" s="457"/>
      <c r="K1238" s="457"/>
      <c r="L1238" s="499"/>
      <c r="M1238" s="556"/>
      <c r="N1238" s="556"/>
      <c r="O1238" s="499"/>
    </row>
    <row r="1239" customFormat="false" ht="20.25" hidden="false" customHeight="true" outlineLevel="0" collapsed="false">
      <c r="A1239" s="457"/>
      <c r="B1239" s="457"/>
      <c r="C1239" s="457"/>
      <c r="D1239" s="499"/>
      <c r="E1239" s="457"/>
      <c r="F1239" s="457"/>
      <c r="G1239" s="457"/>
      <c r="J1239" s="457"/>
      <c r="K1239" s="457"/>
      <c r="L1239" s="499"/>
      <c r="M1239" s="556"/>
      <c r="N1239" s="556"/>
      <c r="O1239" s="499"/>
    </row>
    <row r="1240" customFormat="false" ht="20.25" hidden="false" customHeight="true" outlineLevel="0" collapsed="false">
      <c r="A1240" s="457"/>
      <c r="B1240" s="457"/>
      <c r="C1240" s="457"/>
      <c r="D1240" s="499"/>
      <c r="E1240" s="457"/>
      <c r="F1240" s="457"/>
      <c r="G1240" s="457"/>
      <c r="J1240" s="457"/>
      <c r="K1240" s="457"/>
      <c r="L1240" s="499"/>
      <c r="M1240" s="556"/>
      <c r="N1240" s="556"/>
      <c r="O1240" s="499"/>
    </row>
    <row r="1241" customFormat="false" ht="20.25" hidden="false" customHeight="true" outlineLevel="0" collapsed="false">
      <c r="A1241" s="457"/>
      <c r="B1241" s="457"/>
      <c r="C1241" s="457"/>
      <c r="D1241" s="499"/>
      <c r="E1241" s="457"/>
      <c r="F1241" s="457"/>
      <c r="G1241" s="457"/>
      <c r="J1241" s="457"/>
      <c r="K1241" s="457"/>
      <c r="L1241" s="499"/>
      <c r="M1241" s="556"/>
      <c r="N1241" s="556"/>
      <c r="O1241" s="499"/>
    </row>
    <row r="1242" customFormat="false" ht="20.25" hidden="false" customHeight="true" outlineLevel="0" collapsed="false">
      <c r="A1242" s="457"/>
      <c r="B1242" s="457"/>
      <c r="C1242" s="457"/>
      <c r="D1242" s="499"/>
      <c r="E1242" s="457"/>
      <c r="F1242" s="457"/>
      <c r="G1242" s="457"/>
      <c r="J1242" s="457"/>
      <c r="K1242" s="457"/>
      <c r="L1242" s="499"/>
      <c r="M1242" s="556"/>
      <c r="N1242" s="556"/>
      <c r="O1242" s="499"/>
    </row>
    <row r="1243" customFormat="false" ht="20.25" hidden="false" customHeight="true" outlineLevel="0" collapsed="false">
      <c r="A1243" s="457"/>
      <c r="B1243" s="457"/>
      <c r="C1243" s="457"/>
      <c r="D1243" s="499"/>
      <c r="E1243" s="457"/>
      <c r="F1243" s="457"/>
      <c r="G1243" s="457"/>
      <c r="J1243" s="457"/>
      <c r="K1243" s="457"/>
      <c r="L1243" s="499"/>
      <c r="M1243" s="556"/>
      <c r="N1243" s="556"/>
      <c r="O1243" s="499"/>
    </row>
    <row r="1244" customFormat="false" ht="20.25" hidden="false" customHeight="true" outlineLevel="0" collapsed="false">
      <c r="A1244" s="457"/>
      <c r="B1244" s="457"/>
      <c r="C1244" s="457"/>
      <c r="D1244" s="499"/>
      <c r="E1244" s="457"/>
      <c r="F1244" s="457"/>
      <c r="G1244" s="457"/>
      <c r="J1244" s="457"/>
      <c r="K1244" s="457"/>
      <c r="L1244" s="499"/>
      <c r="M1244" s="556"/>
      <c r="N1244" s="556"/>
      <c r="O1244" s="499"/>
    </row>
    <row r="1245" customFormat="false" ht="20.25" hidden="false" customHeight="true" outlineLevel="0" collapsed="false">
      <c r="A1245" s="457"/>
      <c r="B1245" s="457"/>
      <c r="C1245" s="457"/>
      <c r="D1245" s="499"/>
      <c r="E1245" s="457"/>
      <c r="F1245" s="457"/>
      <c r="G1245" s="457"/>
      <c r="J1245" s="457"/>
      <c r="K1245" s="457"/>
      <c r="L1245" s="499"/>
      <c r="M1245" s="556"/>
      <c r="N1245" s="556"/>
      <c r="O1245" s="499"/>
    </row>
    <row r="1246" customFormat="false" ht="20.25" hidden="false" customHeight="true" outlineLevel="0" collapsed="false">
      <c r="A1246" s="457"/>
      <c r="B1246" s="457"/>
      <c r="C1246" s="457"/>
      <c r="D1246" s="499"/>
      <c r="E1246" s="457"/>
      <c r="F1246" s="457"/>
      <c r="G1246" s="457"/>
      <c r="J1246" s="457"/>
      <c r="K1246" s="457"/>
      <c r="L1246" s="499"/>
      <c r="M1246" s="556"/>
      <c r="N1246" s="556"/>
      <c r="O1246" s="499"/>
    </row>
    <row r="1247" customFormat="false" ht="20.25" hidden="false" customHeight="true" outlineLevel="0" collapsed="false">
      <c r="A1247" s="457"/>
      <c r="B1247" s="457"/>
      <c r="C1247" s="457"/>
      <c r="D1247" s="499"/>
      <c r="E1247" s="457"/>
      <c r="F1247" s="457"/>
      <c r="G1247" s="457"/>
      <c r="J1247" s="457"/>
      <c r="K1247" s="457"/>
      <c r="L1247" s="499"/>
      <c r="M1247" s="556"/>
      <c r="N1247" s="556"/>
      <c r="O1247" s="499"/>
    </row>
    <row r="1248" customFormat="false" ht="20.25" hidden="false" customHeight="true" outlineLevel="0" collapsed="false">
      <c r="A1248" s="457"/>
      <c r="B1248" s="457"/>
      <c r="C1248" s="457"/>
      <c r="D1248" s="499"/>
      <c r="E1248" s="457"/>
      <c r="F1248" s="457"/>
      <c r="G1248" s="457"/>
      <c r="J1248" s="457"/>
      <c r="K1248" s="457"/>
      <c r="L1248" s="499"/>
      <c r="M1248" s="556"/>
      <c r="N1248" s="556"/>
      <c r="O1248" s="499"/>
    </row>
    <row r="1249" customFormat="false" ht="20.25" hidden="false" customHeight="true" outlineLevel="0" collapsed="false">
      <c r="A1249" s="457"/>
      <c r="B1249" s="457"/>
      <c r="C1249" s="457"/>
      <c r="D1249" s="499"/>
      <c r="E1249" s="457"/>
      <c r="F1249" s="457"/>
      <c r="G1249" s="457"/>
      <c r="J1249" s="457"/>
      <c r="K1249" s="457"/>
      <c r="L1249" s="499"/>
      <c r="M1249" s="556"/>
      <c r="N1249" s="556"/>
      <c r="O1249" s="499"/>
    </row>
    <row r="1250" customFormat="false" ht="20.25" hidden="false" customHeight="true" outlineLevel="0" collapsed="false">
      <c r="A1250" s="457"/>
      <c r="B1250" s="457"/>
      <c r="C1250" s="457"/>
      <c r="D1250" s="499"/>
      <c r="E1250" s="457"/>
      <c r="F1250" s="457"/>
      <c r="G1250" s="457"/>
      <c r="J1250" s="457"/>
      <c r="K1250" s="457"/>
      <c r="L1250" s="499"/>
      <c r="M1250" s="556"/>
      <c r="N1250" s="556"/>
      <c r="O1250" s="499"/>
    </row>
    <row r="1251" customFormat="false" ht="20.25" hidden="false" customHeight="true" outlineLevel="0" collapsed="false">
      <c r="A1251" s="457"/>
      <c r="B1251" s="457"/>
      <c r="C1251" s="457"/>
      <c r="D1251" s="499"/>
      <c r="E1251" s="457"/>
      <c r="F1251" s="457"/>
      <c r="G1251" s="457"/>
      <c r="J1251" s="457"/>
      <c r="K1251" s="457"/>
      <c r="L1251" s="499"/>
      <c r="M1251" s="556"/>
      <c r="N1251" s="556"/>
      <c r="O1251" s="499"/>
    </row>
    <row r="1252" customFormat="false" ht="20.25" hidden="false" customHeight="true" outlineLevel="0" collapsed="false">
      <c r="A1252" s="457"/>
      <c r="B1252" s="457"/>
      <c r="C1252" s="457"/>
      <c r="D1252" s="499"/>
      <c r="E1252" s="457"/>
      <c r="F1252" s="457"/>
      <c r="G1252" s="457"/>
      <c r="J1252" s="457"/>
      <c r="K1252" s="457"/>
      <c r="L1252" s="499"/>
      <c r="M1252" s="556"/>
      <c r="N1252" s="556"/>
      <c r="O1252" s="499"/>
    </row>
    <row r="1253" customFormat="false" ht="20.25" hidden="false" customHeight="true" outlineLevel="0" collapsed="false">
      <c r="A1253" s="457"/>
      <c r="B1253" s="457"/>
      <c r="C1253" s="457"/>
      <c r="D1253" s="499"/>
      <c r="E1253" s="457"/>
      <c r="F1253" s="457"/>
      <c r="G1253" s="457"/>
      <c r="J1253" s="457"/>
      <c r="K1253" s="457"/>
      <c r="L1253" s="499"/>
      <c r="M1253" s="556"/>
      <c r="N1253" s="556"/>
      <c r="O1253" s="499"/>
    </row>
    <row r="1254" customFormat="false" ht="20.25" hidden="false" customHeight="true" outlineLevel="0" collapsed="false">
      <c r="A1254" s="457"/>
      <c r="B1254" s="457"/>
      <c r="C1254" s="457"/>
      <c r="D1254" s="499"/>
      <c r="E1254" s="457"/>
      <c r="F1254" s="457"/>
      <c r="G1254" s="457"/>
      <c r="J1254" s="457"/>
      <c r="K1254" s="457"/>
      <c r="L1254" s="499"/>
      <c r="M1254" s="556"/>
      <c r="N1254" s="556"/>
      <c r="O1254" s="499"/>
    </row>
    <row r="1255" customFormat="false" ht="20.25" hidden="false" customHeight="true" outlineLevel="0" collapsed="false">
      <c r="A1255" s="457"/>
      <c r="B1255" s="457"/>
      <c r="C1255" s="457"/>
      <c r="D1255" s="499"/>
      <c r="E1255" s="457"/>
      <c r="F1255" s="457"/>
      <c r="G1255" s="457"/>
      <c r="J1255" s="457"/>
      <c r="K1255" s="457"/>
      <c r="L1255" s="499"/>
      <c r="M1255" s="556"/>
      <c r="N1255" s="556"/>
      <c r="O1255" s="499"/>
    </row>
    <row r="1256" customFormat="false" ht="20.25" hidden="false" customHeight="true" outlineLevel="0" collapsed="false">
      <c r="A1256" s="457"/>
      <c r="B1256" s="457"/>
      <c r="C1256" s="457"/>
      <c r="D1256" s="499"/>
      <c r="E1256" s="457"/>
      <c r="F1256" s="457"/>
      <c r="G1256" s="457"/>
      <c r="J1256" s="457"/>
      <c r="K1256" s="457"/>
      <c r="L1256" s="499"/>
      <c r="M1256" s="556"/>
      <c r="N1256" s="556"/>
      <c r="O1256" s="499"/>
    </row>
    <row r="1257" customFormat="false" ht="20.25" hidden="false" customHeight="true" outlineLevel="0" collapsed="false">
      <c r="A1257" s="457"/>
      <c r="B1257" s="457"/>
      <c r="C1257" s="457"/>
      <c r="D1257" s="499"/>
      <c r="E1257" s="457"/>
      <c r="F1257" s="457"/>
      <c r="G1257" s="457"/>
      <c r="J1257" s="457"/>
      <c r="K1257" s="457"/>
      <c r="L1257" s="499"/>
      <c r="M1257" s="556"/>
      <c r="N1257" s="556"/>
      <c r="O1257" s="499"/>
    </row>
    <row r="1258" customFormat="false" ht="20.25" hidden="false" customHeight="true" outlineLevel="0" collapsed="false">
      <c r="A1258" s="457"/>
      <c r="B1258" s="457"/>
      <c r="C1258" s="457"/>
      <c r="D1258" s="499"/>
      <c r="E1258" s="457"/>
      <c r="F1258" s="457"/>
      <c r="G1258" s="457"/>
      <c r="J1258" s="457"/>
      <c r="K1258" s="457"/>
      <c r="L1258" s="499"/>
      <c r="M1258" s="556"/>
      <c r="N1258" s="556"/>
      <c r="O1258" s="499"/>
    </row>
    <row r="1259" customFormat="false" ht="20.25" hidden="false" customHeight="true" outlineLevel="0" collapsed="false">
      <c r="A1259" s="457"/>
      <c r="B1259" s="457"/>
      <c r="C1259" s="457"/>
      <c r="D1259" s="499"/>
      <c r="E1259" s="457"/>
      <c r="F1259" s="457"/>
      <c r="G1259" s="457"/>
      <c r="J1259" s="457"/>
      <c r="K1259" s="457"/>
      <c r="L1259" s="499"/>
      <c r="M1259" s="556"/>
      <c r="N1259" s="556"/>
      <c r="O1259" s="499"/>
    </row>
    <row r="1260" customFormat="false" ht="20.25" hidden="false" customHeight="true" outlineLevel="0" collapsed="false">
      <c r="A1260" s="457"/>
      <c r="B1260" s="457"/>
      <c r="C1260" s="457"/>
      <c r="D1260" s="499"/>
      <c r="E1260" s="457"/>
      <c r="F1260" s="457"/>
      <c r="G1260" s="457"/>
      <c r="J1260" s="457"/>
      <c r="K1260" s="457"/>
      <c r="L1260" s="499"/>
      <c r="M1260" s="556"/>
      <c r="N1260" s="556"/>
      <c r="O1260" s="499"/>
    </row>
    <row r="1261" customFormat="false" ht="20.25" hidden="false" customHeight="true" outlineLevel="0" collapsed="false">
      <c r="A1261" s="457"/>
      <c r="B1261" s="457"/>
      <c r="C1261" s="457"/>
      <c r="D1261" s="499"/>
      <c r="E1261" s="457"/>
      <c r="F1261" s="457"/>
      <c r="G1261" s="457"/>
      <c r="J1261" s="457"/>
      <c r="K1261" s="457"/>
      <c r="L1261" s="499"/>
      <c r="M1261" s="556"/>
      <c r="N1261" s="556"/>
      <c r="O1261" s="499"/>
    </row>
    <row r="1262" customFormat="false" ht="20.25" hidden="false" customHeight="true" outlineLevel="0" collapsed="false">
      <c r="A1262" s="457"/>
      <c r="B1262" s="457"/>
      <c r="C1262" s="457"/>
      <c r="D1262" s="499"/>
      <c r="E1262" s="457"/>
      <c r="F1262" s="457"/>
      <c r="G1262" s="457"/>
      <c r="J1262" s="457"/>
      <c r="K1262" s="457"/>
      <c r="L1262" s="499"/>
      <c r="M1262" s="556"/>
      <c r="N1262" s="556"/>
      <c r="O1262" s="499"/>
    </row>
    <row r="1263" customFormat="false" ht="20.25" hidden="false" customHeight="true" outlineLevel="0" collapsed="false">
      <c r="A1263" s="457"/>
      <c r="B1263" s="457"/>
      <c r="C1263" s="457"/>
      <c r="D1263" s="499"/>
      <c r="E1263" s="457"/>
      <c r="F1263" s="457"/>
      <c r="G1263" s="457"/>
      <c r="J1263" s="457"/>
      <c r="K1263" s="457"/>
      <c r="L1263" s="499"/>
      <c r="M1263" s="556"/>
      <c r="N1263" s="556"/>
      <c r="O1263" s="499"/>
    </row>
    <row r="1264" customFormat="false" ht="20.25" hidden="false" customHeight="true" outlineLevel="0" collapsed="false">
      <c r="A1264" s="457"/>
      <c r="B1264" s="457"/>
      <c r="C1264" s="457"/>
      <c r="D1264" s="499"/>
      <c r="E1264" s="457"/>
      <c r="F1264" s="457"/>
      <c r="G1264" s="457"/>
      <c r="J1264" s="457"/>
      <c r="K1264" s="457"/>
      <c r="L1264" s="499"/>
      <c r="M1264" s="556"/>
      <c r="N1264" s="556"/>
      <c r="O1264" s="499"/>
    </row>
    <row r="1265" customFormat="false" ht="20.25" hidden="false" customHeight="true" outlineLevel="0" collapsed="false">
      <c r="A1265" s="457"/>
      <c r="B1265" s="457"/>
      <c r="C1265" s="457"/>
      <c r="D1265" s="499"/>
      <c r="E1265" s="457"/>
      <c r="F1265" s="457"/>
      <c r="G1265" s="457"/>
      <c r="J1265" s="457"/>
      <c r="K1265" s="457"/>
      <c r="L1265" s="499"/>
      <c r="M1265" s="556"/>
      <c r="N1265" s="556"/>
      <c r="O1265" s="499"/>
    </row>
    <row r="1266" customFormat="false" ht="20.25" hidden="false" customHeight="true" outlineLevel="0" collapsed="false">
      <c r="A1266" s="457"/>
      <c r="B1266" s="457"/>
      <c r="C1266" s="457"/>
      <c r="D1266" s="499"/>
      <c r="E1266" s="457"/>
      <c r="F1266" s="457"/>
      <c r="G1266" s="457"/>
      <c r="J1266" s="457"/>
      <c r="K1266" s="457"/>
      <c r="L1266" s="499"/>
      <c r="M1266" s="556"/>
      <c r="N1266" s="556"/>
      <c r="O1266" s="499"/>
    </row>
    <row r="1267" customFormat="false" ht="20.25" hidden="false" customHeight="true" outlineLevel="0" collapsed="false">
      <c r="A1267" s="457"/>
      <c r="B1267" s="457"/>
      <c r="C1267" s="457"/>
      <c r="D1267" s="499"/>
      <c r="E1267" s="457"/>
      <c r="F1267" s="457"/>
      <c r="G1267" s="457"/>
      <c r="J1267" s="457"/>
      <c r="K1267" s="457"/>
      <c r="L1267" s="499"/>
      <c r="M1267" s="556"/>
      <c r="N1267" s="556"/>
      <c r="O1267" s="499"/>
    </row>
    <row r="1268" customFormat="false" ht="20.25" hidden="false" customHeight="true" outlineLevel="0" collapsed="false">
      <c r="A1268" s="457"/>
      <c r="B1268" s="457"/>
      <c r="C1268" s="457"/>
      <c r="D1268" s="499"/>
      <c r="E1268" s="457"/>
      <c r="F1268" s="457"/>
      <c r="G1268" s="457"/>
      <c r="J1268" s="457"/>
      <c r="K1268" s="457"/>
      <c r="L1268" s="499"/>
      <c r="M1268" s="556"/>
      <c r="N1268" s="556"/>
      <c r="O1268" s="499"/>
    </row>
    <row r="1269" customFormat="false" ht="20.25" hidden="false" customHeight="true" outlineLevel="0" collapsed="false">
      <c r="A1269" s="457"/>
      <c r="B1269" s="457"/>
      <c r="C1269" s="457"/>
      <c r="D1269" s="499"/>
      <c r="E1269" s="457"/>
      <c r="F1269" s="457"/>
      <c r="G1269" s="457"/>
      <c r="J1269" s="457"/>
      <c r="K1269" s="457"/>
      <c r="L1269" s="499"/>
      <c r="M1269" s="556"/>
      <c r="N1269" s="556"/>
      <c r="O1269" s="499"/>
    </row>
    <row r="1270" customFormat="false" ht="20.25" hidden="false" customHeight="true" outlineLevel="0" collapsed="false">
      <c r="A1270" s="457"/>
      <c r="B1270" s="457"/>
      <c r="C1270" s="457"/>
      <c r="D1270" s="499"/>
      <c r="E1270" s="457"/>
      <c r="F1270" s="457"/>
      <c r="G1270" s="457"/>
      <c r="J1270" s="457"/>
      <c r="K1270" s="457"/>
      <c r="L1270" s="499"/>
      <c r="M1270" s="556"/>
      <c r="N1270" s="556"/>
      <c r="O1270" s="499"/>
    </row>
    <row r="1271" customFormat="false" ht="20.25" hidden="false" customHeight="true" outlineLevel="0" collapsed="false">
      <c r="A1271" s="457"/>
      <c r="B1271" s="457"/>
      <c r="C1271" s="457"/>
      <c r="D1271" s="499"/>
      <c r="E1271" s="457"/>
      <c r="F1271" s="457"/>
      <c r="G1271" s="457"/>
      <c r="J1271" s="457"/>
      <c r="K1271" s="457"/>
      <c r="L1271" s="499"/>
      <c r="M1271" s="556"/>
      <c r="N1271" s="556"/>
      <c r="O1271" s="499"/>
    </row>
    <row r="1272" customFormat="false" ht="20.25" hidden="false" customHeight="true" outlineLevel="0" collapsed="false">
      <c r="A1272" s="457"/>
      <c r="B1272" s="457"/>
      <c r="C1272" s="457"/>
      <c r="D1272" s="499"/>
      <c r="E1272" s="457"/>
      <c r="F1272" s="457"/>
      <c r="G1272" s="457"/>
      <c r="J1272" s="457"/>
      <c r="K1272" s="457"/>
      <c r="L1272" s="499"/>
      <c r="M1272" s="556"/>
      <c r="N1272" s="556"/>
      <c r="O1272" s="499"/>
    </row>
    <row r="1273" customFormat="false" ht="20.25" hidden="false" customHeight="true" outlineLevel="0" collapsed="false">
      <c r="A1273" s="457"/>
      <c r="B1273" s="457"/>
      <c r="C1273" s="457"/>
      <c r="D1273" s="499"/>
      <c r="E1273" s="457"/>
      <c r="F1273" s="457"/>
      <c r="G1273" s="457"/>
      <c r="J1273" s="457"/>
      <c r="K1273" s="457"/>
      <c r="L1273" s="499"/>
      <c r="M1273" s="556"/>
      <c r="N1273" s="556"/>
      <c r="O1273" s="499"/>
    </row>
    <row r="1274" customFormat="false" ht="20.25" hidden="false" customHeight="true" outlineLevel="0" collapsed="false">
      <c r="A1274" s="457"/>
      <c r="B1274" s="457"/>
      <c r="C1274" s="457"/>
      <c r="D1274" s="499"/>
      <c r="E1274" s="457"/>
      <c r="F1274" s="457"/>
      <c r="G1274" s="457"/>
      <c r="J1274" s="457"/>
      <c r="K1274" s="457"/>
      <c r="L1274" s="499"/>
      <c r="M1274" s="556"/>
      <c r="N1274" s="556"/>
      <c r="O1274" s="499"/>
    </row>
    <row r="1275" customFormat="false" ht="20.25" hidden="false" customHeight="true" outlineLevel="0" collapsed="false">
      <c r="A1275" s="457"/>
      <c r="B1275" s="457"/>
      <c r="C1275" s="457"/>
      <c r="D1275" s="499"/>
      <c r="E1275" s="457"/>
      <c r="F1275" s="457"/>
      <c r="G1275" s="457"/>
      <c r="J1275" s="457"/>
      <c r="K1275" s="457"/>
      <c r="L1275" s="499"/>
      <c r="M1275" s="556"/>
      <c r="N1275" s="556"/>
      <c r="O1275" s="499"/>
    </row>
    <row r="1276" customFormat="false" ht="20.25" hidden="false" customHeight="true" outlineLevel="0" collapsed="false">
      <c r="A1276" s="457"/>
      <c r="B1276" s="457"/>
      <c r="C1276" s="457"/>
      <c r="D1276" s="499"/>
      <c r="E1276" s="457"/>
      <c r="F1276" s="457"/>
      <c r="G1276" s="457"/>
      <c r="J1276" s="457"/>
      <c r="K1276" s="457"/>
      <c r="L1276" s="499"/>
      <c r="M1276" s="556"/>
      <c r="N1276" s="556"/>
      <c r="O1276" s="499"/>
    </row>
    <row r="1277" customFormat="false" ht="20.25" hidden="false" customHeight="true" outlineLevel="0" collapsed="false">
      <c r="A1277" s="457"/>
      <c r="B1277" s="457"/>
      <c r="C1277" s="457"/>
      <c r="D1277" s="499"/>
      <c r="E1277" s="457"/>
      <c r="F1277" s="457"/>
      <c r="G1277" s="457"/>
      <c r="J1277" s="457"/>
      <c r="K1277" s="457"/>
      <c r="L1277" s="499"/>
      <c r="M1277" s="556"/>
      <c r="N1277" s="556"/>
      <c r="O1277" s="499"/>
    </row>
    <row r="1278" customFormat="false" ht="20.25" hidden="false" customHeight="true" outlineLevel="0" collapsed="false">
      <c r="A1278" s="457"/>
      <c r="B1278" s="457"/>
      <c r="C1278" s="457"/>
      <c r="D1278" s="499"/>
      <c r="E1278" s="457"/>
      <c r="F1278" s="457"/>
      <c r="G1278" s="457"/>
      <c r="J1278" s="457"/>
      <c r="K1278" s="457"/>
      <c r="L1278" s="499"/>
      <c r="M1278" s="556"/>
      <c r="N1278" s="556"/>
      <c r="O1278" s="499"/>
    </row>
    <row r="1279" customFormat="false" ht="20.25" hidden="false" customHeight="true" outlineLevel="0" collapsed="false">
      <c r="A1279" s="457"/>
      <c r="B1279" s="457"/>
      <c r="C1279" s="457"/>
      <c r="D1279" s="499"/>
      <c r="E1279" s="457"/>
      <c r="F1279" s="457"/>
      <c r="G1279" s="457"/>
      <c r="J1279" s="457"/>
      <c r="K1279" s="457"/>
      <c r="L1279" s="499"/>
      <c r="M1279" s="556"/>
      <c r="N1279" s="556"/>
      <c r="O1279" s="499"/>
    </row>
    <row r="1280" customFormat="false" ht="20.25" hidden="false" customHeight="true" outlineLevel="0" collapsed="false">
      <c r="A1280" s="457"/>
      <c r="B1280" s="457"/>
      <c r="C1280" s="457"/>
      <c r="D1280" s="499"/>
      <c r="E1280" s="457"/>
      <c r="F1280" s="457"/>
      <c r="G1280" s="457"/>
      <c r="J1280" s="457"/>
      <c r="K1280" s="457"/>
      <c r="L1280" s="499"/>
      <c r="M1280" s="556"/>
      <c r="N1280" s="556"/>
      <c r="O1280" s="499"/>
    </row>
    <row r="1281" customFormat="false" ht="20.25" hidden="false" customHeight="true" outlineLevel="0" collapsed="false">
      <c r="A1281" s="457"/>
      <c r="B1281" s="457"/>
      <c r="C1281" s="457"/>
      <c r="D1281" s="499"/>
      <c r="E1281" s="457"/>
      <c r="F1281" s="457"/>
      <c r="G1281" s="457"/>
      <c r="J1281" s="457"/>
      <c r="K1281" s="457"/>
      <c r="L1281" s="499"/>
      <c r="M1281" s="556"/>
      <c r="N1281" s="556"/>
      <c r="O1281" s="499"/>
    </row>
    <row r="1282" customFormat="false" ht="20.25" hidden="false" customHeight="true" outlineLevel="0" collapsed="false">
      <c r="A1282" s="457"/>
      <c r="B1282" s="457"/>
      <c r="C1282" s="457"/>
      <c r="D1282" s="499"/>
      <c r="E1282" s="457"/>
      <c r="F1282" s="457"/>
      <c r="G1282" s="457"/>
      <c r="J1282" s="457"/>
      <c r="K1282" s="457"/>
      <c r="L1282" s="499"/>
      <c r="M1282" s="556"/>
      <c r="N1282" s="556"/>
      <c r="O1282" s="499"/>
    </row>
    <row r="1283" customFormat="false" ht="20.25" hidden="false" customHeight="true" outlineLevel="0" collapsed="false">
      <c r="A1283" s="457"/>
      <c r="B1283" s="457"/>
      <c r="C1283" s="457"/>
      <c r="D1283" s="499"/>
      <c r="E1283" s="457"/>
      <c r="F1283" s="457"/>
      <c r="G1283" s="457"/>
      <c r="J1283" s="457"/>
      <c r="K1283" s="457"/>
      <c r="L1283" s="499"/>
      <c r="M1283" s="556"/>
      <c r="N1283" s="556"/>
      <c r="O1283" s="499"/>
    </row>
    <row r="1284" customFormat="false" ht="20.25" hidden="false" customHeight="true" outlineLevel="0" collapsed="false">
      <c r="A1284" s="457"/>
      <c r="B1284" s="457"/>
      <c r="C1284" s="457"/>
      <c r="D1284" s="499"/>
      <c r="E1284" s="457"/>
      <c r="F1284" s="457"/>
      <c r="G1284" s="457"/>
      <c r="J1284" s="457"/>
      <c r="K1284" s="457"/>
      <c r="L1284" s="499"/>
      <c r="M1284" s="556"/>
      <c r="N1284" s="556"/>
      <c r="O1284" s="499"/>
    </row>
    <row r="1285" customFormat="false" ht="20.25" hidden="false" customHeight="true" outlineLevel="0" collapsed="false">
      <c r="A1285" s="457"/>
      <c r="B1285" s="457"/>
      <c r="C1285" s="457"/>
      <c r="D1285" s="499"/>
      <c r="E1285" s="457"/>
      <c r="F1285" s="457"/>
      <c r="G1285" s="457"/>
      <c r="J1285" s="457"/>
      <c r="K1285" s="457"/>
      <c r="L1285" s="499"/>
      <c r="M1285" s="556"/>
      <c r="N1285" s="556"/>
      <c r="O1285" s="499"/>
    </row>
    <row r="1286" customFormat="false" ht="20.25" hidden="false" customHeight="true" outlineLevel="0" collapsed="false">
      <c r="A1286" s="457"/>
      <c r="B1286" s="457"/>
      <c r="C1286" s="457"/>
      <c r="D1286" s="499"/>
      <c r="E1286" s="457"/>
      <c r="F1286" s="457"/>
      <c r="G1286" s="457"/>
      <c r="J1286" s="457"/>
      <c r="K1286" s="457"/>
      <c r="L1286" s="499"/>
      <c r="M1286" s="556"/>
      <c r="N1286" s="556"/>
      <c r="O1286" s="499"/>
    </row>
    <row r="1287" customFormat="false" ht="20.25" hidden="false" customHeight="true" outlineLevel="0" collapsed="false">
      <c r="A1287" s="457"/>
      <c r="B1287" s="457"/>
      <c r="C1287" s="457"/>
      <c r="D1287" s="499"/>
      <c r="E1287" s="457"/>
      <c r="F1287" s="457"/>
      <c r="G1287" s="457"/>
      <c r="J1287" s="457"/>
      <c r="K1287" s="457"/>
      <c r="L1287" s="499"/>
      <c r="M1287" s="556"/>
      <c r="N1287" s="556"/>
      <c r="O1287" s="499"/>
    </row>
    <row r="1288" customFormat="false" ht="20.25" hidden="false" customHeight="true" outlineLevel="0" collapsed="false">
      <c r="A1288" s="457"/>
      <c r="B1288" s="457"/>
      <c r="C1288" s="457"/>
      <c r="D1288" s="499"/>
      <c r="E1288" s="457"/>
      <c r="F1288" s="457"/>
      <c r="G1288" s="457"/>
      <c r="J1288" s="457"/>
      <c r="K1288" s="457"/>
      <c r="L1288" s="499"/>
      <c r="M1288" s="556"/>
      <c r="N1288" s="556"/>
      <c r="O1288" s="499"/>
    </row>
    <row r="1289" customFormat="false" ht="20.25" hidden="false" customHeight="true" outlineLevel="0" collapsed="false">
      <c r="A1289" s="457"/>
      <c r="B1289" s="457"/>
      <c r="C1289" s="457"/>
      <c r="D1289" s="499"/>
      <c r="E1289" s="457"/>
      <c r="F1289" s="457"/>
      <c r="G1289" s="457"/>
      <c r="J1289" s="457"/>
      <c r="K1289" s="457"/>
      <c r="L1289" s="499"/>
      <c r="M1289" s="556"/>
      <c r="N1289" s="556"/>
      <c r="O1289" s="499"/>
    </row>
    <row r="1290" customFormat="false" ht="20.25" hidden="false" customHeight="true" outlineLevel="0" collapsed="false">
      <c r="A1290" s="457"/>
      <c r="B1290" s="457"/>
      <c r="C1290" s="457"/>
      <c r="D1290" s="499"/>
      <c r="E1290" s="457"/>
      <c r="F1290" s="457"/>
      <c r="G1290" s="457"/>
      <c r="J1290" s="457"/>
      <c r="K1290" s="457"/>
      <c r="L1290" s="499"/>
      <c r="M1290" s="556"/>
      <c r="N1290" s="556"/>
      <c r="O1290" s="499"/>
    </row>
    <row r="1291" customFormat="false" ht="20.25" hidden="false" customHeight="true" outlineLevel="0" collapsed="false">
      <c r="A1291" s="457"/>
      <c r="B1291" s="457"/>
      <c r="C1291" s="457"/>
      <c r="D1291" s="499"/>
      <c r="E1291" s="457"/>
      <c r="F1291" s="457"/>
      <c r="G1291" s="457"/>
      <c r="J1291" s="457"/>
      <c r="K1291" s="457"/>
      <c r="L1291" s="499"/>
      <c r="M1291" s="556"/>
      <c r="N1291" s="556"/>
      <c r="O1291" s="499"/>
    </row>
    <row r="1292" customFormat="false" ht="20.25" hidden="false" customHeight="true" outlineLevel="0" collapsed="false">
      <c r="A1292" s="457"/>
      <c r="B1292" s="457"/>
      <c r="C1292" s="457"/>
      <c r="D1292" s="499"/>
      <c r="E1292" s="457"/>
      <c r="F1292" s="457"/>
      <c r="G1292" s="457"/>
      <c r="J1292" s="457"/>
      <c r="K1292" s="457"/>
      <c r="L1292" s="499"/>
      <c r="M1292" s="556"/>
      <c r="N1292" s="556"/>
      <c r="O1292" s="499"/>
    </row>
    <row r="1293" customFormat="false" ht="20.25" hidden="false" customHeight="true" outlineLevel="0" collapsed="false">
      <c r="A1293" s="457"/>
      <c r="B1293" s="457"/>
      <c r="C1293" s="457"/>
      <c r="D1293" s="499"/>
      <c r="E1293" s="457"/>
      <c r="F1293" s="457"/>
      <c r="G1293" s="457"/>
      <c r="J1293" s="457"/>
      <c r="K1293" s="457"/>
      <c r="L1293" s="499"/>
      <c r="M1293" s="556"/>
      <c r="N1293" s="556"/>
      <c r="O1293" s="499"/>
    </row>
    <row r="1294" customFormat="false" ht="20.25" hidden="false" customHeight="true" outlineLevel="0" collapsed="false">
      <c r="A1294" s="457"/>
      <c r="B1294" s="457"/>
      <c r="C1294" s="457"/>
      <c r="D1294" s="499"/>
      <c r="E1294" s="457"/>
      <c r="F1294" s="457"/>
      <c r="G1294" s="457"/>
      <c r="J1294" s="457"/>
      <c r="K1294" s="457"/>
      <c r="L1294" s="499"/>
      <c r="M1294" s="556"/>
      <c r="N1294" s="556"/>
      <c r="O1294" s="499"/>
    </row>
    <row r="1295" customFormat="false" ht="20.25" hidden="false" customHeight="true" outlineLevel="0" collapsed="false">
      <c r="A1295" s="457"/>
      <c r="B1295" s="457"/>
      <c r="C1295" s="457"/>
      <c r="D1295" s="499"/>
      <c r="E1295" s="457"/>
      <c r="F1295" s="457"/>
      <c r="G1295" s="457"/>
      <c r="J1295" s="457"/>
      <c r="K1295" s="457"/>
      <c r="L1295" s="499"/>
      <c r="M1295" s="556"/>
      <c r="N1295" s="556"/>
      <c r="O1295" s="499"/>
    </row>
    <row r="1296" customFormat="false" ht="20.25" hidden="false" customHeight="true" outlineLevel="0" collapsed="false">
      <c r="A1296" s="457"/>
      <c r="B1296" s="457"/>
      <c r="C1296" s="457"/>
      <c r="D1296" s="499"/>
      <c r="E1296" s="457"/>
      <c r="F1296" s="457"/>
      <c r="G1296" s="457"/>
      <c r="J1296" s="457"/>
      <c r="K1296" s="457"/>
      <c r="L1296" s="499"/>
      <c r="M1296" s="556"/>
      <c r="N1296" s="556"/>
      <c r="O1296" s="499"/>
    </row>
    <row r="1297" customFormat="false" ht="20.25" hidden="false" customHeight="true" outlineLevel="0" collapsed="false">
      <c r="A1297" s="457"/>
      <c r="B1297" s="457"/>
      <c r="C1297" s="457"/>
      <c r="D1297" s="499"/>
      <c r="E1297" s="457"/>
      <c r="F1297" s="457"/>
      <c r="G1297" s="457"/>
      <c r="J1297" s="457"/>
      <c r="K1297" s="457"/>
      <c r="L1297" s="499"/>
      <c r="M1297" s="556"/>
      <c r="N1297" s="556"/>
      <c r="O1297" s="499"/>
    </row>
    <row r="1298" customFormat="false" ht="20.25" hidden="false" customHeight="true" outlineLevel="0" collapsed="false">
      <c r="A1298" s="457"/>
      <c r="B1298" s="457"/>
      <c r="C1298" s="457"/>
      <c r="D1298" s="499"/>
      <c r="E1298" s="457"/>
      <c r="F1298" s="457"/>
      <c r="G1298" s="457"/>
      <c r="J1298" s="457"/>
      <c r="K1298" s="457"/>
      <c r="L1298" s="499"/>
      <c r="M1298" s="556"/>
      <c r="N1298" s="556"/>
      <c r="O1298" s="499"/>
    </row>
    <row r="1299" customFormat="false" ht="20.25" hidden="false" customHeight="true" outlineLevel="0" collapsed="false">
      <c r="A1299" s="457"/>
      <c r="B1299" s="457"/>
      <c r="C1299" s="457"/>
      <c r="D1299" s="499"/>
      <c r="E1299" s="457"/>
      <c r="F1299" s="457"/>
      <c r="G1299" s="457"/>
      <c r="J1299" s="457"/>
      <c r="K1299" s="457"/>
      <c r="L1299" s="499"/>
      <c r="M1299" s="556"/>
      <c r="N1299" s="556"/>
      <c r="O1299" s="499"/>
    </row>
    <row r="1300" customFormat="false" ht="20.25" hidden="false" customHeight="true" outlineLevel="0" collapsed="false">
      <c r="A1300" s="457"/>
      <c r="B1300" s="457"/>
      <c r="C1300" s="457"/>
      <c r="D1300" s="499"/>
      <c r="E1300" s="457"/>
      <c r="F1300" s="457"/>
      <c r="G1300" s="457"/>
      <c r="J1300" s="457"/>
      <c r="K1300" s="457"/>
      <c r="L1300" s="499"/>
      <c r="M1300" s="556"/>
      <c r="N1300" s="556"/>
      <c r="O1300" s="499"/>
    </row>
    <row r="1301" customFormat="false" ht="20.25" hidden="false" customHeight="true" outlineLevel="0" collapsed="false">
      <c r="A1301" s="457"/>
      <c r="B1301" s="457"/>
      <c r="C1301" s="457"/>
      <c r="D1301" s="499"/>
      <c r="E1301" s="457"/>
      <c r="F1301" s="457"/>
      <c r="G1301" s="457"/>
      <c r="J1301" s="457"/>
      <c r="K1301" s="457"/>
      <c r="L1301" s="499"/>
      <c r="M1301" s="556"/>
      <c r="N1301" s="556"/>
      <c r="O1301" s="499"/>
    </row>
    <row r="1302" customFormat="false" ht="20.25" hidden="false" customHeight="true" outlineLevel="0" collapsed="false">
      <c r="A1302" s="457"/>
      <c r="B1302" s="457"/>
      <c r="C1302" s="457"/>
      <c r="D1302" s="499"/>
      <c r="E1302" s="457"/>
      <c r="F1302" s="457"/>
      <c r="G1302" s="457"/>
      <c r="J1302" s="457"/>
      <c r="K1302" s="457"/>
      <c r="L1302" s="499"/>
      <c r="M1302" s="556"/>
      <c r="N1302" s="556"/>
      <c r="O1302" s="499"/>
    </row>
    <row r="1303" customFormat="false" ht="20.25" hidden="false" customHeight="true" outlineLevel="0" collapsed="false">
      <c r="A1303" s="457"/>
      <c r="B1303" s="457"/>
      <c r="C1303" s="457"/>
      <c r="D1303" s="499"/>
      <c r="E1303" s="457"/>
      <c r="F1303" s="457"/>
      <c r="G1303" s="457"/>
      <c r="J1303" s="457"/>
      <c r="K1303" s="457"/>
      <c r="L1303" s="499"/>
      <c r="M1303" s="556"/>
      <c r="N1303" s="556"/>
      <c r="O1303" s="499"/>
    </row>
    <row r="1304" customFormat="false" ht="20.25" hidden="false" customHeight="true" outlineLevel="0" collapsed="false">
      <c r="A1304" s="457"/>
      <c r="B1304" s="457"/>
      <c r="C1304" s="457"/>
      <c r="D1304" s="499"/>
      <c r="E1304" s="457"/>
      <c r="F1304" s="457"/>
      <c r="G1304" s="457"/>
      <c r="J1304" s="457"/>
      <c r="K1304" s="457"/>
      <c r="L1304" s="499"/>
      <c r="M1304" s="556"/>
      <c r="N1304" s="556"/>
      <c r="O1304" s="499"/>
    </row>
    <row r="1305" customFormat="false" ht="20.25" hidden="false" customHeight="true" outlineLevel="0" collapsed="false">
      <c r="A1305" s="457"/>
      <c r="B1305" s="457"/>
      <c r="C1305" s="457"/>
      <c r="D1305" s="499"/>
      <c r="E1305" s="457"/>
      <c r="F1305" s="457"/>
      <c r="G1305" s="457"/>
      <c r="J1305" s="457"/>
      <c r="K1305" s="457"/>
      <c r="L1305" s="499"/>
      <c r="M1305" s="556"/>
      <c r="N1305" s="556"/>
      <c r="O1305" s="499"/>
    </row>
    <row r="1306" customFormat="false" ht="20.25" hidden="false" customHeight="true" outlineLevel="0" collapsed="false">
      <c r="A1306" s="457"/>
      <c r="B1306" s="457"/>
      <c r="C1306" s="457"/>
      <c r="D1306" s="499"/>
      <c r="E1306" s="457"/>
      <c r="F1306" s="457"/>
      <c r="G1306" s="457"/>
      <c r="J1306" s="457"/>
      <c r="K1306" s="457"/>
      <c r="L1306" s="499"/>
      <c r="M1306" s="556"/>
      <c r="N1306" s="556"/>
      <c r="O1306" s="499"/>
    </row>
    <row r="1307" customFormat="false" ht="20.25" hidden="false" customHeight="true" outlineLevel="0" collapsed="false">
      <c r="A1307" s="457"/>
      <c r="B1307" s="457"/>
      <c r="C1307" s="457"/>
      <c r="D1307" s="499"/>
      <c r="E1307" s="457"/>
      <c r="F1307" s="457"/>
      <c r="G1307" s="457"/>
      <c r="J1307" s="457"/>
      <c r="K1307" s="457"/>
      <c r="L1307" s="499"/>
      <c r="M1307" s="556"/>
      <c r="N1307" s="556"/>
      <c r="O1307" s="499"/>
    </row>
    <row r="1308" customFormat="false" ht="20.25" hidden="false" customHeight="true" outlineLevel="0" collapsed="false">
      <c r="A1308" s="457"/>
      <c r="B1308" s="457"/>
      <c r="C1308" s="457"/>
      <c r="D1308" s="499"/>
      <c r="E1308" s="457"/>
      <c r="F1308" s="457"/>
      <c r="G1308" s="457"/>
      <c r="J1308" s="457"/>
      <c r="K1308" s="457"/>
      <c r="L1308" s="499"/>
      <c r="M1308" s="556"/>
      <c r="N1308" s="556"/>
      <c r="O1308" s="499"/>
    </row>
  </sheetData>
  <mergeCells count="1">
    <mergeCell ref="C1:D1"/>
  </mergeCells>
  <conditionalFormatting sqref="O119">
    <cfRule type="expression" priority="2" aboveAverage="0" equalAverage="0" bottom="0" percent="0" rank="0" text="" dxfId="0">
      <formula>AND(COUNTIF($O$119,O119)&gt;1,NOT(ISBLANK(O119)))</formula>
    </cfRule>
  </conditionalFormatting>
  <conditionalFormatting sqref="O119">
    <cfRule type="expression" priority="3" aboveAverage="0" equalAverage="0" bottom="0" percent="0" rank="0" text="" dxfId="1">
      <formula>AND(COUNTIF($O$119,O119)&gt;1,NOT(ISBLANK(O119)))</formula>
    </cfRule>
    <cfRule type="expression" priority="4" aboveAverage="0" equalAverage="0" bottom="0" percent="0" rank="0" text="" dxfId="2">
      <formula>AND(COUNTIF($O$119,O119)&gt;1,NOT(ISBLANK(O119)))</formula>
    </cfRule>
    <cfRule type="expression" priority="5" aboveAverage="0" equalAverage="0" bottom="0" percent="0" rank="0" text="" dxfId="3">
      <formula>AND(COUNTIF($O$119,O119)&gt;1,NOT(ISBLANK(O119)))</formula>
    </cfRule>
  </conditionalFormatting>
  <conditionalFormatting sqref="O120">
    <cfRule type="expression" priority="6" aboveAverage="0" equalAverage="0" bottom="0" percent="0" rank="0" text="" dxfId="4">
      <formula>AND(COUNTIF($O$120,O120)&gt;1,NOT(ISBLANK(O120)))</formula>
    </cfRule>
  </conditionalFormatting>
  <conditionalFormatting sqref="O120">
    <cfRule type="expression" priority="7" aboveAverage="0" equalAverage="0" bottom="0" percent="0" rank="0" text="" dxfId="5">
      <formula>AND(COUNTIF($O$120,O120)&gt;1,NOT(ISBLANK(O120)))</formula>
    </cfRule>
    <cfRule type="expression" priority="8" aboveAverage="0" equalAverage="0" bottom="0" percent="0" rank="0" text="" dxfId="6">
      <formula>AND(COUNTIF($O$120,O120)&gt;1,NOT(ISBLANK(O120)))</formula>
    </cfRule>
    <cfRule type="expression" priority="9" aboveAverage="0" equalAverage="0" bottom="0" percent="0" rank="0" text="" dxfId="7">
      <formula>AND(COUNTIF($O$120,O120)&gt;1,NOT(ISBLANK(O120)))</formula>
    </cfRule>
  </conditionalFormatting>
  <conditionalFormatting sqref="O121">
    <cfRule type="expression" priority="10" aboveAverage="0" equalAverage="0" bottom="0" percent="0" rank="0" text="" dxfId="8">
      <formula>AND(COUNTIF($O$121,O121)&gt;1,NOT(ISBLANK(O121)))</formula>
    </cfRule>
  </conditionalFormatting>
  <conditionalFormatting sqref="O121">
    <cfRule type="expression" priority="11" aboveAverage="0" equalAverage="0" bottom="0" percent="0" rank="0" text="" dxfId="9">
      <formula>AND(COUNTIF($O$121,O121)&gt;1,NOT(ISBLANK(O121)))</formula>
    </cfRule>
    <cfRule type="expression" priority="12" aboveAverage="0" equalAverage="0" bottom="0" percent="0" rank="0" text="" dxfId="10">
      <formula>AND(COUNTIF($O$121,O121)&gt;1,NOT(ISBLANK(O121)))</formula>
    </cfRule>
    <cfRule type="expression" priority="13" aboveAverage="0" equalAverage="0" bottom="0" percent="0" rank="0" text="" dxfId="11">
      <formula>AND(COUNTIF($O$121,O121)&gt;1,NOT(ISBLANK(O121)))</formula>
    </cfRule>
  </conditionalFormatting>
  <conditionalFormatting sqref="O122">
    <cfRule type="expression" priority="14" aboveAverage="0" equalAverage="0" bottom="0" percent="0" rank="0" text="" dxfId="12">
      <formula>AND(COUNTIF($O$122,O122)&gt;1,NOT(ISBLANK(O122)))</formula>
    </cfRule>
    <cfRule type="expression" priority="15" aboveAverage="0" equalAverage="0" bottom="0" percent="0" rank="0" text="" dxfId="13">
      <formula>AND(COUNTIF($O$122,O122)&gt;1,NOT(ISBLANK(O122)))</formula>
    </cfRule>
    <cfRule type="expression" priority="16" aboveAverage="0" equalAverage="0" bottom="0" percent="0" rank="0" text="" dxfId="14">
      <formula>AND(COUNTIF($O$122,O122)&gt;1,NOT(ISBLANK(O122)))</formula>
    </cfRule>
  </conditionalFormatting>
  <conditionalFormatting sqref="O123">
    <cfRule type="expression" priority="17" aboveAverage="0" equalAverage="0" bottom="0" percent="0" rank="0" text="" dxfId="15">
      <formula>AND(COUNTIF($O$123,O123)&gt;1,NOT(ISBLANK(O123)))</formula>
    </cfRule>
    <cfRule type="expression" priority="18" aboveAverage="0" equalAverage="0" bottom="0" percent="0" rank="0" text="" dxfId="16">
      <formula>AND(COUNTIF($O$123,O123)&gt;1,NOT(ISBLANK(O123)))</formula>
    </cfRule>
    <cfRule type="expression" priority="19" aboveAverage="0" equalAverage="0" bottom="0" percent="0" rank="0" text="" dxfId="17">
      <formula>AND(COUNTIF($O$123,O123)&gt;1,NOT(ISBLANK(O123)))</formula>
    </cfRule>
  </conditionalFormatting>
  <conditionalFormatting sqref="A117">
    <cfRule type="expression" priority="20" aboveAverage="0" equalAverage="0" bottom="0" percent="0" rank="0" text="" dxfId="18">
      <formula>AND(COUNTIF($A$117,A117)&gt;1,NOT(ISBLANK(A117)))</formula>
    </cfRule>
  </conditionalFormatting>
  <conditionalFormatting sqref="A117">
    <cfRule type="expression" priority="21" aboveAverage="0" equalAverage="0" bottom="0" percent="0" rank="0" text="" dxfId="19">
      <formula>AND(COUNTIF($A$117,A117)&gt;1,NOT(ISBLANK(A117)))</formula>
    </cfRule>
    <cfRule type="expression" priority="22" aboveAverage="0" equalAverage="0" bottom="0" percent="0" rank="0" text="" dxfId="20">
      <formula>AND(COUNTIF($A$117,A117)&gt;1,NOT(ISBLANK(A117)))</formula>
    </cfRule>
    <cfRule type="expression" priority="23" aboveAverage="0" equalAverage="0" bottom="0" percent="0" rank="0" text="" dxfId="21">
      <formula>AND(COUNTIF($A$117,A117)&gt;1,NOT(ISBLANK(A117)))</formula>
    </cfRule>
  </conditionalFormatting>
  <conditionalFormatting sqref="A118">
    <cfRule type="expression" priority="24" aboveAverage="0" equalAverage="0" bottom="0" percent="0" rank="0" text="" dxfId="22">
      <formula>AND(COUNTIF($A$118,A118)&gt;1,NOT(ISBLANK(A118)))</formula>
    </cfRule>
  </conditionalFormatting>
  <conditionalFormatting sqref="A118">
    <cfRule type="expression" priority="25" aboveAverage="0" equalAverage="0" bottom="0" percent="0" rank="0" text="" dxfId="23">
      <formula>AND(COUNTIF($A$118,A118)&gt;1,NOT(ISBLANK(A118)))</formula>
    </cfRule>
    <cfRule type="expression" priority="26" aboveAverage="0" equalAverage="0" bottom="0" percent="0" rank="0" text="" dxfId="24">
      <formula>AND(COUNTIF($A$118,A118)&gt;1,NOT(ISBLANK(A118)))</formula>
    </cfRule>
    <cfRule type="expression" priority="27" aboveAverage="0" equalAverage="0" bottom="0" percent="0" rank="0" text="" dxfId="25">
      <formula>AND(COUNTIF($A$118,A118)&gt;1,NOT(ISBLANK(A118)))</formula>
    </cfRule>
  </conditionalFormatting>
  <conditionalFormatting sqref="A119">
    <cfRule type="expression" priority="28" aboveAverage="0" equalAverage="0" bottom="0" percent="0" rank="0" text="" dxfId="26">
      <formula>AND(COUNTIF($A$119,A119)&gt;1,NOT(ISBLANK(A119)))</formula>
    </cfRule>
  </conditionalFormatting>
  <conditionalFormatting sqref="A119">
    <cfRule type="expression" priority="29" aboveAverage="0" equalAverage="0" bottom="0" percent="0" rank="0" text="" dxfId="27">
      <formula>AND(COUNTIF($A$119,A119)&gt;1,NOT(ISBLANK(A119)))</formula>
    </cfRule>
    <cfRule type="expression" priority="30" aboveAverage="0" equalAverage="0" bottom="0" percent="0" rank="0" text="" dxfId="28">
      <formula>AND(COUNTIF($A$119,A119)&gt;1,NOT(ISBLANK(A119)))</formula>
    </cfRule>
    <cfRule type="expression" priority="31" aboveAverage="0" equalAverage="0" bottom="0" percent="0" rank="0" text="" dxfId="29">
      <formula>AND(COUNTIF($A$119,A119)&gt;1,NOT(ISBLANK(A119)))</formula>
    </cfRule>
  </conditionalFormatting>
  <conditionalFormatting sqref="A120">
    <cfRule type="expression" priority="32" aboveAverage="0" equalAverage="0" bottom="0" percent="0" rank="0" text="" dxfId="30">
      <formula>AND(COUNTIF($A$120,A120)&gt;1,NOT(ISBLANK(A120)))</formula>
    </cfRule>
    <cfRule type="expression" priority="33" aboveAverage="0" equalAverage="0" bottom="0" percent="0" rank="0" text="" dxfId="31">
      <formula>AND(COUNTIF($A$120,A120)&gt;1,NOT(ISBLANK(A120)))</formula>
    </cfRule>
    <cfRule type="expression" priority="34" aboveAverage="0" equalAverage="0" bottom="0" percent="0" rank="0" text="" dxfId="32">
      <formula>AND(COUNTIF($A$120,A120)&gt;1,NOT(ISBLANK(A120)))</formula>
    </cfRule>
  </conditionalFormatting>
  <conditionalFormatting sqref="A121">
    <cfRule type="expression" priority="35" aboveAverage="0" equalAverage="0" bottom="0" percent="0" rank="0" text="" dxfId="33">
      <formula>AND(COUNTIF($A$121,A121)&gt;1,NOT(ISBLANK(A121)))</formula>
    </cfRule>
    <cfRule type="expression" priority="36" aboveAverage="0" equalAverage="0" bottom="0" percent="0" rank="0" text="" dxfId="34">
      <formula>AND(COUNTIF($A$121,A121)&gt;1,NOT(ISBLANK(A121)))</formula>
    </cfRule>
    <cfRule type="expression" priority="37" aboveAverage="0" equalAverage="0" bottom="0" percent="0" rank="0" text="" dxfId="35">
      <formula>AND(COUNTIF($A$121,A121)&gt;1,NOT(ISBLANK(A121)))</formula>
    </cfRule>
  </conditionalFormatting>
  <hyperlinks>
    <hyperlink ref="D238" r:id="rId2" display="충북 청주시 상당구 월평로210번길 13"/>
  </hyperlinks>
  <printOptions headings="false" gridLines="false" gridLinesSet="true" horizontalCentered="false" verticalCentered="false"/>
  <pageMargins left="0.157638888888889" right="0.157638888888889" top="0.157638888888889" bottom="0.157638888888889" header="0.511811023622047" footer="0.511811023622047"/>
  <pageSetup paperSize="9" scale="5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02"/>
  <sheetViews>
    <sheetView showFormulas="false" showGridLines="true" showRowColHeaders="true" showZeros="true" rightToLeft="false" tabSelected="false" showOutlineSymbols="true" defaultGridColor="true" view="normal" topLeftCell="A88" colorId="64" zoomScale="100" zoomScaleNormal="100" zoomScalePageLayoutView="100" workbookViewId="0">
      <selection pane="topLeft" activeCell="D10" activeCellId="0" sqref="D10:D11"/>
    </sheetView>
  </sheetViews>
  <sheetFormatPr defaultColWidth="8.87890625" defaultRowHeight="22.5" customHeight="true" zeroHeight="false" outlineLevelRow="0" outlineLevelCol="0"/>
  <cols>
    <col collapsed="false" customWidth="true" hidden="false" outlineLevel="0" max="1" min="1" style="682" width="25.22"/>
    <col collapsed="false" customWidth="true" hidden="false" outlineLevel="0" max="2" min="2" style="682" width="15.44"/>
    <col collapsed="false" customWidth="true" hidden="false" outlineLevel="0" max="3" min="3" style="682" width="13.99"/>
    <col collapsed="false" customWidth="true" hidden="false" outlineLevel="0" max="4" min="4" style="682" width="31.99"/>
    <col collapsed="false" customWidth="true" hidden="false" outlineLevel="0" max="5" min="5" style="683" width="13.55"/>
    <col collapsed="false" customWidth="true" hidden="false" outlineLevel="0" max="6" min="6" style="683" width="12.77"/>
    <col collapsed="false" customWidth="true" hidden="false" outlineLevel="0" max="7" min="7" style="682" width="10.77"/>
    <col collapsed="false" customWidth="false" hidden="false" outlineLevel="0" max="257" min="8" style="683" width="8.88"/>
  </cols>
  <sheetData>
    <row r="1" customFormat="false" ht="22.5" hidden="false" customHeight="true" outlineLevel="0" collapsed="false">
      <c r="A1" s="684" t="s">
        <v>1458</v>
      </c>
    </row>
    <row r="2" customFormat="false" ht="22.5" hidden="false" customHeight="true" outlineLevel="0" collapsed="false">
      <c r="A2" s="685" t="s">
        <v>121</v>
      </c>
      <c r="B2" s="685" t="s">
        <v>1459</v>
      </c>
      <c r="C2" s="685" t="s">
        <v>1460</v>
      </c>
      <c r="D2" s="685" t="s">
        <v>50</v>
      </c>
      <c r="E2" s="685" t="s">
        <v>1461</v>
      </c>
      <c r="F2" s="685" t="s">
        <v>153</v>
      </c>
      <c r="G2" s="685" t="s">
        <v>1462</v>
      </c>
    </row>
    <row r="3" customFormat="false" ht="22.5" hidden="false" customHeight="true" outlineLevel="0" collapsed="false">
      <c r="A3" s="686" t="s">
        <v>1463</v>
      </c>
      <c r="B3" s="687" t="s">
        <v>1464</v>
      </c>
      <c r="C3" s="687" t="s">
        <v>1465</v>
      </c>
      <c r="D3" s="688" t="s">
        <v>1466</v>
      </c>
      <c r="E3" s="687"/>
      <c r="F3" s="687" t="s">
        <v>1467</v>
      </c>
      <c r="G3" s="688" t="s">
        <v>1468</v>
      </c>
      <c r="H3" s="682"/>
      <c r="I3" s="682"/>
      <c r="J3" s="682"/>
      <c r="K3" s="682"/>
      <c r="L3" s="682"/>
      <c r="M3" s="682"/>
      <c r="N3" s="682"/>
      <c r="O3" s="682"/>
      <c r="P3" s="682"/>
      <c r="Q3" s="682"/>
      <c r="R3" s="682"/>
      <c r="S3" s="682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682"/>
      <c r="AF3" s="682"/>
      <c r="AG3" s="682"/>
      <c r="AH3" s="682"/>
      <c r="AI3" s="682"/>
      <c r="AJ3" s="682"/>
      <c r="AK3" s="682"/>
      <c r="AL3" s="682"/>
      <c r="AM3" s="682"/>
      <c r="AN3" s="682"/>
      <c r="AO3" s="682"/>
      <c r="AP3" s="682"/>
      <c r="AQ3" s="682"/>
      <c r="AR3" s="682"/>
      <c r="AS3" s="682"/>
      <c r="AT3" s="682"/>
      <c r="AU3" s="682"/>
      <c r="AV3" s="682"/>
      <c r="AW3" s="682"/>
      <c r="AX3" s="682"/>
      <c r="AY3" s="682"/>
      <c r="AZ3" s="682"/>
      <c r="BA3" s="682"/>
      <c r="BB3" s="682"/>
      <c r="BC3" s="682"/>
      <c r="BD3" s="682"/>
      <c r="BE3" s="682"/>
      <c r="BF3" s="682"/>
      <c r="BG3" s="682"/>
      <c r="BH3" s="682"/>
      <c r="BI3" s="682"/>
      <c r="BJ3" s="682"/>
      <c r="BK3" s="682"/>
      <c r="BL3" s="682"/>
      <c r="BM3" s="682"/>
      <c r="BN3" s="682"/>
      <c r="BO3" s="682"/>
      <c r="BP3" s="682"/>
      <c r="BQ3" s="682"/>
      <c r="BR3" s="682"/>
      <c r="BS3" s="682"/>
      <c r="BT3" s="682"/>
      <c r="BU3" s="682"/>
      <c r="BV3" s="682"/>
      <c r="BW3" s="682"/>
      <c r="BX3" s="682"/>
      <c r="BY3" s="682"/>
      <c r="BZ3" s="682"/>
      <c r="CA3" s="682"/>
      <c r="CB3" s="682"/>
      <c r="CC3" s="682"/>
      <c r="CD3" s="682"/>
      <c r="CE3" s="682"/>
      <c r="CF3" s="682"/>
      <c r="CG3" s="682"/>
      <c r="CH3" s="682"/>
      <c r="CI3" s="682"/>
      <c r="CJ3" s="682"/>
      <c r="CK3" s="682"/>
      <c r="CL3" s="682"/>
      <c r="CM3" s="682"/>
      <c r="CN3" s="682"/>
      <c r="CO3" s="682"/>
      <c r="CP3" s="682"/>
      <c r="CQ3" s="682"/>
      <c r="CR3" s="682"/>
      <c r="CS3" s="682"/>
      <c r="CT3" s="682"/>
      <c r="CU3" s="682"/>
      <c r="CV3" s="682"/>
      <c r="CW3" s="682"/>
      <c r="CX3" s="682"/>
      <c r="CY3" s="682"/>
      <c r="CZ3" s="682"/>
      <c r="DA3" s="682"/>
      <c r="DB3" s="682"/>
      <c r="DC3" s="682"/>
      <c r="DD3" s="682"/>
      <c r="DE3" s="682"/>
      <c r="DF3" s="682"/>
      <c r="DG3" s="682"/>
      <c r="DH3" s="682"/>
      <c r="DI3" s="682"/>
      <c r="DJ3" s="682"/>
      <c r="DK3" s="682"/>
      <c r="DL3" s="682"/>
      <c r="DM3" s="682"/>
      <c r="DN3" s="682"/>
      <c r="DO3" s="682"/>
      <c r="DP3" s="682"/>
      <c r="DQ3" s="682"/>
      <c r="DR3" s="682"/>
      <c r="DS3" s="682"/>
      <c r="DT3" s="682"/>
      <c r="DU3" s="682"/>
      <c r="DV3" s="682"/>
      <c r="DW3" s="682"/>
      <c r="DX3" s="682"/>
      <c r="DY3" s="682"/>
      <c r="DZ3" s="682"/>
      <c r="EA3" s="682"/>
      <c r="EB3" s="682"/>
      <c r="EC3" s="682"/>
      <c r="ED3" s="682"/>
      <c r="EE3" s="682"/>
      <c r="EF3" s="682"/>
      <c r="EG3" s="682"/>
      <c r="EH3" s="682"/>
      <c r="EI3" s="682"/>
      <c r="EJ3" s="682"/>
      <c r="EK3" s="682"/>
      <c r="EL3" s="682"/>
      <c r="EM3" s="682"/>
      <c r="EN3" s="682"/>
      <c r="EO3" s="682"/>
      <c r="EP3" s="682"/>
      <c r="EQ3" s="682"/>
      <c r="ER3" s="682"/>
      <c r="ES3" s="682"/>
      <c r="ET3" s="682"/>
      <c r="EU3" s="682"/>
      <c r="EV3" s="682"/>
      <c r="EW3" s="682"/>
      <c r="EX3" s="682"/>
      <c r="EY3" s="682"/>
      <c r="EZ3" s="682"/>
      <c r="FA3" s="682"/>
      <c r="FB3" s="682"/>
      <c r="FC3" s="682"/>
      <c r="FD3" s="682"/>
      <c r="FE3" s="682"/>
      <c r="FF3" s="682"/>
      <c r="FG3" s="682"/>
      <c r="FH3" s="682"/>
      <c r="FI3" s="682"/>
      <c r="FJ3" s="682"/>
      <c r="FK3" s="682"/>
      <c r="FL3" s="682"/>
      <c r="FM3" s="682"/>
      <c r="FN3" s="682"/>
      <c r="FO3" s="682"/>
      <c r="FP3" s="682"/>
      <c r="FQ3" s="682"/>
      <c r="FR3" s="682"/>
      <c r="FS3" s="682"/>
      <c r="FT3" s="682"/>
      <c r="FU3" s="682"/>
      <c r="FV3" s="682"/>
      <c r="FW3" s="682"/>
      <c r="FX3" s="682"/>
      <c r="FY3" s="682"/>
      <c r="FZ3" s="682"/>
      <c r="GA3" s="682"/>
      <c r="GB3" s="682"/>
      <c r="GC3" s="682"/>
      <c r="GD3" s="682"/>
      <c r="GE3" s="682"/>
      <c r="GF3" s="682"/>
      <c r="GG3" s="682"/>
      <c r="GH3" s="682"/>
      <c r="GI3" s="682"/>
      <c r="GJ3" s="682"/>
      <c r="GK3" s="682"/>
      <c r="GL3" s="682"/>
      <c r="GM3" s="682"/>
      <c r="GN3" s="682"/>
      <c r="GO3" s="682"/>
      <c r="GP3" s="682"/>
      <c r="GQ3" s="682"/>
      <c r="GR3" s="682"/>
      <c r="GS3" s="682"/>
      <c r="GT3" s="682"/>
      <c r="GU3" s="682"/>
      <c r="GV3" s="682"/>
      <c r="GW3" s="682"/>
      <c r="GX3" s="682"/>
      <c r="GY3" s="682"/>
      <c r="GZ3" s="682"/>
      <c r="HA3" s="682"/>
      <c r="HB3" s="682"/>
      <c r="HC3" s="682"/>
      <c r="HD3" s="682"/>
      <c r="HE3" s="682"/>
      <c r="HF3" s="682"/>
      <c r="HG3" s="682"/>
      <c r="HH3" s="682"/>
      <c r="HI3" s="682"/>
      <c r="HJ3" s="682"/>
      <c r="HK3" s="682"/>
      <c r="HL3" s="682"/>
      <c r="HM3" s="682"/>
      <c r="HN3" s="682"/>
      <c r="HO3" s="682"/>
      <c r="HP3" s="682"/>
      <c r="HQ3" s="682"/>
      <c r="HR3" s="682"/>
      <c r="HS3" s="682"/>
      <c r="HT3" s="682"/>
      <c r="HU3" s="682"/>
      <c r="HV3" s="682"/>
      <c r="HW3" s="682"/>
      <c r="HX3" s="682"/>
      <c r="HY3" s="682"/>
      <c r="HZ3" s="682"/>
      <c r="IA3" s="682"/>
      <c r="IB3" s="682"/>
      <c r="IC3" s="682"/>
      <c r="ID3" s="682"/>
      <c r="IE3" s="682"/>
      <c r="IF3" s="682"/>
      <c r="IG3" s="682"/>
      <c r="IH3" s="682"/>
      <c r="II3" s="682"/>
      <c r="IJ3" s="682"/>
      <c r="IK3" s="682"/>
      <c r="IL3" s="682"/>
      <c r="IM3" s="682"/>
      <c r="IN3" s="682"/>
      <c r="IO3" s="682"/>
      <c r="IP3" s="682"/>
      <c r="IQ3" s="682"/>
      <c r="IR3" s="682"/>
      <c r="IS3" s="682"/>
      <c r="IT3" s="682"/>
      <c r="IU3" s="682"/>
      <c r="IV3" s="682"/>
      <c r="IW3" s="682"/>
    </row>
    <row r="4" customFormat="false" ht="22.5" hidden="false" customHeight="true" outlineLevel="0" collapsed="false">
      <c r="A4" s="689" t="s">
        <v>1469</v>
      </c>
      <c r="B4" s="687" t="s">
        <v>1464</v>
      </c>
      <c r="C4" s="687" t="s">
        <v>1470</v>
      </c>
      <c r="D4" s="688" t="s">
        <v>1471</v>
      </c>
      <c r="E4" s="687"/>
      <c r="F4" s="687" t="s">
        <v>1472</v>
      </c>
      <c r="G4" s="688" t="s">
        <v>1473</v>
      </c>
    </row>
    <row r="5" customFormat="false" ht="22.5" hidden="false" customHeight="true" outlineLevel="0" collapsed="false">
      <c r="A5" s="686" t="s">
        <v>1474</v>
      </c>
      <c r="B5" s="687" t="s">
        <v>1464</v>
      </c>
      <c r="C5" s="687" t="s">
        <v>1475</v>
      </c>
      <c r="D5" s="688" t="s">
        <v>1476</v>
      </c>
      <c r="E5" s="687"/>
      <c r="F5" s="687" t="s">
        <v>1477</v>
      </c>
      <c r="G5" s="688" t="s">
        <v>1478</v>
      </c>
    </row>
    <row r="6" customFormat="false" ht="22.5" hidden="false" customHeight="true" outlineLevel="0" collapsed="false">
      <c r="A6" s="686" t="s">
        <v>1479</v>
      </c>
      <c r="B6" s="687" t="s">
        <v>1480</v>
      </c>
      <c r="C6" s="687" t="s">
        <v>1481</v>
      </c>
      <c r="D6" s="688" t="s">
        <v>1482</v>
      </c>
      <c r="E6" s="687"/>
      <c r="F6" s="687" t="s">
        <v>1483</v>
      </c>
      <c r="G6" s="688" t="s">
        <v>1484</v>
      </c>
    </row>
    <row r="7" customFormat="false" ht="22.5" hidden="false" customHeight="true" outlineLevel="0" collapsed="false">
      <c r="A7" s="686" t="s">
        <v>1485</v>
      </c>
      <c r="B7" s="687" t="s">
        <v>1486</v>
      </c>
      <c r="C7" s="687" t="s">
        <v>1487</v>
      </c>
      <c r="D7" s="688" t="s">
        <v>1488</v>
      </c>
      <c r="E7" s="687"/>
      <c r="F7" s="687" t="s">
        <v>1489</v>
      </c>
      <c r="G7" s="688" t="s">
        <v>1490</v>
      </c>
    </row>
    <row r="8" customFormat="false" ht="22.5" hidden="false" customHeight="true" outlineLevel="0" collapsed="false">
      <c r="A8" s="686" t="s">
        <v>1491</v>
      </c>
      <c r="B8" s="687" t="s">
        <v>1486</v>
      </c>
      <c r="C8" s="687" t="s">
        <v>1492</v>
      </c>
      <c r="D8" s="688" t="s">
        <v>1493</v>
      </c>
      <c r="E8" s="687"/>
      <c r="F8" s="687"/>
      <c r="G8" s="688" t="s">
        <v>1494</v>
      </c>
    </row>
    <row r="9" customFormat="false" ht="22.5" hidden="false" customHeight="true" outlineLevel="0" collapsed="false">
      <c r="A9" s="686" t="s">
        <v>1495</v>
      </c>
      <c r="B9" s="687" t="s">
        <v>1480</v>
      </c>
      <c r="C9" s="687" t="s">
        <v>1496</v>
      </c>
      <c r="D9" s="688" t="s">
        <v>1497</v>
      </c>
      <c r="E9" s="687"/>
      <c r="F9" s="687" t="s">
        <v>1498</v>
      </c>
      <c r="G9" s="688" t="s">
        <v>1499</v>
      </c>
    </row>
    <row r="10" customFormat="false" ht="22.5" hidden="false" customHeight="true" outlineLevel="0" collapsed="false">
      <c r="A10" s="686" t="s">
        <v>1500</v>
      </c>
      <c r="B10" s="688" t="s">
        <v>1501</v>
      </c>
      <c r="C10" s="687" t="s">
        <v>1502</v>
      </c>
      <c r="D10" s="688" t="s">
        <v>1503</v>
      </c>
      <c r="E10" s="687"/>
      <c r="F10" s="687" t="s">
        <v>1504</v>
      </c>
      <c r="G10" s="688" t="s">
        <v>1505</v>
      </c>
    </row>
    <row r="11" customFormat="false" ht="22.5" hidden="false" customHeight="true" outlineLevel="0" collapsed="false">
      <c r="A11" s="686" t="s">
        <v>1506</v>
      </c>
      <c r="B11" s="688" t="s">
        <v>1507</v>
      </c>
      <c r="C11" s="687" t="s">
        <v>1508</v>
      </c>
      <c r="D11" s="688" t="s">
        <v>1509</v>
      </c>
      <c r="E11" s="687"/>
      <c r="F11" s="687" t="s">
        <v>1510</v>
      </c>
      <c r="G11" s="688" t="s">
        <v>1511</v>
      </c>
    </row>
    <row r="12" customFormat="false" ht="22.5" hidden="false" customHeight="true" outlineLevel="0" collapsed="false">
      <c r="A12" s="690" t="s">
        <v>1512</v>
      </c>
      <c r="B12" s="691" t="s">
        <v>1513</v>
      </c>
      <c r="C12" s="692" t="s">
        <v>1514</v>
      </c>
      <c r="D12" s="691" t="s">
        <v>1515</v>
      </c>
      <c r="E12" s="687"/>
      <c r="F12" s="687" t="s">
        <v>1516</v>
      </c>
      <c r="G12" s="688" t="s">
        <v>1512</v>
      </c>
    </row>
    <row r="13" customFormat="false" ht="22.5" hidden="false" customHeight="true" outlineLevel="0" collapsed="false">
      <c r="A13" s="686" t="s">
        <v>1517</v>
      </c>
      <c r="B13" s="688" t="s">
        <v>1518</v>
      </c>
      <c r="C13" s="687"/>
      <c r="D13" s="688" t="s">
        <v>1519</v>
      </c>
      <c r="E13" s="687"/>
      <c r="F13" s="687" t="s">
        <v>1520</v>
      </c>
      <c r="G13" s="688" t="s">
        <v>1517</v>
      </c>
    </row>
    <row r="14" customFormat="false" ht="22.5" hidden="false" customHeight="true" outlineLevel="0" collapsed="false">
      <c r="A14" s="690" t="s">
        <v>1521</v>
      </c>
      <c r="B14" s="691" t="s">
        <v>1522</v>
      </c>
      <c r="C14" s="692" t="s">
        <v>1523</v>
      </c>
      <c r="D14" s="691" t="s">
        <v>1524</v>
      </c>
      <c r="E14" s="687"/>
      <c r="F14" s="687" t="s">
        <v>1525</v>
      </c>
      <c r="G14" s="688" t="s">
        <v>1526</v>
      </c>
    </row>
    <row r="15" customFormat="false" ht="22.5" hidden="false" customHeight="true" outlineLevel="0" collapsed="false">
      <c r="A15" s="690" t="s">
        <v>1527</v>
      </c>
      <c r="B15" s="691" t="s">
        <v>1528</v>
      </c>
      <c r="C15" s="692" t="s">
        <v>1529</v>
      </c>
      <c r="D15" s="691" t="s">
        <v>1530</v>
      </c>
      <c r="E15" s="687"/>
      <c r="F15" s="687" t="s">
        <v>1531</v>
      </c>
      <c r="G15" s="688" t="s">
        <v>1532</v>
      </c>
    </row>
    <row r="16" customFormat="false" ht="22.5" hidden="false" customHeight="true" outlineLevel="0" collapsed="false">
      <c r="A16" s="693" t="s">
        <v>1533</v>
      </c>
      <c r="B16" s="694" t="s">
        <v>1534</v>
      </c>
      <c r="C16" s="687" t="s">
        <v>1535</v>
      </c>
      <c r="D16" s="695" t="s">
        <v>1536</v>
      </c>
      <c r="E16" s="687"/>
      <c r="F16" s="696" t="s">
        <v>1537</v>
      </c>
      <c r="G16" s="688" t="s">
        <v>1533</v>
      </c>
    </row>
    <row r="17" customFormat="false" ht="22.5" hidden="false" customHeight="true" outlineLevel="0" collapsed="false">
      <c r="A17" s="693" t="s">
        <v>1538</v>
      </c>
      <c r="B17" s="697" t="s">
        <v>1486</v>
      </c>
      <c r="C17" s="687" t="s">
        <v>1539</v>
      </c>
      <c r="D17" s="695" t="s">
        <v>1540</v>
      </c>
      <c r="E17" s="687"/>
      <c r="F17" s="696" t="s">
        <v>1489</v>
      </c>
      <c r="G17" s="688" t="s">
        <v>1490</v>
      </c>
    </row>
    <row r="18" customFormat="false" ht="22.5" hidden="false" customHeight="true" outlineLevel="0" collapsed="false">
      <c r="A18" s="693" t="s">
        <v>1541</v>
      </c>
      <c r="B18" s="697" t="s">
        <v>1542</v>
      </c>
      <c r="C18" s="687" t="s">
        <v>1543</v>
      </c>
      <c r="D18" s="695" t="s">
        <v>1544</v>
      </c>
      <c r="E18" s="687"/>
      <c r="F18" s="696" t="s">
        <v>1545</v>
      </c>
      <c r="G18" s="688" t="s">
        <v>1546</v>
      </c>
    </row>
    <row r="19" customFormat="false" ht="22.5" hidden="false" customHeight="true" outlineLevel="0" collapsed="false">
      <c r="A19" s="698" t="s">
        <v>1547</v>
      </c>
      <c r="B19" s="694" t="s">
        <v>1548</v>
      </c>
      <c r="C19" s="687" t="s">
        <v>1549</v>
      </c>
      <c r="D19" s="699" t="s">
        <v>1550</v>
      </c>
      <c r="E19" s="687"/>
      <c r="F19" s="696" t="s">
        <v>1551</v>
      </c>
      <c r="G19" s="700" t="s">
        <v>1552</v>
      </c>
    </row>
    <row r="20" customFormat="false" ht="22.5" hidden="false" customHeight="true" outlineLevel="0" collapsed="false">
      <c r="A20" s="686" t="s">
        <v>1553</v>
      </c>
      <c r="B20" s="688" t="s">
        <v>1554</v>
      </c>
      <c r="C20" s="687" t="s">
        <v>1555</v>
      </c>
      <c r="D20" s="699" t="s">
        <v>1556</v>
      </c>
      <c r="E20" s="687"/>
      <c r="F20" s="687" t="s">
        <v>1557</v>
      </c>
      <c r="G20" s="688" t="s">
        <v>1553</v>
      </c>
    </row>
    <row r="21" customFormat="false" ht="22.5" hidden="false" customHeight="true" outlineLevel="0" collapsed="false">
      <c r="A21" s="686" t="s">
        <v>1558</v>
      </c>
      <c r="B21" s="688" t="s">
        <v>1559</v>
      </c>
      <c r="C21" s="687" t="s">
        <v>1560</v>
      </c>
      <c r="D21" s="688" t="s">
        <v>1561</v>
      </c>
      <c r="E21" s="687"/>
      <c r="F21" s="687" t="s">
        <v>1562</v>
      </c>
      <c r="G21" s="688" t="s">
        <v>1563</v>
      </c>
    </row>
    <row r="22" customFormat="false" ht="22.5" hidden="false" customHeight="true" outlineLevel="0" collapsed="false">
      <c r="A22" s="686" t="s">
        <v>1564</v>
      </c>
      <c r="B22" s="694" t="s">
        <v>1534</v>
      </c>
      <c r="C22" s="687" t="s">
        <v>1565</v>
      </c>
      <c r="D22" s="688" t="s">
        <v>1566</v>
      </c>
      <c r="E22" s="687"/>
      <c r="F22" s="687" t="s">
        <v>1567</v>
      </c>
      <c r="G22" s="688" t="s">
        <v>1568</v>
      </c>
    </row>
    <row r="23" customFormat="false" ht="22.5" hidden="false" customHeight="true" outlineLevel="0" collapsed="false">
      <c r="A23" s="686" t="s">
        <v>1569</v>
      </c>
      <c r="B23" s="688" t="s">
        <v>1570</v>
      </c>
      <c r="C23" s="687" t="s">
        <v>1571</v>
      </c>
      <c r="D23" s="688" t="s">
        <v>1572</v>
      </c>
      <c r="E23" s="687"/>
      <c r="F23" s="687" t="s">
        <v>1573</v>
      </c>
      <c r="G23" s="688" t="s">
        <v>1569</v>
      </c>
    </row>
    <row r="24" customFormat="false" ht="22.5" hidden="false" customHeight="true" outlineLevel="0" collapsed="false">
      <c r="A24" s="686" t="s">
        <v>1574</v>
      </c>
      <c r="B24" s="688" t="s">
        <v>1575</v>
      </c>
      <c r="C24" s="687" t="s">
        <v>1576</v>
      </c>
      <c r="D24" s="688" t="s">
        <v>1577</v>
      </c>
      <c r="E24" s="687"/>
      <c r="F24" s="687" t="s">
        <v>1578</v>
      </c>
      <c r="G24" s="688" t="s">
        <v>1579</v>
      </c>
    </row>
    <row r="25" customFormat="false" ht="22.5" hidden="false" customHeight="true" outlineLevel="0" collapsed="false">
      <c r="A25" s="686" t="s">
        <v>1580</v>
      </c>
      <c r="B25" s="688" t="s">
        <v>1581</v>
      </c>
      <c r="C25" s="687" t="s">
        <v>1582</v>
      </c>
      <c r="D25" s="688" t="s">
        <v>1583</v>
      </c>
      <c r="E25" s="687"/>
      <c r="F25" s="687" t="s">
        <v>1584</v>
      </c>
      <c r="G25" s="688" t="s">
        <v>1585</v>
      </c>
    </row>
    <row r="26" customFormat="false" ht="22.5" hidden="false" customHeight="true" outlineLevel="0" collapsed="false">
      <c r="A26" s="686" t="s">
        <v>1586</v>
      </c>
      <c r="B26" s="688" t="s">
        <v>1587</v>
      </c>
      <c r="C26" s="687" t="s">
        <v>1588</v>
      </c>
      <c r="D26" s="687" t="s">
        <v>1589</v>
      </c>
      <c r="E26" s="687"/>
      <c r="F26" s="687" t="s">
        <v>1590</v>
      </c>
      <c r="G26" s="688" t="s">
        <v>1591</v>
      </c>
    </row>
    <row r="27" customFormat="false" ht="22.5" hidden="false" customHeight="true" outlineLevel="0" collapsed="false">
      <c r="A27" s="686" t="s">
        <v>1592</v>
      </c>
      <c r="B27" s="687" t="s">
        <v>1593</v>
      </c>
      <c r="C27" s="687" t="s">
        <v>1594</v>
      </c>
      <c r="D27" s="688" t="s">
        <v>1595</v>
      </c>
      <c r="E27" s="687"/>
      <c r="F27" s="687" t="s">
        <v>1596</v>
      </c>
      <c r="G27" s="688" t="s">
        <v>1597</v>
      </c>
    </row>
    <row r="28" customFormat="false" ht="22.5" hidden="false" customHeight="true" outlineLevel="0" collapsed="false">
      <c r="A28" s="686" t="s">
        <v>1598</v>
      </c>
      <c r="B28" s="687" t="s">
        <v>1593</v>
      </c>
      <c r="C28" s="687" t="s">
        <v>1599</v>
      </c>
      <c r="D28" s="688" t="s">
        <v>1600</v>
      </c>
      <c r="E28" s="687"/>
      <c r="F28" s="687" t="s">
        <v>1596</v>
      </c>
      <c r="G28" s="688" t="s">
        <v>1597</v>
      </c>
    </row>
    <row r="29" customFormat="false" ht="22.5" hidden="false" customHeight="true" outlineLevel="0" collapsed="false">
      <c r="A29" s="686" t="s">
        <v>1601</v>
      </c>
      <c r="B29" s="687" t="s">
        <v>1593</v>
      </c>
      <c r="C29" s="687" t="s">
        <v>1602</v>
      </c>
      <c r="D29" s="688" t="s">
        <v>1603</v>
      </c>
      <c r="E29" s="687"/>
      <c r="F29" s="687" t="s">
        <v>1596</v>
      </c>
      <c r="G29" s="688" t="s">
        <v>1597</v>
      </c>
    </row>
    <row r="30" customFormat="false" ht="22.5" hidden="false" customHeight="true" outlineLevel="0" collapsed="false">
      <c r="A30" s="686" t="s">
        <v>1604</v>
      </c>
      <c r="B30" s="687" t="s">
        <v>1605</v>
      </c>
      <c r="C30" s="687" t="s">
        <v>1606</v>
      </c>
      <c r="D30" s="688" t="s">
        <v>1607</v>
      </c>
      <c r="E30" s="687"/>
      <c r="F30" s="687" t="s">
        <v>1596</v>
      </c>
      <c r="G30" s="688" t="s">
        <v>1597</v>
      </c>
    </row>
    <row r="31" customFormat="false" ht="22.5" hidden="false" customHeight="true" outlineLevel="0" collapsed="false">
      <c r="A31" s="686" t="s">
        <v>1608</v>
      </c>
      <c r="B31" s="687" t="s">
        <v>1609</v>
      </c>
      <c r="C31" s="687" t="s">
        <v>1610</v>
      </c>
      <c r="D31" s="688" t="s">
        <v>1611</v>
      </c>
      <c r="E31" s="687"/>
      <c r="F31" s="696" t="s">
        <v>1551</v>
      </c>
      <c r="G31" s="688" t="s">
        <v>1612</v>
      </c>
    </row>
    <row r="32" customFormat="false" ht="22.5" hidden="false" customHeight="true" outlineLevel="0" collapsed="false">
      <c r="A32" s="686" t="s">
        <v>1613</v>
      </c>
      <c r="B32" s="687" t="s">
        <v>1605</v>
      </c>
      <c r="C32" s="687" t="s">
        <v>1614</v>
      </c>
      <c r="D32" s="688" t="s">
        <v>1615</v>
      </c>
      <c r="E32" s="687"/>
      <c r="F32" s="687" t="s">
        <v>1596</v>
      </c>
      <c r="G32" s="688" t="s">
        <v>1597</v>
      </c>
    </row>
    <row r="33" customFormat="false" ht="22.5" hidden="false" customHeight="true" outlineLevel="0" collapsed="false">
      <c r="A33" s="686" t="s">
        <v>1616</v>
      </c>
      <c r="B33" s="687" t="s">
        <v>1617</v>
      </c>
      <c r="C33" s="687" t="s">
        <v>1618</v>
      </c>
      <c r="D33" s="688" t="s">
        <v>1619</v>
      </c>
      <c r="E33" s="687"/>
      <c r="F33" s="696" t="s">
        <v>1489</v>
      </c>
      <c r="G33" s="688" t="s">
        <v>1490</v>
      </c>
      <c r="H33" s="701"/>
    </row>
    <row r="34" customFormat="false" ht="22.5" hidden="false" customHeight="true" outlineLevel="0" collapsed="false">
      <c r="A34" s="686" t="s">
        <v>1620</v>
      </c>
      <c r="B34" s="687" t="s">
        <v>1621</v>
      </c>
      <c r="C34" s="687" t="s">
        <v>1622</v>
      </c>
      <c r="D34" s="687" t="s">
        <v>1623</v>
      </c>
      <c r="E34" s="687"/>
      <c r="F34" s="687" t="s">
        <v>1624</v>
      </c>
      <c r="G34" s="687"/>
    </row>
    <row r="35" customFormat="false" ht="22.5" hidden="false" customHeight="true" outlineLevel="0" collapsed="false">
      <c r="A35" s="686" t="s">
        <v>1625</v>
      </c>
      <c r="B35" s="687" t="s">
        <v>1626</v>
      </c>
      <c r="C35" s="687" t="s">
        <v>1627</v>
      </c>
      <c r="D35" s="688" t="s">
        <v>1628</v>
      </c>
      <c r="E35" s="687"/>
      <c r="F35" s="687"/>
      <c r="G35" s="687"/>
    </row>
    <row r="36" customFormat="false" ht="22.5" hidden="false" customHeight="true" outlineLevel="0" collapsed="false">
      <c r="A36" s="686" t="s">
        <v>1629</v>
      </c>
      <c r="B36" s="687" t="s">
        <v>1630</v>
      </c>
      <c r="C36" s="687" t="s">
        <v>1631</v>
      </c>
      <c r="D36" s="688" t="s">
        <v>1632</v>
      </c>
      <c r="E36" s="687"/>
      <c r="F36" s="696" t="s">
        <v>1489</v>
      </c>
      <c r="G36" s="688" t="s">
        <v>1490</v>
      </c>
    </row>
    <row r="37" customFormat="false" ht="22.5" hidden="false" customHeight="true" outlineLevel="0" collapsed="false">
      <c r="A37" s="686" t="s">
        <v>1633</v>
      </c>
      <c r="B37" s="687" t="s">
        <v>1630</v>
      </c>
      <c r="C37" s="687" t="s">
        <v>1634</v>
      </c>
      <c r="D37" s="688" t="s">
        <v>1635</v>
      </c>
      <c r="E37" s="687"/>
      <c r="F37" s="696" t="s">
        <v>1489</v>
      </c>
      <c r="G37" s="688" t="s">
        <v>1490</v>
      </c>
    </row>
    <row r="38" customFormat="false" ht="22.5" hidden="false" customHeight="true" outlineLevel="0" collapsed="false">
      <c r="A38" s="686" t="s">
        <v>1636</v>
      </c>
      <c r="B38" s="687" t="s">
        <v>1630</v>
      </c>
      <c r="C38" s="687" t="s">
        <v>1637</v>
      </c>
      <c r="D38" s="688" t="s">
        <v>1638</v>
      </c>
      <c r="E38" s="687"/>
      <c r="F38" s="687" t="s">
        <v>1639</v>
      </c>
      <c r="G38" s="687"/>
    </row>
    <row r="39" customFormat="false" ht="22.5" hidden="false" customHeight="true" outlineLevel="0" collapsed="false">
      <c r="A39" s="686" t="s">
        <v>1640</v>
      </c>
      <c r="B39" s="688" t="s">
        <v>1641</v>
      </c>
      <c r="C39" s="687" t="s">
        <v>1642</v>
      </c>
      <c r="D39" s="688" t="s">
        <v>1643</v>
      </c>
      <c r="E39" s="687"/>
      <c r="F39" s="687" t="s">
        <v>1644</v>
      </c>
      <c r="G39" s="687"/>
    </row>
    <row r="40" customFormat="false" ht="22.5" hidden="false" customHeight="true" outlineLevel="0" collapsed="false">
      <c r="A40" s="686" t="s">
        <v>1645</v>
      </c>
      <c r="B40" s="688" t="s">
        <v>1559</v>
      </c>
      <c r="C40" s="687" t="s">
        <v>1646</v>
      </c>
      <c r="D40" s="688" t="s">
        <v>1647</v>
      </c>
      <c r="E40" s="687"/>
      <c r="F40" s="687" t="s">
        <v>1648</v>
      </c>
      <c r="G40" s="687"/>
    </row>
    <row r="41" customFormat="false" ht="22.5" hidden="false" customHeight="true" outlineLevel="0" collapsed="false">
      <c r="A41" s="686" t="s">
        <v>1649</v>
      </c>
      <c r="B41" s="688" t="s">
        <v>1650</v>
      </c>
      <c r="C41" s="687" t="s">
        <v>1651</v>
      </c>
      <c r="D41" s="688" t="s">
        <v>1652</v>
      </c>
      <c r="E41" s="687"/>
      <c r="F41" s="687" t="s">
        <v>1653</v>
      </c>
      <c r="G41" s="687"/>
    </row>
    <row r="42" customFormat="false" ht="22.5" hidden="false" customHeight="true" outlineLevel="0" collapsed="false">
      <c r="A42" s="686" t="s">
        <v>1654</v>
      </c>
      <c r="B42" s="687" t="s">
        <v>1655</v>
      </c>
      <c r="C42" s="687" t="s">
        <v>1656</v>
      </c>
      <c r="D42" s="687" t="s">
        <v>1657</v>
      </c>
      <c r="E42" s="687"/>
      <c r="F42" s="687" t="s">
        <v>1658</v>
      </c>
      <c r="G42" s="688" t="s">
        <v>1659</v>
      </c>
    </row>
    <row r="43" customFormat="false" ht="22.5" hidden="false" customHeight="true" outlineLevel="0" collapsed="false">
      <c r="A43" s="686" t="s">
        <v>1660</v>
      </c>
      <c r="B43" s="687" t="s">
        <v>1617</v>
      </c>
      <c r="C43" s="687" t="s">
        <v>1661</v>
      </c>
      <c r="D43" s="688" t="s">
        <v>1662</v>
      </c>
      <c r="E43" s="687"/>
      <c r="F43" s="687" t="s">
        <v>1663</v>
      </c>
      <c r="G43" s="688" t="s">
        <v>1664</v>
      </c>
    </row>
    <row r="44" customFormat="false" ht="22.5" hidden="false" customHeight="true" outlineLevel="0" collapsed="false">
      <c r="A44" s="686" t="s">
        <v>1665</v>
      </c>
      <c r="B44" s="687" t="s">
        <v>1617</v>
      </c>
      <c r="C44" s="687" t="s">
        <v>1666</v>
      </c>
      <c r="D44" s="688" t="s">
        <v>1667</v>
      </c>
      <c r="E44" s="687"/>
      <c r="F44" s="687" t="s">
        <v>1668</v>
      </c>
      <c r="G44" s="688" t="s">
        <v>1669</v>
      </c>
    </row>
    <row r="45" customFormat="false" ht="22.5" hidden="false" customHeight="true" outlineLevel="0" collapsed="false">
      <c r="A45" s="686" t="s">
        <v>1670</v>
      </c>
      <c r="B45" s="687" t="s">
        <v>1605</v>
      </c>
      <c r="C45" s="687" t="s">
        <v>1671</v>
      </c>
      <c r="D45" s="688" t="s">
        <v>1672</v>
      </c>
      <c r="E45" s="687"/>
      <c r="F45" s="687" t="s">
        <v>1673</v>
      </c>
      <c r="G45" s="688" t="s">
        <v>1674</v>
      </c>
    </row>
    <row r="46" customFormat="false" ht="22.5" hidden="false" customHeight="true" outlineLevel="0" collapsed="false">
      <c r="A46" s="686" t="s">
        <v>1675</v>
      </c>
      <c r="B46" s="687" t="s">
        <v>1593</v>
      </c>
      <c r="C46" s="687" t="s">
        <v>1676</v>
      </c>
      <c r="D46" s="688" t="s">
        <v>1677</v>
      </c>
      <c r="E46" s="687"/>
      <c r="F46" s="687" t="s">
        <v>1668</v>
      </c>
      <c r="G46" s="688" t="s">
        <v>1669</v>
      </c>
    </row>
    <row r="47" customFormat="false" ht="22.5" hidden="false" customHeight="true" outlineLevel="0" collapsed="false">
      <c r="A47" s="686" t="s">
        <v>1678</v>
      </c>
      <c r="B47" s="687" t="s">
        <v>1593</v>
      </c>
      <c r="C47" s="687" t="s">
        <v>1656</v>
      </c>
      <c r="D47" s="688" t="s">
        <v>1679</v>
      </c>
      <c r="E47" s="687"/>
      <c r="F47" s="687" t="s">
        <v>1658</v>
      </c>
      <c r="G47" s="687"/>
    </row>
    <row r="48" customFormat="false" ht="22.5" hidden="false" customHeight="true" outlineLevel="0" collapsed="false">
      <c r="A48" s="686" t="s">
        <v>1680</v>
      </c>
      <c r="B48" s="687" t="s">
        <v>1593</v>
      </c>
      <c r="C48" s="687" t="s">
        <v>1681</v>
      </c>
      <c r="D48" s="688" t="s">
        <v>1682</v>
      </c>
      <c r="E48" s="687"/>
      <c r="F48" s="687" t="s">
        <v>1683</v>
      </c>
      <c r="G48" s="688" t="s">
        <v>1684</v>
      </c>
    </row>
    <row r="49" customFormat="false" ht="22.5" hidden="false" customHeight="true" outlineLevel="0" collapsed="false">
      <c r="A49" s="686" t="s">
        <v>1685</v>
      </c>
      <c r="B49" s="688" t="s">
        <v>1650</v>
      </c>
      <c r="C49" s="687" t="s">
        <v>1686</v>
      </c>
      <c r="D49" s="688" t="s">
        <v>1687</v>
      </c>
      <c r="E49" s="687"/>
      <c r="F49" s="687" t="s">
        <v>1688</v>
      </c>
      <c r="G49" s="688" t="s">
        <v>1575</v>
      </c>
    </row>
    <row r="50" customFormat="false" ht="22.5" hidden="false" customHeight="true" outlineLevel="0" collapsed="false">
      <c r="A50" s="686" t="s">
        <v>1689</v>
      </c>
      <c r="B50" s="688" t="s">
        <v>1690</v>
      </c>
      <c r="C50" s="687" t="s">
        <v>1691</v>
      </c>
      <c r="D50" s="688" t="s">
        <v>1692</v>
      </c>
      <c r="E50" s="687"/>
      <c r="F50" s="687"/>
      <c r="G50" s="687"/>
    </row>
    <row r="51" customFormat="false" ht="22.5" hidden="false" customHeight="true" outlineLevel="0" collapsed="false">
      <c r="A51" s="686" t="s">
        <v>1693</v>
      </c>
      <c r="B51" s="687" t="s">
        <v>1605</v>
      </c>
      <c r="C51" s="687" t="s">
        <v>1694</v>
      </c>
      <c r="D51" s="688" t="s">
        <v>1695</v>
      </c>
      <c r="E51" s="687"/>
      <c r="F51" s="687"/>
      <c r="G51" s="687"/>
    </row>
    <row r="52" customFormat="false" ht="22.5" hidden="false" customHeight="true" outlineLevel="0" collapsed="false">
      <c r="A52" s="686" t="s">
        <v>1696</v>
      </c>
      <c r="B52" s="687" t="s">
        <v>1605</v>
      </c>
      <c r="C52" s="687" t="s">
        <v>1697</v>
      </c>
      <c r="D52" s="688" t="s">
        <v>1698</v>
      </c>
      <c r="E52" s="687"/>
      <c r="F52" s="687"/>
      <c r="G52" s="687"/>
    </row>
    <row r="53" customFormat="false" ht="22.5" hidden="false" customHeight="true" outlineLevel="0" collapsed="false">
      <c r="A53" s="686" t="s">
        <v>1699</v>
      </c>
      <c r="B53" s="687" t="s">
        <v>1593</v>
      </c>
      <c r="C53" s="687" t="s">
        <v>1700</v>
      </c>
      <c r="D53" s="688" t="s">
        <v>1701</v>
      </c>
      <c r="E53" s="687"/>
      <c r="F53" s="687"/>
      <c r="G53" s="687"/>
    </row>
    <row r="54" customFormat="false" ht="22.5" hidden="false" customHeight="true" outlineLevel="0" collapsed="false">
      <c r="A54" s="686" t="s">
        <v>1702</v>
      </c>
      <c r="B54" s="687" t="s">
        <v>1593</v>
      </c>
      <c r="C54" s="687" t="s">
        <v>1703</v>
      </c>
      <c r="D54" s="688" t="s">
        <v>1704</v>
      </c>
      <c r="E54" s="687"/>
      <c r="F54" s="687"/>
      <c r="G54" s="687"/>
    </row>
    <row r="55" customFormat="false" ht="22.5" hidden="false" customHeight="true" outlineLevel="0" collapsed="false">
      <c r="A55" s="686" t="s">
        <v>1705</v>
      </c>
      <c r="B55" s="687" t="s">
        <v>1593</v>
      </c>
      <c r="C55" s="687" t="s">
        <v>1706</v>
      </c>
      <c r="D55" s="688" t="s">
        <v>1707</v>
      </c>
      <c r="E55" s="687"/>
      <c r="F55" s="687"/>
      <c r="G55" s="687"/>
    </row>
    <row r="56" customFormat="false" ht="22.5" hidden="false" customHeight="true" outlineLevel="0" collapsed="false">
      <c r="A56" s="686" t="s">
        <v>1708</v>
      </c>
      <c r="B56" s="687" t="s">
        <v>1593</v>
      </c>
      <c r="C56" s="687" t="s">
        <v>1539</v>
      </c>
      <c r="D56" s="688" t="s">
        <v>1709</v>
      </c>
      <c r="E56" s="687"/>
      <c r="F56" s="687"/>
      <c r="G56" s="687"/>
    </row>
    <row r="57" customFormat="false" ht="22.5" hidden="false" customHeight="true" outlineLevel="0" collapsed="false">
      <c r="A57" s="686" t="s">
        <v>1710</v>
      </c>
      <c r="B57" s="687" t="s">
        <v>1593</v>
      </c>
      <c r="C57" s="687" t="s">
        <v>1711</v>
      </c>
      <c r="D57" s="688" t="s">
        <v>1712</v>
      </c>
      <c r="E57" s="687"/>
      <c r="F57" s="687"/>
      <c r="G57" s="687"/>
    </row>
    <row r="58" customFormat="false" ht="22.5" hidden="false" customHeight="true" outlineLevel="0" collapsed="false">
      <c r="A58" s="686" t="s">
        <v>1713</v>
      </c>
      <c r="B58" s="687" t="s">
        <v>1593</v>
      </c>
      <c r="C58" s="687" t="s">
        <v>1714</v>
      </c>
      <c r="D58" s="688" t="s">
        <v>1715</v>
      </c>
      <c r="E58" s="687"/>
      <c r="F58" s="687"/>
      <c r="G58" s="687"/>
    </row>
    <row r="59" customFormat="false" ht="22.5" hidden="false" customHeight="true" outlineLevel="0" collapsed="false">
      <c r="A59" s="686" t="s">
        <v>1716</v>
      </c>
      <c r="B59" s="687" t="s">
        <v>1593</v>
      </c>
      <c r="C59" s="687" t="s">
        <v>1717</v>
      </c>
      <c r="D59" s="688" t="s">
        <v>1718</v>
      </c>
      <c r="E59" s="687"/>
      <c r="F59" s="687"/>
      <c r="G59" s="687"/>
    </row>
    <row r="60" customFormat="false" ht="22.5" hidden="false" customHeight="true" outlineLevel="0" collapsed="false">
      <c r="A60" s="686" t="s">
        <v>1719</v>
      </c>
      <c r="B60" s="687" t="s">
        <v>1593</v>
      </c>
      <c r="C60" s="687" t="s">
        <v>1720</v>
      </c>
      <c r="D60" s="688" t="s">
        <v>1721</v>
      </c>
      <c r="E60" s="687"/>
      <c r="F60" s="687"/>
      <c r="G60" s="687"/>
    </row>
    <row r="61" customFormat="false" ht="22.5" hidden="false" customHeight="true" outlineLevel="0" collapsed="false">
      <c r="A61" s="686" t="s">
        <v>1722</v>
      </c>
      <c r="B61" s="687" t="s">
        <v>1723</v>
      </c>
      <c r="C61" s="687" t="s">
        <v>1724</v>
      </c>
      <c r="D61" s="688" t="s">
        <v>1725</v>
      </c>
      <c r="E61" s="687"/>
      <c r="F61" s="687"/>
      <c r="G61" s="687"/>
    </row>
    <row r="62" customFormat="false" ht="22.5" hidden="false" customHeight="true" outlineLevel="0" collapsed="false">
      <c r="A62" s="686" t="s">
        <v>1726</v>
      </c>
      <c r="B62" s="688" t="s">
        <v>1727</v>
      </c>
      <c r="C62" s="687" t="s">
        <v>1728</v>
      </c>
      <c r="D62" s="688" t="s">
        <v>1729</v>
      </c>
      <c r="E62" s="687"/>
      <c r="F62" s="687" t="s">
        <v>1730</v>
      </c>
      <c r="G62" s="687"/>
    </row>
    <row r="63" customFormat="false" ht="22.5" hidden="false" customHeight="true" outlineLevel="0" collapsed="false">
      <c r="A63" s="688" t="s">
        <v>1731</v>
      </c>
      <c r="B63" s="687" t="s">
        <v>1617</v>
      </c>
      <c r="C63" s="687" t="s">
        <v>1732</v>
      </c>
      <c r="D63" s="688" t="s">
        <v>1733</v>
      </c>
      <c r="E63" s="702"/>
      <c r="F63" s="702"/>
      <c r="G63" s="687"/>
    </row>
    <row r="64" customFormat="false" ht="22.5" hidden="false" customHeight="true" outlineLevel="0" collapsed="false">
      <c r="A64" s="688" t="s">
        <v>1734</v>
      </c>
      <c r="B64" s="687" t="s">
        <v>1593</v>
      </c>
      <c r="C64" s="687" t="s">
        <v>1735</v>
      </c>
      <c r="D64" s="688" t="s">
        <v>1736</v>
      </c>
      <c r="E64" s="702"/>
      <c r="F64" s="702"/>
      <c r="G64" s="687"/>
    </row>
    <row r="65" customFormat="false" ht="22.5" hidden="false" customHeight="true" outlineLevel="0" collapsed="false">
      <c r="A65" s="688" t="s">
        <v>1737</v>
      </c>
      <c r="B65" s="687" t="s">
        <v>1617</v>
      </c>
      <c r="C65" s="687" t="s">
        <v>1738</v>
      </c>
      <c r="D65" s="688" t="s">
        <v>1739</v>
      </c>
      <c r="E65" s="702"/>
      <c r="F65" s="687" t="s">
        <v>1740</v>
      </c>
      <c r="G65" s="687"/>
    </row>
    <row r="66" customFormat="false" ht="22.5" hidden="false" customHeight="true" outlineLevel="0" collapsed="false">
      <c r="A66" s="688" t="s">
        <v>1741</v>
      </c>
      <c r="B66" s="688" t="s">
        <v>1742</v>
      </c>
      <c r="C66" s="687" t="s">
        <v>1743</v>
      </c>
      <c r="D66" s="688" t="s">
        <v>1744</v>
      </c>
      <c r="E66" s="702"/>
      <c r="F66" s="702"/>
      <c r="G66" s="687"/>
    </row>
    <row r="67" customFormat="false" ht="22.5" hidden="false" customHeight="true" outlineLevel="0" collapsed="false">
      <c r="A67" s="688" t="s">
        <v>1745</v>
      </c>
      <c r="B67" s="687" t="s">
        <v>1593</v>
      </c>
      <c r="C67" s="687" t="s">
        <v>1746</v>
      </c>
      <c r="D67" s="688" t="s">
        <v>1747</v>
      </c>
      <c r="E67" s="702"/>
      <c r="F67" s="702"/>
      <c r="G67" s="687"/>
    </row>
    <row r="68" customFormat="false" ht="22.5" hidden="false" customHeight="true" outlineLevel="0" collapsed="false">
      <c r="A68" s="688" t="s">
        <v>1748</v>
      </c>
      <c r="B68" s="687" t="s">
        <v>1593</v>
      </c>
      <c r="C68" s="687" t="s">
        <v>1749</v>
      </c>
      <c r="D68" s="688" t="s">
        <v>1750</v>
      </c>
      <c r="E68" s="702"/>
      <c r="F68" s="702" t="s">
        <v>1751</v>
      </c>
      <c r="G68" s="687"/>
    </row>
    <row r="69" customFormat="false" ht="22.5" hidden="false" customHeight="true" outlineLevel="0" collapsed="false">
      <c r="A69" s="688" t="s">
        <v>1752</v>
      </c>
      <c r="B69" s="688" t="s">
        <v>1753</v>
      </c>
      <c r="C69" s="687" t="s">
        <v>1754</v>
      </c>
      <c r="D69" s="688" t="s">
        <v>1755</v>
      </c>
      <c r="E69" s="702"/>
      <c r="F69" s="702"/>
      <c r="G69" s="687"/>
    </row>
    <row r="70" customFormat="false" ht="22.5" hidden="false" customHeight="true" outlineLevel="0" collapsed="false">
      <c r="A70" s="688" t="s">
        <v>1756</v>
      </c>
      <c r="B70" s="688" t="s">
        <v>1757</v>
      </c>
      <c r="C70" s="687" t="s">
        <v>1758</v>
      </c>
      <c r="D70" s="688" t="s">
        <v>1759</v>
      </c>
      <c r="E70" s="702"/>
      <c r="F70" s="702"/>
      <c r="G70" s="687"/>
    </row>
    <row r="71" customFormat="false" ht="22.5" hidden="false" customHeight="true" outlineLevel="0" collapsed="false">
      <c r="A71" s="688" t="s">
        <v>1760</v>
      </c>
      <c r="B71" s="688" t="s">
        <v>1761</v>
      </c>
      <c r="C71" s="687" t="s">
        <v>1762</v>
      </c>
      <c r="D71" s="688" t="s">
        <v>1763</v>
      </c>
      <c r="E71" s="702"/>
      <c r="F71" s="702"/>
      <c r="G71" s="687"/>
    </row>
    <row r="72" customFormat="false" ht="22.5" hidden="false" customHeight="true" outlineLevel="0" collapsed="false">
      <c r="A72" s="688" t="s">
        <v>1764</v>
      </c>
      <c r="B72" s="687" t="s">
        <v>1621</v>
      </c>
      <c r="C72" s="687" t="s">
        <v>1765</v>
      </c>
      <c r="D72" s="688" t="s">
        <v>1766</v>
      </c>
      <c r="E72" s="702"/>
      <c r="F72" s="702" t="s">
        <v>1767</v>
      </c>
      <c r="G72" s="687"/>
    </row>
    <row r="73" customFormat="false" ht="22.5" hidden="false" customHeight="true" outlineLevel="0" collapsed="false">
      <c r="A73" s="688" t="s">
        <v>1768</v>
      </c>
      <c r="B73" s="687" t="s">
        <v>1593</v>
      </c>
      <c r="C73" s="687" t="s">
        <v>1769</v>
      </c>
      <c r="D73" s="688" t="s">
        <v>1770</v>
      </c>
      <c r="E73" s="702"/>
      <c r="F73" s="702"/>
      <c r="G73" s="687"/>
    </row>
    <row r="74" customFormat="false" ht="22.5" hidden="false" customHeight="true" outlineLevel="0" collapsed="false">
      <c r="A74" s="688" t="s">
        <v>1771</v>
      </c>
      <c r="B74" s="687" t="s">
        <v>1593</v>
      </c>
      <c r="C74" s="687" t="s">
        <v>1772</v>
      </c>
      <c r="D74" s="688" t="s">
        <v>1773</v>
      </c>
      <c r="E74" s="702"/>
      <c r="F74" s="702"/>
      <c r="G74" s="687"/>
    </row>
    <row r="75" customFormat="false" ht="22.5" hidden="false" customHeight="true" outlineLevel="0" collapsed="false">
      <c r="A75" s="688" t="s">
        <v>1774</v>
      </c>
      <c r="B75" s="687" t="s">
        <v>1593</v>
      </c>
      <c r="C75" s="687" t="s">
        <v>1775</v>
      </c>
      <c r="D75" s="688" t="s">
        <v>1776</v>
      </c>
      <c r="E75" s="702"/>
      <c r="F75" s="702"/>
      <c r="G75" s="687"/>
    </row>
    <row r="76" customFormat="false" ht="22.5" hidden="false" customHeight="true" outlineLevel="0" collapsed="false">
      <c r="A76" s="688" t="s">
        <v>1777</v>
      </c>
      <c r="B76" s="687" t="s">
        <v>1593</v>
      </c>
      <c r="C76" s="687" t="s">
        <v>1778</v>
      </c>
      <c r="D76" s="688" t="s">
        <v>1779</v>
      </c>
      <c r="E76" s="702"/>
      <c r="F76" s="702"/>
      <c r="G76" s="687"/>
    </row>
    <row r="77" customFormat="false" ht="22.5" hidden="false" customHeight="true" outlineLevel="0" collapsed="false">
      <c r="A77" s="688" t="s">
        <v>1780</v>
      </c>
      <c r="B77" s="687" t="s">
        <v>1781</v>
      </c>
      <c r="C77" s="687" t="s">
        <v>1782</v>
      </c>
      <c r="D77" s="688" t="s">
        <v>1783</v>
      </c>
      <c r="E77" s="702"/>
      <c r="F77" s="702"/>
      <c r="G77" s="687"/>
    </row>
    <row r="78" customFormat="false" ht="22.5" hidden="false" customHeight="true" outlineLevel="0" collapsed="false">
      <c r="A78" s="688" t="s">
        <v>1784</v>
      </c>
      <c r="B78" s="688" t="s">
        <v>1785</v>
      </c>
      <c r="C78" s="687" t="s">
        <v>1786</v>
      </c>
      <c r="D78" s="688" t="s">
        <v>1787</v>
      </c>
      <c r="E78" s="702"/>
      <c r="F78" s="702" t="s">
        <v>1788</v>
      </c>
      <c r="G78" s="687"/>
    </row>
    <row r="79" customFormat="false" ht="22.5" hidden="false" customHeight="true" outlineLevel="0" collapsed="false">
      <c r="A79" s="688" t="s">
        <v>1789</v>
      </c>
      <c r="B79" s="687" t="s">
        <v>1593</v>
      </c>
      <c r="C79" s="687" t="s">
        <v>1790</v>
      </c>
      <c r="D79" s="688" t="s">
        <v>1791</v>
      </c>
      <c r="E79" s="702"/>
      <c r="F79" s="702"/>
      <c r="G79" s="687"/>
    </row>
    <row r="80" customFormat="false" ht="22.5" hidden="false" customHeight="true" outlineLevel="0" collapsed="false">
      <c r="A80" s="688" t="s">
        <v>1792</v>
      </c>
      <c r="B80" s="688" t="s">
        <v>1793</v>
      </c>
      <c r="C80" s="687" t="s">
        <v>1794</v>
      </c>
      <c r="D80" s="688" t="s">
        <v>1795</v>
      </c>
      <c r="E80" s="702"/>
      <c r="F80" s="702"/>
      <c r="G80" s="687"/>
    </row>
    <row r="81" customFormat="false" ht="22.5" hidden="false" customHeight="true" outlineLevel="0" collapsed="false">
      <c r="A81" s="688" t="s">
        <v>1796</v>
      </c>
      <c r="B81" s="687" t="s">
        <v>1781</v>
      </c>
      <c r="C81" s="687" t="s">
        <v>1797</v>
      </c>
      <c r="D81" s="688" t="s">
        <v>1798</v>
      </c>
      <c r="E81" s="702"/>
      <c r="F81" s="702"/>
      <c r="G81" s="687"/>
    </row>
    <row r="82" customFormat="false" ht="22.5" hidden="false" customHeight="true" outlineLevel="0" collapsed="false">
      <c r="A82" s="688" t="s">
        <v>1799</v>
      </c>
      <c r="B82" s="687" t="s">
        <v>1593</v>
      </c>
      <c r="C82" s="687" t="s">
        <v>1492</v>
      </c>
      <c r="D82" s="688" t="s">
        <v>1800</v>
      </c>
      <c r="E82" s="702"/>
      <c r="F82" s="702"/>
      <c r="G82" s="687"/>
    </row>
    <row r="83" customFormat="false" ht="22.5" hidden="false" customHeight="true" outlineLevel="0" collapsed="false">
      <c r="A83" s="688" t="s">
        <v>1801</v>
      </c>
      <c r="B83" s="687" t="s">
        <v>1593</v>
      </c>
      <c r="C83" s="687" t="s">
        <v>1714</v>
      </c>
      <c r="D83" s="688" t="s">
        <v>1715</v>
      </c>
      <c r="E83" s="702"/>
      <c r="F83" s="702"/>
      <c r="G83" s="687"/>
    </row>
    <row r="84" customFormat="false" ht="22.5" hidden="false" customHeight="true" outlineLevel="0" collapsed="false">
      <c r="A84" s="688" t="s">
        <v>1802</v>
      </c>
      <c r="B84" s="687" t="s">
        <v>1803</v>
      </c>
      <c r="C84" s="687" t="s">
        <v>1804</v>
      </c>
      <c r="D84" s="688" t="s">
        <v>1805</v>
      </c>
      <c r="E84" s="702"/>
      <c r="F84" s="702"/>
      <c r="G84" s="687"/>
    </row>
    <row r="85" customFormat="false" ht="22.5" hidden="false" customHeight="true" outlineLevel="0" collapsed="false">
      <c r="A85" s="688" t="s">
        <v>1806</v>
      </c>
      <c r="B85" s="687" t="s">
        <v>1593</v>
      </c>
      <c r="C85" s="687" t="s">
        <v>1807</v>
      </c>
      <c r="D85" s="688" t="s">
        <v>1808</v>
      </c>
      <c r="E85" s="702"/>
      <c r="F85" s="702"/>
      <c r="G85" s="687"/>
    </row>
    <row r="86" customFormat="false" ht="22.5" hidden="false" customHeight="true" outlineLevel="0" collapsed="false">
      <c r="A86" s="688" t="s">
        <v>1809</v>
      </c>
      <c r="B86" s="687" t="s">
        <v>1593</v>
      </c>
      <c r="C86" s="687" t="s">
        <v>1810</v>
      </c>
      <c r="D86" s="688" t="s">
        <v>1811</v>
      </c>
      <c r="E86" s="702"/>
      <c r="F86" s="702"/>
      <c r="G86" s="687"/>
    </row>
    <row r="87" customFormat="false" ht="22.5" hidden="false" customHeight="true" outlineLevel="0" collapsed="false">
      <c r="A87" s="688" t="s">
        <v>1812</v>
      </c>
      <c r="B87" s="687" t="s">
        <v>1723</v>
      </c>
      <c r="C87" s="687" t="s">
        <v>1813</v>
      </c>
      <c r="D87" s="688" t="s">
        <v>1814</v>
      </c>
      <c r="E87" s="702"/>
      <c r="F87" s="702"/>
      <c r="G87" s="687"/>
    </row>
    <row r="88" customFormat="false" ht="22.5" hidden="false" customHeight="true" outlineLevel="0" collapsed="false">
      <c r="A88" s="688" t="s">
        <v>1815</v>
      </c>
      <c r="B88" s="687" t="s">
        <v>1816</v>
      </c>
      <c r="C88" s="687" t="s">
        <v>1817</v>
      </c>
      <c r="D88" s="688" t="s">
        <v>1818</v>
      </c>
      <c r="E88" s="702"/>
      <c r="F88" s="702"/>
      <c r="G88" s="687"/>
    </row>
    <row r="89" customFormat="false" ht="22.5" hidden="false" customHeight="true" outlineLevel="0" collapsed="false">
      <c r="A89" s="688" t="s">
        <v>1819</v>
      </c>
      <c r="B89" s="687" t="s">
        <v>1617</v>
      </c>
      <c r="C89" s="687" t="s">
        <v>1820</v>
      </c>
      <c r="D89" s="688" t="s">
        <v>1821</v>
      </c>
      <c r="E89" s="702"/>
      <c r="F89" s="702"/>
      <c r="G89" s="687"/>
    </row>
    <row r="90" customFormat="false" ht="22.5" hidden="false" customHeight="true" outlineLevel="0" collapsed="false">
      <c r="A90" s="688" t="s">
        <v>1822</v>
      </c>
      <c r="B90" s="687" t="s">
        <v>1621</v>
      </c>
      <c r="C90" s="687" t="s">
        <v>1823</v>
      </c>
      <c r="D90" s="688" t="s">
        <v>1824</v>
      </c>
      <c r="E90" s="702"/>
      <c r="F90" s="702"/>
      <c r="G90" s="687"/>
    </row>
    <row r="91" customFormat="false" ht="22.5" hidden="false" customHeight="true" outlineLevel="0" collapsed="false">
      <c r="A91" s="688" t="s">
        <v>1825</v>
      </c>
      <c r="B91" s="687" t="s">
        <v>1826</v>
      </c>
      <c r="C91" s="687" t="s">
        <v>1827</v>
      </c>
      <c r="D91" s="688" t="s">
        <v>1828</v>
      </c>
      <c r="E91" s="702"/>
      <c r="F91" s="702" t="s">
        <v>1829</v>
      </c>
      <c r="G91" s="687"/>
    </row>
    <row r="92" customFormat="false" ht="22.5" hidden="false" customHeight="true" outlineLevel="0" collapsed="false">
      <c r="A92" s="688" t="s">
        <v>1830</v>
      </c>
      <c r="B92" s="688" t="s">
        <v>1831</v>
      </c>
      <c r="C92" s="687" t="s">
        <v>1832</v>
      </c>
      <c r="D92" s="688" t="s">
        <v>1833</v>
      </c>
      <c r="E92" s="702"/>
      <c r="F92" s="702"/>
      <c r="G92" s="687"/>
    </row>
    <row r="93" customFormat="false" ht="22.5" hidden="false" customHeight="true" outlineLevel="0" collapsed="false">
      <c r="A93" s="688" t="s">
        <v>1834</v>
      </c>
      <c r="B93" s="688" t="s">
        <v>1835</v>
      </c>
      <c r="C93" s="687" t="s">
        <v>1836</v>
      </c>
      <c r="D93" s="688" t="s">
        <v>1837</v>
      </c>
      <c r="E93" s="702"/>
      <c r="F93" s="702" t="s">
        <v>1838</v>
      </c>
      <c r="G93" s="687"/>
    </row>
    <row r="94" customFormat="false" ht="22.5" hidden="false" customHeight="true" outlineLevel="0" collapsed="false">
      <c r="A94" s="688" t="s">
        <v>1839</v>
      </c>
      <c r="B94" s="687" t="s">
        <v>1617</v>
      </c>
      <c r="C94" s="687" t="s">
        <v>1840</v>
      </c>
      <c r="D94" s="688" t="s">
        <v>1841</v>
      </c>
      <c r="E94" s="702"/>
      <c r="F94" s="702"/>
      <c r="G94" s="687"/>
    </row>
    <row r="95" customFormat="false" ht="22.5" hidden="false" customHeight="true" outlineLevel="0" collapsed="false">
      <c r="A95" s="688" t="s">
        <v>1842</v>
      </c>
      <c r="B95" s="688" t="s">
        <v>1650</v>
      </c>
      <c r="C95" s="687" t="s">
        <v>1843</v>
      </c>
      <c r="D95" s="688" t="s">
        <v>1844</v>
      </c>
      <c r="E95" s="702"/>
      <c r="F95" s="702" t="s">
        <v>1845</v>
      </c>
      <c r="G95" s="687"/>
    </row>
    <row r="96" customFormat="false" ht="22.5" hidden="false" customHeight="true" outlineLevel="0" collapsed="false">
      <c r="A96" s="682" t="s">
        <v>1846</v>
      </c>
      <c r="B96" s="684" t="s">
        <v>1727</v>
      </c>
      <c r="C96" s="682" t="s">
        <v>1847</v>
      </c>
      <c r="D96" s="684" t="s">
        <v>1848</v>
      </c>
      <c r="F96" s="683" t="s">
        <v>1849</v>
      </c>
    </row>
    <row r="97" customFormat="false" ht="22.5" hidden="false" customHeight="true" outlineLevel="0" collapsed="false">
      <c r="A97" s="703" t="s">
        <v>1850</v>
      </c>
      <c r="B97" s="684" t="s">
        <v>619</v>
      </c>
      <c r="C97" s="682" t="s">
        <v>620</v>
      </c>
      <c r="D97" s="684" t="s">
        <v>1851</v>
      </c>
      <c r="F97" s="683" t="s">
        <v>623</v>
      </c>
    </row>
    <row r="98" customFormat="false" ht="22.5" hidden="false" customHeight="true" outlineLevel="0" collapsed="false">
      <c r="A98" s="684" t="s">
        <v>1852</v>
      </c>
      <c r="B98" s="684" t="s">
        <v>1853</v>
      </c>
      <c r="C98" s="682" t="s">
        <v>1610</v>
      </c>
      <c r="D98" s="684" t="s">
        <v>1854</v>
      </c>
      <c r="F98" s="683" t="s">
        <v>1855</v>
      </c>
      <c r="G98" s="704" t="s">
        <v>1856</v>
      </c>
    </row>
    <row r="99" customFormat="false" ht="22.5" hidden="false" customHeight="true" outlineLevel="0" collapsed="false">
      <c r="A99" s="684" t="s">
        <v>1857</v>
      </c>
      <c r="B99" s="684" t="s">
        <v>1858</v>
      </c>
      <c r="C99" s="682" t="s">
        <v>1859</v>
      </c>
      <c r="D99" s="684" t="s">
        <v>1860</v>
      </c>
      <c r="F99" s="683" t="s">
        <v>1861</v>
      </c>
    </row>
    <row r="100" customFormat="false" ht="22.5" hidden="false" customHeight="true" outlineLevel="0" collapsed="false">
      <c r="A100" s="684" t="s">
        <v>1862</v>
      </c>
      <c r="B100" s="684" t="s">
        <v>1863</v>
      </c>
      <c r="C100" s="682" t="s">
        <v>1864</v>
      </c>
      <c r="D100" s="684" t="s">
        <v>1865</v>
      </c>
      <c r="F100" s="683" t="s">
        <v>1866</v>
      </c>
    </row>
    <row r="101" customFormat="false" ht="22.5" hidden="false" customHeight="true" outlineLevel="0" collapsed="false">
      <c r="A101" s="684" t="s">
        <v>1867</v>
      </c>
      <c r="B101" s="682" t="s">
        <v>1605</v>
      </c>
      <c r="C101" s="682" t="s">
        <v>1868</v>
      </c>
      <c r="D101" s="684" t="s">
        <v>1869</v>
      </c>
    </row>
    <row r="102" customFormat="false" ht="22.5" hidden="false" customHeight="true" outlineLevel="0" collapsed="false">
      <c r="A102" s="684" t="s">
        <v>1870</v>
      </c>
      <c r="B102" s="684" t="s">
        <v>1871</v>
      </c>
      <c r="C102" s="682" t="s">
        <v>1872</v>
      </c>
      <c r="D102" s="684" t="s">
        <v>1873</v>
      </c>
    </row>
  </sheetData>
  <hyperlinks>
    <hyperlink ref="G98" r:id="rId1" display=" pes4695@naver.com "/>
  </hyperlink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:D11"/>
    </sheetView>
  </sheetViews>
  <sheetFormatPr defaultColWidth="8.87890625" defaultRowHeight="16.5" customHeight="false" zeroHeight="false" outlineLevelRow="0" outlineLevelCol="0"/>
  <cols>
    <col collapsed="false" customWidth="true" hidden="false" outlineLevel="0" max="1" min="1" style="705" width="12.66"/>
    <col collapsed="false" customWidth="true" hidden="false" outlineLevel="0" max="2" min="2" style="705" width="21.43"/>
    <col collapsed="false" customWidth="true" hidden="false" outlineLevel="0" max="3" min="3" style="705" width="16.66"/>
    <col collapsed="false" customWidth="false" hidden="false" outlineLevel="0" max="4" min="4" style="705" width="8.88"/>
    <col collapsed="false" customWidth="true" hidden="false" outlineLevel="0" max="5" min="5" style="705" width="11.21"/>
    <col collapsed="false" customWidth="false" hidden="false" outlineLevel="0" max="257" min="6" style="705" width="8.88"/>
  </cols>
  <sheetData>
    <row r="3" customFormat="false" ht="16.5" hidden="false" customHeight="false" outlineLevel="0" collapsed="false">
      <c r="A3" s="706" t="s">
        <v>1874</v>
      </c>
      <c r="B3" s="706"/>
      <c r="C3" s="706"/>
      <c r="D3" s="706"/>
      <c r="E3" s="706"/>
    </row>
    <row r="4" customFormat="false" ht="16.5" hidden="false" customHeight="false" outlineLevel="0" collapsed="false">
      <c r="A4" s="706" t="s">
        <v>1875</v>
      </c>
      <c r="B4" s="707"/>
      <c r="C4" s="707"/>
      <c r="D4" s="708" t="s">
        <v>1876</v>
      </c>
      <c r="E4" s="708"/>
    </row>
    <row r="5" customFormat="false" ht="16.5" hidden="false" customHeight="false" outlineLevel="0" collapsed="false">
      <c r="A5" s="706"/>
      <c r="B5" s="706" t="s">
        <v>121</v>
      </c>
      <c r="C5" s="706" t="s">
        <v>1460</v>
      </c>
      <c r="D5" s="708" t="s">
        <v>1877</v>
      </c>
      <c r="E5" s="708"/>
    </row>
    <row r="6" customFormat="false" ht="16.5" hidden="false" customHeight="false" outlineLevel="0" collapsed="false">
      <c r="A6" s="709" t="s">
        <v>1464</v>
      </c>
      <c r="B6" s="706" t="s">
        <v>1878</v>
      </c>
      <c r="C6" s="709" t="s">
        <v>1470</v>
      </c>
      <c r="D6" s="709" t="s">
        <v>1879</v>
      </c>
      <c r="E6" s="709"/>
    </row>
    <row r="7" customFormat="false" ht="16.5" hidden="false" customHeight="false" outlineLevel="0" collapsed="false">
      <c r="A7" s="709" t="s">
        <v>1617</v>
      </c>
      <c r="B7" s="706" t="s">
        <v>1880</v>
      </c>
      <c r="C7" s="709" t="s">
        <v>1738</v>
      </c>
      <c r="D7" s="709" t="s">
        <v>1881</v>
      </c>
      <c r="E7" s="709"/>
    </row>
    <row r="8" customFormat="false" ht="16.5" hidden="false" customHeight="false" outlineLevel="0" collapsed="false">
      <c r="A8" s="709" t="s">
        <v>1621</v>
      </c>
      <c r="B8" s="706" t="s">
        <v>1882</v>
      </c>
      <c r="C8" s="709" t="s">
        <v>1765</v>
      </c>
      <c r="D8" s="709" t="s">
        <v>1883</v>
      </c>
      <c r="E8" s="709"/>
    </row>
    <row r="9" customFormat="false" ht="16.5" hidden="false" customHeight="false" outlineLevel="0" collapsed="false">
      <c r="A9" s="709" t="s">
        <v>1486</v>
      </c>
      <c r="B9" s="706" t="s">
        <v>1884</v>
      </c>
      <c r="C9" s="709" t="s">
        <v>1487</v>
      </c>
      <c r="D9" s="709" t="s">
        <v>1885</v>
      </c>
      <c r="E9" s="709"/>
    </row>
    <row r="10" customFormat="false" ht="16.5" hidden="false" customHeight="false" outlineLevel="0" collapsed="false">
      <c r="A10" s="709" t="s">
        <v>1593</v>
      </c>
      <c r="B10" s="706" t="s">
        <v>1886</v>
      </c>
      <c r="C10" s="709" t="s">
        <v>1746</v>
      </c>
      <c r="D10" s="709" t="s">
        <v>1887</v>
      </c>
      <c r="E10" s="709"/>
    </row>
    <row r="11" customFormat="false" ht="16.5" hidden="false" customHeight="false" outlineLevel="0" collapsed="false">
      <c r="A11" s="709" t="s">
        <v>1593</v>
      </c>
      <c r="B11" s="706" t="s">
        <v>1888</v>
      </c>
      <c r="C11" s="709" t="s">
        <v>1769</v>
      </c>
      <c r="D11" s="709" t="s">
        <v>1889</v>
      </c>
      <c r="E11" s="709"/>
    </row>
    <row r="12" customFormat="false" ht="16.5" hidden="false" customHeight="false" outlineLevel="0" collapsed="false">
      <c r="A12" s="709" t="s">
        <v>1593</v>
      </c>
      <c r="B12" s="706" t="s">
        <v>1890</v>
      </c>
      <c r="C12" s="709" t="s">
        <v>1772</v>
      </c>
      <c r="D12" s="709" t="s">
        <v>1891</v>
      </c>
      <c r="E12" s="709"/>
    </row>
    <row r="13" customFormat="false" ht="16.5" hidden="false" customHeight="false" outlineLevel="0" collapsed="false">
      <c r="A13" s="709" t="s">
        <v>1593</v>
      </c>
      <c r="B13" s="706" t="s">
        <v>1892</v>
      </c>
      <c r="C13" s="709" t="s">
        <v>1775</v>
      </c>
      <c r="D13" s="709" t="s">
        <v>1893</v>
      </c>
      <c r="E13" s="709"/>
    </row>
    <row r="14" customFormat="false" ht="16.5" hidden="false" customHeight="false" outlineLevel="0" collapsed="false">
      <c r="A14" s="709" t="s">
        <v>1593</v>
      </c>
      <c r="B14" s="706" t="s">
        <v>1894</v>
      </c>
      <c r="C14" s="709" t="s">
        <v>1790</v>
      </c>
      <c r="D14" s="709" t="s">
        <v>1895</v>
      </c>
      <c r="E14" s="709"/>
    </row>
    <row r="15" customFormat="false" ht="16.5" hidden="false" customHeight="false" outlineLevel="0" collapsed="false">
      <c r="A15" s="709" t="s">
        <v>1593</v>
      </c>
      <c r="B15" s="706" t="s">
        <v>1896</v>
      </c>
      <c r="C15" s="709" t="s">
        <v>1676</v>
      </c>
      <c r="D15" s="709" t="s">
        <v>1897</v>
      </c>
      <c r="E15" s="709"/>
    </row>
    <row r="16" customFormat="false" ht="16.5" hidden="false" customHeight="false" outlineLevel="0" collapsed="false">
      <c r="A16" s="709" t="s">
        <v>1593</v>
      </c>
      <c r="B16" s="706" t="s">
        <v>1898</v>
      </c>
      <c r="C16" s="709" t="s">
        <v>1778</v>
      </c>
      <c r="D16" s="709" t="s">
        <v>1899</v>
      </c>
      <c r="E16" s="709"/>
    </row>
    <row r="17" customFormat="false" ht="16.5" hidden="false" customHeight="false" outlineLevel="0" collapsed="false">
      <c r="A17" s="709" t="s">
        <v>1593</v>
      </c>
      <c r="B17" s="706" t="s">
        <v>1900</v>
      </c>
      <c r="C17" s="709" t="s">
        <v>1599</v>
      </c>
      <c r="D17" s="709" t="s">
        <v>1901</v>
      </c>
      <c r="E17" s="709"/>
    </row>
    <row r="18" customFormat="false" ht="16.5" hidden="false" customHeight="false" outlineLevel="0" collapsed="false">
      <c r="A18" s="709" t="s">
        <v>1593</v>
      </c>
      <c r="B18" s="706" t="s">
        <v>1592</v>
      </c>
      <c r="C18" s="709" t="s">
        <v>1594</v>
      </c>
      <c r="D18" s="709" t="s">
        <v>1902</v>
      </c>
      <c r="E18" s="709"/>
    </row>
    <row r="19" customFormat="false" ht="16.5" hidden="false" customHeight="false" outlineLevel="0" collapsed="false">
      <c r="A19" s="709" t="s">
        <v>1781</v>
      </c>
      <c r="B19" s="706" t="s">
        <v>1780</v>
      </c>
      <c r="C19" s="709" t="s">
        <v>1782</v>
      </c>
      <c r="D19" s="709" t="s">
        <v>1903</v>
      </c>
      <c r="E19" s="709"/>
    </row>
    <row r="20" customFormat="false" ht="16.5" hidden="false" customHeight="false" outlineLevel="0" collapsed="false">
      <c r="A20" s="709" t="s">
        <v>1904</v>
      </c>
      <c r="B20" s="706" t="s">
        <v>1905</v>
      </c>
      <c r="C20" s="709" t="s">
        <v>1627</v>
      </c>
      <c r="D20" s="709" t="s">
        <v>1906</v>
      </c>
      <c r="E20" s="709"/>
    </row>
    <row r="21" customFormat="false" ht="16.5" hidden="false" customHeight="false" outlineLevel="0" collapsed="false">
      <c r="A21" s="706" t="s">
        <v>1785</v>
      </c>
      <c r="B21" s="706" t="s">
        <v>1907</v>
      </c>
      <c r="C21" s="709" t="s">
        <v>1786</v>
      </c>
      <c r="D21" s="709"/>
      <c r="E21" s="709"/>
    </row>
    <row r="22" customFormat="false" ht="16.5" hidden="false" customHeight="false" outlineLevel="0" collapsed="false">
      <c r="A22" s="709" t="s">
        <v>1781</v>
      </c>
      <c r="B22" s="710" t="s">
        <v>1908</v>
      </c>
      <c r="C22" s="705" t="s">
        <v>1797</v>
      </c>
      <c r="D22" s="705" t="s">
        <v>1909</v>
      </c>
    </row>
    <row r="23" customFormat="false" ht="16.5" hidden="false" customHeight="false" outlineLevel="0" collapsed="false">
      <c r="A23" s="705" t="s">
        <v>1617</v>
      </c>
      <c r="B23" s="710" t="s">
        <v>1910</v>
      </c>
      <c r="C23" s="705" t="s">
        <v>1804</v>
      </c>
      <c r="D23" s="705" t="s">
        <v>1911</v>
      </c>
    </row>
  </sheetData>
  <mergeCells count="3">
    <mergeCell ref="B4:C4"/>
    <mergeCell ref="D4:E4"/>
    <mergeCell ref="D5:E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9" activeCellId="0" sqref="I48:I49"/>
    </sheetView>
  </sheetViews>
  <sheetFormatPr defaultColWidth="8.96484375" defaultRowHeight="13.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0" width="15.32"/>
    <col collapsed="false" customWidth="true" hidden="true" outlineLevel="0" max="2" min="2" style="0" width="8.88"/>
    <col collapsed="false" customWidth="true" hidden="true" outlineLevel="0" max="3" min="3" style="0" width="24.22"/>
    <col collapsed="false" customWidth="true" hidden="false" outlineLevel="0" max="4" min="4" style="0" width="51.44"/>
    <col collapsed="false" customWidth="true" hidden="false" outlineLevel="0" max="5" min="5" style="0" width="15.44"/>
    <col collapsed="false" customWidth="true" hidden="false" outlineLevel="0" max="7" min="6" style="0" width="10.99"/>
    <col collapsed="false" customWidth="true" hidden="false" outlineLevel="0" max="10" min="8" style="0" width="4.22"/>
    <col collapsed="false" customWidth="true" hidden="false" outlineLevel="0" max="11" min="11" style="0" width="6.22"/>
    <col collapsed="false" customWidth="true" hidden="false" outlineLevel="0" max="13" min="12" style="0" width="4.88"/>
    <col collapsed="false" customWidth="true" hidden="false" outlineLevel="0" max="19" min="14" style="0" width="6.22"/>
    <col collapsed="false" customWidth="true" hidden="false" outlineLevel="0" max="20" min="20" style="0" width="13.77"/>
    <col collapsed="false" customWidth="true" hidden="false" outlineLevel="0" max="22" min="22" style="0" width="51.88"/>
    <col collapsed="false" customWidth="true" hidden="false" outlineLevel="0" max="23" min="23" style="711" width="12.66"/>
    <col collapsed="false" customWidth="true" hidden="false" outlineLevel="0" max="25" min="24" style="712" width="10.99"/>
  </cols>
  <sheetData>
    <row r="1" customFormat="false" ht="26.25" hidden="false" customHeight="false" outlineLevel="0" collapsed="false">
      <c r="A1" s="713" t="s">
        <v>1912</v>
      </c>
      <c r="B1" s="713"/>
      <c r="C1" s="713"/>
      <c r="D1" s="713"/>
      <c r="E1" s="713"/>
      <c r="F1" s="713"/>
      <c r="G1" s="713"/>
      <c r="H1" s="713"/>
      <c r="I1" s="713"/>
      <c r="J1" s="713"/>
      <c r="K1" s="713"/>
      <c r="L1" s="713"/>
      <c r="M1" s="713"/>
      <c r="N1" s="713"/>
      <c r="O1" s="713"/>
      <c r="P1" s="713"/>
      <c r="Q1" s="713"/>
      <c r="R1" s="713"/>
      <c r="S1" s="713"/>
      <c r="T1" s="713"/>
    </row>
    <row r="2" customFormat="false" ht="13.5" hidden="false" customHeight="false" outlineLevel="0" collapsed="false">
      <c r="A2" s="714" t="s">
        <v>24</v>
      </c>
      <c r="B2" s="714" t="s">
        <v>1913</v>
      </c>
      <c r="C2" s="714" t="s">
        <v>1914</v>
      </c>
      <c r="D2" s="714" t="s">
        <v>28</v>
      </c>
      <c r="E2" s="714" t="s">
        <v>1915</v>
      </c>
      <c r="F2" s="714" t="s">
        <v>1916</v>
      </c>
      <c r="G2" s="714" t="s">
        <v>1917</v>
      </c>
      <c r="H2" s="715" t="s">
        <v>1918</v>
      </c>
      <c r="I2" s="715" t="s">
        <v>1919</v>
      </c>
      <c r="J2" s="715" t="s">
        <v>1920</v>
      </c>
      <c r="K2" s="715" t="s">
        <v>1921</v>
      </c>
      <c r="L2" s="715" t="s">
        <v>1922</v>
      </c>
      <c r="M2" s="715" t="s">
        <v>1923</v>
      </c>
      <c r="N2" s="715" t="s">
        <v>1924</v>
      </c>
      <c r="O2" s="715" t="s">
        <v>1925</v>
      </c>
      <c r="P2" s="715" t="s">
        <v>1926</v>
      </c>
      <c r="Q2" s="715" t="s">
        <v>1927</v>
      </c>
      <c r="R2" s="715" t="s">
        <v>1928</v>
      </c>
      <c r="S2" s="715" t="s">
        <v>1929</v>
      </c>
      <c r="T2" s="715"/>
      <c r="U2" s="716"/>
      <c r="V2" s="716"/>
      <c r="W2" s="717"/>
      <c r="X2" s="718"/>
      <c r="Y2" s="718"/>
    </row>
    <row r="3" customFormat="false" ht="13.5" hidden="false" customHeight="false" outlineLevel="0" collapsed="false">
      <c r="A3" s="714" t="s">
        <v>2</v>
      </c>
      <c r="B3" s="715"/>
      <c r="C3" s="715"/>
      <c r="D3" s="719" t="s">
        <v>1930</v>
      </c>
      <c r="E3" s="715"/>
      <c r="F3" s="715"/>
      <c r="G3" s="715"/>
      <c r="H3" s="720"/>
      <c r="I3" s="720" t="s">
        <v>1931</v>
      </c>
      <c r="J3" s="720"/>
      <c r="K3" s="720"/>
      <c r="L3" s="720"/>
      <c r="M3" s="720"/>
      <c r="N3" s="720"/>
      <c r="O3" s="720"/>
      <c r="P3" s="720"/>
      <c r="Q3" s="720"/>
      <c r="R3" s="720"/>
      <c r="S3" s="720"/>
      <c r="T3" s="715"/>
      <c r="U3" s="716"/>
      <c r="V3" s="716"/>
      <c r="W3" s="717"/>
      <c r="X3" s="718"/>
      <c r="Y3" s="718"/>
    </row>
    <row r="4" customFormat="false" ht="13.5" hidden="false" customHeight="false" outlineLevel="0" collapsed="false">
      <c r="A4" s="714"/>
      <c r="B4" s="719"/>
      <c r="C4" s="719"/>
      <c r="D4" s="721" t="s">
        <v>1932</v>
      </c>
      <c r="E4" s="722" t="n">
        <v>289975000</v>
      </c>
      <c r="F4" s="723" t="n">
        <v>45616</v>
      </c>
      <c r="G4" s="723" t="n">
        <v>45715</v>
      </c>
      <c r="H4" s="720" t="s">
        <v>1931</v>
      </c>
      <c r="I4" s="724" t="s">
        <v>1933</v>
      </c>
      <c r="J4" s="725"/>
      <c r="K4" s="725"/>
      <c r="L4" s="725"/>
      <c r="M4" s="725"/>
      <c r="N4" s="725"/>
      <c r="O4" s="725"/>
      <c r="P4" s="725"/>
      <c r="Q4" s="725"/>
      <c r="R4" s="725"/>
      <c r="S4" s="725"/>
      <c r="T4" s="726" t="n">
        <f aca="false">INT(E4/1.1)*30%</f>
        <v>79084090.8</v>
      </c>
      <c r="U4" s="727"/>
      <c r="V4" s="727"/>
      <c r="W4" s="728"/>
      <c r="X4" s="729"/>
      <c r="Y4" s="729"/>
    </row>
    <row r="5" customFormat="false" ht="13.5" hidden="false" customHeight="false" outlineLevel="0" collapsed="false">
      <c r="A5" s="714"/>
      <c r="B5" s="719"/>
      <c r="C5" s="719"/>
      <c r="D5" s="719" t="s">
        <v>1934</v>
      </c>
      <c r="E5" s="722" t="n">
        <v>341456000</v>
      </c>
      <c r="F5" s="723" t="n">
        <v>45677</v>
      </c>
      <c r="G5" s="723" t="n">
        <v>46003</v>
      </c>
      <c r="H5" s="720"/>
      <c r="I5" s="730"/>
      <c r="J5" s="730"/>
      <c r="K5" s="730"/>
      <c r="L5" s="730"/>
      <c r="M5" s="730"/>
      <c r="N5" s="730"/>
      <c r="O5" s="730"/>
      <c r="P5" s="730"/>
      <c r="Q5" s="730"/>
      <c r="R5" s="730"/>
      <c r="S5" s="730"/>
      <c r="T5" s="726" t="n">
        <f aca="false">INT(E5/1.1)*30%</f>
        <v>93124363.5</v>
      </c>
      <c r="U5" s="727"/>
      <c r="V5" s="727"/>
      <c r="W5" s="728"/>
      <c r="X5" s="729"/>
      <c r="Y5" s="729"/>
    </row>
    <row r="6" customFormat="false" ht="13.5" hidden="false" customHeight="false" outlineLevel="0" collapsed="false">
      <c r="A6" s="714"/>
      <c r="B6" s="719"/>
      <c r="C6" s="719"/>
      <c r="D6" s="721" t="s">
        <v>1935</v>
      </c>
      <c r="E6" s="722" t="n">
        <v>62310390</v>
      </c>
      <c r="F6" s="723" t="n">
        <v>45691</v>
      </c>
      <c r="G6" s="723" t="n">
        <v>45780</v>
      </c>
      <c r="H6" s="720"/>
      <c r="I6" s="730"/>
      <c r="J6" s="730" t="s">
        <v>1931</v>
      </c>
      <c r="K6" s="724" t="s">
        <v>1933</v>
      </c>
      <c r="L6" s="725"/>
      <c r="M6" s="725"/>
      <c r="N6" s="725"/>
      <c r="O6" s="725"/>
      <c r="P6" s="725"/>
      <c r="Q6" s="725"/>
      <c r="R6" s="725"/>
      <c r="S6" s="725"/>
      <c r="T6" s="726" t="n">
        <f aca="false">INT(E6/1.1)*30%</f>
        <v>16993742.7</v>
      </c>
      <c r="U6" s="727"/>
      <c r="V6" s="727"/>
      <c r="W6" s="727"/>
      <c r="X6" s="727"/>
      <c r="Y6" s="727"/>
    </row>
    <row r="7" customFormat="false" ht="13.5" hidden="false" customHeight="false" outlineLevel="0" collapsed="false">
      <c r="A7" s="714"/>
      <c r="B7" s="719"/>
      <c r="C7" s="719"/>
      <c r="D7" s="721" t="s">
        <v>1936</v>
      </c>
      <c r="E7" s="722" t="n">
        <v>56759950</v>
      </c>
      <c r="F7" s="723" t="n">
        <v>45713</v>
      </c>
      <c r="G7" s="723" t="n">
        <v>45772</v>
      </c>
      <c r="H7" s="731" t="s">
        <v>1937</v>
      </c>
      <c r="I7" s="731"/>
      <c r="J7" s="731"/>
      <c r="K7" s="731"/>
      <c r="L7" s="731"/>
      <c r="M7" s="731"/>
      <c r="N7" s="731"/>
      <c r="O7" s="731"/>
      <c r="P7" s="731"/>
      <c r="Q7" s="731"/>
      <c r="R7" s="731"/>
      <c r="S7" s="731"/>
      <c r="T7" s="726" t="n">
        <f aca="false">INT(E7/1.1)*30%</f>
        <v>15479986.2</v>
      </c>
      <c r="U7" s="727"/>
      <c r="V7" s="727"/>
      <c r="W7" s="727"/>
      <c r="X7" s="727"/>
      <c r="Y7" s="727"/>
    </row>
    <row r="8" customFormat="false" ht="13.5" hidden="false" customHeight="false" outlineLevel="0" collapsed="false">
      <c r="A8" s="714"/>
      <c r="B8" s="719"/>
      <c r="C8" s="719"/>
      <c r="D8" s="721" t="s">
        <v>1938</v>
      </c>
      <c r="E8" s="722" t="n">
        <v>42042550</v>
      </c>
      <c r="F8" s="723" t="n">
        <v>45729</v>
      </c>
      <c r="G8" s="723" t="n">
        <v>45818</v>
      </c>
      <c r="H8" s="730"/>
      <c r="I8" s="720"/>
      <c r="J8" s="720"/>
      <c r="K8" s="730"/>
      <c r="L8" s="730"/>
      <c r="M8" s="730"/>
      <c r="N8" s="730"/>
      <c r="O8" s="730"/>
      <c r="P8" s="730"/>
      <c r="Q8" s="730"/>
      <c r="R8" s="730"/>
      <c r="S8" s="730"/>
      <c r="T8" s="726" t="n">
        <f aca="false">INT(E8/1.1)*30%</f>
        <v>11466150</v>
      </c>
      <c r="U8" s="727"/>
      <c r="V8" s="727"/>
      <c r="W8" s="727"/>
      <c r="X8" s="727"/>
      <c r="Y8" s="727"/>
    </row>
    <row r="9" customFormat="false" ht="13.5" hidden="false" customHeight="false" outlineLevel="0" collapsed="false">
      <c r="A9" s="714"/>
      <c r="B9" s="719"/>
      <c r="C9" s="719"/>
      <c r="D9" s="732" t="s">
        <v>1939</v>
      </c>
      <c r="E9" s="722" t="n">
        <v>15723470</v>
      </c>
      <c r="F9" s="723" t="n">
        <v>45727</v>
      </c>
      <c r="G9" s="723" t="n">
        <v>45771</v>
      </c>
      <c r="H9" s="731" t="s">
        <v>1937</v>
      </c>
      <c r="I9" s="731"/>
      <c r="J9" s="731"/>
      <c r="K9" s="731"/>
      <c r="L9" s="731"/>
      <c r="M9" s="731"/>
      <c r="N9" s="731"/>
      <c r="O9" s="731"/>
      <c r="P9" s="731"/>
      <c r="Q9" s="731"/>
      <c r="R9" s="731"/>
      <c r="S9" s="731"/>
      <c r="T9" s="726" t="n">
        <f aca="false">INT(E9/1.1)*30%</f>
        <v>4288218.9</v>
      </c>
      <c r="U9" s="727"/>
      <c r="V9" s="727"/>
      <c r="W9" s="727"/>
      <c r="X9" s="727"/>
      <c r="Y9" s="727"/>
    </row>
    <row r="10" customFormat="false" ht="13.5" hidden="false" customHeight="false" outlineLevel="0" collapsed="false">
      <c r="A10" s="714"/>
      <c r="B10" s="719"/>
      <c r="C10" s="719"/>
      <c r="D10" s="733" t="s">
        <v>1940</v>
      </c>
      <c r="E10" s="722" t="n">
        <v>191100000</v>
      </c>
      <c r="F10" s="723" t="n">
        <v>45748</v>
      </c>
      <c r="G10" s="723" t="n">
        <v>46012</v>
      </c>
      <c r="H10" s="720"/>
      <c r="I10" s="720"/>
      <c r="J10" s="720"/>
      <c r="K10" s="720"/>
      <c r="L10" s="720"/>
      <c r="M10" s="720"/>
      <c r="N10" s="720"/>
      <c r="O10" s="720"/>
      <c r="P10" s="720"/>
      <c r="Q10" s="720"/>
      <c r="R10" s="720"/>
      <c r="S10" s="720"/>
      <c r="T10" s="726" t="n">
        <f aca="false">INT(E10/1.1)*30%</f>
        <v>52118181.6</v>
      </c>
      <c r="U10" s="727"/>
      <c r="V10" s="727"/>
      <c r="W10" s="727"/>
      <c r="X10" s="727"/>
      <c r="Y10" s="727"/>
    </row>
    <row r="11" customFormat="false" ht="13.5" hidden="false" customHeight="false" outlineLevel="0" collapsed="false">
      <c r="A11" s="714"/>
      <c r="B11" s="733"/>
      <c r="C11" s="733"/>
      <c r="D11" s="733" t="s">
        <v>1941</v>
      </c>
      <c r="E11" s="722" t="n">
        <v>208900000</v>
      </c>
      <c r="F11" s="723" t="n">
        <v>45748</v>
      </c>
      <c r="G11" s="723" t="n">
        <v>46012</v>
      </c>
      <c r="H11" s="720"/>
      <c r="I11" s="720"/>
      <c r="J11" s="720"/>
      <c r="K11" s="720"/>
      <c r="L11" s="720"/>
      <c r="M11" s="720"/>
      <c r="N11" s="720"/>
      <c r="O11" s="720"/>
      <c r="P11" s="720"/>
      <c r="Q11" s="720"/>
      <c r="R11" s="720"/>
      <c r="S11" s="720"/>
      <c r="T11" s="726" t="n">
        <f aca="false">INT(E11/1.1)*30%</f>
        <v>56972727</v>
      </c>
      <c r="U11" s="727"/>
      <c r="V11" s="727"/>
      <c r="W11" s="727"/>
      <c r="X11" s="727"/>
      <c r="Y11" s="727"/>
    </row>
    <row r="12" customFormat="false" ht="13.5" hidden="false" customHeight="false" outlineLevel="0" collapsed="false">
      <c r="A12" s="714"/>
      <c r="B12" s="733"/>
      <c r="C12" s="733"/>
      <c r="D12" s="721" t="s">
        <v>1942</v>
      </c>
      <c r="E12" s="734" t="n">
        <v>23150000</v>
      </c>
      <c r="F12" s="723" t="n">
        <v>45754</v>
      </c>
      <c r="G12" s="723" t="n">
        <v>45813</v>
      </c>
      <c r="H12" s="720"/>
      <c r="I12" s="720"/>
      <c r="J12" s="720"/>
      <c r="K12" s="720" t="s">
        <v>1931</v>
      </c>
      <c r="L12" s="724" t="s">
        <v>1933</v>
      </c>
      <c r="M12" s="735"/>
      <c r="N12" s="735"/>
      <c r="O12" s="725"/>
      <c r="P12" s="725"/>
      <c r="Q12" s="725"/>
      <c r="R12" s="725"/>
      <c r="S12" s="725"/>
      <c r="T12" s="726" t="n">
        <f aca="false">INT(E12/1.1)*30%</f>
        <v>6313636.2</v>
      </c>
      <c r="U12" s="727"/>
      <c r="V12" s="727"/>
      <c r="W12" s="727"/>
      <c r="X12" s="727"/>
      <c r="Y12" s="727"/>
    </row>
    <row r="13" customFormat="false" ht="13.5" hidden="false" customHeight="false" outlineLevel="0" collapsed="false">
      <c r="A13" s="714"/>
      <c r="B13" s="733"/>
      <c r="C13" s="733"/>
      <c r="D13" s="721" t="s">
        <v>1943</v>
      </c>
      <c r="E13" s="734" t="n">
        <v>13590000</v>
      </c>
      <c r="F13" s="723" t="n">
        <v>45777</v>
      </c>
      <c r="G13" s="723" t="n">
        <v>45836</v>
      </c>
      <c r="H13" s="720"/>
      <c r="I13" s="727"/>
      <c r="J13" s="720"/>
      <c r="K13" s="720"/>
      <c r="L13" s="720"/>
      <c r="M13" s="720" t="s">
        <v>1931</v>
      </c>
      <c r="N13" s="724" t="s">
        <v>1933</v>
      </c>
      <c r="O13" s="725"/>
      <c r="P13" s="725"/>
      <c r="Q13" s="725"/>
      <c r="R13" s="725"/>
      <c r="S13" s="725"/>
      <c r="T13" s="726" t="n">
        <f aca="false">INT(E13/1.1)*30%</f>
        <v>3706363.5</v>
      </c>
      <c r="U13" s="727"/>
      <c r="V13" s="727"/>
      <c r="W13" s="727"/>
      <c r="X13" s="727"/>
      <c r="Y13" s="727"/>
    </row>
    <row r="14" customFormat="false" ht="14.25" hidden="false" customHeight="true" outlineLevel="0" collapsed="false">
      <c r="A14" s="714"/>
      <c r="B14" s="733"/>
      <c r="C14" s="733"/>
      <c r="D14" s="721" t="s">
        <v>1944</v>
      </c>
      <c r="E14" s="734" t="n">
        <v>78610000</v>
      </c>
      <c r="F14" s="723" t="n">
        <v>45754</v>
      </c>
      <c r="G14" s="723" t="n">
        <v>45793</v>
      </c>
      <c r="H14" s="720"/>
      <c r="I14" s="720"/>
      <c r="J14" s="720"/>
      <c r="K14" s="720" t="s">
        <v>1931</v>
      </c>
      <c r="L14" s="724" t="s">
        <v>1933</v>
      </c>
      <c r="M14" s="735"/>
      <c r="N14" s="735"/>
      <c r="O14" s="725"/>
      <c r="P14" s="725"/>
      <c r="Q14" s="725"/>
      <c r="R14" s="725"/>
      <c r="S14" s="725"/>
      <c r="T14" s="726" t="n">
        <f aca="false">INT(E14/1.1)*30%</f>
        <v>21439090.8</v>
      </c>
      <c r="U14" s="727"/>
      <c r="V14" s="727"/>
      <c r="W14" s="727"/>
      <c r="X14" s="727"/>
      <c r="Y14" s="727"/>
    </row>
    <row r="15" customFormat="false" ht="13.5" hidden="false" customHeight="false" outlineLevel="0" collapsed="false">
      <c r="A15" s="714"/>
      <c r="B15" s="733"/>
      <c r="C15" s="733"/>
      <c r="D15" s="721" t="s">
        <v>1945</v>
      </c>
      <c r="E15" s="734" t="n">
        <v>70210000</v>
      </c>
      <c r="F15" s="723" t="n">
        <v>45757</v>
      </c>
      <c r="G15" s="723" t="n">
        <v>45816</v>
      </c>
      <c r="H15" s="720"/>
      <c r="I15" s="720"/>
      <c r="J15" s="720"/>
      <c r="K15" s="720"/>
      <c r="L15" s="720" t="s">
        <v>1931</v>
      </c>
      <c r="M15" s="724" t="s">
        <v>1933</v>
      </c>
      <c r="N15" s="735"/>
      <c r="O15" s="735"/>
      <c r="P15" s="725"/>
      <c r="Q15" s="725"/>
      <c r="R15" s="725"/>
      <c r="S15" s="725"/>
      <c r="T15" s="726" t="n">
        <f aca="false">INT(E15/1.1)*30%</f>
        <v>19148181.6</v>
      </c>
      <c r="U15" s="727"/>
      <c r="V15" s="727"/>
      <c r="W15" s="728"/>
      <c r="X15" s="729"/>
      <c r="Y15" s="729"/>
    </row>
    <row r="16" customFormat="false" ht="13.5" hidden="false" customHeight="false" outlineLevel="0" collapsed="false">
      <c r="A16" s="714"/>
      <c r="B16" s="733"/>
      <c r="C16" s="733"/>
      <c r="D16" s="721" t="s">
        <v>1946</v>
      </c>
      <c r="E16" s="734" t="n">
        <v>18120000</v>
      </c>
      <c r="F16" s="723" t="n">
        <v>45799</v>
      </c>
      <c r="G16" s="723" t="n">
        <v>45888</v>
      </c>
      <c r="H16" s="720"/>
      <c r="I16" s="720"/>
      <c r="J16" s="720"/>
      <c r="K16" s="720"/>
      <c r="L16" s="720"/>
      <c r="M16" s="720" t="s">
        <v>1931</v>
      </c>
      <c r="N16" s="724" t="s">
        <v>1933</v>
      </c>
      <c r="O16" s="735"/>
      <c r="P16" s="735"/>
      <c r="Q16" s="725"/>
      <c r="R16" s="725"/>
      <c r="S16" s="725"/>
      <c r="T16" s="726" t="n">
        <f aca="false">INT(E16/1.1)*30%</f>
        <v>4941818.1</v>
      </c>
      <c r="U16" s="727"/>
      <c r="V16" s="727"/>
      <c r="W16" s="728"/>
      <c r="X16" s="729"/>
      <c r="Y16" s="729"/>
    </row>
    <row r="17" customFormat="false" ht="13.5" hidden="false" customHeight="false" outlineLevel="0" collapsed="false">
      <c r="A17" s="714"/>
      <c r="B17" s="733"/>
      <c r="C17" s="733"/>
      <c r="D17" s="721" t="s">
        <v>1947</v>
      </c>
      <c r="E17" s="734" t="n">
        <v>39300000</v>
      </c>
      <c r="F17" s="723" t="n">
        <v>45810</v>
      </c>
      <c r="G17" s="723" t="n">
        <v>45899</v>
      </c>
      <c r="H17" s="720"/>
      <c r="I17" s="720"/>
      <c r="J17" s="720"/>
      <c r="K17" s="720"/>
      <c r="L17" s="720"/>
      <c r="M17" s="720" t="s">
        <v>1931</v>
      </c>
      <c r="N17" s="720"/>
      <c r="O17" s="720"/>
      <c r="P17" s="720"/>
      <c r="Q17" s="720"/>
      <c r="R17" s="720"/>
      <c r="S17" s="720"/>
      <c r="T17" s="726" t="n">
        <f aca="false">INT(E17/1.1)*30%</f>
        <v>10718181.6</v>
      </c>
      <c r="U17" s="727"/>
      <c r="V17" s="727"/>
      <c r="W17" s="727"/>
      <c r="X17" s="727"/>
      <c r="Y17" s="727"/>
    </row>
    <row r="18" customFormat="false" ht="13.5" hidden="false" customHeight="false" outlineLevel="0" collapsed="false">
      <c r="A18" s="714"/>
      <c r="B18" s="733"/>
      <c r="C18" s="733"/>
      <c r="D18" s="721" t="s">
        <v>1948</v>
      </c>
      <c r="E18" s="734" t="n">
        <v>10910000</v>
      </c>
      <c r="F18" s="723" t="n">
        <v>45810</v>
      </c>
      <c r="G18" s="723" t="n">
        <v>45838</v>
      </c>
      <c r="H18" s="720"/>
      <c r="I18" s="720"/>
      <c r="J18" s="720"/>
      <c r="K18" s="720"/>
      <c r="L18" s="720"/>
      <c r="M18" s="720" t="s">
        <v>1931</v>
      </c>
      <c r="N18" s="724" t="s">
        <v>1933</v>
      </c>
      <c r="O18" s="735"/>
      <c r="P18" s="735"/>
      <c r="Q18" s="725"/>
      <c r="R18" s="725"/>
      <c r="S18" s="725"/>
      <c r="T18" s="726" t="n">
        <f aca="false">INT(E18/1.1)*30%</f>
        <v>2975454.3</v>
      </c>
      <c r="U18" s="727"/>
      <c r="V18" s="727"/>
      <c r="W18" s="728"/>
      <c r="X18" s="729"/>
      <c r="Y18" s="729"/>
    </row>
    <row r="19" customFormat="false" ht="13.5" hidden="false" customHeight="false" outlineLevel="0" collapsed="false">
      <c r="A19" s="714"/>
      <c r="B19" s="733"/>
      <c r="C19" s="733"/>
      <c r="D19" s="721" t="s">
        <v>1949</v>
      </c>
      <c r="E19" s="722" t="n">
        <v>17130000</v>
      </c>
      <c r="F19" s="723" t="n">
        <v>45827</v>
      </c>
      <c r="G19" s="723" t="n">
        <v>45886</v>
      </c>
      <c r="H19" s="720"/>
      <c r="I19" s="720"/>
      <c r="J19" s="720"/>
      <c r="K19" s="720"/>
      <c r="L19" s="720"/>
      <c r="M19" s="720" t="s">
        <v>1931</v>
      </c>
      <c r="N19" s="724" t="s">
        <v>1933</v>
      </c>
      <c r="O19" s="735"/>
      <c r="P19" s="735"/>
      <c r="Q19" s="725"/>
      <c r="R19" s="725"/>
      <c r="S19" s="725"/>
      <c r="T19" s="726" t="n">
        <f aca="false">INT(E19/1.1)*30%</f>
        <v>4671818.1</v>
      </c>
      <c r="U19" s="727"/>
      <c r="V19" s="727"/>
      <c r="W19" s="728"/>
      <c r="X19" s="729"/>
      <c r="Y19" s="729"/>
    </row>
    <row r="20" customFormat="false" ht="13.5" hidden="false" customHeight="false" outlineLevel="0" collapsed="false">
      <c r="A20" s="714"/>
      <c r="B20" s="733"/>
      <c r="C20" s="733"/>
      <c r="D20" s="721" t="s">
        <v>1950</v>
      </c>
      <c r="E20" s="722" t="n">
        <v>42230000</v>
      </c>
      <c r="F20" s="723" t="n">
        <v>45842</v>
      </c>
      <c r="G20" s="723" t="n">
        <v>45931</v>
      </c>
      <c r="H20" s="720"/>
      <c r="I20" s="720"/>
      <c r="J20" s="720"/>
      <c r="K20" s="720"/>
      <c r="L20" s="720"/>
      <c r="M20" s="720"/>
      <c r="N20" s="720"/>
      <c r="O20" s="720"/>
      <c r="P20" s="720"/>
      <c r="Q20" s="720"/>
      <c r="R20" s="720"/>
      <c r="S20" s="720"/>
      <c r="T20" s="726" t="n">
        <f aca="false">INT(E20/1.1)*30%</f>
        <v>11517272.7</v>
      </c>
      <c r="U20" s="727"/>
      <c r="V20" s="727"/>
      <c r="W20" s="728"/>
      <c r="X20" s="729"/>
      <c r="Y20" s="729"/>
    </row>
    <row r="21" customFormat="false" ht="13.5" hidden="false" customHeight="false" outlineLevel="0" collapsed="false">
      <c r="A21" s="714"/>
      <c r="B21" s="733"/>
      <c r="C21" s="733"/>
      <c r="D21" s="719" t="s">
        <v>1951</v>
      </c>
      <c r="E21" s="722" t="n">
        <v>158565000</v>
      </c>
      <c r="F21" s="723" t="n">
        <v>45846</v>
      </c>
      <c r="G21" s="723" t="n">
        <v>45995</v>
      </c>
      <c r="H21" s="720"/>
      <c r="I21" s="720"/>
      <c r="J21" s="720"/>
      <c r="K21" s="720"/>
      <c r="L21" s="720"/>
      <c r="M21" s="720"/>
      <c r="N21" s="720"/>
      <c r="O21" s="720"/>
      <c r="P21" s="720"/>
      <c r="Q21" s="720"/>
      <c r="R21" s="720"/>
      <c r="S21" s="720"/>
      <c r="T21" s="726" t="n">
        <f aca="false">INT(E21/1.1)*30%</f>
        <v>43245000</v>
      </c>
      <c r="U21" s="727"/>
      <c r="V21" s="727"/>
      <c r="W21" s="728"/>
      <c r="X21" s="729"/>
      <c r="Y21" s="729"/>
    </row>
    <row r="22" customFormat="false" ht="13.5" hidden="false" customHeight="false" outlineLevel="0" collapsed="false">
      <c r="A22" s="714"/>
      <c r="B22" s="733"/>
      <c r="C22" s="733"/>
      <c r="D22" s="719" t="s">
        <v>1952</v>
      </c>
      <c r="E22" s="722" t="n">
        <v>19390000</v>
      </c>
      <c r="F22" s="723" t="n">
        <v>45862</v>
      </c>
      <c r="G22" s="723" t="n">
        <v>45890</v>
      </c>
      <c r="H22" s="720"/>
      <c r="I22" s="720"/>
      <c r="J22" s="720"/>
      <c r="K22" s="720"/>
      <c r="L22" s="720"/>
      <c r="M22" s="720"/>
      <c r="N22" s="720"/>
      <c r="O22" s="720"/>
      <c r="P22" s="720"/>
      <c r="Q22" s="720"/>
      <c r="R22" s="720"/>
      <c r="S22" s="720"/>
      <c r="T22" s="726" t="n">
        <f aca="false">INT(E22/1.1)*30%</f>
        <v>5288181.6</v>
      </c>
      <c r="U22" s="727"/>
      <c r="V22" s="727"/>
      <c r="W22" s="728"/>
      <c r="X22" s="729"/>
      <c r="Y22" s="729"/>
    </row>
    <row r="23" customFormat="false" ht="13.5" hidden="false" customHeight="false" outlineLevel="0" collapsed="false">
      <c r="A23" s="714"/>
      <c r="B23" s="733"/>
      <c r="C23" s="733"/>
      <c r="D23" s="719" t="s">
        <v>1948</v>
      </c>
      <c r="E23" s="722" t="n">
        <v>10874010</v>
      </c>
      <c r="F23" s="723" t="n">
        <v>45810</v>
      </c>
      <c r="G23" s="723" t="n">
        <v>45838</v>
      </c>
      <c r="H23" s="720"/>
      <c r="I23" s="720"/>
      <c r="J23" s="720"/>
      <c r="K23" s="720"/>
      <c r="L23" s="720"/>
      <c r="M23" s="720"/>
      <c r="N23" s="720"/>
      <c r="O23" s="720"/>
      <c r="P23" s="720"/>
      <c r="Q23" s="720"/>
      <c r="R23" s="720"/>
      <c r="S23" s="720"/>
      <c r="T23" s="726" t="n">
        <f aca="false">INT(E23/1.1)*30%</f>
        <v>2965638.9</v>
      </c>
      <c r="U23" s="727"/>
      <c r="V23" s="727"/>
      <c r="W23" s="728"/>
      <c r="X23" s="729"/>
      <c r="Y23" s="729"/>
    </row>
    <row r="24" customFormat="false" ht="13.5" hidden="false" customHeight="false" outlineLevel="0" collapsed="false">
      <c r="A24" s="714"/>
      <c r="B24" s="733"/>
      <c r="C24" s="733"/>
      <c r="D24" s="719" t="s">
        <v>1953</v>
      </c>
      <c r="E24" s="722" t="n">
        <v>13060000</v>
      </c>
      <c r="F24" s="723" t="n">
        <v>45869</v>
      </c>
      <c r="G24" s="723" t="n">
        <v>45898</v>
      </c>
      <c r="H24" s="720"/>
      <c r="I24" s="720"/>
      <c r="J24" s="720"/>
      <c r="K24" s="720"/>
      <c r="L24" s="720"/>
      <c r="M24" s="720"/>
      <c r="N24" s="720"/>
      <c r="O24" s="720"/>
      <c r="P24" s="720"/>
      <c r="Q24" s="720"/>
      <c r="R24" s="720"/>
      <c r="S24" s="720"/>
      <c r="T24" s="726" t="n">
        <f aca="false">INT(E24/1.1)*30%</f>
        <v>3561818.1</v>
      </c>
      <c r="U24" s="727"/>
      <c r="V24" s="727"/>
      <c r="W24" s="728"/>
      <c r="X24" s="729"/>
      <c r="Y24" s="729"/>
    </row>
    <row r="25" customFormat="false" ht="13.5" hidden="false" customHeight="false" outlineLevel="0" collapsed="false">
      <c r="A25" s="714"/>
      <c r="B25" s="733"/>
      <c r="C25" s="733"/>
      <c r="D25" s="719" t="s">
        <v>1954</v>
      </c>
      <c r="E25" s="722" t="n">
        <v>84645000</v>
      </c>
      <c r="F25" s="723" t="n">
        <v>45825</v>
      </c>
      <c r="G25" s="723" t="n">
        <v>45886</v>
      </c>
      <c r="H25" s="720"/>
      <c r="I25" s="720"/>
      <c r="J25" s="720"/>
      <c r="K25" s="720"/>
      <c r="L25" s="720"/>
      <c r="M25" s="720"/>
      <c r="N25" s="720"/>
      <c r="O25" s="720"/>
      <c r="P25" s="720"/>
      <c r="Q25" s="720"/>
      <c r="R25" s="720"/>
      <c r="S25" s="720"/>
      <c r="T25" s="726" t="n">
        <f aca="false">INT(E25/1.1)*30%</f>
        <v>23085000</v>
      </c>
      <c r="U25" s="727"/>
      <c r="V25" s="727"/>
      <c r="W25" s="728"/>
      <c r="X25" s="729"/>
      <c r="Y25" s="729"/>
    </row>
    <row r="26" customFormat="false" ht="13.5" hidden="false" customHeight="false" outlineLevel="0" collapsed="false">
      <c r="A26" s="714"/>
      <c r="B26" s="733"/>
      <c r="C26" s="733"/>
      <c r="D26" s="719" t="s">
        <v>1955</v>
      </c>
      <c r="E26" s="722" t="n">
        <v>7140000</v>
      </c>
      <c r="F26" s="723" t="n">
        <v>45896</v>
      </c>
      <c r="G26" s="723" t="n">
        <v>45924</v>
      </c>
      <c r="H26" s="720"/>
      <c r="I26" s="720"/>
      <c r="J26" s="720"/>
      <c r="K26" s="720"/>
      <c r="L26" s="720"/>
      <c r="M26" s="720"/>
      <c r="N26" s="720"/>
      <c r="O26" s="720"/>
      <c r="P26" s="720"/>
      <c r="Q26" s="720"/>
      <c r="R26" s="720"/>
      <c r="S26" s="720"/>
      <c r="T26" s="726" t="n">
        <f aca="false">INT(E26/1.1)*30%</f>
        <v>1947272.7</v>
      </c>
      <c r="U26" s="727"/>
      <c r="V26" s="727"/>
      <c r="W26" s="728"/>
      <c r="X26" s="729"/>
      <c r="Y26" s="729"/>
    </row>
    <row r="27" customFormat="false" ht="13.5" hidden="false" customHeight="false" outlineLevel="0" collapsed="false">
      <c r="A27" s="714"/>
      <c r="B27" s="733"/>
      <c r="C27" s="733"/>
      <c r="D27" s="719" t="s">
        <v>1956</v>
      </c>
      <c r="E27" s="722" t="n">
        <v>652567000</v>
      </c>
      <c r="F27" s="723" t="n">
        <v>45908</v>
      </c>
      <c r="G27" s="723" t="n">
        <v>46003</v>
      </c>
      <c r="H27" s="720"/>
      <c r="I27" s="720"/>
      <c r="J27" s="720"/>
      <c r="K27" s="720"/>
      <c r="L27" s="720"/>
      <c r="M27" s="720"/>
      <c r="N27" s="720"/>
      <c r="O27" s="720"/>
      <c r="P27" s="720"/>
      <c r="Q27" s="720"/>
      <c r="R27" s="720"/>
      <c r="S27" s="720"/>
      <c r="T27" s="726" t="n">
        <f aca="false">INT(E27/1.1)*30%</f>
        <v>177972818.1</v>
      </c>
      <c r="U27" s="727"/>
      <c r="V27" s="727"/>
      <c r="W27" s="728"/>
      <c r="X27" s="729"/>
      <c r="Y27" s="729"/>
    </row>
    <row r="28" customFormat="false" ht="13.5" hidden="false" customHeight="false" outlineLevel="0" collapsed="false">
      <c r="A28" s="714"/>
      <c r="B28" s="733"/>
      <c r="C28" s="733"/>
      <c r="D28" s="719" t="s">
        <v>1957</v>
      </c>
      <c r="E28" s="722" t="n">
        <v>19880000</v>
      </c>
      <c r="F28" s="723" t="n">
        <v>45926</v>
      </c>
      <c r="G28" s="723" t="n">
        <v>45965</v>
      </c>
      <c r="H28" s="720"/>
      <c r="I28" s="720"/>
      <c r="J28" s="720"/>
      <c r="K28" s="720"/>
      <c r="L28" s="720"/>
      <c r="M28" s="720"/>
      <c r="N28" s="720"/>
      <c r="O28" s="720"/>
      <c r="P28" s="720"/>
      <c r="Q28" s="720"/>
      <c r="R28" s="720"/>
      <c r="S28" s="720"/>
      <c r="T28" s="726" t="n">
        <f aca="false">INT(E28/1.1)*30%</f>
        <v>5421818.1</v>
      </c>
      <c r="U28" s="727"/>
      <c r="V28" s="727"/>
      <c r="W28" s="728"/>
      <c r="X28" s="729"/>
      <c r="Y28" s="729"/>
    </row>
    <row r="29" customFormat="false" ht="13.5" hidden="false" customHeight="false" outlineLevel="0" collapsed="false">
      <c r="A29" s="714"/>
      <c r="B29" s="733"/>
      <c r="C29" s="733"/>
      <c r="D29" s="733" t="s">
        <v>1958</v>
      </c>
      <c r="E29" s="722" t="n">
        <v>45800000</v>
      </c>
      <c r="F29" s="723" t="n">
        <v>45925</v>
      </c>
      <c r="G29" s="723" t="n">
        <v>46014</v>
      </c>
      <c r="H29" s="720"/>
      <c r="I29" s="720"/>
      <c r="J29" s="720"/>
      <c r="K29" s="720"/>
      <c r="L29" s="720"/>
      <c r="M29" s="720"/>
      <c r="N29" s="720"/>
      <c r="O29" s="720"/>
      <c r="P29" s="720"/>
      <c r="Q29" s="720"/>
      <c r="R29" s="720"/>
      <c r="S29" s="720"/>
      <c r="T29" s="726" t="n">
        <f aca="false">INT(E29/1.1)*30%</f>
        <v>12490908.9</v>
      </c>
      <c r="U29" s="727"/>
      <c r="V29" s="727"/>
      <c r="W29" s="728"/>
      <c r="X29" s="729"/>
      <c r="Y29" s="729"/>
    </row>
    <row r="30" customFormat="false" ht="13.5" hidden="false" customHeight="false" outlineLevel="0" collapsed="false">
      <c r="A30" s="714"/>
      <c r="B30" s="733"/>
      <c r="C30" s="733"/>
      <c r="D30" s="719" t="s">
        <v>1959</v>
      </c>
      <c r="E30" s="722" t="n">
        <v>3810000</v>
      </c>
      <c r="F30" s="723" t="n">
        <v>45947</v>
      </c>
      <c r="G30" s="723" t="n">
        <v>45956</v>
      </c>
      <c r="H30" s="720"/>
      <c r="I30" s="720"/>
      <c r="J30" s="720"/>
      <c r="K30" s="720"/>
      <c r="L30" s="720"/>
      <c r="M30" s="720"/>
      <c r="N30" s="720"/>
      <c r="O30" s="720"/>
      <c r="P30" s="720"/>
      <c r="Q30" s="720"/>
      <c r="R30" s="720"/>
      <c r="S30" s="720"/>
      <c r="T30" s="726" t="n">
        <f aca="false">INT(E30/1.1)*30%</f>
        <v>1039090.8</v>
      </c>
      <c r="U30" s="727"/>
      <c r="V30" s="727"/>
      <c r="W30" s="728"/>
      <c r="X30" s="729"/>
      <c r="Y30" s="729"/>
    </row>
    <row r="31" customFormat="false" ht="13.5" hidden="false" customHeight="false" outlineLevel="0" collapsed="false">
      <c r="A31" s="714"/>
      <c r="B31" s="733"/>
      <c r="C31" s="733"/>
      <c r="D31" s="719" t="s">
        <v>1960</v>
      </c>
      <c r="E31" s="722" t="n">
        <v>23400000</v>
      </c>
      <c r="F31" s="723" t="n">
        <v>45950</v>
      </c>
      <c r="G31" s="723" t="n">
        <v>46009</v>
      </c>
      <c r="H31" s="720"/>
      <c r="I31" s="720"/>
      <c r="J31" s="720"/>
      <c r="K31" s="720"/>
      <c r="L31" s="720"/>
      <c r="M31" s="720"/>
      <c r="N31" s="720"/>
      <c r="O31" s="720"/>
      <c r="P31" s="720"/>
      <c r="Q31" s="720"/>
      <c r="R31" s="720"/>
      <c r="S31" s="720"/>
      <c r="T31" s="726" t="n">
        <f aca="false">INT(E31/1.1)*30%</f>
        <v>6381818.1</v>
      </c>
      <c r="U31" s="727"/>
      <c r="V31" s="727"/>
      <c r="W31" s="728"/>
      <c r="X31" s="729"/>
      <c r="Y31" s="729"/>
    </row>
    <row r="32" customFormat="false" ht="13.5" hidden="false" customHeight="false" outlineLevel="0" collapsed="false">
      <c r="A32" s="714"/>
      <c r="B32" s="733"/>
      <c r="C32" s="733"/>
      <c r="D32" s="719" t="s">
        <v>1961</v>
      </c>
      <c r="E32" s="722" t="n">
        <v>66180000</v>
      </c>
      <c r="F32" s="723" t="n">
        <v>45951</v>
      </c>
      <c r="G32" s="723" t="n">
        <v>46010</v>
      </c>
      <c r="H32" s="720"/>
      <c r="I32" s="720"/>
      <c r="J32" s="720"/>
      <c r="K32" s="720"/>
      <c r="L32" s="720"/>
      <c r="M32" s="720"/>
      <c r="N32" s="720"/>
      <c r="O32" s="720"/>
      <c r="P32" s="720"/>
      <c r="Q32" s="720"/>
      <c r="R32" s="720"/>
      <c r="S32" s="720"/>
      <c r="T32" s="726" t="n">
        <f aca="false">INT(E32/1.1)*30%</f>
        <v>18049090.8</v>
      </c>
      <c r="U32" s="727"/>
      <c r="V32" s="727"/>
      <c r="W32" s="728"/>
      <c r="X32" s="729"/>
      <c r="Y32" s="729"/>
    </row>
    <row r="33" customFormat="false" ht="13.5" hidden="false" customHeight="false" outlineLevel="0" collapsed="false">
      <c r="A33" s="714"/>
      <c r="B33" s="733"/>
      <c r="C33" s="733"/>
      <c r="D33" s="733" t="s">
        <v>1962</v>
      </c>
      <c r="E33" s="722" t="n">
        <v>8250000</v>
      </c>
      <c r="F33" s="723" t="n">
        <v>45964</v>
      </c>
      <c r="G33" s="723" t="n">
        <v>46003</v>
      </c>
      <c r="H33" s="720"/>
      <c r="I33" s="720"/>
      <c r="J33" s="720"/>
      <c r="K33" s="720"/>
      <c r="L33" s="720"/>
      <c r="M33" s="720"/>
      <c r="N33" s="720"/>
      <c r="O33" s="720"/>
      <c r="P33" s="720"/>
      <c r="Q33" s="720"/>
      <c r="R33" s="720"/>
      <c r="S33" s="720"/>
      <c r="T33" s="726" t="n">
        <f aca="false">INT(E33/1.1)*30%</f>
        <v>2250000</v>
      </c>
      <c r="U33" s="727"/>
      <c r="V33" s="727"/>
      <c r="W33" s="728"/>
      <c r="X33" s="729"/>
      <c r="Y33" s="729"/>
    </row>
    <row r="34" customFormat="false" ht="13.5" hidden="false" customHeight="false" outlineLevel="0" collapsed="false">
      <c r="A34" s="714"/>
      <c r="B34" s="733"/>
      <c r="C34" s="733"/>
      <c r="D34" s="719" t="s">
        <v>1963</v>
      </c>
      <c r="E34" s="722" t="n">
        <v>5460000</v>
      </c>
      <c r="F34" s="723" t="n">
        <v>45980</v>
      </c>
      <c r="G34" s="723" t="n">
        <v>46019</v>
      </c>
      <c r="H34" s="720"/>
      <c r="I34" s="720"/>
      <c r="J34" s="720"/>
      <c r="K34" s="720"/>
      <c r="L34" s="720"/>
      <c r="M34" s="720"/>
      <c r="N34" s="720"/>
      <c r="O34" s="720"/>
      <c r="P34" s="720"/>
      <c r="Q34" s="720"/>
      <c r="R34" s="720"/>
      <c r="S34" s="720"/>
      <c r="T34" s="726" t="n">
        <f aca="false">INT(E34/1.1)*30%</f>
        <v>1489090.8</v>
      </c>
      <c r="U34" s="727"/>
      <c r="V34" s="727"/>
      <c r="W34" s="728"/>
      <c r="X34" s="729"/>
      <c r="Y34" s="729"/>
    </row>
    <row r="35" customFormat="false" ht="13.5" hidden="false" customHeight="false" outlineLevel="0" collapsed="false">
      <c r="A35" s="714"/>
      <c r="B35" s="733"/>
      <c r="C35" s="733"/>
      <c r="D35" s="719" t="s">
        <v>1964</v>
      </c>
      <c r="E35" s="722" t="n">
        <v>13210000</v>
      </c>
      <c r="F35" s="723" t="n">
        <v>45993</v>
      </c>
      <c r="G35" s="723" t="n">
        <v>46020</v>
      </c>
      <c r="H35" s="720"/>
      <c r="I35" s="720"/>
      <c r="J35" s="720"/>
      <c r="K35" s="720"/>
      <c r="L35" s="720"/>
      <c r="M35" s="720"/>
      <c r="N35" s="720"/>
      <c r="O35" s="720"/>
      <c r="P35" s="720"/>
      <c r="Q35" s="720"/>
      <c r="R35" s="720"/>
      <c r="S35" s="720"/>
      <c r="T35" s="726" t="n">
        <f aca="false">INT(E35/1.1)*30%</f>
        <v>3602727</v>
      </c>
      <c r="U35" s="727"/>
      <c r="V35" s="727"/>
      <c r="W35" s="728"/>
      <c r="X35" s="729"/>
      <c r="Y35" s="729"/>
    </row>
    <row r="36" customFormat="false" ht="13.5" hidden="false" customHeight="false" outlineLevel="0" collapsed="false">
      <c r="A36" s="714"/>
      <c r="B36" s="733"/>
      <c r="C36" s="733"/>
      <c r="D36" s="719" t="s">
        <v>1965</v>
      </c>
      <c r="E36" s="722" t="n">
        <v>38102000</v>
      </c>
      <c r="F36" s="723" t="n">
        <v>46006</v>
      </c>
      <c r="G36" s="723" t="n">
        <v>46003</v>
      </c>
      <c r="H36" s="720"/>
      <c r="I36" s="720"/>
      <c r="J36" s="720"/>
      <c r="K36" s="720"/>
      <c r="L36" s="720"/>
      <c r="M36" s="720"/>
      <c r="N36" s="720"/>
      <c r="O36" s="720"/>
      <c r="P36" s="720"/>
      <c r="Q36" s="720"/>
      <c r="R36" s="720"/>
      <c r="S36" s="720"/>
      <c r="T36" s="726" t="n">
        <f aca="false">INT(E36/1.1)*30%</f>
        <v>10391454.3</v>
      </c>
      <c r="U36" s="727"/>
      <c r="V36" s="727"/>
      <c r="W36" s="728"/>
      <c r="X36" s="729"/>
      <c r="Y36" s="729"/>
    </row>
    <row r="37" customFormat="false" ht="13.5" hidden="false" customHeight="false" outlineLevel="0" collapsed="false">
      <c r="A37" s="714"/>
      <c r="B37" s="733"/>
      <c r="C37" s="733"/>
      <c r="D37" s="736" t="s">
        <v>1966</v>
      </c>
      <c r="E37" s="722"/>
      <c r="F37" s="723"/>
      <c r="G37" s="723"/>
      <c r="H37" s="720"/>
      <c r="I37" s="720"/>
      <c r="J37" s="720"/>
      <c r="K37" s="720"/>
      <c r="L37" s="720"/>
      <c r="M37" s="720"/>
      <c r="N37" s="720"/>
      <c r="O37" s="720"/>
      <c r="P37" s="720"/>
      <c r="Q37" s="720"/>
      <c r="R37" s="720"/>
      <c r="S37" s="720"/>
      <c r="T37" s="726" t="n">
        <f aca="false">INT(E37/1.1)*30%</f>
        <v>0</v>
      </c>
      <c r="U37" s="727"/>
      <c r="V37" s="727"/>
      <c r="W37" s="728"/>
      <c r="X37" s="729"/>
      <c r="Y37" s="729"/>
    </row>
    <row r="38" customFormat="false" ht="13.5" hidden="false" customHeight="false" outlineLevel="0" collapsed="false">
      <c r="A38" s="714"/>
      <c r="B38" s="733"/>
      <c r="C38" s="733"/>
      <c r="D38" s="736" t="s">
        <v>1967</v>
      </c>
      <c r="E38" s="722"/>
      <c r="F38" s="723"/>
      <c r="G38" s="723"/>
      <c r="H38" s="720"/>
      <c r="I38" s="720"/>
      <c r="J38" s="720"/>
      <c r="K38" s="720"/>
      <c r="L38" s="720"/>
      <c r="M38" s="720"/>
      <c r="N38" s="720"/>
      <c r="O38" s="720"/>
      <c r="P38" s="720"/>
      <c r="Q38" s="720"/>
      <c r="R38" s="720"/>
      <c r="S38" s="720"/>
      <c r="T38" s="726" t="n">
        <f aca="false">INT(E38/1.1)*30%</f>
        <v>0</v>
      </c>
      <c r="U38" s="727"/>
      <c r="V38" s="727"/>
      <c r="W38" s="728"/>
      <c r="X38" s="729"/>
      <c r="Y38" s="729"/>
    </row>
    <row r="39" customFormat="false" ht="13.5" hidden="false" customHeight="false" outlineLevel="0" collapsed="false">
      <c r="A39" s="714"/>
      <c r="B39" s="733"/>
      <c r="C39" s="733"/>
      <c r="D39" s="733"/>
      <c r="E39" s="722"/>
      <c r="F39" s="723"/>
      <c r="G39" s="723"/>
      <c r="H39" s="720"/>
      <c r="I39" s="720"/>
      <c r="J39" s="720"/>
      <c r="K39" s="720"/>
      <c r="L39" s="720"/>
      <c r="M39" s="720"/>
      <c r="N39" s="720"/>
      <c r="O39" s="720"/>
      <c r="P39" s="720"/>
      <c r="Q39" s="720"/>
      <c r="R39" s="720"/>
      <c r="S39" s="720"/>
      <c r="T39" s="726" t="n">
        <f aca="false">INT(E39/1.1)*30%</f>
        <v>0</v>
      </c>
      <c r="U39" s="727"/>
      <c r="V39" s="727"/>
      <c r="W39" s="728"/>
      <c r="X39" s="729"/>
      <c r="Y39" s="729"/>
    </row>
    <row r="40" customFormat="false" ht="13.5" hidden="false" customHeight="false" outlineLevel="0" collapsed="false">
      <c r="A40" s="714"/>
      <c r="B40" s="733"/>
      <c r="C40" s="733"/>
      <c r="D40" s="733"/>
      <c r="E40" s="722"/>
      <c r="F40" s="723"/>
      <c r="G40" s="723"/>
      <c r="H40" s="720"/>
      <c r="I40" s="720"/>
      <c r="J40" s="720"/>
      <c r="K40" s="720"/>
      <c r="L40" s="720"/>
      <c r="M40" s="720"/>
      <c r="N40" s="720"/>
      <c r="O40" s="720"/>
      <c r="P40" s="720"/>
      <c r="Q40" s="720"/>
      <c r="R40" s="720"/>
      <c r="S40" s="720"/>
      <c r="T40" s="726" t="n">
        <f aca="false">INT(E40/1.1)*30%</f>
        <v>0</v>
      </c>
      <c r="U40" s="727"/>
      <c r="V40" s="727"/>
      <c r="W40" s="728"/>
      <c r="X40" s="729"/>
      <c r="Y40" s="729"/>
    </row>
    <row r="41" customFormat="false" ht="13.5" hidden="false" customHeight="false" outlineLevel="0" collapsed="false">
      <c r="A41" s="714"/>
      <c r="B41" s="733"/>
      <c r="C41" s="733"/>
      <c r="D41" s="733"/>
      <c r="E41" s="722"/>
      <c r="F41" s="723"/>
      <c r="G41" s="723"/>
      <c r="H41" s="720"/>
      <c r="I41" s="720"/>
      <c r="J41" s="720"/>
      <c r="K41" s="720"/>
      <c r="L41" s="720"/>
      <c r="M41" s="720"/>
      <c r="N41" s="720"/>
      <c r="O41" s="720"/>
      <c r="P41" s="720"/>
      <c r="Q41" s="720"/>
      <c r="R41" s="720"/>
      <c r="S41" s="720"/>
      <c r="T41" s="726" t="n">
        <f aca="false">INT(E41/1.1)*30%</f>
        <v>0</v>
      </c>
      <c r="U41" s="727"/>
      <c r="V41" s="727"/>
      <c r="W41" s="727"/>
      <c r="X41" s="727"/>
      <c r="Y41" s="727"/>
    </row>
    <row r="42" customFormat="false" ht="13.5" hidden="false" customHeight="true" outlineLevel="0" collapsed="false">
      <c r="A42" s="714" t="s">
        <v>1968</v>
      </c>
      <c r="B42" s="733"/>
      <c r="C42" s="733"/>
      <c r="D42" s="719" t="s">
        <v>1930</v>
      </c>
      <c r="E42" s="733"/>
      <c r="F42" s="733"/>
      <c r="G42" s="733"/>
      <c r="H42" s="720"/>
      <c r="I42" s="720" t="s">
        <v>1931</v>
      </c>
      <c r="J42" s="720"/>
      <c r="K42" s="720"/>
      <c r="L42" s="720"/>
      <c r="M42" s="720"/>
      <c r="N42" s="720"/>
      <c r="O42" s="720"/>
      <c r="P42" s="720"/>
      <c r="Q42" s="720"/>
      <c r="R42" s="720"/>
      <c r="S42" s="720"/>
      <c r="T42" s="726" t="n">
        <f aca="false">INT(E42/1.1)*30%</f>
        <v>0</v>
      </c>
      <c r="U42" s="727"/>
      <c r="V42" s="727"/>
      <c r="W42" s="727"/>
      <c r="X42" s="727"/>
      <c r="Y42" s="727"/>
    </row>
    <row r="43" customFormat="false" ht="13.5" hidden="false" customHeight="false" outlineLevel="0" collapsed="false">
      <c r="A43" s="714"/>
      <c r="B43" s="719" t="s">
        <v>1969</v>
      </c>
      <c r="C43" s="719" t="s">
        <v>1970</v>
      </c>
      <c r="D43" s="719" t="s">
        <v>1971</v>
      </c>
      <c r="E43" s="737" t="n">
        <v>236988000</v>
      </c>
      <c r="F43" s="723" t="n">
        <v>45222</v>
      </c>
      <c r="G43" s="723" t="n">
        <v>46022</v>
      </c>
      <c r="H43" s="720" t="s">
        <v>1931</v>
      </c>
      <c r="I43" s="720"/>
      <c r="J43" s="720"/>
      <c r="K43" s="720"/>
      <c r="L43" s="720"/>
      <c r="M43" s="720"/>
      <c r="N43" s="720"/>
      <c r="O43" s="720"/>
      <c r="P43" s="720"/>
      <c r="Q43" s="720"/>
      <c r="R43" s="720"/>
      <c r="S43" s="720"/>
      <c r="T43" s="726" t="n">
        <f aca="false">INT(E43/1.1)*30%</f>
        <v>64633090.8</v>
      </c>
      <c r="U43" s="727"/>
      <c r="V43" s="727"/>
      <c r="W43" s="728"/>
      <c r="X43" s="729"/>
      <c r="Y43" s="729"/>
    </row>
    <row r="44" customFormat="false" ht="14.25" hidden="false" customHeight="true" outlineLevel="0" collapsed="false">
      <c r="A44" s="714"/>
      <c r="B44" s="733"/>
      <c r="C44" s="733"/>
      <c r="D44" s="719" t="s">
        <v>1972</v>
      </c>
      <c r="E44" s="737" t="n">
        <v>4950000</v>
      </c>
      <c r="F44" s="723" t="n">
        <v>45673</v>
      </c>
      <c r="G44" s="723" t="n">
        <v>45715</v>
      </c>
      <c r="H44" s="731" t="s">
        <v>1937</v>
      </c>
      <c r="I44" s="731"/>
      <c r="J44" s="731"/>
      <c r="K44" s="731"/>
      <c r="L44" s="731"/>
      <c r="M44" s="731"/>
      <c r="N44" s="731"/>
      <c r="O44" s="731"/>
      <c r="P44" s="731"/>
      <c r="Q44" s="731"/>
      <c r="R44" s="731"/>
      <c r="S44" s="731"/>
      <c r="T44" s="726" t="n">
        <f aca="false">INT(E44/1.1)*30%</f>
        <v>1350000</v>
      </c>
      <c r="U44" s="727"/>
      <c r="V44" s="727"/>
      <c r="W44" s="728"/>
      <c r="X44" s="729"/>
      <c r="Y44" s="729"/>
    </row>
    <row r="45" customFormat="false" ht="13.5" hidden="false" customHeight="false" outlineLevel="0" collapsed="false">
      <c r="A45" s="714"/>
      <c r="B45" s="733"/>
      <c r="C45" s="719" t="s">
        <v>1971</v>
      </c>
      <c r="D45" s="733" t="s">
        <v>1973</v>
      </c>
      <c r="E45" s="737" t="n">
        <v>83950330</v>
      </c>
      <c r="F45" s="723" t="n">
        <v>45755</v>
      </c>
      <c r="G45" s="723" t="n">
        <v>45783</v>
      </c>
      <c r="H45" s="720"/>
      <c r="I45" s="720"/>
      <c r="J45" s="720"/>
      <c r="K45" s="720" t="s">
        <v>1931</v>
      </c>
      <c r="L45" s="720"/>
      <c r="M45" s="720"/>
      <c r="N45" s="720"/>
      <c r="O45" s="720"/>
      <c r="P45" s="720"/>
      <c r="Q45" s="720"/>
      <c r="R45" s="720"/>
      <c r="S45" s="720"/>
      <c r="T45" s="726" t="n">
        <f aca="false">INT(E45/1.1)*30%</f>
        <v>22895544.3</v>
      </c>
      <c r="U45" s="727"/>
      <c r="V45" s="727"/>
      <c r="W45" s="728"/>
      <c r="X45" s="729"/>
      <c r="Y45" s="729"/>
    </row>
    <row r="46" customFormat="false" ht="14.25" hidden="false" customHeight="true" outlineLevel="0" collapsed="false">
      <c r="A46" s="714"/>
      <c r="B46" s="733"/>
      <c r="C46" s="733"/>
      <c r="D46" s="733" t="s">
        <v>1974</v>
      </c>
      <c r="E46" s="737" t="n">
        <v>92966000</v>
      </c>
      <c r="F46" s="723" t="n">
        <v>45826</v>
      </c>
      <c r="G46" s="723" t="n">
        <v>45916</v>
      </c>
      <c r="H46" s="720"/>
      <c r="I46" s="720"/>
      <c r="J46" s="720"/>
      <c r="K46" s="720"/>
      <c r="L46" s="720"/>
      <c r="M46" s="720"/>
      <c r="N46" s="720"/>
      <c r="O46" s="720" t="s">
        <v>1931</v>
      </c>
      <c r="P46" s="720"/>
      <c r="Q46" s="720"/>
      <c r="R46" s="720"/>
      <c r="S46" s="720"/>
      <c r="T46" s="726" t="n">
        <f aca="false">INT(E46/1.1)*30%</f>
        <v>25354363.5</v>
      </c>
      <c r="U46" s="727"/>
      <c r="V46" s="727"/>
      <c r="W46" s="728"/>
      <c r="X46" s="729"/>
      <c r="Y46" s="729"/>
    </row>
    <row r="47" customFormat="false" ht="13.5" hidden="false" customHeight="false" outlineLevel="0" collapsed="false">
      <c r="A47" s="714"/>
      <c r="B47" s="719" t="s">
        <v>1975</v>
      </c>
      <c r="C47" s="719" t="s">
        <v>1976</v>
      </c>
      <c r="D47" s="719" t="s">
        <v>1977</v>
      </c>
      <c r="E47" s="737" t="n">
        <v>27420000</v>
      </c>
      <c r="F47" s="723" t="n">
        <v>45957</v>
      </c>
      <c r="G47" s="723" t="n">
        <v>46016</v>
      </c>
      <c r="H47" s="720"/>
      <c r="I47" s="720"/>
      <c r="J47" s="720"/>
      <c r="K47" s="720"/>
      <c r="L47" s="720"/>
      <c r="M47" s="720"/>
      <c r="N47" s="720"/>
      <c r="O47" s="720"/>
      <c r="P47" s="720"/>
      <c r="Q47" s="720"/>
      <c r="R47" s="720"/>
      <c r="S47" s="720"/>
      <c r="T47" s="726" t="n">
        <f aca="false">INT(E47/1.1)*30%</f>
        <v>7478181.6</v>
      </c>
      <c r="U47" s="727"/>
      <c r="V47" s="727"/>
      <c r="W47" s="728"/>
      <c r="X47" s="729"/>
      <c r="Y47" s="729"/>
    </row>
    <row r="48" customFormat="false" ht="13.5" hidden="false" customHeight="false" outlineLevel="0" collapsed="false">
      <c r="A48" s="714"/>
      <c r="B48" s="733"/>
      <c r="C48" s="733"/>
      <c r="D48" s="719" t="s">
        <v>1978</v>
      </c>
      <c r="E48" s="737" t="n">
        <v>13400000</v>
      </c>
      <c r="F48" s="723" t="n">
        <v>45980</v>
      </c>
      <c r="G48" s="723" t="n">
        <v>46069</v>
      </c>
      <c r="H48" s="720"/>
      <c r="I48" s="720"/>
      <c r="J48" s="720"/>
      <c r="K48" s="720"/>
      <c r="L48" s="720"/>
      <c r="M48" s="720"/>
      <c r="N48" s="720"/>
      <c r="O48" s="720"/>
      <c r="P48" s="720"/>
      <c r="Q48" s="720"/>
      <c r="R48" s="720"/>
      <c r="S48" s="720"/>
      <c r="T48" s="726" t="n">
        <f aca="false">INT(E48/1.1)*30%</f>
        <v>3654545.4</v>
      </c>
      <c r="U48" s="727"/>
      <c r="V48" s="727"/>
      <c r="W48" s="728"/>
      <c r="X48" s="729"/>
      <c r="Y48" s="729"/>
    </row>
    <row r="49" customFormat="false" ht="13.5" hidden="false" customHeight="false" outlineLevel="0" collapsed="false">
      <c r="A49" s="714"/>
      <c r="B49" s="733"/>
      <c r="C49" s="733"/>
      <c r="D49" s="719" t="s">
        <v>1979</v>
      </c>
      <c r="E49" s="737" t="n">
        <v>41446000</v>
      </c>
      <c r="F49" s="723" t="n">
        <v>45982</v>
      </c>
      <c r="G49" s="723" t="n">
        <v>46031</v>
      </c>
      <c r="H49" s="720"/>
      <c r="I49" s="720"/>
      <c r="J49" s="720"/>
      <c r="K49" s="720"/>
      <c r="L49" s="720"/>
      <c r="M49" s="720"/>
      <c r="N49" s="720"/>
      <c r="O49" s="720"/>
      <c r="P49" s="720"/>
      <c r="Q49" s="720"/>
      <c r="R49" s="720"/>
      <c r="S49" s="720"/>
      <c r="T49" s="726" t="n">
        <f aca="false">INT(E49/1.1)*30%</f>
        <v>11303454.3</v>
      </c>
      <c r="U49" s="727"/>
      <c r="V49" s="727"/>
      <c r="W49" s="728"/>
      <c r="X49" s="729"/>
      <c r="Y49" s="729"/>
    </row>
    <row r="50" customFormat="false" ht="13.5" hidden="false" customHeight="false" outlineLevel="0" collapsed="false">
      <c r="A50" s="714"/>
      <c r="B50" s="733"/>
      <c r="C50" s="733"/>
      <c r="D50" s="719" t="s">
        <v>1980</v>
      </c>
      <c r="E50" s="737" t="n">
        <v>8330000</v>
      </c>
      <c r="F50" s="723" t="n">
        <v>45989</v>
      </c>
      <c r="G50" s="723" t="n">
        <v>46016</v>
      </c>
      <c r="H50" s="720"/>
      <c r="I50" s="720"/>
      <c r="J50" s="720"/>
      <c r="K50" s="720"/>
      <c r="L50" s="720"/>
      <c r="M50" s="720"/>
      <c r="N50" s="720"/>
      <c r="O50" s="720"/>
      <c r="P50" s="720"/>
      <c r="Q50" s="720"/>
      <c r="R50" s="720"/>
      <c r="S50" s="720"/>
      <c r="T50" s="726" t="n">
        <f aca="false">INT(E50/1.1)*30%</f>
        <v>2271818.1</v>
      </c>
      <c r="U50" s="727"/>
      <c r="V50" s="727"/>
      <c r="W50" s="728"/>
      <c r="X50" s="729"/>
      <c r="Y50" s="729"/>
    </row>
    <row r="51" customFormat="false" ht="13.5" hidden="false" customHeight="false" outlineLevel="0" collapsed="false">
      <c r="A51" s="714"/>
      <c r="B51" s="733"/>
      <c r="C51" s="733"/>
      <c r="D51" s="736" t="s">
        <v>1981</v>
      </c>
      <c r="E51" s="738"/>
      <c r="F51" s="723"/>
      <c r="G51" s="723"/>
      <c r="H51" s="720"/>
      <c r="I51" s="720"/>
      <c r="J51" s="720"/>
      <c r="K51" s="720"/>
      <c r="L51" s="720"/>
      <c r="M51" s="720"/>
      <c r="N51" s="720"/>
      <c r="O51" s="720"/>
      <c r="P51" s="720"/>
      <c r="Q51" s="720"/>
      <c r="R51" s="720"/>
      <c r="S51" s="720"/>
      <c r="T51" s="726" t="n">
        <f aca="false">INT(E51/1.1)*30%</f>
        <v>0</v>
      </c>
      <c r="U51" s="727"/>
      <c r="V51" s="727"/>
      <c r="W51" s="728"/>
      <c r="X51" s="729"/>
      <c r="Y51" s="729"/>
    </row>
    <row r="52" customFormat="false" ht="14.25" hidden="false" customHeight="true" outlineLevel="0" collapsed="false">
      <c r="A52" s="714"/>
      <c r="B52" s="733"/>
      <c r="C52" s="733"/>
      <c r="D52" s="733"/>
      <c r="E52" s="738"/>
      <c r="F52" s="723"/>
      <c r="G52" s="723"/>
      <c r="H52" s="720"/>
      <c r="I52" s="720"/>
      <c r="J52" s="720"/>
      <c r="K52" s="720"/>
      <c r="L52" s="720"/>
      <c r="M52" s="720"/>
      <c r="N52" s="720"/>
      <c r="O52" s="720"/>
      <c r="P52" s="720"/>
      <c r="Q52" s="720"/>
      <c r="R52" s="720"/>
      <c r="S52" s="720"/>
      <c r="T52" s="726" t="n">
        <f aca="false">INT(E52/1.1)*30%</f>
        <v>0</v>
      </c>
      <c r="U52" s="727"/>
      <c r="V52" s="727"/>
      <c r="W52" s="728"/>
      <c r="X52" s="729"/>
      <c r="Y52" s="729"/>
    </row>
    <row r="53" customFormat="false" ht="13.5" hidden="false" customHeight="false" outlineLevel="0" collapsed="false">
      <c r="A53" s="714"/>
      <c r="B53" s="719" t="s">
        <v>1982</v>
      </c>
      <c r="C53" s="719" t="s">
        <v>1983</v>
      </c>
      <c r="D53" s="733"/>
      <c r="E53" s="737"/>
      <c r="F53" s="723"/>
      <c r="G53" s="723"/>
      <c r="H53" s="720"/>
      <c r="I53" s="720"/>
      <c r="J53" s="720"/>
      <c r="K53" s="720"/>
      <c r="L53" s="720"/>
      <c r="M53" s="720"/>
      <c r="N53" s="720"/>
      <c r="O53" s="720"/>
      <c r="P53" s="720"/>
      <c r="Q53" s="720"/>
      <c r="R53" s="720"/>
      <c r="S53" s="720"/>
      <c r="T53" s="726" t="n">
        <f aca="false">INT(E53/1.1)*30%</f>
        <v>0</v>
      </c>
      <c r="U53" s="727"/>
      <c r="V53" s="727"/>
      <c r="W53" s="728"/>
      <c r="X53" s="729"/>
      <c r="Y53" s="729"/>
    </row>
    <row r="54" customFormat="false" ht="14.25" hidden="false" customHeight="true" outlineLevel="0" collapsed="false">
      <c r="A54" s="714"/>
      <c r="B54" s="733"/>
      <c r="C54" s="733"/>
      <c r="D54" s="733"/>
      <c r="E54" s="737"/>
      <c r="F54" s="723"/>
      <c r="G54" s="723"/>
      <c r="H54" s="739"/>
      <c r="I54" s="739"/>
      <c r="J54" s="739"/>
      <c r="K54" s="739"/>
      <c r="L54" s="739"/>
      <c r="M54" s="739"/>
      <c r="N54" s="739"/>
      <c r="O54" s="739"/>
      <c r="P54" s="720"/>
      <c r="Q54" s="739"/>
      <c r="R54" s="720"/>
      <c r="S54" s="739"/>
      <c r="T54" s="726" t="n">
        <f aca="false">INT(E54/1.1)*30%</f>
        <v>0</v>
      </c>
      <c r="U54" s="727"/>
      <c r="V54" s="727"/>
      <c r="W54" s="728"/>
      <c r="X54" s="729"/>
      <c r="Y54" s="729"/>
    </row>
    <row r="55" customFormat="false" ht="14.25" hidden="false" customHeight="true" outlineLevel="0" collapsed="false">
      <c r="A55" s="714"/>
      <c r="B55" s="733"/>
      <c r="C55" s="733"/>
      <c r="D55" s="733"/>
      <c r="E55" s="737"/>
      <c r="F55" s="723"/>
      <c r="G55" s="723"/>
      <c r="H55" s="739"/>
      <c r="I55" s="739"/>
      <c r="J55" s="739"/>
      <c r="K55" s="739"/>
      <c r="L55" s="739"/>
      <c r="M55" s="739"/>
      <c r="N55" s="739"/>
      <c r="O55" s="739"/>
      <c r="P55" s="720"/>
      <c r="Q55" s="739"/>
      <c r="R55" s="739"/>
      <c r="S55" s="739"/>
      <c r="T55" s="726" t="n">
        <f aca="false">INT(E55/1.1)*30%</f>
        <v>0</v>
      </c>
      <c r="U55" s="727"/>
      <c r="V55" s="727"/>
      <c r="W55" s="728"/>
      <c r="X55" s="729"/>
      <c r="Y55" s="729"/>
    </row>
    <row r="56" customFormat="false" ht="13.5" hidden="false" customHeight="false" outlineLevel="0" collapsed="false">
      <c r="A56" s="714" t="s">
        <v>1984</v>
      </c>
      <c r="B56" s="719" t="s">
        <v>1930</v>
      </c>
      <c r="C56" s="722"/>
      <c r="D56" s="740" t="s">
        <v>1930</v>
      </c>
      <c r="E56" s="722"/>
      <c r="F56" s="733"/>
      <c r="G56" s="733"/>
      <c r="H56" s="739"/>
      <c r="I56" s="739"/>
      <c r="J56" s="720"/>
      <c r="K56" s="720"/>
      <c r="L56" s="720"/>
      <c r="M56" s="720"/>
      <c r="N56" s="720"/>
      <c r="O56" s="720"/>
      <c r="P56" s="720"/>
      <c r="Q56" s="720"/>
      <c r="R56" s="720"/>
      <c r="S56" s="720"/>
      <c r="T56" s="726" t="n">
        <f aca="false">INT(E56/1.1)*30%</f>
        <v>0</v>
      </c>
      <c r="U56" s="727"/>
      <c r="V56" s="727"/>
      <c r="W56" s="728"/>
      <c r="X56" s="729"/>
      <c r="Y56" s="729"/>
    </row>
    <row r="57" customFormat="false" ht="14.25" hidden="false" customHeight="true" outlineLevel="0" collapsed="false">
      <c r="A57" s="714"/>
      <c r="B57" s="719" t="s">
        <v>1985</v>
      </c>
      <c r="C57" s="741" t="n">
        <v>12690000</v>
      </c>
      <c r="D57" s="742" t="s">
        <v>1986</v>
      </c>
      <c r="E57" s="722" t="n">
        <v>202848000</v>
      </c>
      <c r="F57" s="723" t="n">
        <v>45859</v>
      </c>
      <c r="G57" s="723" t="n">
        <v>45918</v>
      </c>
      <c r="H57" s="739"/>
      <c r="I57" s="739"/>
      <c r="J57" s="720"/>
      <c r="K57" s="720"/>
      <c r="L57" s="720"/>
      <c r="M57" s="720"/>
      <c r="N57" s="720"/>
      <c r="O57" s="720"/>
      <c r="P57" s="720"/>
      <c r="Q57" s="720"/>
      <c r="R57" s="720"/>
      <c r="S57" s="720"/>
      <c r="T57" s="726" t="n">
        <f aca="false">INT(E57/1.1)*30%</f>
        <v>55322181.6</v>
      </c>
      <c r="U57" s="727"/>
      <c r="V57" s="727"/>
      <c r="W57" s="728"/>
      <c r="X57" s="729"/>
      <c r="Y57" s="729"/>
    </row>
    <row r="58" customFormat="false" ht="13.5" hidden="false" customHeight="false" outlineLevel="0" collapsed="false">
      <c r="A58" s="714"/>
      <c r="B58" s="719" t="s">
        <v>1987</v>
      </c>
      <c r="C58" s="741" t="n">
        <v>24450000</v>
      </c>
      <c r="D58" s="742" t="s">
        <v>1988</v>
      </c>
      <c r="E58" s="722" t="n">
        <v>30469320</v>
      </c>
      <c r="F58" s="723" t="n">
        <v>45915</v>
      </c>
      <c r="G58" s="723" t="n">
        <v>45928</v>
      </c>
      <c r="H58" s="739"/>
      <c r="I58" s="739"/>
      <c r="J58" s="720"/>
      <c r="K58" s="720"/>
      <c r="L58" s="720"/>
      <c r="M58" s="720"/>
      <c r="N58" s="720"/>
      <c r="O58" s="720"/>
      <c r="P58" s="720"/>
      <c r="Q58" s="720"/>
      <c r="R58" s="720"/>
      <c r="S58" s="720"/>
      <c r="T58" s="726" t="n">
        <f aca="false">INT(E58/1.1)*30%</f>
        <v>8309814.3</v>
      </c>
      <c r="U58" s="727"/>
      <c r="V58" s="727"/>
      <c r="W58" s="728"/>
      <c r="X58" s="729"/>
      <c r="Y58" s="729"/>
    </row>
    <row r="59" customFormat="false" ht="13.5" hidden="false" customHeight="false" outlineLevel="0" collapsed="false">
      <c r="A59" s="714"/>
      <c r="B59" s="719" t="s">
        <v>1989</v>
      </c>
      <c r="C59" s="741" t="n">
        <v>63688000</v>
      </c>
      <c r="D59" s="740" t="s">
        <v>1990</v>
      </c>
      <c r="E59" s="722" t="n">
        <v>58830000</v>
      </c>
      <c r="F59" s="723" t="n">
        <v>45904</v>
      </c>
      <c r="G59" s="723" t="n">
        <v>45963</v>
      </c>
      <c r="H59" s="739"/>
      <c r="I59" s="739"/>
      <c r="J59" s="720"/>
      <c r="K59" s="720"/>
      <c r="L59" s="720"/>
      <c r="M59" s="720"/>
      <c r="N59" s="720"/>
      <c r="O59" s="720"/>
      <c r="P59" s="720"/>
      <c r="Q59" s="720"/>
      <c r="R59" s="720"/>
      <c r="S59" s="720"/>
      <c r="T59" s="726" t="n">
        <f aca="false">INT(E59/1.1)*30%</f>
        <v>16044545.4</v>
      </c>
      <c r="U59" s="727"/>
      <c r="V59" s="727"/>
      <c r="W59" s="728"/>
      <c r="X59" s="729"/>
      <c r="Y59" s="729"/>
    </row>
    <row r="60" customFormat="false" ht="14.25" hidden="false" customHeight="true" outlineLevel="0" collapsed="false">
      <c r="A60" s="714"/>
      <c r="B60" s="719" t="s">
        <v>1991</v>
      </c>
      <c r="C60" s="741" t="n">
        <v>43457000</v>
      </c>
      <c r="D60" s="740" t="s">
        <v>1992</v>
      </c>
      <c r="E60" s="722" t="n">
        <v>18650000</v>
      </c>
      <c r="F60" s="723" t="n">
        <v>45980</v>
      </c>
      <c r="G60" s="723" t="n">
        <v>46039</v>
      </c>
      <c r="H60" s="739"/>
      <c r="I60" s="739"/>
      <c r="J60" s="720"/>
      <c r="K60" s="720"/>
      <c r="L60" s="720"/>
      <c r="M60" s="720"/>
      <c r="N60" s="720"/>
      <c r="O60" s="720"/>
      <c r="P60" s="720"/>
      <c r="Q60" s="720"/>
      <c r="R60" s="720"/>
      <c r="S60" s="720"/>
      <c r="T60" s="726" t="n">
        <f aca="false">INT(E60/1.1)*30%</f>
        <v>5086363.5</v>
      </c>
      <c r="U60" s="727"/>
      <c r="V60" s="727"/>
      <c r="W60" s="728"/>
      <c r="X60" s="729"/>
      <c r="Y60" s="729"/>
    </row>
    <row r="61" customFormat="false" ht="14.25" hidden="false" customHeight="true" outlineLevel="0" collapsed="false">
      <c r="A61" s="714"/>
      <c r="B61" s="733"/>
      <c r="C61" s="733"/>
      <c r="D61" s="733"/>
      <c r="E61" s="722"/>
      <c r="F61" s="723"/>
      <c r="G61" s="723"/>
      <c r="H61" s="739"/>
      <c r="I61" s="739"/>
      <c r="J61" s="739"/>
      <c r="K61" s="739"/>
      <c r="L61" s="739"/>
      <c r="M61" s="739"/>
      <c r="N61" s="739"/>
      <c r="O61" s="739"/>
      <c r="P61" s="720"/>
      <c r="Q61" s="739"/>
      <c r="R61" s="739"/>
      <c r="S61" s="739"/>
      <c r="T61" s="726" t="n">
        <f aca="false">INT(E61/1.1)*30%</f>
        <v>0</v>
      </c>
      <c r="U61" s="727"/>
      <c r="V61" s="727"/>
      <c r="W61" s="728"/>
      <c r="X61" s="729"/>
      <c r="Y61" s="729"/>
    </row>
    <row r="62" customFormat="false" ht="13.5" hidden="false" customHeight="false" outlineLevel="0" collapsed="false">
      <c r="A62" s="714" t="s">
        <v>1</v>
      </c>
      <c r="B62" s="719" t="s">
        <v>1930</v>
      </c>
      <c r="C62" s="733"/>
      <c r="D62" s="719" t="s">
        <v>1930</v>
      </c>
      <c r="E62" s="722"/>
      <c r="F62" s="733"/>
      <c r="G62" s="733"/>
      <c r="H62" s="720"/>
      <c r="I62" s="720" t="s">
        <v>1931</v>
      </c>
      <c r="J62" s="720"/>
      <c r="K62" s="720" t="s">
        <v>1931</v>
      </c>
      <c r="L62" s="720"/>
      <c r="M62" s="720"/>
      <c r="N62" s="720"/>
      <c r="O62" s="720"/>
      <c r="P62" s="720"/>
      <c r="Q62" s="720"/>
      <c r="R62" s="720"/>
      <c r="S62" s="720"/>
      <c r="T62" s="726" t="n">
        <f aca="false">INT(E62/1.1)*30%</f>
        <v>0</v>
      </c>
      <c r="U62" s="727"/>
      <c r="V62" s="727"/>
      <c r="W62" s="728"/>
      <c r="X62" s="729"/>
      <c r="Y62" s="729"/>
    </row>
    <row r="63" customFormat="false" ht="14.25" hidden="false" customHeight="true" outlineLevel="0" collapsed="false">
      <c r="A63" s="714"/>
      <c r="B63" s="733" t="s">
        <v>1993</v>
      </c>
      <c r="C63" s="733" t="n">
        <v>1120865000</v>
      </c>
      <c r="D63" s="719" t="s">
        <v>1994</v>
      </c>
      <c r="E63" s="741" t="n">
        <v>81886370</v>
      </c>
      <c r="F63" s="723" t="n">
        <v>45614</v>
      </c>
      <c r="G63" s="723" t="n">
        <v>45753</v>
      </c>
      <c r="H63" s="720"/>
      <c r="I63" s="727"/>
      <c r="J63" s="720" t="s">
        <v>1931</v>
      </c>
      <c r="K63" s="720"/>
      <c r="L63" s="720"/>
      <c r="M63" s="720"/>
      <c r="N63" s="720"/>
      <c r="O63" s="720"/>
      <c r="P63" s="720"/>
      <c r="Q63" s="720"/>
      <c r="R63" s="720"/>
      <c r="S63" s="720"/>
      <c r="T63" s="726" t="n">
        <f aca="false">INT(E63/1.1)*30%</f>
        <v>22332646.2</v>
      </c>
      <c r="U63" s="727"/>
      <c r="V63" s="727"/>
      <c r="W63" s="728"/>
      <c r="X63" s="729"/>
      <c r="Y63" s="729"/>
    </row>
    <row r="64" customFormat="false" ht="13.5" hidden="false" customHeight="true" outlineLevel="0" collapsed="false">
      <c r="A64" s="714"/>
      <c r="B64" s="719" t="s">
        <v>1995</v>
      </c>
      <c r="C64" s="733" t="n">
        <v>35012000</v>
      </c>
      <c r="D64" s="719" t="s">
        <v>1996</v>
      </c>
      <c r="E64" s="741" t="n">
        <v>83774000</v>
      </c>
      <c r="F64" s="723" t="n">
        <v>45656</v>
      </c>
      <c r="G64" s="723" t="n">
        <v>45684</v>
      </c>
      <c r="H64" s="720" t="s">
        <v>1931</v>
      </c>
      <c r="I64" s="724" t="s">
        <v>1933</v>
      </c>
      <c r="J64" s="735"/>
      <c r="K64" s="735"/>
      <c r="L64" s="735"/>
      <c r="M64" s="735"/>
      <c r="N64" s="735"/>
      <c r="O64" s="725"/>
      <c r="P64" s="725"/>
      <c r="Q64" s="725"/>
      <c r="R64" s="725"/>
      <c r="S64" s="725"/>
      <c r="T64" s="726" t="n">
        <f aca="false">INT(E64/1.1)*30%</f>
        <v>22847454.3</v>
      </c>
      <c r="U64" s="727"/>
      <c r="V64" s="727"/>
      <c r="W64" s="728"/>
      <c r="X64" s="729"/>
      <c r="Y64" s="729"/>
    </row>
    <row r="65" customFormat="false" ht="13.5" hidden="false" customHeight="false" outlineLevel="0" collapsed="false">
      <c r="A65" s="714"/>
      <c r="B65" s="719" t="s">
        <v>1997</v>
      </c>
      <c r="C65" s="733" t="n">
        <v>9820000</v>
      </c>
      <c r="D65" s="719" t="s">
        <v>1998</v>
      </c>
      <c r="E65" s="743" t="n">
        <v>317840000</v>
      </c>
      <c r="F65" s="723" t="n">
        <v>45639</v>
      </c>
      <c r="G65" s="723" t="n">
        <v>45878</v>
      </c>
      <c r="H65" s="720" t="s">
        <v>1931</v>
      </c>
      <c r="I65" s="720"/>
      <c r="J65" s="720"/>
      <c r="K65" s="720"/>
      <c r="L65" s="720"/>
      <c r="M65" s="720"/>
      <c r="N65" s="724" t="s">
        <v>1933</v>
      </c>
      <c r="O65" s="725"/>
      <c r="P65" s="725"/>
      <c r="Q65" s="725"/>
      <c r="R65" s="725"/>
      <c r="S65" s="725"/>
      <c r="T65" s="726" t="n">
        <f aca="false">INT(E65/1.1)*30%</f>
        <v>86683636.2</v>
      </c>
      <c r="U65" s="727"/>
      <c r="V65" s="727"/>
      <c r="W65" s="728"/>
      <c r="X65" s="729"/>
      <c r="Y65" s="729"/>
    </row>
    <row r="66" customFormat="false" ht="13.5" hidden="false" customHeight="false" outlineLevel="0" collapsed="false">
      <c r="A66" s="714"/>
      <c r="B66" s="719" t="s">
        <v>1999</v>
      </c>
      <c r="C66" s="733" t="n">
        <v>32244000</v>
      </c>
      <c r="D66" s="719" t="s">
        <v>2000</v>
      </c>
      <c r="E66" s="722" t="n">
        <v>21201540</v>
      </c>
      <c r="F66" s="723" t="n">
        <v>45745</v>
      </c>
      <c r="G66" s="723" t="n">
        <v>45775</v>
      </c>
      <c r="H66" s="731" t="s">
        <v>1937</v>
      </c>
      <c r="I66" s="731"/>
      <c r="J66" s="731"/>
      <c r="K66" s="731"/>
      <c r="L66" s="731"/>
      <c r="M66" s="731"/>
      <c r="N66" s="731"/>
      <c r="O66" s="731"/>
      <c r="P66" s="731"/>
      <c r="Q66" s="731"/>
      <c r="R66" s="731"/>
      <c r="S66" s="731"/>
      <c r="T66" s="726" t="n">
        <f aca="false">INT(E66/1.1)*30%</f>
        <v>5782238.1</v>
      </c>
      <c r="U66" s="727"/>
      <c r="V66" s="727"/>
      <c r="W66" s="728"/>
      <c r="X66" s="729"/>
      <c r="Y66" s="729"/>
    </row>
    <row r="67" customFormat="false" ht="13.5" hidden="false" customHeight="false" outlineLevel="0" collapsed="false">
      <c r="A67" s="714"/>
      <c r="B67" s="733" t="s">
        <v>2001</v>
      </c>
      <c r="C67" s="733" t="n">
        <v>19028160</v>
      </c>
      <c r="D67" s="719" t="s">
        <v>2002</v>
      </c>
      <c r="E67" s="722" t="n">
        <v>39260000</v>
      </c>
      <c r="F67" s="723" t="n">
        <v>45743</v>
      </c>
      <c r="G67" s="723" t="n">
        <v>45832</v>
      </c>
      <c r="H67" s="720"/>
      <c r="I67" s="720"/>
      <c r="J67" s="720"/>
      <c r="K67" s="720"/>
      <c r="L67" s="720"/>
      <c r="M67" s="720"/>
      <c r="N67" s="720"/>
      <c r="O67" s="720"/>
      <c r="P67" s="720"/>
      <c r="Q67" s="720"/>
      <c r="R67" s="720"/>
      <c r="S67" s="720"/>
      <c r="T67" s="726" t="n">
        <f aca="false">INT(E67/1.1)*30%</f>
        <v>10707272.7</v>
      </c>
      <c r="U67" s="727"/>
      <c r="V67" s="727"/>
      <c r="W67" s="728"/>
      <c r="X67" s="729"/>
      <c r="Y67" s="729"/>
    </row>
    <row r="68" customFormat="false" ht="13.5" hidden="false" customHeight="false" outlineLevel="0" collapsed="false">
      <c r="A68" s="714"/>
      <c r="B68" s="719" t="s">
        <v>2003</v>
      </c>
      <c r="C68" s="733" t="n">
        <v>64760000</v>
      </c>
      <c r="D68" s="719" t="s">
        <v>2004</v>
      </c>
      <c r="E68" s="741" t="n">
        <v>156780000</v>
      </c>
      <c r="F68" s="723" t="n">
        <v>45786</v>
      </c>
      <c r="G68" s="723" t="n">
        <v>45875</v>
      </c>
      <c r="H68" s="720"/>
      <c r="I68" s="730"/>
      <c r="J68" s="720"/>
      <c r="K68" s="720"/>
      <c r="L68" s="720"/>
      <c r="M68" s="720"/>
      <c r="N68" s="720"/>
      <c r="O68" s="720"/>
      <c r="P68" s="720"/>
      <c r="Q68" s="720"/>
      <c r="R68" s="720"/>
      <c r="S68" s="720"/>
      <c r="T68" s="726" t="n">
        <f aca="false">INT(E68/1.1)*30%</f>
        <v>42758181.6</v>
      </c>
      <c r="U68" s="727"/>
      <c r="V68" s="727"/>
      <c r="W68" s="728"/>
      <c r="X68" s="729"/>
      <c r="Y68" s="729"/>
    </row>
    <row r="69" customFormat="false" ht="13.5" hidden="false" customHeight="false" outlineLevel="0" collapsed="false">
      <c r="A69" s="714"/>
      <c r="B69" s="719" t="s">
        <v>2005</v>
      </c>
      <c r="C69" s="733" t="n">
        <v>27277000</v>
      </c>
      <c r="D69" s="719" t="s">
        <v>2006</v>
      </c>
      <c r="E69" s="741" t="n">
        <v>56353000</v>
      </c>
      <c r="F69" s="723" t="n">
        <v>45838</v>
      </c>
      <c r="G69" s="723" t="n">
        <v>45927</v>
      </c>
      <c r="H69" s="720"/>
      <c r="I69" s="730"/>
      <c r="J69" s="720"/>
      <c r="K69" s="720"/>
      <c r="L69" s="720"/>
      <c r="M69" s="720"/>
      <c r="N69" s="720"/>
      <c r="O69" s="720"/>
      <c r="P69" s="720"/>
      <c r="Q69" s="720"/>
      <c r="R69" s="720"/>
      <c r="S69" s="720"/>
      <c r="T69" s="726" t="n">
        <f aca="false">INT(E69/1.1)*30%</f>
        <v>15369000</v>
      </c>
      <c r="U69" s="727"/>
      <c r="V69" s="727"/>
      <c r="W69" s="728"/>
      <c r="X69" s="729"/>
      <c r="Y69" s="729"/>
    </row>
    <row r="70" customFormat="false" ht="13.5" hidden="false" customHeight="false" outlineLevel="0" collapsed="false">
      <c r="A70" s="714"/>
      <c r="B70" s="719" t="s">
        <v>2007</v>
      </c>
      <c r="C70" s="733" t="n">
        <v>455355000</v>
      </c>
      <c r="D70" s="719" t="s">
        <v>2008</v>
      </c>
      <c r="E70" s="741" t="n">
        <v>715600000</v>
      </c>
      <c r="F70" s="723" t="n">
        <v>45853</v>
      </c>
      <c r="G70" s="723" t="n">
        <v>46002</v>
      </c>
      <c r="H70" s="720"/>
      <c r="I70" s="730"/>
      <c r="J70" s="720"/>
      <c r="K70" s="720"/>
      <c r="L70" s="720"/>
      <c r="M70" s="720"/>
      <c r="N70" s="720"/>
      <c r="O70" s="720"/>
      <c r="P70" s="720"/>
      <c r="Q70" s="720"/>
      <c r="R70" s="730"/>
      <c r="S70" s="730"/>
      <c r="T70" s="726" t="n">
        <f aca="false">INT(E70/1.1)*30%</f>
        <v>195163636.2</v>
      </c>
      <c r="U70" s="727"/>
      <c r="V70" s="727"/>
      <c r="W70" s="728"/>
      <c r="X70" s="729"/>
      <c r="Y70" s="729"/>
    </row>
    <row r="71" customFormat="false" ht="13.5" hidden="false" customHeight="false" outlineLevel="0" collapsed="false">
      <c r="A71" s="714"/>
      <c r="B71" s="733" t="s">
        <v>2009</v>
      </c>
      <c r="C71" s="733" t="n">
        <v>132012000</v>
      </c>
      <c r="D71" s="719" t="s">
        <v>2010</v>
      </c>
      <c r="E71" s="741" t="n">
        <v>178044000</v>
      </c>
      <c r="F71" s="723" t="n">
        <v>45866</v>
      </c>
      <c r="G71" s="723" t="n">
        <v>45985</v>
      </c>
      <c r="H71" s="720"/>
      <c r="I71" s="730"/>
      <c r="J71" s="720"/>
      <c r="K71" s="720"/>
      <c r="L71" s="720"/>
      <c r="M71" s="720"/>
      <c r="N71" s="720"/>
      <c r="O71" s="720"/>
      <c r="P71" s="720"/>
      <c r="Q71" s="720"/>
      <c r="R71" s="720"/>
      <c r="S71" s="720"/>
      <c r="T71" s="726" t="n">
        <f aca="false">INT(E71/1.1)*30%</f>
        <v>48557454.3</v>
      </c>
      <c r="U71" s="727"/>
      <c r="V71" s="727"/>
      <c r="W71" s="728"/>
      <c r="X71" s="729"/>
      <c r="Y71" s="729"/>
    </row>
    <row r="72" customFormat="false" ht="13.5" hidden="false" customHeight="false" outlineLevel="0" collapsed="false">
      <c r="A72" s="714"/>
      <c r="B72" s="719" t="s">
        <v>2011</v>
      </c>
      <c r="C72" s="733" t="n">
        <v>62395000</v>
      </c>
      <c r="D72" s="733" t="s">
        <v>2012</v>
      </c>
      <c r="E72" s="741" t="n">
        <v>206420000</v>
      </c>
      <c r="F72" s="723" t="n">
        <v>45894</v>
      </c>
      <c r="G72" s="723" t="n">
        <v>46053</v>
      </c>
      <c r="H72" s="720"/>
      <c r="I72" s="730"/>
      <c r="J72" s="720"/>
      <c r="K72" s="720"/>
      <c r="L72" s="720"/>
      <c r="M72" s="720"/>
      <c r="N72" s="720"/>
      <c r="O72" s="730"/>
      <c r="P72" s="730"/>
      <c r="Q72" s="730"/>
      <c r="R72" s="730"/>
      <c r="S72" s="730"/>
      <c r="T72" s="726" t="n">
        <f aca="false">INT(E72/1.1)*30%</f>
        <v>56296363.5</v>
      </c>
      <c r="U72" s="727"/>
      <c r="V72" s="727"/>
      <c r="W72" s="728"/>
      <c r="X72" s="729"/>
      <c r="Y72" s="729"/>
    </row>
    <row r="73" customFormat="false" ht="13.5" hidden="false" customHeight="false" outlineLevel="0" collapsed="false">
      <c r="A73" s="714"/>
      <c r="B73" s="733"/>
      <c r="C73" s="733"/>
      <c r="D73" s="733"/>
      <c r="E73" s="741"/>
      <c r="F73" s="723"/>
      <c r="G73" s="723"/>
      <c r="H73" s="720"/>
      <c r="I73" s="730"/>
      <c r="J73" s="720"/>
      <c r="K73" s="720"/>
      <c r="L73" s="720"/>
      <c r="M73" s="720"/>
      <c r="N73" s="720"/>
      <c r="O73" s="730"/>
      <c r="P73" s="730"/>
      <c r="Q73" s="730"/>
      <c r="R73" s="730"/>
      <c r="S73" s="730"/>
      <c r="T73" s="726"/>
      <c r="U73" s="727"/>
      <c r="V73" s="727"/>
      <c r="W73" s="728"/>
      <c r="X73" s="729"/>
      <c r="Y73" s="729"/>
    </row>
    <row r="74" customFormat="false" ht="13.5" hidden="false" customHeight="false" outlineLevel="0" collapsed="false">
      <c r="A74" s="714"/>
      <c r="B74" s="733"/>
      <c r="C74" s="733"/>
      <c r="D74" s="733"/>
      <c r="E74" s="741"/>
      <c r="F74" s="723"/>
      <c r="G74" s="723"/>
      <c r="H74" s="720"/>
      <c r="I74" s="730"/>
      <c r="J74" s="720"/>
      <c r="K74" s="720"/>
      <c r="L74" s="720"/>
      <c r="M74" s="720"/>
      <c r="N74" s="720"/>
      <c r="O74" s="730"/>
      <c r="P74" s="730"/>
      <c r="Q74" s="730"/>
      <c r="R74" s="730"/>
      <c r="S74" s="730"/>
      <c r="T74" s="726"/>
      <c r="U74" s="727"/>
      <c r="V74" s="727"/>
      <c r="W74" s="728"/>
      <c r="X74" s="729"/>
      <c r="Y74" s="729"/>
    </row>
    <row r="75" customFormat="false" ht="13.5" hidden="false" customHeight="false" outlineLevel="0" collapsed="false">
      <c r="A75" s="714"/>
      <c r="B75" s="733"/>
      <c r="C75" s="733"/>
      <c r="D75" s="733"/>
      <c r="E75" s="741"/>
      <c r="F75" s="723"/>
      <c r="G75" s="723"/>
      <c r="H75" s="720"/>
      <c r="I75" s="730"/>
      <c r="J75" s="720"/>
      <c r="K75" s="720"/>
      <c r="L75" s="720"/>
      <c r="M75" s="720"/>
      <c r="N75" s="720"/>
      <c r="O75" s="730"/>
      <c r="P75" s="730"/>
      <c r="Q75" s="730"/>
      <c r="R75" s="730"/>
      <c r="S75" s="730"/>
      <c r="T75" s="726"/>
      <c r="U75" s="727"/>
      <c r="V75" s="727"/>
      <c r="W75" s="728"/>
      <c r="X75" s="729"/>
      <c r="Y75" s="729"/>
    </row>
    <row r="76" customFormat="false" ht="13.5" hidden="false" customHeight="false" outlineLevel="0" collapsed="false">
      <c r="A76" s="714"/>
      <c r="B76" s="733"/>
      <c r="C76" s="733"/>
      <c r="D76" s="733"/>
      <c r="E76" s="741"/>
      <c r="F76" s="723"/>
      <c r="G76" s="723"/>
      <c r="H76" s="720"/>
      <c r="I76" s="730"/>
      <c r="J76" s="720"/>
      <c r="K76" s="720"/>
      <c r="L76" s="720"/>
      <c r="M76" s="720"/>
      <c r="N76" s="720"/>
      <c r="O76" s="730"/>
      <c r="P76" s="730"/>
      <c r="Q76" s="730"/>
      <c r="R76" s="730"/>
      <c r="S76" s="730"/>
      <c r="T76" s="726"/>
      <c r="U76" s="727"/>
      <c r="V76" s="727"/>
      <c r="W76" s="728"/>
      <c r="X76" s="729"/>
      <c r="Y76" s="729"/>
    </row>
    <row r="77" customFormat="false" ht="13.5" hidden="false" customHeight="false" outlineLevel="0" collapsed="false">
      <c r="A77" s="714"/>
      <c r="B77" s="719" t="s">
        <v>2005</v>
      </c>
      <c r="C77" s="733" t="n">
        <v>27277000</v>
      </c>
      <c r="D77" s="733"/>
      <c r="E77" s="741"/>
      <c r="F77" s="723"/>
      <c r="G77" s="723"/>
      <c r="H77" s="720"/>
      <c r="I77" s="730"/>
      <c r="J77" s="720"/>
      <c r="K77" s="720"/>
      <c r="L77" s="720"/>
      <c r="M77" s="720"/>
      <c r="N77" s="720"/>
      <c r="O77" s="720"/>
      <c r="P77" s="720"/>
      <c r="Q77" s="720"/>
      <c r="R77" s="720"/>
      <c r="S77" s="720"/>
      <c r="T77" s="726" t="n">
        <f aca="false">INT(E77/1.1)*30%</f>
        <v>0</v>
      </c>
      <c r="U77" s="727"/>
      <c r="V77" s="727"/>
      <c r="W77" s="728"/>
      <c r="X77" s="729"/>
    </row>
    <row r="78" customFormat="false" ht="13.5" hidden="false" customHeight="false" outlineLevel="0" collapsed="false">
      <c r="A78" s="714"/>
      <c r="B78" s="744"/>
      <c r="C78" s="744"/>
      <c r="D78" s="733"/>
      <c r="E78" s="743"/>
      <c r="F78" s="723"/>
      <c r="G78" s="723"/>
      <c r="H78" s="745"/>
      <c r="I78" s="745"/>
      <c r="J78" s="745"/>
      <c r="K78" s="745"/>
      <c r="L78" s="745"/>
      <c r="M78" s="745"/>
      <c r="N78" s="745"/>
      <c r="O78" s="745"/>
      <c r="P78" s="745"/>
      <c r="Q78" s="730"/>
      <c r="R78" s="720"/>
      <c r="S78" s="745"/>
      <c r="T78" s="726" t="n">
        <f aca="false">INT(E78/1.1)*30%</f>
        <v>0</v>
      </c>
    </row>
    <row r="79" customFormat="false" ht="13.5" hidden="false" customHeight="false" outlineLevel="0" collapsed="false">
      <c r="A79" s="714" t="s">
        <v>2013</v>
      </c>
      <c r="B79" s="715"/>
      <c r="C79" s="715"/>
      <c r="D79" s="719" t="s">
        <v>1930</v>
      </c>
      <c r="E79" s="741"/>
      <c r="F79" s="723"/>
      <c r="G79" s="723"/>
      <c r="H79" s="720"/>
      <c r="I79" s="720"/>
      <c r="J79" s="720"/>
      <c r="K79" s="720" t="s">
        <v>1931</v>
      </c>
      <c r="L79" s="720"/>
      <c r="M79" s="720"/>
      <c r="N79" s="720"/>
      <c r="O79" s="720"/>
      <c r="P79" s="720"/>
      <c r="Q79" s="720"/>
      <c r="R79" s="720"/>
      <c r="S79" s="720"/>
      <c r="T79" s="726" t="n">
        <f aca="false">INT(E79/1.1)*30%</f>
        <v>0</v>
      </c>
      <c r="U79" s="716"/>
      <c r="V79" s="716"/>
      <c r="W79" s="717"/>
      <c r="X79" s="718"/>
    </row>
    <row r="80" customFormat="false" ht="13.5" hidden="false" customHeight="false" outlineLevel="0" collapsed="false">
      <c r="A80" s="714"/>
      <c r="B80" s="744"/>
      <c r="C80" s="744"/>
      <c r="D80" s="719" t="s">
        <v>2014</v>
      </c>
      <c r="E80" s="741" t="n">
        <v>25040000</v>
      </c>
      <c r="F80" s="723" t="n">
        <v>45628</v>
      </c>
      <c r="G80" s="723" t="n">
        <v>45780</v>
      </c>
      <c r="H80" s="720"/>
      <c r="I80" s="730"/>
      <c r="J80" s="720"/>
      <c r="K80" s="720" t="s">
        <v>1931</v>
      </c>
      <c r="L80" s="720"/>
      <c r="M80" s="720"/>
      <c r="N80" s="720"/>
      <c r="O80" s="720"/>
      <c r="P80" s="720"/>
      <c r="Q80" s="720"/>
      <c r="R80" s="720"/>
      <c r="S80" s="720"/>
      <c r="T80" s="726" t="n">
        <f aca="false">INT(E80/1.1)*30%</f>
        <v>6829090.8</v>
      </c>
    </row>
    <row r="81" customFormat="false" ht="13.5" hidden="false" customHeight="false" outlineLevel="0" collapsed="false">
      <c r="A81" s="714"/>
      <c r="B81" s="744"/>
      <c r="C81" s="744"/>
      <c r="D81" s="719" t="s">
        <v>2015</v>
      </c>
      <c r="E81" s="722" t="n">
        <v>107879000</v>
      </c>
      <c r="F81" s="723" t="n">
        <v>45754</v>
      </c>
      <c r="G81" s="723" t="n">
        <v>45772</v>
      </c>
      <c r="H81" s="720"/>
      <c r="I81" s="730"/>
      <c r="J81" s="720"/>
      <c r="K81" s="720" t="s">
        <v>1931</v>
      </c>
      <c r="L81" s="720"/>
      <c r="M81" s="720"/>
      <c r="N81" s="720"/>
      <c r="O81" s="720"/>
      <c r="P81" s="720"/>
      <c r="Q81" s="720"/>
      <c r="R81" s="720"/>
      <c r="S81" s="720"/>
      <c r="T81" s="726" t="n">
        <f aca="false">INT(E81/1.1)*30%</f>
        <v>29421545.4</v>
      </c>
    </row>
    <row r="82" customFormat="false" ht="13.5" hidden="false" customHeight="false" outlineLevel="0" collapsed="false">
      <c r="A82" s="714"/>
      <c r="B82" s="744"/>
      <c r="C82" s="744"/>
      <c r="D82" s="733"/>
      <c r="E82" s="722"/>
      <c r="F82" s="723"/>
      <c r="G82" s="723"/>
      <c r="H82" s="720"/>
      <c r="I82" s="730"/>
      <c r="J82" s="720"/>
      <c r="K82" s="720"/>
      <c r="L82" s="720"/>
      <c r="M82" s="720"/>
      <c r="N82" s="720"/>
      <c r="O82" s="720"/>
      <c r="P82" s="720"/>
      <c r="Q82" s="720"/>
      <c r="R82" s="720"/>
      <c r="S82" s="720"/>
      <c r="T82" s="726" t="n">
        <f aca="false">INT(E82/1.1)*30%</f>
        <v>0</v>
      </c>
    </row>
    <row r="83" customFormat="false" ht="13.5" hidden="false" customHeight="false" outlineLevel="0" collapsed="false">
      <c r="A83" s="714"/>
      <c r="B83" s="744"/>
      <c r="C83" s="744"/>
      <c r="D83" s="733"/>
      <c r="E83" s="741"/>
      <c r="F83" s="723"/>
      <c r="G83" s="723"/>
      <c r="H83" s="720"/>
      <c r="I83" s="730"/>
      <c r="J83" s="720"/>
      <c r="K83" s="720"/>
      <c r="L83" s="720"/>
      <c r="M83" s="720"/>
      <c r="N83" s="720"/>
      <c r="O83" s="720"/>
      <c r="P83" s="720"/>
      <c r="Q83" s="720"/>
      <c r="R83" s="720"/>
      <c r="S83" s="720"/>
      <c r="T83" s="726" t="n">
        <f aca="false">INT(E83/1.1)*30%</f>
        <v>0</v>
      </c>
    </row>
    <row r="84" customFormat="false" ht="13.5" hidden="false" customHeight="false" outlineLevel="0" collapsed="false">
      <c r="A84" s="714"/>
      <c r="B84" s="744"/>
      <c r="C84" s="744"/>
      <c r="D84" s="733"/>
      <c r="E84" s="741"/>
      <c r="F84" s="723"/>
      <c r="G84" s="723"/>
      <c r="H84" s="720"/>
      <c r="I84" s="730"/>
      <c r="J84" s="720"/>
      <c r="K84" s="720"/>
      <c r="L84" s="720"/>
      <c r="M84" s="720"/>
      <c r="N84" s="720"/>
      <c r="O84" s="720"/>
      <c r="P84" s="720"/>
      <c r="Q84" s="720"/>
      <c r="R84" s="720"/>
      <c r="S84" s="720"/>
      <c r="T84" s="726" t="n">
        <f aca="false">INT(E84/1.1)*30%</f>
        <v>0</v>
      </c>
    </row>
    <row r="85" customFormat="false" ht="13.5" hidden="false" customHeight="false" outlineLevel="0" collapsed="false">
      <c r="A85" s="714"/>
      <c r="B85" s="744"/>
      <c r="C85" s="744"/>
      <c r="D85" s="733"/>
      <c r="E85" s="741"/>
      <c r="F85" s="723"/>
      <c r="G85" s="723"/>
      <c r="H85" s="745"/>
      <c r="I85" s="745"/>
      <c r="J85" s="745"/>
      <c r="K85" s="745"/>
      <c r="L85" s="745"/>
      <c r="M85" s="745"/>
      <c r="N85" s="745"/>
      <c r="O85" s="745"/>
      <c r="P85" s="745"/>
      <c r="Q85" s="730"/>
      <c r="R85" s="720"/>
      <c r="S85" s="745"/>
      <c r="T85" s="726" t="n">
        <f aca="false">INT(E85/1.1)*30%</f>
        <v>0</v>
      </c>
    </row>
    <row r="86" customFormat="false" ht="26.25" hidden="false" customHeight="false" outlineLevel="0" collapsed="false">
      <c r="A86" s="713" t="s">
        <v>2016</v>
      </c>
      <c r="B86" s="713"/>
      <c r="C86" s="713"/>
      <c r="D86" s="713"/>
      <c r="E86" s="713"/>
      <c r="F86" s="713"/>
      <c r="G86" s="713"/>
      <c r="H86" s="713"/>
      <c r="I86" s="713"/>
      <c r="J86" s="713"/>
      <c r="K86" s="713"/>
      <c r="L86" s="713"/>
      <c r="M86" s="713"/>
      <c r="N86" s="713"/>
      <c r="O86" s="713"/>
      <c r="P86" s="713"/>
      <c r="Q86" s="713"/>
      <c r="R86" s="713"/>
      <c r="S86" s="713"/>
      <c r="T86" s="713"/>
    </row>
    <row r="87" customFormat="false" ht="13.5" hidden="false" customHeight="false" outlineLevel="0" collapsed="false">
      <c r="A87" s="714" t="s">
        <v>24</v>
      </c>
      <c r="D87" s="714" t="s">
        <v>28</v>
      </c>
      <c r="E87" s="714" t="s">
        <v>1915</v>
      </c>
      <c r="F87" s="714" t="s">
        <v>1916</v>
      </c>
      <c r="G87" s="714" t="s">
        <v>1917</v>
      </c>
      <c r="H87" s="715" t="s">
        <v>1918</v>
      </c>
      <c r="I87" s="715" t="s">
        <v>1919</v>
      </c>
      <c r="J87" s="715" t="s">
        <v>1920</v>
      </c>
      <c r="K87" s="715" t="s">
        <v>1921</v>
      </c>
      <c r="L87" s="715" t="s">
        <v>1922</v>
      </c>
      <c r="M87" s="715" t="s">
        <v>1923</v>
      </c>
      <c r="N87" s="715" t="s">
        <v>1924</v>
      </c>
      <c r="O87" s="715" t="s">
        <v>1925</v>
      </c>
      <c r="P87" s="715" t="s">
        <v>1926</v>
      </c>
      <c r="Q87" s="715" t="s">
        <v>1927</v>
      </c>
      <c r="R87" s="715" t="s">
        <v>1928</v>
      </c>
      <c r="S87" s="715" t="s">
        <v>1929</v>
      </c>
      <c r="T87" s="741"/>
    </row>
    <row r="88" customFormat="false" ht="13.5" hidden="false" customHeight="false" outlineLevel="0" collapsed="false">
      <c r="A88" s="708" t="s">
        <v>2017</v>
      </c>
      <c r="D88" s="744" t="s">
        <v>2018</v>
      </c>
      <c r="E88" s="743"/>
      <c r="F88" s="723"/>
      <c r="G88" s="723"/>
      <c r="I88" s="746" t="s">
        <v>1931</v>
      </c>
      <c r="J88" s="746"/>
      <c r="K88" s="746"/>
      <c r="L88" s="746"/>
      <c r="M88" s="746"/>
      <c r="N88" s="746"/>
      <c r="O88" s="747"/>
      <c r="P88" s="747"/>
      <c r="Q88" s="747"/>
      <c r="R88" s="746"/>
      <c r="S88" s="746"/>
      <c r="T88" s="726" t="n">
        <f aca="false">INT(E88/1.1)*30%</f>
        <v>0</v>
      </c>
    </row>
    <row r="89" customFormat="false" ht="13.5" hidden="false" customHeight="false" outlineLevel="0" collapsed="false">
      <c r="A89" s="708" t="s">
        <v>2019</v>
      </c>
      <c r="D89" s="744" t="s">
        <v>2020</v>
      </c>
      <c r="E89" s="743"/>
      <c r="F89" s="723"/>
      <c r="G89" s="723"/>
      <c r="H89" s="746"/>
      <c r="I89" s="746"/>
      <c r="J89" s="746" t="s">
        <v>1931</v>
      </c>
      <c r="K89" s="746"/>
      <c r="L89" s="746"/>
      <c r="M89" s="746"/>
      <c r="N89" s="746"/>
      <c r="O89" s="747"/>
      <c r="P89" s="747"/>
      <c r="Q89" s="747"/>
      <c r="R89" s="746"/>
      <c r="S89" s="746"/>
      <c r="T89" s="748"/>
    </row>
    <row r="90" customFormat="false" ht="13.5" hidden="false" customHeight="false" outlineLevel="0" collapsed="false">
      <c r="A90" s="749" t="s">
        <v>2021</v>
      </c>
      <c r="D90" s="733" t="s">
        <v>2022</v>
      </c>
      <c r="E90" s="743" t="n">
        <v>174042260</v>
      </c>
      <c r="F90" s="723"/>
      <c r="G90" s="723"/>
      <c r="H90" s="750"/>
      <c r="I90" s="751"/>
      <c r="J90" s="750"/>
      <c r="K90" s="750" t="n">
        <v>45383</v>
      </c>
      <c r="L90" s="750" t="s">
        <v>1931</v>
      </c>
      <c r="M90" s="752"/>
      <c r="N90" s="750"/>
      <c r="O90" s="750"/>
      <c r="P90" s="750"/>
      <c r="Q90" s="750"/>
      <c r="R90" s="750" t="n">
        <v>45991</v>
      </c>
      <c r="S90" s="750"/>
      <c r="T90" s="726" t="n">
        <f aca="false">INT(E90/1.1)*30%</f>
        <v>47466070.8</v>
      </c>
    </row>
    <row r="91" customFormat="false" ht="13.5" hidden="false" customHeight="false" outlineLevel="0" collapsed="false">
      <c r="A91" s="749" t="s">
        <v>2021</v>
      </c>
      <c r="D91" s="733" t="s">
        <v>1940</v>
      </c>
      <c r="E91" s="743" t="n">
        <v>173156310</v>
      </c>
      <c r="F91" s="723"/>
      <c r="G91" s="723"/>
      <c r="H91" s="750"/>
      <c r="I91" s="751"/>
      <c r="J91" s="750"/>
      <c r="K91" s="750" t="n">
        <v>45383</v>
      </c>
      <c r="L91" s="750" t="s">
        <v>1931</v>
      </c>
      <c r="M91" s="750"/>
      <c r="N91" s="750"/>
      <c r="O91" s="720"/>
      <c r="P91" s="720"/>
      <c r="Q91" s="720"/>
      <c r="R91" s="750" t="n">
        <v>45991</v>
      </c>
      <c r="S91" s="750"/>
      <c r="T91" s="726" t="n">
        <f aca="false">INT(E91/1.1)*30%</f>
        <v>47224448.1</v>
      </c>
    </row>
    <row r="92" customFormat="false" ht="13.5" hidden="false" customHeight="false" outlineLevel="0" collapsed="false">
      <c r="A92" s="708" t="s">
        <v>2023</v>
      </c>
      <c r="D92" s="744" t="s">
        <v>2024</v>
      </c>
      <c r="E92" s="743" t="n">
        <v>26281490</v>
      </c>
      <c r="F92" s="723" t="n">
        <v>45790</v>
      </c>
      <c r="G92" s="723" t="n">
        <v>45849</v>
      </c>
      <c r="H92" s="746"/>
      <c r="I92" s="746"/>
      <c r="J92" s="746"/>
      <c r="K92" s="746"/>
      <c r="L92" s="746"/>
      <c r="M92" s="746"/>
      <c r="N92" s="746"/>
      <c r="O92" s="746"/>
      <c r="P92" s="746"/>
      <c r="Q92" s="746"/>
      <c r="R92" s="746"/>
      <c r="S92" s="746"/>
      <c r="T92" s="726" t="n">
        <f aca="false">INT(E92/1.1)*30%</f>
        <v>7167678.9</v>
      </c>
    </row>
    <row r="93" customFormat="false" ht="13.5" hidden="false" customHeight="false" outlineLevel="0" collapsed="false">
      <c r="A93" s="708" t="s">
        <v>2023</v>
      </c>
      <c r="D93" s="744" t="s">
        <v>2025</v>
      </c>
      <c r="E93" s="743" t="n">
        <v>30154990</v>
      </c>
      <c r="F93" s="723" t="n">
        <v>45903</v>
      </c>
      <c r="G93" s="723" t="n">
        <v>45947</v>
      </c>
      <c r="H93" s="746"/>
      <c r="I93" s="746"/>
      <c r="J93" s="746"/>
      <c r="K93" s="746"/>
      <c r="L93" s="746"/>
      <c r="M93" s="746" t="s">
        <v>1931</v>
      </c>
      <c r="N93" s="746"/>
      <c r="O93" s="747"/>
      <c r="P93" s="747"/>
      <c r="Q93" s="747"/>
      <c r="R93" s="746"/>
      <c r="S93" s="746"/>
      <c r="T93" s="726" t="n">
        <f aca="false">INT(E93/1.1)*30%</f>
        <v>8224088.1</v>
      </c>
    </row>
    <row r="94" customFormat="false" ht="13.5" hidden="false" customHeight="false" outlineLevel="0" collapsed="false">
      <c r="A94" s="708" t="s">
        <v>2023</v>
      </c>
      <c r="D94" s="706" t="s">
        <v>2026</v>
      </c>
      <c r="E94" s="743" t="n">
        <v>57449290</v>
      </c>
      <c r="F94" s="723" t="n">
        <v>45918</v>
      </c>
      <c r="G94" s="723" t="n">
        <v>46009</v>
      </c>
      <c r="H94" s="746"/>
      <c r="I94" s="746"/>
      <c r="J94" s="746"/>
      <c r="K94" s="746"/>
      <c r="L94" s="746"/>
      <c r="M94" s="746"/>
      <c r="N94" s="746"/>
      <c r="O94" s="747"/>
      <c r="P94" s="747"/>
      <c r="Q94" s="747"/>
      <c r="R94" s="746"/>
      <c r="S94" s="746"/>
      <c r="T94" s="726" t="n">
        <f aca="false">INT(E94/1.1)*30%</f>
        <v>15667988.1</v>
      </c>
    </row>
    <row r="95" customFormat="false" ht="13.5" hidden="false" customHeight="false" outlineLevel="0" collapsed="false">
      <c r="A95" s="708" t="s">
        <v>2027</v>
      </c>
      <c r="D95" s="744"/>
      <c r="E95" s="743"/>
      <c r="F95" s="723"/>
      <c r="G95" s="723"/>
      <c r="H95" s="746"/>
      <c r="I95" s="746"/>
      <c r="J95" s="746"/>
      <c r="K95" s="746"/>
      <c r="L95" s="746"/>
      <c r="M95" s="746"/>
      <c r="N95" s="746"/>
      <c r="O95" s="746"/>
      <c r="P95" s="746"/>
      <c r="Q95" s="746"/>
      <c r="R95" s="746"/>
      <c r="S95" s="746"/>
      <c r="T95" s="726" t="n">
        <f aca="false">INT(E95/1.1)*30%</f>
        <v>0</v>
      </c>
    </row>
    <row r="96" customFormat="false" ht="13.5" hidden="false" customHeight="false" outlineLevel="0" collapsed="false">
      <c r="A96" s="708" t="s">
        <v>2028</v>
      </c>
      <c r="D96" s="706" t="s">
        <v>2029</v>
      </c>
      <c r="E96" s="743" t="n">
        <v>343189000</v>
      </c>
      <c r="F96" s="723" t="n">
        <v>45904</v>
      </c>
      <c r="G96" s="723" t="n">
        <v>46023</v>
      </c>
      <c r="H96" s="746"/>
      <c r="I96" s="746"/>
      <c r="J96" s="746"/>
      <c r="K96" s="746"/>
      <c r="L96" s="746"/>
      <c r="M96" s="746"/>
      <c r="N96" s="746"/>
      <c r="O96" s="746"/>
      <c r="P96" s="746"/>
      <c r="Q96" s="746"/>
      <c r="R96" s="746"/>
      <c r="S96" s="746"/>
      <c r="T96" s="726" t="n">
        <f aca="false">INT(E96/1.1)*30%</f>
        <v>93597000</v>
      </c>
    </row>
    <row r="97" customFormat="false" ht="13.5" hidden="false" customHeight="false" outlineLevel="0" collapsed="false">
      <c r="A97" s="708" t="s">
        <v>2030</v>
      </c>
      <c r="D97" s="706" t="s">
        <v>2031</v>
      </c>
      <c r="E97" s="743" t="n">
        <v>970471000</v>
      </c>
      <c r="F97" s="723" t="n">
        <v>45973</v>
      </c>
      <c r="G97" s="723" t="n">
        <v>46272</v>
      </c>
      <c r="H97" s="746"/>
      <c r="I97" s="746"/>
      <c r="J97" s="746"/>
      <c r="K97" s="746"/>
      <c r="L97" s="746"/>
      <c r="M97" s="746"/>
      <c r="N97" s="746"/>
      <c r="O97" s="746"/>
      <c r="P97" s="746"/>
      <c r="Q97" s="746"/>
      <c r="R97" s="746"/>
      <c r="S97" s="746"/>
      <c r="T97" s="726" t="n">
        <f aca="false">INT(E97/1.1)*30%</f>
        <v>264673908.9</v>
      </c>
    </row>
    <row r="98" customFormat="false" ht="13.5" hidden="false" customHeight="false" outlineLevel="0" collapsed="false">
      <c r="A98" s="749"/>
      <c r="D98" s="744"/>
      <c r="E98" s="743"/>
      <c r="F98" s="723"/>
      <c r="G98" s="723"/>
      <c r="H98" s="746"/>
      <c r="I98" s="746"/>
      <c r="J98" s="746"/>
      <c r="K98" s="746"/>
      <c r="L98" s="746"/>
      <c r="M98" s="746"/>
      <c r="N98" s="746"/>
      <c r="O98" s="746"/>
      <c r="P98" s="746"/>
      <c r="Q98" s="746"/>
      <c r="R98" s="746"/>
      <c r="S98" s="746"/>
      <c r="T98" s="726" t="n">
        <f aca="false">INT(E98/1.1)*30%</f>
        <v>0</v>
      </c>
    </row>
    <row r="99" customFormat="false" ht="13.5" hidden="false" customHeight="false" outlineLevel="0" collapsed="false">
      <c r="A99" s="749"/>
      <c r="D99" s="744"/>
      <c r="E99" s="743"/>
      <c r="F99" s="723"/>
      <c r="G99" s="723"/>
      <c r="H99" s="746"/>
      <c r="I99" s="746"/>
      <c r="J99" s="746"/>
      <c r="K99" s="746"/>
      <c r="L99" s="746"/>
      <c r="M99" s="746"/>
      <c r="N99" s="746"/>
      <c r="O99" s="746"/>
      <c r="P99" s="746"/>
      <c r="Q99" s="746"/>
      <c r="R99" s="746"/>
      <c r="S99" s="746"/>
      <c r="T99" s="726" t="n">
        <f aca="false">INT(E99/1.1)*30%</f>
        <v>0</v>
      </c>
    </row>
    <row r="100" customFormat="false" ht="13.5" hidden="false" customHeight="false" outlineLevel="0" collapsed="false">
      <c r="A100" s="749"/>
      <c r="D100" s="744"/>
      <c r="E100" s="743"/>
      <c r="F100" s="723"/>
      <c r="G100" s="723"/>
      <c r="H100" s="746"/>
      <c r="I100" s="746"/>
      <c r="J100" s="746"/>
      <c r="K100" s="746"/>
      <c r="L100" s="746"/>
      <c r="M100" s="746"/>
      <c r="N100" s="746"/>
      <c r="O100" s="746"/>
      <c r="P100" s="746"/>
      <c r="Q100" s="746"/>
      <c r="R100" s="746"/>
      <c r="S100" s="746"/>
      <c r="T100" s="726" t="n">
        <f aca="false">INT(E100/1.1)*30%</f>
        <v>0</v>
      </c>
    </row>
    <row r="101" customFormat="false" ht="13.5" hidden="false" customHeight="false" outlineLevel="0" collapsed="false">
      <c r="A101" s="753"/>
      <c r="E101" s="754"/>
      <c r="F101" s="729"/>
    </row>
    <row r="102" customFormat="false" ht="13.5" hidden="false" customHeight="false" outlineLevel="0" collapsed="false">
      <c r="A102" s="753"/>
      <c r="E102" s="754"/>
      <c r="F102" s="729"/>
    </row>
    <row r="103" customFormat="false" ht="13.5" hidden="false" customHeight="false" outlineLevel="0" collapsed="false">
      <c r="A103" s="753"/>
      <c r="E103" s="754"/>
      <c r="F103" s="729"/>
    </row>
    <row r="104" customFormat="false" ht="13.5" hidden="false" customHeight="false" outlineLevel="0" collapsed="false">
      <c r="A104" s="753"/>
      <c r="E104" s="754"/>
      <c r="F104" s="729"/>
    </row>
    <row r="105" customFormat="false" ht="13.5" hidden="false" customHeight="false" outlineLevel="0" collapsed="false">
      <c r="A105" s="753"/>
      <c r="E105" s="754"/>
      <c r="F105" s="729"/>
    </row>
    <row r="106" customFormat="false" ht="13.5" hidden="false" customHeight="false" outlineLevel="0" collapsed="false">
      <c r="A106" s="753"/>
      <c r="E106" s="754"/>
      <c r="F106" s="729"/>
    </row>
    <row r="107" customFormat="false" ht="13.5" hidden="false" customHeight="false" outlineLevel="0" collapsed="false">
      <c r="A107" s="753"/>
      <c r="E107" s="754"/>
      <c r="F107" s="729"/>
    </row>
    <row r="108" customFormat="false" ht="13.5" hidden="false" customHeight="false" outlineLevel="0" collapsed="false">
      <c r="A108" s="753"/>
      <c r="E108" s="754"/>
      <c r="F108" s="729"/>
    </row>
    <row r="109" customFormat="false" ht="13.5" hidden="false" customHeight="false" outlineLevel="0" collapsed="false">
      <c r="A109" s="753"/>
      <c r="E109" s="754"/>
      <c r="F109" s="729"/>
    </row>
    <row r="110" customFormat="false" ht="13.5" hidden="false" customHeight="false" outlineLevel="0" collapsed="false">
      <c r="A110" s="753"/>
      <c r="E110" s="754"/>
      <c r="F110" s="729"/>
    </row>
    <row r="111" customFormat="false" ht="13.5" hidden="false" customHeight="false" outlineLevel="0" collapsed="false">
      <c r="A111" s="753"/>
      <c r="E111" s="754"/>
      <c r="F111" s="729"/>
    </row>
    <row r="112" customFormat="false" ht="13.5" hidden="false" customHeight="false" outlineLevel="0" collapsed="false">
      <c r="A112" s="753"/>
      <c r="E112" s="754"/>
      <c r="F112" s="729"/>
    </row>
    <row r="113" customFormat="false" ht="13.5" hidden="false" customHeight="false" outlineLevel="0" collapsed="false">
      <c r="A113" s="753"/>
      <c r="E113" s="754"/>
      <c r="F113" s="729"/>
    </row>
    <row r="114" customFormat="false" ht="13.5" hidden="false" customHeight="false" outlineLevel="0" collapsed="false">
      <c r="A114" s="753"/>
      <c r="E114" s="754"/>
      <c r="F114" s="729"/>
    </row>
    <row r="115" customFormat="false" ht="13.5" hidden="false" customHeight="false" outlineLevel="0" collapsed="false">
      <c r="A115" s="753"/>
      <c r="E115" s="754"/>
      <c r="F115" s="729"/>
    </row>
    <row r="116" customFormat="false" ht="13.5" hidden="false" customHeight="false" outlineLevel="0" collapsed="false">
      <c r="A116" s="753"/>
      <c r="E116" s="754"/>
      <c r="F116" s="729"/>
    </row>
    <row r="117" customFormat="false" ht="13.5" hidden="false" customHeight="false" outlineLevel="0" collapsed="false">
      <c r="A117" s="753"/>
      <c r="E117" s="754"/>
      <c r="F117" s="729"/>
    </row>
    <row r="118" customFormat="false" ht="13.5" hidden="false" customHeight="false" outlineLevel="0" collapsed="false">
      <c r="A118" s="753"/>
      <c r="E118" s="754"/>
      <c r="F118" s="729"/>
    </row>
    <row r="119" customFormat="false" ht="13.5" hidden="false" customHeight="false" outlineLevel="0" collapsed="false">
      <c r="A119" s="753"/>
      <c r="E119" s="754"/>
      <c r="F119" s="729"/>
    </row>
    <row r="120" customFormat="false" ht="13.5" hidden="false" customHeight="false" outlineLevel="0" collapsed="false">
      <c r="A120" s="753"/>
      <c r="E120" s="754"/>
      <c r="F120" s="729"/>
    </row>
    <row r="121" customFormat="false" ht="13.5" hidden="false" customHeight="false" outlineLevel="0" collapsed="false">
      <c r="A121" s="753"/>
      <c r="E121" s="754"/>
      <c r="F121" s="729"/>
    </row>
    <row r="122" customFormat="false" ht="13.5" hidden="false" customHeight="false" outlineLevel="0" collapsed="false">
      <c r="A122" s="753"/>
      <c r="E122" s="754"/>
      <c r="F122" s="729"/>
    </row>
    <row r="123" customFormat="false" ht="13.5" hidden="false" customHeight="false" outlineLevel="0" collapsed="false">
      <c r="A123" s="753"/>
      <c r="E123" s="754"/>
      <c r="F123" s="729"/>
    </row>
    <row r="124" customFormat="false" ht="13.5" hidden="false" customHeight="false" outlineLevel="0" collapsed="false">
      <c r="A124" s="753"/>
      <c r="E124" s="754"/>
      <c r="F124" s="729"/>
    </row>
    <row r="125" customFormat="false" ht="13.5" hidden="false" customHeight="false" outlineLevel="0" collapsed="false">
      <c r="A125" s="753"/>
      <c r="E125" s="754"/>
      <c r="F125" s="729"/>
    </row>
    <row r="126" customFormat="false" ht="13.5" hidden="false" customHeight="false" outlineLevel="0" collapsed="false">
      <c r="A126" s="753"/>
      <c r="E126" s="754"/>
      <c r="F126" s="729"/>
    </row>
    <row r="127" customFormat="false" ht="13.5" hidden="false" customHeight="false" outlineLevel="0" collapsed="false">
      <c r="A127" s="753"/>
      <c r="E127" s="754"/>
      <c r="F127" s="729"/>
    </row>
    <row r="128" customFormat="false" ht="13.5" hidden="false" customHeight="false" outlineLevel="0" collapsed="false">
      <c r="A128" s="753"/>
      <c r="E128" s="754"/>
      <c r="F128" s="729"/>
    </row>
    <row r="129" customFormat="false" ht="13.5" hidden="false" customHeight="false" outlineLevel="0" collapsed="false">
      <c r="A129" s="753"/>
      <c r="E129" s="754"/>
      <c r="F129" s="729"/>
    </row>
    <row r="130" customFormat="false" ht="13.5" hidden="false" customHeight="false" outlineLevel="0" collapsed="false">
      <c r="A130" s="753"/>
      <c r="E130" s="754"/>
      <c r="F130" s="729"/>
    </row>
    <row r="131" customFormat="false" ht="13.5" hidden="false" customHeight="false" outlineLevel="0" collapsed="false">
      <c r="A131" s="753"/>
      <c r="E131" s="754"/>
      <c r="F131" s="729"/>
    </row>
    <row r="132" customFormat="false" ht="13.5" hidden="false" customHeight="false" outlineLevel="0" collapsed="false">
      <c r="A132" s="753"/>
      <c r="E132" s="754"/>
      <c r="F132" s="729"/>
    </row>
    <row r="133" customFormat="false" ht="13.5" hidden="false" customHeight="false" outlineLevel="0" collapsed="false">
      <c r="A133" s="753"/>
      <c r="E133" s="754"/>
      <c r="F133" s="729"/>
    </row>
    <row r="134" customFormat="false" ht="13.5" hidden="false" customHeight="false" outlineLevel="0" collapsed="false">
      <c r="A134" s="753"/>
      <c r="E134" s="754"/>
      <c r="F134" s="729"/>
    </row>
    <row r="135" customFormat="false" ht="13.5" hidden="false" customHeight="false" outlineLevel="0" collapsed="false">
      <c r="A135" s="753"/>
      <c r="E135" s="754"/>
      <c r="F135" s="729"/>
    </row>
    <row r="136" customFormat="false" ht="13.5" hidden="false" customHeight="false" outlineLevel="0" collapsed="false">
      <c r="A136" s="753"/>
      <c r="E136" s="754"/>
      <c r="F136" s="729"/>
    </row>
    <row r="137" customFormat="false" ht="13.5" hidden="false" customHeight="false" outlineLevel="0" collapsed="false">
      <c r="A137" s="753"/>
      <c r="E137" s="754"/>
      <c r="F137" s="729"/>
    </row>
    <row r="138" customFormat="false" ht="13.5" hidden="false" customHeight="false" outlineLevel="0" collapsed="false">
      <c r="A138" s="753"/>
      <c r="E138" s="754"/>
      <c r="F138" s="729"/>
    </row>
    <row r="139" customFormat="false" ht="13.5" hidden="false" customHeight="false" outlineLevel="0" collapsed="false">
      <c r="A139" s="753"/>
      <c r="E139" s="754"/>
      <c r="F139" s="729"/>
    </row>
    <row r="140" customFormat="false" ht="13.5" hidden="false" customHeight="false" outlineLevel="0" collapsed="false">
      <c r="A140" s="753"/>
      <c r="E140" s="754"/>
      <c r="F140" s="729"/>
    </row>
    <row r="141" customFormat="false" ht="13.5" hidden="false" customHeight="false" outlineLevel="0" collapsed="false">
      <c r="A141" s="753"/>
      <c r="E141" s="754"/>
      <c r="F141" s="729"/>
    </row>
    <row r="142" customFormat="false" ht="13.5" hidden="false" customHeight="false" outlineLevel="0" collapsed="false">
      <c r="A142" s="753"/>
      <c r="E142" s="754"/>
      <c r="F142" s="729"/>
    </row>
    <row r="143" customFormat="false" ht="13.5" hidden="false" customHeight="false" outlineLevel="0" collapsed="false">
      <c r="A143" s="753"/>
      <c r="E143" s="754"/>
      <c r="F143" s="729"/>
    </row>
    <row r="144" customFormat="false" ht="13.5" hidden="false" customHeight="false" outlineLevel="0" collapsed="false">
      <c r="A144" s="753"/>
      <c r="E144" s="754"/>
      <c r="F144" s="729"/>
    </row>
    <row r="145" customFormat="false" ht="13.5" hidden="false" customHeight="false" outlineLevel="0" collapsed="false">
      <c r="A145" s="753"/>
      <c r="E145" s="754"/>
      <c r="F145" s="729"/>
    </row>
    <row r="146" customFormat="false" ht="13.5" hidden="false" customHeight="false" outlineLevel="0" collapsed="false">
      <c r="A146" s="753"/>
      <c r="E146" s="754"/>
      <c r="F146" s="729"/>
    </row>
    <row r="147" customFormat="false" ht="13.5" hidden="false" customHeight="false" outlineLevel="0" collapsed="false">
      <c r="A147" s="753"/>
      <c r="E147" s="754"/>
      <c r="F147" s="729"/>
    </row>
    <row r="148" customFormat="false" ht="13.5" hidden="false" customHeight="false" outlineLevel="0" collapsed="false">
      <c r="A148" s="753"/>
      <c r="E148" s="754"/>
      <c r="F148" s="729"/>
    </row>
    <row r="149" customFormat="false" ht="13.5" hidden="false" customHeight="false" outlineLevel="0" collapsed="false">
      <c r="A149" s="753"/>
      <c r="E149" s="754"/>
      <c r="F149" s="729"/>
    </row>
    <row r="150" customFormat="false" ht="13.5" hidden="false" customHeight="false" outlineLevel="0" collapsed="false">
      <c r="A150" s="753"/>
      <c r="E150" s="754"/>
      <c r="F150" s="729"/>
    </row>
    <row r="151" customFormat="false" ht="13.5" hidden="false" customHeight="false" outlineLevel="0" collapsed="false">
      <c r="A151" s="753"/>
      <c r="E151" s="754"/>
      <c r="F151" s="729"/>
    </row>
    <row r="152" customFormat="false" ht="13.5" hidden="false" customHeight="false" outlineLevel="0" collapsed="false">
      <c r="A152" s="753"/>
      <c r="E152" s="754"/>
      <c r="F152" s="729"/>
    </row>
    <row r="153" customFormat="false" ht="13.5" hidden="false" customHeight="false" outlineLevel="0" collapsed="false">
      <c r="A153" s="753"/>
      <c r="E153" s="754"/>
      <c r="F153" s="729"/>
    </row>
    <row r="154" customFormat="false" ht="13.5" hidden="false" customHeight="false" outlineLevel="0" collapsed="false">
      <c r="A154" s="753"/>
      <c r="E154" s="754"/>
      <c r="F154" s="729"/>
    </row>
    <row r="155" customFormat="false" ht="13.5" hidden="false" customHeight="false" outlineLevel="0" collapsed="false">
      <c r="A155" s="753"/>
      <c r="E155" s="754"/>
      <c r="F155" s="729"/>
    </row>
    <row r="156" customFormat="false" ht="13.5" hidden="false" customHeight="false" outlineLevel="0" collapsed="false">
      <c r="A156" s="753"/>
      <c r="E156" s="754"/>
      <c r="F156" s="729"/>
    </row>
    <row r="157" customFormat="false" ht="13.5" hidden="false" customHeight="false" outlineLevel="0" collapsed="false">
      <c r="A157" s="753"/>
      <c r="E157" s="754"/>
      <c r="F157" s="729"/>
    </row>
    <row r="158" customFormat="false" ht="13.5" hidden="false" customHeight="false" outlineLevel="0" collapsed="false">
      <c r="A158" s="753"/>
      <c r="E158" s="754"/>
      <c r="F158" s="729"/>
    </row>
    <row r="159" customFormat="false" ht="13.5" hidden="false" customHeight="false" outlineLevel="0" collapsed="false">
      <c r="A159" s="753"/>
      <c r="E159" s="754"/>
      <c r="F159" s="729"/>
    </row>
    <row r="160" customFormat="false" ht="13.5" hidden="false" customHeight="false" outlineLevel="0" collapsed="false">
      <c r="A160" s="753"/>
      <c r="E160" s="754"/>
      <c r="F160" s="729"/>
    </row>
    <row r="161" customFormat="false" ht="13.5" hidden="false" customHeight="false" outlineLevel="0" collapsed="false">
      <c r="A161" s="753"/>
      <c r="E161" s="754"/>
      <c r="F161" s="729"/>
    </row>
    <row r="162" customFormat="false" ht="13.5" hidden="false" customHeight="false" outlineLevel="0" collapsed="false">
      <c r="A162" s="753"/>
      <c r="E162" s="754"/>
      <c r="F162" s="729"/>
    </row>
    <row r="163" customFormat="false" ht="13.5" hidden="false" customHeight="false" outlineLevel="0" collapsed="false">
      <c r="A163" s="753"/>
      <c r="E163" s="754"/>
      <c r="F163" s="729"/>
    </row>
    <row r="164" customFormat="false" ht="13.5" hidden="false" customHeight="false" outlineLevel="0" collapsed="false">
      <c r="A164" s="753"/>
      <c r="E164" s="754"/>
      <c r="F164" s="729"/>
    </row>
    <row r="165" customFormat="false" ht="13.5" hidden="false" customHeight="false" outlineLevel="0" collapsed="false">
      <c r="A165" s="753"/>
      <c r="E165" s="754"/>
      <c r="F165" s="729"/>
    </row>
    <row r="166" customFormat="false" ht="13.5" hidden="false" customHeight="false" outlineLevel="0" collapsed="false">
      <c r="A166" s="753"/>
      <c r="E166" s="754"/>
      <c r="F166" s="729"/>
    </row>
    <row r="167" customFormat="false" ht="13.5" hidden="false" customHeight="false" outlineLevel="0" collapsed="false">
      <c r="A167" s="753"/>
      <c r="E167" s="754"/>
      <c r="F167" s="729"/>
    </row>
    <row r="168" customFormat="false" ht="13.5" hidden="false" customHeight="false" outlineLevel="0" collapsed="false">
      <c r="A168" s="753"/>
      <c r="E168" s="754"/>
      <c r="F168" s="729"/>
    </row>
    <row r="169" customFormat="false" ht="13.5" hidden="false" customHeight="false" outlineLevel="0" collapsed="false">
      <c r="A169" s="753"/>
      <c r="E169" s="754"/>
      <c r="F169" s="729"/>
    </row>
    <row r="170" customFormat="false" ht="13.5" hidden="false" customHeight="false" outlineLevel="0" collapsed="false">
      <c r="A170" s="753"/>
      <c r="E170" s="754"/>
      <c r="F170" s="729"/>
    </row>
    <row r="171" customFormat="false" ht="13.5" hidden="false" customHeight="false" outlineLevel="0" collapsed="false">
      <c r="A171" s="753"/>
      <c r="E171" s="754"/>
      <c r="F171" s="729"/>
    </row>
    <row r="172" customFormat="false" ht="13.5" hidden="false" customHeight="false" outlineLevel="0" collapsed="false">
      <c r="A172" s="753"/>
      <c r="E172" s="754"/>
      <c r="F172" s="729"/>
    </row>
    <row r="173" customFormat="false" ht="13.5" hidden="false" customHeight="false" outlineLevel="0" collapsed="false">
      <c r="A173" s="753"/>
      <c r="E173" s="754"/>
      <c r="F173" s="729"/>
    </row>
    <row r="174" customFormat="false" ht="13.5" hidden="false" customHeight="false" outlineLevel="0" collapsed="false">
      <c r="A174" s="753"/>
      <c r="E174" s="754"/>
      <c r="F174" s="729"/>
    </row>
    <row r="175" customFormat="false" ht="13.5" hidden="false" customHeight="false" outlineLevel="0" collapsed="false">
      <c r="A175" s="753"/>
      <c r="E175" s="754"/>
      <c r="F175" s="729"/>
    </row>
    <row r="176" customFormat="false" ht="13.5" hidden="false" customHeight="false" outlineLevel="0" collapsed="false">
      <c r="A176" s="753"/>
      <c r="E176" s="754"/>
      <c r="F176" s="729"/>
    </row>
    <row r="177" customFormat="false" ht="13.5" hidden="false" customHeight="false" outlineLevel="0" collapsed="false">
      <c r="A177" s="753"/>
      <c r="E177" s="754"/>
      <c r="F177" s="729"/>
    </row>
    <row r="178" customFormat="false" ht="13.5" hidden="false" customHeight="false" outlineLevel="0" collapsed="false">
      <c r="A178" s="753"/>
      <c r="E178" s="754"/>
      <c r="F178" s="729"/>
    </row>
    <row r="179" customFormat="false" ht="13.5" hidden="false" customHeight="false" outlineLevel="0" collapsed="false">
      <c r="A179" s="753"/>
      <c r="E179" s="754"/>
      <c r="F179" s="729"/>
    </row>
    <row r="180" customFormat="false" ht="13.5" hidden="false" customHeight="false" outlineLevel="0" collapsed="false">
      <c r="A180" s="753"/>
      <c r="E180" s="754"/>
      <c r="F180" s="729"/>
    </row>
    <row r="181" customFormat="false" ht="13.5" hidden="false" customHeight="false" outlineLevel="0" collapsed="false">
      <c r="A181" s="753"/>
      <c r="E181" s="754"/>
      <c r="F181" s="729"/>
    </row>
    <row r="182" customFormat="false" ht="13.5" hidden="false" customHeight="false" outlineLevel="0" collapsed="false">
      <c r="A182" s="753"/>
      <c r="E182" s="754"/>
      <c r="F182" s="729"/>
    </row>
    <row r="183" customFormat="false" ht="13.5" hidden="false" customHeight="false" outlineLevel="0" collapsed="false">
      <c r="A183" s="753"/>
      <c r="E183" s="754"/>
      <c r="F183" s="729"/>
    </row>
    <row r="184" customFormat="false" ht="13.5" hidden="false" customHeight="false" outlineLevel="0" collapsed="false">
      <c r="A184" s="753"/>
      <c r="E184" s="754"/>
      <c r="F184" s="729"/>
    </row>
    <row r="185" customFormat="false" ht="13.5" hidden="false" customHeight="false" outlineLevel="0" collapsed="false">
      <c r="A185" s="753"/>
      <c r="E185" s="754"/>
      <c r="F185" s="729"/>
    </row>
    <row r="186" customFormat="false" ht="13.5" hidden="false" customHeight="false" outlineLevel="0" collapsed="false">
      <c r="A186" s="753"/>
      <c r="E186" s="754"/>
      <c r="F186" s="729"/>
    </row>
    <row r="187" customFormat="false" ht="13.5" hidden="false" customHeight="false" outlineLevel="0" collapsed="false">
      <c r="A187" s="753"/>
      <c r="E187" s="754"/>
      <c r="F187" s="729"/>
    </row>
    <row r="188" customFormat="false" ht="13.5" hidden="false" customHeight="false" outlineLevel="0" collapsed="false">
      <c r="A188" s="753"/>
      <c r="E188" s="754"/>
      <c r="F188" s="729"/>
    </row>
    <row r="189" customFormat="false" ht="13.5" hidden="false" customHeight="false" outlineLevel="0" collapsed="false">
      <c r="A189" s="753"/>
      <c r="E189" s="754"/>
      <c r="F189" s="729"/>
    </row>
    <row r="190" customFormat="false" ht="13.5" hidden="false" customHeight="false" outlineLevel="0" collapsed="false">
      <c r="A190" s="753"/>
      <c r="E190" s="754"/>
      <c r="F190" s="729"/>
    </row>
    <row r="191" customFormat="false" ht="13.5" hidden="false" customHeight="false" outlineLevel="0" collapsed="false">
      <c r="A191" s="753"/>
      <c r="E191" s="754"/>
      <c r="F191" s="729"/>
    </row>
    <row r="192" customFormat="false" ht="13.5" hidden="false" customHeight="false" outlineLevel="0" collapsed="false">
      <c r="A192" s="753"/>
      <c r="E192" s="754"/>
      <c r="F192" s="729"/>
    </row>
    <row r="193" customFormat="false" ht="13.5" hidden="false" customHeight="false" outlineLevel="0" collapsed="false">
      <c r="A193" s="753"/>
      <c r="E193" s="754"/>
      <c r="F193" s="729"/>
    </row>
    <row r="194" customFormat="false" ht="13.5" hidden="false" customHeight="false" outlineLevel="0" collapsed="false">
      <c r="A194" s="753"/>
      <c r="E194" s="754"/>
      <c r="F194" s="729"/>
    </row>
    <row r="195" customFormat="false" ht="13.5" hidden="false" customHeight="false" outlineLevel="0" collapsed="false">
      <c r="A195" s="753"/>
      <c r="E195" s="754"/>
      <c r="F195" s="729"/>
    </row>
    <row r="196" customFormat="false" ht="13.5" hidden="false" customHeight="false" outlineLevel="0" collapsed="false">
      <c r="A196" s="753"/>
      <c r="E196" s="754"/>
      <c r="F196" s="729"/>
    </row>
    <row r="197" customFormat="false" ht="13.5" hidden="false" customHeight="false" outlineLevel="0" collapsed="false">
      <c r="A197" s="753"/>
      <c r="E197" s="754"/>
      <c r="F197" s="729"/>
    </row>
    <row r="198" customFormat="false" ht="13.5" hidden="false" customHeight="false" outlineLevel="0" collapsed="false">
      <c r="A198" s="753"/>
      <c r="E198" s="754"/>
      <c r="F198" s="729"/>
    </row>
    <row r="199" customFormat="false" ht="13.5" hidden="false" customHeight="false" outlineLevel="0" collapsed="false">
      <c r="A199" s="753"/>
      <c r="E199" s="754"/>
      <c r="F199" s="729"/>
    </row>
    <row r="200" customFormat="false" ht="13.5" hidden="false" customHeight="false" outlineLevel="0" collapsed="false">
      <c r="A200" s="753"/>
      <c r="E200" s="754"/>
      <c r="F200" s="729"/>
    </row>
    <row r="201" customFormat="false" ht="13.5" hidden="false" customHeight="false" outlineLevel="0" collapsed="false">
      <c r="A201" s="753"/>
      <c r="E201" s="754"/>
      <c r="F201" s="729"/>
    </row>
    <row r="202" customFormat="false" ht="13.5" hidden="false" customHeight="false" outlineLevel="0" collapsed="false">
      <c r="A202" s="753"/>
      <c r="E202" s="754"/>
      <c r="F202" s="729"/>
    </row>
    <row r="203" customFormat="false" ht="13.5" hidden="false" customHeight="false" outlineLevel="0" collapsed="false">
      <c r="A203" s="753"/>
      <c r="E203" s="754"/>
      <c r="F203" s="729"/>
    </row>
    <row r="204" customFormat="false" ht="13.5" hidden="false" customHeight="false" outlineLevel="0" collapsed="false">
      <c r="A204" s="753"/>
      <c r="E204" s="754"/>
      <c r="F204" s="729"/>
    </row>
    <row r="205" customFormat="false" ht="13.5" hidden="false" customHeight="false" outlineLevel="0" collapsed="false">
      <c r="A205" s="753"/>
      <c r="E205" s="754"/>
      <c r="F205" s="729"/>
    </row>
    <row r="206" customFormat="false" ht="13.5" hidden="false" customHeight="false" outlineLevel="0" collapsed="false">
      <c r="A206" s="753"/>
      <c r="E206" s="754"/>
      <c r="F206" s="729"/>
    </row>
    <row r="207" customFormat="false" ht="13.5" hidden="false" customHeight="false" outlineLevel="0" collapsed="false">
      <c r="A207" s="753"/>
      <c r="E207" s="754"/>
      <c r="F207" s="729"/>
    </row>
    <row r="208" customFormat="false" ht="13.5" hidden="false" customHeight="false" outlineLevel="0" collapsed="false">
      <c r="A208" s="753"/>
      <c r="E208" s="754"/>
      <c r="F208" s="729"/>
    </row>
    <row r="209" customFormat="false" ht="13.5" hidden="false" customHeight="false" outlineLevel="0" collapsed="false">
      <c r="A209" s="753"/>
      <c r="E209" s="754"/>
      <c r="F209" s="729"/>
    </row>
    <row r="210" customFormat="false" ht="13.5" hidden="false" customHeight="false" outlineLevel="0" collapsed="false">
      <c r="A210" s="753"/>
      <c r="E210" s="754"/>
      <c r="F210" s="729"/>
    </row>
    <row r="211" customFormat="false" ht="13.5" hidden="false" customHeight="false" outlineLevel="0" collapsed="false">
      <c r="A211" s="753"/>
      <c r="E211" s="754"/>
      <c r="F211" s="729"/>
    </row>
    <row r="212" customFormat="false" ht="13.5" hidden="false" customHeight="false" outlineLevel="0" collapsed="false">
      <c r="A212" s="753"/>
      <c r="E212" s="754"/>
      <c r="F212" s="729"/>
    </row>
    <row r="213" customFormat="false" ht="13.5" hidden="false" customHeight="false" outlineLevel="0" collapsed="false">
      <c r="A213" s="753"/>
      <c r="E213" s="754"/>
      <c r="F213" s="729"/>
    </row>
    <row r="214" customFormat="false" ht="13.5" hidden="false" customHeight="false" outlineLevel="0" collapsed="false">
      <c r="A214" s="753"/>
      <c r="E214" s="754"/>
      <c r="F214" s="729"/>
    </row>
    <row r="215" customFormat="false" ht="13.5" hidden="false" customHeight="false" outlineLevel="0" collapsed="false">
      <c r="A215" s="753"/>
      <c r="E215" s="754"/>
      <c r="F215" s="712"/>
    </row>
    <row r="216" customFormat="false" ht="13.5" hidden="false" customHeight="false" outlineLevel="0" collapsed="false">
      <c r="A216" s="753"/>
      <c r="E216" s="754"/>
      <c r="F216" s="712"/>
    </row>
    <row r="217" customFormat="false" ht="13.5" hidden="false" customHeight="false" outlineLevel="0" collapsed="false">
      <c r="A217" s="753"/>
      <c r="E217" s="754"/>
      <c r="F217" s="712"/>
    </row>
    <row r="218" customFormat="false" ht="13.5" hidden="false" customHeight="false" outlineLevel="0" collapsed="false">
      <c r="A218" s="753"/>
      <c r="E218" s="754"/>
      <c r="F218" s="712"/>
    </row>
    <row r="219" customFormat="false" ht="13.5" hidden="false" customHeight="false" outlineLevel="0" collapsed="false">
      <c r="A219" s="753"/>
      <c r="E219" s="754"/>
      <c r="F219" s="712"/>
    </row>
    <row r="220" customFormat="false" ht="13.5" hidden="false" customHeight="false" outlineLevel="0" collapsed="false">
      <c r="A220" s="753"/>
      <c r="E220" s="754"/>
      <c r="F220" s="712"/>
    </row>
    <row r="221" customFormat="false" ht="13.5" hidden="false" customHeight="false" outlineLevel="0" collapsed="false">
      <c r="A221" s="753"/>
      <c r="E221" s="754"/>
      <c r="F221" s="712"/>
    </row>
    <row r="222" customFormat="false" ht="13.5" hidden="false" customHeight="false" outlineLevel="0" collapsed="false">
      <c r="A222" s="753"/>
      <c r="E222" s="754"/>
      <c r="F222" s="712"/>
    </row>
    <row r="223" customFormat="false" ht="13.5" hidden="false" customHeight="false" outlineLevel="0" collapsed="false">
      <c r="A223" s="753"/>
      <c r="E223" s="754"/>
      <c r="F223" s="712"/>
    </row>
    <row r="224" customFormat="false" ht="13.5" hidden="false" customHeight="false" outlineLevel="0" collapsed="false">
      <c r="A224" s="753"/>
      <c r="E224" s="754"/>
      <c r="F224" s="712"/>
    </row>
    <row r="225" customFormat="false" ht="13.5" hidden="false" customHeight="false" outlineLevel="0" collapsed="false">
      <c r="A225" s="753"/>
      <c r="E225" s="754"/>
      <c r="F225" s="712"/>
    </row>
    <row r="226" customFormat="false" ht="13.5" hidden="false" customHeight="false" outlineLevel="0" collapsed="false">
      <c r="A226" s="753"/>
      <c r="E226" s="754"/>
      <c r="F226" s="712"/>
    </row>
    <row r="227" customFormat="false" ht="13.5" hidden="false" customHeight="false" outlineLevel="0" collapsed="false">
      <c r="A227" s="753"/>
      <c r="E227" s="754"/>
      <c r="F227" s="712"/>
    </row>
    <row r="228" customFormat="false" ht="13.5" hidden="false" customHeight="false" outlineLevel="0" collapsed="false">
      <c r="A228" s="753"/>
      <c r="E228" s="754"/>
      <c r="F228" s="712"/>
    </row>
    <row r="229" customFormat="false" ht="13.5" hidden="false" customHeight="false" outlineLevel="0" collapsed="false">
      <c r="A229" s="753"/>
      <c r="E229" s="754"/>
      <c r="F229" s="712"/>
    </row>
    <row r="230" customFormat="false" ht="13.5" hidden="false" customHeight="false" outlineLevel="0" collapsed="false">
      <c r="A230" s="753"/>
      <c r="E230" s="754"/>
      <c r="F230" s="712"/>
    </row>
    <row r="231" customFormat="false" ht="13.5" hidden="false" customHeight="false" outlineLevel="0" collapsed="false">
      <c r="A231" s="753"/>
      <c r="E231" s="754"/>
      <c r="F231" s="712"/>
    </row>
    <row r="232" customFormat="false" ht="13.5" hidden="false" customHeight="false" outlineLevel="0" collapsed="false">
      <c r="A232" s="753"/>
      <c r="E232" s="754"/>
      <c r="F232" s="712"/>
    </row>
    <row r="233" customFormat="false" ht="13.5" hidden="false" customHeight="false" outlineLevel="0" collapsed="false">
      <c r="A233" s="753"/>
      <c r="E233" s="754"/>
      <c r="F233" s="712"/>
    </row>
    <row r="234" customFormat="false" ht="13.5" hidden="false" customHeight="false" outlineLevel="0" collapsed="false">
      <c r="A234" s="753"/>
      <c r="E234" s="754"/>
      <c r="F234" s="712"/>
    </row>
    <row r="235" customFormat="false" ht="13.5" hidden="false" customHeight="false" outlineLevel="0" collapsed="false">
      <c r="A235" s="753"/>
      <c r="E235" s="754"/>
      <c r="F235" s="712"/>
    </row>
    <row r="236" customFormat="false" ht="13.5" hidden="false" customHeight="false" outlineLevel="0" collapsed="false">
      <c r="A236" s="753"/>
      <c r="E236" s="754"/>
      <c r="F236" s="712"/>
    </row>
    <row r="237" customFormat="false" ht="13.5" hidden="false" customHeight="false" outlineLevel="0" collapsed="false">
      <c r="A237" s="753"/>
      <c r="E237" s="754"/>
      <c r="F237" s="712"/>
    </row>
    <row r="238" customFormat="false" ht="13.5" hidden="false" customHeight="false" outlineLevel="0" collapsed="false">
      <c r="A238" s="753"/>
      <c r="E238" s="754"/>
      <c r="F238" s="712"/>
    </row>
    <row r="239" customFormat="false" ht="13.5" hidden="false" customHeight="false" outlineLevel="0" collapsed="false">
      <c r="A239" s="753"/>
      <c r="E239" s="754"/>
      <c r="F239" s="712"/>
    </row>
    <row r="240" customFormat="false" ht="13.5" hidden="false" customHeight="false" outlineLevel="0" collapsed="false">
      <c r="A240" s="753"/>
      <c r="E240" s="754"/>
      <c r="F240" s="712"/>
    </row>
    <row r="241" customFormat="false" ht="13.5" hidden="false" customHeight="false" outlineLevel="0" collapsed="false">
      <c r="A241" s="753"/>
      <c r="E241" s="754"/>
      <c r="F241" s="712"/>
    </row>
    <row r="242" customFormat="false" ht="13.5" hidden="false" customHeight="false" outlineLevel="0" collapsed="false">
      <c r="A242" s="753"/>
      <c r="E242" s="754"/>
      <c r="F242" s="712"/>
    </row>
    <row r="243" customFormat="false" ht="13.5" hidden="false" customHeight="false" outlineLevel="0" collapsed="false">
      <c r="A243" s="753"/>
      <c r="E243" s="754"/>
      <c r="F243" s="712"/>
    </row>
    <row r="244" customFormat="false" ht="13.5" hidden="false" customHeight="false" outlineLevel="0" collapsed="false">
      <c r="A244" s="753"/>
      <c r="E244" s="754"/>
      <c r="F244" s="712"/>
    </row>
    <row r="245" customFormat="false" ht="13.5" hidden="false" customHeight="false" outlineLevel="0" collapsed="false">
      <c r="A245" s="753"/>
      <c r="E245" s="754"/>
      <c r="F245" s="712"/>
    </row>
    <row r="246" customFormat="false" ht="13.5" hidden="false" customHeight="false" outlineLevel="0" collapsed="false">
      <c r="A246" s="753"/>
      <c r="E246" s="754"/>
      <c r="F246" s="712"/>
    </row>
    <row r="247" customFormat="false" ht="13.5" hidden="false" customHeight="false" outlineLevel="0" collapsed="false">
      <c r="A247" s="753"/>
      <c r="E247" s="754"/>
      <c r="F247" s="712"/>
    </row>
    <row r="248" customFormat="false" ht="13.5" hidden="false" customHeight="false" outlineLevel="0" collapsed="false">
      <c r="A248" s="753"/>
      <c r="E248" s="754"/>
      <c r="F248" s="712"/>
    </row>
    <row r="249" customFormat="false" ht="13.5" hidden="false" customHeight="false" outlineLevel="0" collapsed="false">
      <c r="A249" s="753"/>
      <c r="E249" s="754"/>
      <c r="F249" s="712"/>
    </row>
    <row r="250" customFormat="false" ht="13.5" hidden="false" customHeight="false" outlineLevel="0" collapsed="false">
      <c r="A250" s="753"/>
      <c r="E250" s="754"/>
      <c r="F250" s="712"/>
    </row>
    <row r="251" customFormat="false" ht="13.5" hidden="false" customHeight="false" outlineLevel="0" collapsed="false">
      <c r="A251" s="753"/>
      <c r="E251" s="754"/>
      <c r="F251" s="712"/>
    </row>
    <row r="252" customFormat="false" ht="13.5" hidden="false" customHeight="false" outlineLevel="0" collapsed="false">
      <c r="A252" s="753"/>
      <c r="E252" s="754"/>
      <c r="F252" s="712"/>
    </row>
    <row r="253" customFormat="false" ht="13.5" hidden="false" customHeight="false" outlineLevel="0" collapsed="false">
      <c r="A253" s="753"/>
      <c r="E253" s="754"/>
      <c r="F253" s="712"/>
    </row>
    <row r="254" customFormat="false" ht="13.5" hidden="false" customHeight="false" outlineLevel="0" collapsed="false">
      <c r="A254" s="753"/>
      <c r="E254" s="754"/>
      <c r="F254" s="712"/>
    </row>
    <row r="255" customFormat="false" ht="13.5" hidden="false" customHeight="false" outlineLevel="0" collapsed="false">
      <c r="A255" s="753"/>
      <c r="E255" s="754"/>
      <c r="F255" s="712"/>
    </row>
    <row r="256" customFormat="false" ht="13.5" hidden="false" customHeight="false" outlineLevel="0" collapsed="false">
      <c r="A256" s="753"/>
      <c r="E256" s="754"/>
      <c r="F256" s="712"/>
    </row>
    <row r="257" customFormat="false" ht="13.5" hidden="false" customHeight="false" outlineLevel="0" collapsed="false">
      <c r="A257" s="753"/>
      <c r="E257" s="754"/>
      <c r="F257" s="712"/>
    </row>
    <row r="258" customFormat="false" ht="13.5" hidden="false" customHeight="false" outlineLevel="0" collapsed="false">
      <c r="A258" s="753"/>
      <c r="E258" s="754"/>
      <c r="F258" s="712"/>
    </row>
    <row r="259" customFormat="false" ht="13.5" hidden="false" customHeight="false" outlineLevel="0" collapsed="false">
      <c r="A259" s="753"/>
      <c r="E259" s="754"/>
      <c r="F259" s="712"/>
    </row>
    <row r="260" customFormat="false" ht="13.5" hidden="false" customHeight="false" outlineLevel="0" collapsed="false">
      <c r="A260" s="753"/>
      <c r="E260" s="754"/>
      <c r="F260" s="712"/>
    </row>
    <row r="261" customFormat="false" ht="13.5" hidden="false" customHeight="false" outlineLevel="0" collapsed="false">
      <c r="A261" s="753"/>
      <c r="E261" s="754"/>
      <c r="F261" s="712"/>
    </row>
    <row r="262" customFormat="false" ht="13.5" hidden="false" customHeight="false" outlineLevel="0" collapsed="false">
      <c r="A262" s="753"/>
      <c r="E262" s="754"/>
      <c r="F262" s="712"/>
    </row>
    <row r="263" customFormat="false" ht="13.5" hidden="false" customHeight="false" outlineLevel="0" collapsed="false">
      <c r="A263" s="753"/>
      <c r="E263" s="754"/>
      <c r="F263" s="712"/>
    </row>
    <row r="264" customFormat="false" ht="13.5" hidden="false" customHeight="false" outlineLevel="0" collapsed="false">
      <c r="A264" s="753"/>
      <c r="E264" s="754"/>
      <c r="F264" s="712"/>
    </row>
    <row r="265" customFormat="false" ht="13.5" hidden="false" customHeight="false" outlineLevel="0" collapsed="false">
      <c r="A265" s="753"/>
      <c r="E265" s="754"/>
      <c r="F265" s="712"/>
    </row>
    <row r="266" customFormat="false" ht="13.5" hidden="false" customHeight="false" outlineLevel="0" collapsed="false">
      <c r="A266" s="753"/>
      <c r="E266" s="754"/>
      <c r="F266" s="712"/>
    </row>
    <row r="267" customFormat="false" ht="13.5" hidden="false" customHeight="false" outlineLevel="0" collapsed="false">
      <c r="A267" s="753"/>
      <c r="E267" s="754"/>
      <c r="F267" s="712"/>
    </row>
    <row r="268" customFormat="false" ht="13.5" hidden="false" customHeight="false" outlineLevel="0" collapsed="false">
      <c r="A268" s="753"/>
      <c r="E268" s="754"/>
      <c r="F268" s="712"/>
    </row>
    <row r="269" customFormat="false" ht="13.5" hidden="false" customHeight="false" outlineLevel="0" collapsed="false">
      <c r="A269" s="753"/>
      <c r="E269" s="754"/>
      <c r="F269" s="712"/>
    </row>
    <row r="270" customFormat="false" ht="13.5" hidden="false" customHeight="false" outlineLevel="0" collapsed="false">
      <c r="A270" s="753"/>
      <c r="E270" s="754"/>
      <c r="F270" s="712"/>
    </row>
    <row r="271" customFormat="false" ht="13.5" hidden="false" customHeight="false" outlineLevel="0" collapsed="false">
      <c r="A271" s="753"/>
      <c r="E271" s="754"/>
      <c r="F271" s="712"/>
    </row>
    <row r="272" customFormat="false" ht="13.5" hidden="false" customHeight="false" outlineLevel="0" collapsed="false">
      <c r="A272" s="753"/>
      <c r="E272" s="754"/>
      <c r="F272" s="712"/>
    </row>
    <row r="273" customFormat="false" ht="13.5" hidden="false" customHeight="false" outlineLevel="0" collapsed="false">
      <c r="A273" s="753"/>
      <c r="E273" s="754"/>
      <c r="F273" s="712"/>
    </row>
    <row r="274" customFormat="false" ht="13.5" hidden="false" customHeight="false" outlineLevel="0" collapsed="false">
      <c r="A274" s="753"/>
      <c r="E274" s="754"/>
      <c r="F274" s="712"/>
    </row>
    <row r="275" customFormat="false" ht="13.5" hidden="false" customHeight="false" outlineLevel="0" collapsed="false">
      <c r="A275" s="753"/>
      <c r="E275" s="754"/>
      <c r="F275" s="712"/>
    </row>
    <row r="276" customFormat="false" ht="13.5" hidden="false" customHeight="false" outlineLevel="0" collapsed="false">
      <c r="A276" s="753"/>
      <c r="E276" s="754"/>
      <c r="F276" s="712"/>
    </row>
    <row r="277" customFormat="false" ht="13.5" hidden="false" customHeight="false" outlineLevel="0" collapsed="false">
      <c r="A277" s="753"/>
      <c r="E277" s="754"/>
      <c r="F277" s="712"/>
    </row>
    <row r="278" customFormat="false" ht="13.5" hidden="false" customHeight="false" outlineLevel="0" collapsed="false">
      <c r="A278" s="753"/>
      <c r="E278" s="754"/>
      <c r="F278" s="712"/>
    </row>
    <row r="279" customFormat="false" ht="13.5" hidden="false" customHeight="false" outlineLevel="0" collapsed="false">
      <c r="A279" s="753"/>
      <c r="E279" s="754"/>
      <c r="F279" s="712"/>
    </row>
    <row r="280" customFormat="false" ht="13.5" hidden="false" customHeight="false" outlineLevel="0" collapsed="false">
      <c r="A280" s="753"/>
      <c r="E280" s="754"/>
      <c r="F280" s="712"/>
    </row>
    <row r="281" customFormat="false" ht="13.5" hidden="false" customHeight="false" outlineLevel="0" collapsed="false">
      <c r="A281" s="753"/>
      <c r="E281" s="754"/>
      <c r="F281" s="712"/>
    </row>
    <row r="282" customFormat="false" ht="13.5" hidden="false" customHeight="false" outlineLevel="0" collapsed="false">
      <c r="A282" s="753"/>
      <c r="E282" s="754"/>
      <c r="F282" s="712"/>
    </row>
    <row r="283" customFormat="false" ht="13.5" hidden="false" customHeight="false" outlineLevel="0" collapsed="false">
      <c r="A283" s="753"/>
      <c r="E283" s="754"/>
      <c r="F283" s="712"/>
    </row>
    <row r="284" customFormat="false" ht="13.5" hidden="false" customHeight="false" outlineLevel="0" collapsed="false">
      <c r="A284" s="753"/>
      <c r="E284" s="754"/>
      <c r="F284" s="712"/>
    </row>
    <row r="285" customFormat="false" ht="13.5" hidden="false" customHeight="false" outlineLevel="0" collapsed="false">
      <c r="A285" s="753"/>
      <c r="E285" s="754"/>
      <c r="F285" s="712"/>
    </row>
    <row r="286" customFormat="false" ht="13.5" hidden="false" customHeight="false" outlineLevel="0" collapsed="false">
      <c r="A286" s="753"/>
      <c r="E286" s="754"/>
      <c r="F286" s="712"/>
    </row>
    <row r="287" customFormat="false" ht="13.5" hidden="false" customHeight="false" outlineLevel="0" collapsed="false">
      <c r="A287" s="753"/>
      <c r="E287" s="754"/>
      <c r="F287" s="712"/>
    </row>
    <row r="288" customFormat="false" ht="13.5" hidden="false" customHeight="false" outlineLevel="0" collapsed="false">
      <c r="A288" s="753"/>
      <c r="E288" s="754"/>
      <c r="F288" s="712"/>
    </row>
    <row r="289" customFormat="false" ht="13.5" hidden="false" customHeight="false" outlineLevel="0" collapsed="false">
      <c r="A289" s="753"/>
      <c r="E289" s="754"/>
      <c r="F289" s="712"/>
    </row>
    <row r="290" customFormat="false" ht="13.5" hidden="false" customHeight="false" outlineLevel="0" collapsed="false">
      <c r="A290" s="753"/>
      <c r="E290" s="754"/>
      <c r="F290" s="712"/>
    </row>
    <row r="291" customFormat="false" ht="13.5" hidden="false" customHeight="false" outlineLevel="0" collapsed="false">
      <c r="A291" s="753"/>
      <c r="E291" s="754"/>
      <c r="F291" s="712"/>
    </row>
    <row r="292" customFormat="false" ht="13.5" hidden="false" customHeight="false" outlineLevel="0" collapsed="false">
      <c r="A292" s="753"/>
      <c r="E292" s="754"/>
      <c r="F292" s="712"/>
    </row>
    <row r="293" customFormat="false" ht="13.5" hidden="false" customHeight="false" outlineLevel="0" collapsed="false">
      <c r="A293" s="753"/>
      <c r="E293" s="754"/>
      <c r="F293" s="712"/>
    </row>
    <row r="294" customFormat="false" ht="13.5" hidden="false" customHeight="false" outlineLevel="0" collapsed="false">
      <c r="A294" s="753"/>
      <c r="E294" s="754"/>
      <c r="F294" s="712"/>
    </row>
    <row r="295" customFormat="false" ht="13.5" hidden="false" customHeight="false" outlineLevel="0" collapsed="false">
      <c r="A295" s="753"/>
      <c r="E295" s="754"/>
      <c r="F295" s="712"/>
    </row>
    <row r="296" customFormat="false" ht="13.5" hidden="false" customHeight="false" outlineLevel="0" collapsed="false">
      <c r="A296" s="753"/>
      <c r="E296" s="754"/>
      <c r="F296" s="712"/>
    </row>
    <row r="297" customFormat="false" ht="13.5" hidden="false" customHeight="false" outlineLevel="0" collapsed="false">
      <c r="A297" s="753"/>
      <c r="E297" s="754"/>
      <c r="F297" s="712"/>
    </row>
    <row r="298" customFormat="false" ht="13.5" hidden="false" customHeight="false" outlineLevel="0" collapsed="false">
      <c r="A298" s="753"/>
      <c r="E298" s="754"/>
      <c r="F298" s="712"/>
    </row>
    <row r="299" customFormat="false" ht="13.5" hidden="false" customHeight="false" outlineLevel="0" collapsed="false">
      <c r="A299" s="753"/>
      <c r="E299" s="754"/>
      <c r="F299" s="712"/>
    </row>
    <row r="300" customFormat="false" ht="13.5" hidden="false" customHeight="false" outlineLevel="0" collapsed="false">
      <c r="A300" s="753"/>
      <c r="E300" s="754"/>
      <c r="F300" s="712"/>
    </row>
    <row r="301" customFormat="false" ht="13.5" hidden="false" customHeight="false" outlineLevel="0" collapsed="false">
      <c r="A301" s="753"/>
      <c r="E301" s="754"/>
      <c r="F301" s="712"/>
    </row>
    <row r="302" customFormat="false" ht="13.5" hidden="false" customHeight="false" outlineLevel="0" collapsed="false">
      <c r="A302" s="753"/>
      <c r="E302" s="754"/>
      <c r="F302" s="712"/>
    </row>
    <row r="303" customFormat="false" ht="13.5" hidden="false" customHeight="false" outlineLevel="0" collapsed="false">
      <c r="A303" s="753"/>
      <c r="E303" s="754"/>
      <c r="F303" s="712"/>
    </row>
    <row r="304" customFormat="false" ht="13.5" hidden="false" customHeight="false" outlineLevel="0" collapsed="false">
      <c r="A304" s="753"/>
      <c r="E304" s="754"/>
      <c r="F304" s="712"/>
    </row>
    <row r="305" customFormat="false" ht="13.5" hidden="false" customHeight="false" outlineLevel="0" collapsed="false">
      <c r="A305" s="753"/>
      <c r="E305" s="754"/>
      <c r="F305" s="712"/>
    </row>
    <row r="306" customFormat="false" ht="13.5" hidden="false" customHeight="false" outlineLevel="0" collapsed="false">
      <c r="A306" s="753"/>
      <c r="E306" s="754"/>
      <c r="F306" s="712"/>
    </row>
    <row r="307" customFormat="false" ht="13.5" hidden="false" customHeight="false" outlineLevel="0" collapsed="false">
      <c r="A307" s="753"/>
      <c r="E307" s="754"/>
      <c r="F307" s="712"/>
    </row>
    <row r="308" customFormat="false" ht="13.5" hidden="false" customHeight="false" outlineLevel="0" collapsed="false">
      <c r="A308" s="753"/>
      <c r="E308" s="754"/>
      <c r="F308" s="712"/>
    </row>
    <row r="309" customFormat="false" ht="13.5" hidden="false" customHeight="false" outlineLevel="0" collapsed="false">
      <c r="A309" s="753"/>
      <c r="E309" s="754"/>
      <c r="F309" s="712"/>
    </row>
    <row r="310" customFormat="false" ht="13.5" hidden="false" customHeight="false" outlineLevel="0" collapsed="false">
      <c r="A310" s="753"/>
      <c r="E310" s="754"/>
      <c r="F310" s="712"/>
    </row>
    <row r="311" customFormat="false" ht="13.5" hidden="false" customHeight="false" outlineLevel="0" collapsed="false">
      <c r="A311" s="753"/>
      <c r="E311" s="754"/>
      <c r="F311" s="712"/>
    </row>
    <row r="312" customFormat="false" ht="13.5" hidden="false" customHeight="false" outlineLevel="0" collapsed="false">
      <c r="A312" s="753"/>
      <c r="E312" s="754"/>
      <c r="F312" s="712"/>
    </row>
    <row r="313" customFormat="false" ht="13.5" hidden="false" customHeight="false" outlineLevel="0" collapsed="false">
      <c r="A313" s="753"/>
      <c r="E313" s="754"/>
      <c r="F313" s="712"/>
    </row>
    <row r="314" customFormat="false" ht="13.5" hidden="false" customHeight="false" outlineLevel="0" collapsed="false">
      <c r="A314" s="753"/>
      <c r="E314" s="754"/>
      <c r="F314" s="712"/>
    </row>
    <row r="315" customFormat="false" ht="13.5" hidden="false" customHeight="false" outlineLevel="0" collapsed="false">
      <c r="A315" s="753"/>
      <c r="E315" s="754"/>
      <c r="F315" s="712"/>
    </row>
    <row r="316" customFormat="false" ht="13.5" hidden="false" customHeight="false" outlineLevel="0" collapsed="false">
      <c r="A316" s="753"/>
      <c r="E316" s="754"/>
      <c r="F316" s="712"/>
    </row>
    <row r="317" customFormat="false" ht="13.5" hidden="false" customHeight="false" outlineLevel="0" collapsed="false">
      <c r="A317" s="753"/>
      <c r="E317" s="754"/>
      <c r="F317" s="712"/>
    </row>
    <row r="318" customFormat="false" ht="13.5" hidden="false" customHeight="false" outlineLevel="0" collapsed="false">
      <c r="A318" s="753"/>
      <c r="E318" s="754"/>
      <c r="F318" s="712"/>
    </row>
    <row r="319" customFormat="false" ht="13.5" hidden="false" customHeight="false" outlineLevel="0" collapsed="false">
      <c r="A319" s="753"/>
      <c r="E319" s="754"/>
      <c r="F319" s="712"/>
    </row>
    <row r="320" customFormat="false" ht="13.5" hidden="false" customHeight="false" outlineLevel="0" collapsed="false">
      <c r="A320" s="753"/>
      <c r="E320" s="754"/>
      <c r="F320" s="712"/>
    </row>
    <row r="321" customFormat="false" ht="13.5" hidden="false" customHeight="false" outlineLevel="0" collapsed="false">
      <c r="A321" s="753"/>
      <c r="E321" s="754"/>
      <c r="F321" s="712"/>
    </row>
    <row r="322" customFormat="false" ht="13.5" hidden="false" customHeight="false" outlineLevel="0" collapsed="false">
      <c r="A322" s="753"/>
      <c r="E322" s="754"/>
      <c r="F322" s="712"/>
    </row>
    <row r="323" customFormat="false" ht="13.5" hidden="false" customHeight="false" outlineLevel="0" collapsed="false">
      <c r="A323" s="753"/>
      <c r="E323" s="754"/>
      <c r="F323" s="712"/>
    </row>
    <row r="324" customFormat="false" ht="13.5" hidden="false" customHeight="false" outlineLevel="0" collapsed="false">
      <c r="A324" s="753"/>
      <c r="E324" s="754"/>
      <c r="F324" s="712"/>
    </row>
    <row r="325" customFormat="false" ht="13.5" hidden="false" customHeight="false" outlineLevel="0" collapsed="false">
      <c r="A325" s="753"/>
      <c r="E325" s="754"/>
      <c r="F325" s="712"/>
    </row>
    <row r="326" customFormat="false" ht="13.5" hidden="false" customHeight="false" outlineLevel="0" collapsed="false">
      <c r="A326" s="753"/>
      <c r="E326" s="754"/>
      <c r="F326" s="712"/>
    </row>
    <row r="327" customFormat="false" ht="13.5" hidden="false" customHeight="false" outlineLevel="0" collapsed="false">
      <c r="A327" s="753"/>
      <c r="E327" s="754"/>
      <c r="F327" s="712"/>
    </row>
    <row r="328" customFormat="false" ht="13.5" hidden="false" customHeight="false" outlineLevel="0" collapsed="false">
      <c r="A328" s="753"/>
      <c r="E328" s="754"/>
      <c r="F328" s="712"/>
    </row>
    <row r="329" customFormat="false" ht="13.5" hidden="false" customHeight="false" outlineLevel="0" collapsed="false">
      <c r="A329" s="753"/>
      <c r="E329" s="754"/>
      <c r="F329" s="712"/>
    </row>
    <row r="330" customFormat="false" ht="13.5" hidden="false" customHeight="false" outlineLevel="0" collapsed="false">
      <c r="A330" s="753"/>
      <c r="E330" s="754"/>
      <c r="F330" s="712"/>
    </row>
    <row r="331" customFormat="false" ht="13.5" hidden="false" customHeight="false" outlineLevel="0" collapsed="false">
      <c r="A331" s="753"/>
      <c r="E331" s="754"/>
      <c r="F331" s="712"/>
    </row>
    <row r="332" customFormat="false" ht="13.5" hidden="false" customHeight="false" outlineLevel="0" collapsed="false">
      <c r="A332" s="753"/>
      <c r="E332" s="754"/>
      <c r="F332" s="712"/>
    </row>
    <row r="333" customFormat="false" ht="13.5" hidden="false" customHeight="false" outlineLevel="0" collapsed="false">
      <c r="A333" s="753"/>
      <c r="E333" s="754"/>
      <c r="F333" s="712"/>
    </row>
    <row r="334" customFormat="false" ht="13.5" hidden="false" customHeight="false" outlineLevel="0" collapsed="false">
      <c r="A334" s="753"/>
      <c r="E334" s="754"/>
      <c r="F334" s="712"/>
    </row>
    <row r="335" customFormat="false" ht="13.5" hidden="false" customHeight="false" outlineLevel="0" collapsed="false">
      <c r="A335" s="753"/>
      <c r="E335" s="754"/>
      <c r="F335" s="712"/>
    </row>
    <row r="336" customFormat="false" ht="13.5" hidden="false" customHeight="false" outlineLevel="0" collapsed="false">
      <c r="A336" s="753"/>
      <c r="E336" s="754"/>
      <c r="F336" s="712"/>
    </row>
    <row r="337" customFormat="false" ht="13.5" hidden="false" customHeight="false" outlineLevel="0" collapsed="false">
      <c r="A337" s="753"/>
      <c r="E337" s="754"/>
      <c r="F337" s="712"/>
    </row>
    <row r="338" customFormat="false" ht="13.5" hidden="false" customHeight="false" outlineLevel="0" collapsed="false">
      <c r="A338" s="753"/>
      <c r="E338" s="754"/>
      <c r="F338" s="712"/>
    </row>
    <row r="339" customFormat="false" ht="13.5" hidden="false" customHeight="false" outlineLevel="0" collapsed="false">
      <c r="A339" s="753"/>
      <c r="E339" s="754"/>
      <c r="F339" s="712"/>
    </row>
    <row r="340" customFormat="false" ht="13.5" hidden="false" customHeight="false" outlineLevel="0" collapsed="false">
      <c r="A340" s="753"/>
      <c r="E340" s="754"/>
      <c r="F340" s="712"/>
    </row>
    <row r="341" customFormat="false" ht="13.5" hidden="false" customHeight="false" outlineLevel="0" collapsed="false">
      <c r="A341" s="753"/>
      <c r="E341" s="754"/>
      <c r="F341" s="712"/>
    </row>
    <row r="342" customFormat="false" ht="13.5" hidden="false" customHeight="false" outlineLevel="0" collapsed="false">
      <c r="A342" s="753"/>
      <c r="E342" s="754"/>
      <c r="F342" s="712"/>
    </row>
    <row r="343" customFormat="false" ht="13.5" hidden="false" customHeight="false" outlineLevel="0" collapsed="false">
      <c r="A343" s="753"/>
      <c r="E343" s="754"/>
      <c r="F343" s="712"/>
    </row>
    <row r="344" customFormat="false" ht="13.5" hidden="false" customHeight="false" outlineLevel="0" collapsed="false">
      <c r="A344" s="753"/>
      <c r="E344" s="754"/>
      <c r="F344" s="712"/>
    </row>
    <row r="345" customFormat="false" ht="13.5" hidden="false" customHeight="false" outlineLevel="0" collapsed="false">
      <c r="A345" s="753"/>
      <c r="E345" s="754"/>
      <c r="F345" s="712"/>
    </row>
    <row r="346" customFormat="false" ht="13.5" hidden="false" customHeight="false" outlineLevel="0" collapsed="false">
      <c r="A346" s="753"/>
      <c r="E346" s="754"/>
      <c r="F346" s="712"/>
    </row>
    <row r="347" customFormat="false" ht="13.5" hidden="false" customHeight="false" outlineLevel="0" collapsed="false">
      <c r="A347" s="753"/>
      <c r="E347" s="754"/>
      <c r="F347" s="712"/>
    </row>
    <row r="348" customFormat="false" ht="13.5" hidden="false" customHeight="false" outlineLevel="0" collapsed="false">
      <c r="A348" s="753"/>
      <c r="E348" s="754"/>
      <c r="F348" s="712"/>
    </row>
    <row r="349" customFormat="false" ht="13.5" hidden="false" customHeight="false" outlineLevel="0" collapsed="false">
      <c r="A349" s="753"/>
      <c r="E349" s="754"/>
      <c r="F349" s="712"/>
    </row>
    <row r="350" customFormat="false" ht="13.5" hidden="false" customHeight="false" outlineLevel="0" collapsed="false">
      <c r="A350" s="753"/>
      <c r="E350" s="754"/>
      <c r="F350" s="712"/>
    </row>
    <row r="351" customFormat="false" ht="13.5" hidden="false" customHeight="false" outlineLevel="0" collapsed="false">
      <c r="A351" s="753"/>
      <c r="E351" s="754"/>
      <c r="F351" s="712"/>
    </row>
    <row r="352" customFormat="false" ht="13.5" hidden="false" customHeight="false" outlineLevel="0" collapsed="false">
      <c r="A352" s="753"/>
      <c r="E352" s="754"/>
      <c r="F352" s="712"/>
    </row>
    <row r="353" customFormat="false" ht="13.5" hidden="false" customHeight="false" outlineLevel="0" collapsed="false">
      <c r="A353" s="753"/>
      <c r="E353" s="754"/>
      <c r="F353" s="712"/>
    </row>
    <row r="354" customFormat="false" ht="13.5" hidden="false" customHeight="false" outlineLevel="0" collapsed="false">
      <c r="A354" s="753"/>
      <c r="E354" s="754"/>
      <c r="F354" s="712"/>
    </row>
    <row r="355" customFormat="false" ht="13.5" hidden="false" customHeight="false" outlineLevel="0" collapsed="false">
      <c r="A355" s="753"/>
      <c r="E355" s="754"/>
      <c r="F355" s="712"/>
    </row>
    <row r="356" customFormat="false" ht="13.5" hidden="false" customHeight="false" outlineLevel="0" collapsed="false">
      <c r="A356" s="753"/>
      <c r="E356" s="754"/>
      <c r="F356" s="712"/>
    </row>
    <row r="357" customFormat="false" ht="13.5" hidden="false" customHeight="false" outlineLevel="0" collapsed="false">
      <c r="A357" s="753"/>
      <c r="E357" s="754"/>
      <c r="F357" s="712"/>
    </row>
    <row r="358" customFormat="false" ht="13.5" hidden="false" customHeight="false" outlineLevel="0" collapsed="false">
      <c r="A358" s="753"/>
      <c r="E358" s="754"/>
      <c r="F358" s="712"/>
    </row>
    <row r="359" customFormat="false" ht="13.5" hidden="false" customHeight="false" outlineLevel="0" collapsed="false">
      <c r="A359" s="753"/>
      <c r="E359" s="754"/>
      <c r="F359" s="712"/>
    </row>
    <row r="360" customFormat="false" ht="13.5" hidden="false" customHeight="false" outlineLevel="0" collapsed="false">
      <c r="A360" s="753"/>
      <c r="E360" s="754"/>
      <c r="F360" s="712"/>
    </row>
    <row r="361" customFormat="false" ht="13.5" hidden="false" customHeight="false" outlineLevel="0" collapsed="false">
      <c r="A361" s="753"/>
      <c r="E361" s="754"/>
      <c r="F361" s="712"/>
    </row>
    <row r="362" customFormat="false" ht="13.5" hidden="false" customHeight="false" outlineLevel="0" collapsed="false">
      <c r="A362" s="753"/>
      <c r="E362" s="754"/>
      <c r="F362" s="712"/>
    </row>
    <row r="363" customFormat="false" ht="13.5" hidden="false" customHeight="false" outlineLevel="0" collapsed="false">
      <c r="A363" s="753"/>
      <c r="E363" s="754"/>
      <c r="F363" s="712"/>
    </row>
    <row r="364" customFormat="false" ht="13.5" hidden="false" customHeight="false" outlineLevel="0" collapsed="false">
      <c r="A364" s="753"/>
      <c r="E364" s="754"/>
      <c r="F364" s="712"/>
    </row>
    <row r="365" customFormat="false" ht="13.5" hidden="false" customHeight="false" outlineLevel="0" collapsed="false">
      <c r="A365" s="753"/>
      <c r="E365" s="754"/>
      <c r="F365" s="712"/>
    </row>
    <row r="366" customFormat="false" ht="13.5" hidden="false" customHeight="false" outlineLevel="0" collapsed="false">
      <c r="A366" s="753"/>
      <c r="E366" s="754"/>
      <c r="F366" s="712"/>
    </row>
    <row r="367" customFormat="false" ht="13.5" hidden="false" customHeight="false" outlineLevel="0" collapsed="false">
      <c r="A367" s="753"/>
      <c r="E367" s="754"/>
      <c r="F367" s="712"/>
    </row>
    <row r="368" customFormat="false" ht="13.5" hidden="false" customHeight="false" outlineLevel="0" collapsed="false">
      <c r="A368" s="753"/>
      <c r="E368" s="754"/>
      <c r="F368" s="712"/>
    </row>
    <row r="369" customFormat="false" ht="13.5" hidden="false" customHeight="false" outlineLevel="0" collapsed="false">
      <c r="A369" s="753"/>
      <c r="E369" s="754"/>
      <c r="F369" s="712"/>
    </row>
    <row r="370" customFormat="false" ht="13.5" hidden="false" customHeight="false" outlineLevel="0" collapsed="false">
      <c r="A370" s="753"/>
      <c r="E370" s="754"/>
      <c r="F370" s="712"/>
    </row>
    <row r="371" customFormat="false" ht="13.5" hidden="false" customHeight="false" outlineLevel="0" collapsed="false">
      <c r="A371" s="753"/>
      <c r="E371" s="754"/>
      <c r="F371" s="712"/>
    </row>
    <row r="372" customFormat="false" ht="13.5" hidden="false" customHeight="false" outlineLevel="0" collapsed="false">
      <c r="A372" s="753"/>
      <c r="E372" s="754"/>
      <c r="F372" s="712"/>
    </row>
    <row r="373" customFormat="false" ht="13.5" hidden="false" customHeight="false" outlineLevel="0" collapsed="false">
      <c r="A373" s="753"/>
      <c r="E373" s="754"/>
      <c r="F373" s="712"/>
    </row>
    <row r="374" customFormat="false" ht="13.5" hidden="false" customHeight="false" outlineLevel="0" collapsed="false">
      <c r="A374" s="753"/>
      <c r="E374" s="754"/>
      <c r="F374" s="712"/>
    </row>
    <row r="375" customFormat="false" ht="13.5" hidden="false" customHeight="false" outlineLevel="0" collapsed="false">
      <c r="A375" s="753"/>
      <c r="E375" s="754"/>
      <c r="F375" s="712"/>
    </row>
    <row r="376" customFormat="false" ht="13.5" hidden="false" customHeight="false" outlineLevel="0" collapsed="false">
      <c r="A376" s="753"/>
      <c r="E376" s="754"/>
      <c r="F376" s="712"/>
    </row>
    <row r="377" customFormat="false" ht="13.5" hidden="false" customHeight="false" outlineLevel="0" collapsed="false">
      <c r="A377" s="753"/>
      <c r="E377" s="754"/>
      <c r="F377" s="712"/>
    </row>
    <row r="378" customFormat="false" ht="13.5" hidden="false" customHeight="false" outlineLevel="0" collapsed="false">
      <c r="A378" s="753"/>
      <c r="E378" s="754"/>
      <c r="F378" s="712"/>
    </row>
    <row r="379" customFormat="false" ht="13.5" hidden="false" customHeight="false" outlineLevel="0" collapsed="false">
      <c r="A379" s="753"/>
      <c r="E379" s="754"/>
      <c r="F379" s="712"/>
    </row>
    <row r="380" customFormat="false" ht="13.5" hidden="false" customHeight="false" outlineLevel="0" collapsed="false">
      <c r="A380" s="753"/>
      <c r="E380" s="754"/>
      <c r="F380" s="712"/>
    </row>
    <row r="381" customFormat="false" ht="13.5" hidden="false" customHeight="false" outlineLevel="0" collapsed="false">
      <c r="A381" s="753"/>
      <c r="E381" s="754"/>
      <c r="F381" s="712"/>
    </row>
    <row r="382" customFormat="false" ht="13.5" hidden="false" customHeight="false" outlineLevel="0" collapsed="false">
      <c r="A382" s="753"/>
      <c r="E382" s="754"/>
      <c r="F382" s="712"/>
    </row>
    <row r="383" customFormat="false" ht="13.5" hidden="false" customHeight="false" outlineLevel="0" collapsed="false">
      <c r="A383" s="753"/>
      <c r="E383" s="754"/>
      <c r="F383" s="712"/>
    </row>
    <row r="384" customFormat="false" ht="13.5" hidden="false" customHeight="false" outlineLevel="0" collapsed="false">
      <c r="A384" s="753"/>
      <c r="E384" s="754"/>
      <c r="F384" s="712"/>
    </row>
    <row r="385" customFormat="false" ht="13.5" hidden="false" customHeight="false" outlineLevel="0" collapsed="false">
      <c r="A385" s="753"/>
      <c r="E385" s="754"/>
      <c r="F385" s="712"/>
    </row>
    <row r="386" customFormat="false" ht="13.5" hidden="false" customHeight="false" outlineLevel="0" collapsed="false">
      <c r="A386" s="753"/>
      <c r="E386" s="754"/>
      <c r="F386" s="712"/>
    </row>
    <row r="387" customFormat="false" ht="13.5" hidden="false" customHeight="false" outlineLevel="0" collapsed="false">
      <c r="A387" s="753"/>
      <c r="E387" s="754"/>
      <c r="F387" s="712"/>
    </row>
    <row r="388" customFormat="false" ht="13.5" hidden="false" customHeight="false" outlineLevel="0" collapsed="false">
      <c r="A388" s="753"/>
      <c r="E388" s="754"/>
      <c r="F388" s="712"/>
    </row>
    <row r="389" customFormat="false" ht="13.5" hidden="false" customHeight="false" outlineLevel="0" collapsed="false">
      <c r="A389" s="753"/>
      <c r="E389" s="754"/>
      <c r="F389" s="712"/>
    </row>
    <row r="390" customFormat="false" ht="13.5" hidden="false" customHeight="false" outlineLevel="0" collapsed="false">
      <c r="A390" s="753"/>
      <c r="E390" s="754"/>
      <c r="F390" s="712"/>
    </row>
    <row r="391" customFormat="false" ht="13.5" hidden="false" customHeight="false" outlineLevel="0" collapsed="false">
      <c r="A391" s="753"/>
      <c r="E391" s="754"/>
      <c r="F391" s="712"/>
    </row>
    <row r="392" customFormat="false" ht="13.5" hidden="false" customHeight="false" outlineLevel="0" collapsed="false">
      <c r="A392" s="753"/>
      <c r="E392" s="754"/>
      <c r="F392" s="712"/>
    </row>
    <row r="393" customFormat="false" ht="13.5" hidden="false" customHeight="false" outlineLevel="0" collapsed="false">
      <c r="A393" s="753"/>
      <c r="E393" s="754"/>
      <c r="F393" s="712"/>
    </row>
    <row r="394" customFormat="false" ht="13.5" hidden="false" customHeight="false" outlineLevel="0" collapsed="false">
      <c r="A394" s="753"/>
      <c r="E394" s="754"/>
      <c r="F394" s="712"/>
    </row>
    <row r="395" customFormat="false" ht="13.5" hidden="false" customHeight="false" outlineLevel="0" collapsed="false">
      <c r="A395" s="753"/>
      <c r="E395" s="754"/>
      <c r="F395" s="712"/>
    </row>
    <row r="396" customFormat="false" ht="13.5" hidden="false" customHeight="false" outlineLevel="0" collapsed="false">
      <c r="A396" s="753"/>
      <c r="E396" s="754"/>
      <c r="F396" s="712"/>
    </row>
    <row r="397" customFormat="false" ht="13.5" hidden="false" customHeight="false" outlineLevel="0" collapsed="false">
      <c r="A397" s="753"/>
      <c r="E397" s="754"/>
      <c r="F397" s="712"/>
    </row>
    <row r="398" customFormat="false" ht="13.5" hidden="false" customHeight="false" outlineLevel="0" collapsed="false">
      <c r="A398" s="753"/>
      <c r="E398" s="754"/>
      <c r="F398" s="712"/>
    </row>
    <row r="399" customFormat="false" ht="13.5" hidden="false" customHeight="false" outlineLevel="0" collapsed="false">
      <c r="A399" s="753"/>
      <c r="E399" s="754"/>
      <c r="F399" s="712"/>
    </row>
    <row r="400" customFormat="false" ht="13.5" hidden="false" customHeight="false" outlineLevel="0" collapsed="false">
      <c r="A400" s="753"/>
      <c r="E400" s="754"/>
      <c r="F400" s="712"/>
    </row>
    <row r="401" customFormat="false" ht="13.5" hidden="false" customHeight="false" outlineLevel="0" collapsed="false">
      <c r="A401" s="753"/>
      <c r="E401" s="754"/>
      <c r="F401" s="712"/>
    </row>
    <row r="402" customFormat="false" ht="13.5" hidden="false" customHeight="false" outlineLevel="0" collapsed="false">
      <c r="A402" s="753"/>
      <c r="E402" s="754"/>
      <c r="F402" s="712"/>
    </row>
    <row r="403" customFormat="false" ht="13.5" hidden="false" customHeight="false" outlineLevel="0" collapsed="false">
      <c r="A403" s="753"/>
      <c r="E403" s="754"/>
      <c r="F403" s="712"/>
    </row>
    <row r="404" customFormat="false" ht="13.5" hidden="false" customHeight="false" outlineLevel="0" collapsed="false">
      <c r="A404" s="753"/>
      <c r="E404" s="754"/>
      <c r="F404" s="712"/>
    </row>
    <row r="405" customFormat="false" ht="13.5" hidden="false" customHeight="false" outlineLevel="0" collapsed="false">
      <c r="A405" s="753"/>
      <c r="E405" s="754"/>
      <c r="F405" s="712"/>
    </row>
    <row r="406" customFormat="false" ht="13.5" hidden="false" customHeight="false" outlineLevel="0" collapsed="false">
      <c r="A406" s="753"/>
      <c r="E406" s="754"/>
      <c r="F406" s="712"/>
    </row>
    <row r="407" customFormat="false" ht="13.5" hidden="false" customHeight="false" outlineLevel="0" collapsed="false">
      <c r="A407" s="753"/>
      <c r="E407" s="754"/>
      <c r="F407" s="712"/>
    </row>
    <row r="408" customFormat="false" ht="13.5" hidden="false" customHeight="false" outlineLevel="0" collapsed="false">
      <c r="A408" s="753"/>
      <c r="E408" s="754"/>
      <c r="F408" s="712"/>
    </row>
    <row r="409" customFormat="false" ht="13.5" hidden="false" customHeight="false" outlineLevel="0" collapsed="false">
      <c r="A409" s="753"/>
      <c r="E409" s="754"/>
      <c r="F409" s="712"/>
    </row>
    <row r="410" customFormat="false" ht="13.5" hidden="false" customHeight="false" outlineLevel="0" collapsed="false">
      <c r="A410" s="753"/>
      <c r="E410" s="754"/>
      <c r="F410" s="712"/>
    </row>
    <row r="411" customFormat="false" ht="13.5" hidden="false" customHeight="false" outlineLevel="0" collapsed="false">
      <c r="A411" s="753"/>
      <c r="E411" s="754"/>
      <c r="F411" s="712"/>
    </row>
    <row r="412" customFormat="false" ht="13.5" hidden="false" customHeight="false" outlineLevel="0" collapsed="false">
      <c r="A412" s="753"/>
      <c r="E412" s="754"/>
      <c r="F412" s="712"/>
    </row>
    <row r="413" customFormat="false" ht="13.5" hidden="false" customHeight="false" outlineLevel="0" collapsed="false">
      <c r="A413" s="753"/>
      <c r="E413" s="754"/>
      <c r="F413" s="712"/>
    </row>
    <row r="414" customFormat="false" ht="13.5" hidden="false" customHeight="false" outlineLevel="0" collapsed="false">
      <c r="E414" s="754"/>
      <c r="F414" s="712"/>
    </row>
    <row r="415" customFormat="false" ht="13.5" hidden="false" customHeight="false" outlineLevel="0" collapsed="false">
      <c r="E415" s="754"/>
      <c r="F415" s="712"/>
    </row>
    <row r="416" customFormat="false" ht="13.5" hidden="false" customHeight="false" outlineLevel="0" collapsed="false">
      <c r="E416" s="754"/>
      <c r="F416" s="712"/>
    </row>
    <row r="417" customFormat="false" ht="13.5" hidden="false" customHeight="false" outlineLevel="0" collapsed="false">
      <c r="E417" s="754"/>
      <c r="F417" s="712"/>
    </row>
    <row r="418" customFormat="false" ht="13.5" hidden="false" customHeight="false" outlineLevel="0" collapsed="false">
      <c r="E418" s="754"/>
      <c r="F418" s="712"/>
    </row>
    <row r="419" customFormat="false" ht="13.5" hidden="false" customHeight="false" outlineLevel="0" collapsed="false">
      <c r="E419" s="754"/>
      <c r="F419" s="712"/>
    </row>
    <row r="420" customFormat="false" ht="13.5" hidden="false" customHeight="false" outlineLevel="0" collapsed="false">
      <c r="E420" s="754"/>
      <c r="F420" s="712"/>
    </row>
    <row r="421" customFormat="false" ht="13.5" hidden="false" customHeight="false" outlineLevel="0" collapsed="false">
      <c r="E421" s="754"/>
      <c r="F421" s="712"/>
    </row>
    <row r="422" customFormat="false" ht="13.5" hidden="false" customHeight="false" outlineLevel="0" collapsed="false">
      <c r="E422" s="754"/>
      <c r="F422" s="712"/>
    </row>
    <row r="423" customFormat="false" ht="13.5" hidden="false" customHeight="false" outlineLevel="0" collapsed="false">
      <c r="E423" s="754"/>
      <c r="F423" s="712"/>
    </row>
    <row r="424" customFormat="false" ht="13.5" hidden="false" customHeight="false" outlineLevel="0" collapsed="false">
      <c r="E424" s="754"/>
      <c r="F424" s="712"/>
    </row>
    <row r="425" customFormat="false" ht="13.5" hidden="false" customHeight="false" outlineLevel="0" collapsed="false">
      <c r="E425" s="754"/>
      <c r="F425" s="712"/>
    </row>
    <row r="426" customFormat="false" ht="13.5" hidden="false" customHeight="false" outlineLevel="0" collapsed="false">
      <c r="E426" s="754"/>
      <c r="F426" s="712"/>
    </row>
    <row r="427" customFormat="false" ht="13.5" hidden="false" customHeight="false" outlineLevel="0" collapsed="false">
      <c r="E427" s="754"/>
      <c r="F427" s="712"/>
    </row>
    <row r="428" customFormat="false" ht="13.5" hidden="false" customHeight="false" outlineLevel="0" collapsed="false">
      <c r="E428" s="754"/>
      <c r="F428" s="712"/>
    </row>
    <row r="429" customFormat="false" ht="13.5" hidden="false" customHeight="false" outlineLevel="0" collapsed="false">
      <c r="E429" s="754"/>
      <c r="F429" s="712"/>
    </row>
    <row r="430" customFormat="false" ht="13.5" hidden="false" customHeight="false" outlineLevel="0" collapsed="false">
      <c r="E430" s="754"/>
      <c r="F430" s="712"/>
    </row>
    <row r="431" customFormat="false" ht="13.5" hidden="false" customHeight="false" outlineLevel="0" collapsed="false">
      <c r="E431" s="754"/>
      <c r="F431" s="712"/>
    </row>
    <row r="432" customFormat="false" ht="13.5" hidden="false" customHeight="false" outlineLevel="0" collapsed="false">
      <c r="E432" s="754"/>
      <c r="F432" s="712"/>
    </row>
    <row r="433" customFormat="false" ht="13.5" hidden="false" customHeight="false" outlineLevel="0" collapsed="false">
      <c r="E433" s="754"/>
      <c r="F433" s="712"/>
    </row>
    <row r="434" customFormat="false" ht="13.5" hidden="false" customHeight="false" outlineLevel="0" collapsed="false">
      <c r="E434" s="754"/>
      <c r="F434" s="712"/>
    </row>
    <row r="435" customFormat="false" ht="13.5" hidden="false" customHeight="false" outlineLevel="0" collapsed="false">
      <c r="E435" s="754"/>
      <c r="F435" s="712"/>
    </row>
    <row r="436" customFormat="false" ht="13.5" hidden="false" customHeight="false" outlineLevel="0" collapsed="false">
      <c r="E436" s="754"/>
      <c r="F436" s="712"/>
    </row>
    <row r="437" customFormat="false" ht="13.5" hidden="false" customHeight="false" outlineLevel="0" collapsed="false">
      <c r="E437" s="754"/>
      <c r="F437" s="712"/>
    </row>
    <row r="438" customFormat="false" ht="13.5" hidden="false" customHeight="false" outlineLevel="0" collapsed="false">
      <c r="E438" s="754"/>
      <c r="F438" s="712"/>
    </row>
    <row r="439" customFormat="false" ht="13.5" hidden="false" customHeight="false" outlineLevel="0" collapsed="false">
      <c r="E439" s="754"/>
      <c r="F439" s="712"/>
    </row>
    <row r="440" customFormat="false" ht="13.5" hidden="false" customHeight="false" outlineLevel="0" collapsed="false">
      <c r="E440" s="754"/>
      <c r="F440" s="712"/>
    </row>
    <row r="441" customFormat="false" ht="13.5" hidden="false" customHeight="false" outlineLevel="0" collapsed="false">
      <c r="E441" s="754"/>
      <c r="F441" s="712"/>
    </row>
    <row r="442" customFormat="false" ht="13.5" hidden="false" customHeight="false" outlineLevel="0" collapsed="false">
      <c r="E442" s="754"/>
      <c r="F442" s="712"/>
    </row>
    <row r="443" customFormat="false" ht="13.5" hidden="false" customHeight="false" outlineLevel="0" collapsed="false">
      <c r="E443" s="754"/>
      <c r="F443" s="712"/>
    </row>
    <row r="444" customFormat="false" ht="13.5" hidden="false" customHeight="false" outlineLevel="0" collapsed="false">
      <c r="E444" s="754"/>
      <c r="F444" s="712"/>
    </row>
    <row r="445" customFormat="false" ht="13.5" hidden="false" customHeight="false" outlineLevel="0" collapsed="false">
      <c r="E445" s="754"/>
      <c r="F445" s="712"/>
    </row>
    <row r="446" customFormat="false" ht="13.5" hidden="false" customHeight="false" outlineLevel="0" collapsed="false">
      <c r="E446" s="754"/>
      <c r="F446" s="712"/>
    </row>
    <row r="447" customFormat="false" ht="13.5" hidden="false" customHeight="false" outlineLevel="0" collapsed="false">
      <c r="E447" s="754"/>
      <c r="F447" s="712"/>
    </row>
    <row r="448" customFormat="false" ht="13.5" hidden="false" customHeight="false" outlineLevel="0" collapsed="false">
      <c r="E448" s="754"/>
      <c r="F448" s="712"/>
    </row>
    <row r="449" customFormat="false" ht="13.5" hidden="false" customHeight="false" outlineLevel="0" collapsed="false">
      <c r="E449" s="754"/>
      <c r="F449" s="712"/>
    </row>
    <row r="450" customFormat="false" ht="13.5" hidden="false" customHeight="false" outlineLevel="0" collapsed="false">
      <c r="E450" s="754"/>
      <c r="F450" s="712"/>
    </row>
    <row r="451" customFormat="false" ht="13.5" hidden="false" customHeight="false" outlineLevel="0" collapsed="false">
      <c r="E451" s="754"/>
      <c r="F451" s="712"/>
    </row>
    <row r="452" customFormat="false" ht="13.5" hidden="false" customHeight="false" outlineLevel="0" collapsed="false">
      <c r="E452" s="754"/>
      <c r="F452" s="712"/>
    </row>
    <row r="453" customFormat="false" ht="13.5" hidden="false" customHeight="false" outlineLevel="0" collapsed="false">
      <c r="E453" s="754"/>
      <c r="F453" s="712"/>
    </row>
    <row r="454" customFormat="false" ht="13.5" hidden="false" customHeight="false" outlineLevel="0" collapsed="false">
      <c r="E454" s="754"/>
      <c r="F454" s="712"/>
    </row>
    <row r="455" customFormat="false" ht="13.5" hidden="false" customHeight="false" outlineLevel="0" collapsed="false">
      <c r="E455" s="754"/>
      <c r="F455" s="712"/>
    </row>
    <row r="456" customFormat="false" ht="13.5" hidden="false" customHeight="false" outlineLevel="0" collapsed="false">
      <c r="E456" s="754"/>
      <c r="F456" s="712"/>
    </row>
    <row r="457" customFormat="false" ht="13.5" hidden="false" customHeight="false" outlineLevel="0" collapsed="false">
      <c r="E457" s="754"/>
      <c r="F457" s="712"/>
    </row>
    <row r="458" customFormat="false" ht="13.5" hidden="false" customHeight="false" outlineLevel="0" collapsed="false">
      <c r="E458" s="754"/>
      <c r="F458" s="712"/>
    </row>
    <row r="459" customFormat="false" ht="13.5" hidden="false" customHeight="false" outlineLevel="0" collapsed="false">
      <c r="E459" s="754"/>
      <c r="F459" s="712"/>
    </row>
    <row r="460" customFormat="false" ht="13.5" hidden="false" customHeight="false" outlineLevel="0" collapsed="false">
      <c r="E460" s="754"/>
      <c r="F460" s="712"/>
    </row>
    <row r="461" customFormat="false" ht="13.5" hidden="false" customHeight="false" outlineLevel="0" collapsed="false">
      <c r="E461" s="754"/>
      <c r="F461" s="712"/>
    </row>
    <row r="462" customFormat="false" ht="13.5" hidden="false" customHeight="false" outlineLevel="0" collapsed="false">
      <c r="E462" s="754"/>
      <c r="F462" s="712"/>
    </row>
    <row r="463" customFormat="false" ht="13.5" hidden="false" customHeight="false" outlineLevel="0" collapsed="false">
      <c r="E463" s="754"/>
      <c r="F463" s="712"/>
    </row>
    <row r="464" customFormat="false" ht="13.5" hidden="false" customHeight="false" outlineLevel="0" collapsed="false">
      <c r="E464" s="754"/>
      <c r="F464" s="712"/>
    </row>
    <row r="465" customFormat="false" ht="13.5" hidden="false" customHeight="false" outlineLevel="0" collapsed="false">
      <c r="E465" s="754"/>
      <c r="F465" s="712"/>
    </row>
    <row r="466" customFormat="false" ht="13.5" hidden="false" customHeight="false" outlineLevel="0" collapsed="false">
      <c r="E466" s="754"/>
      <c r="F466" s="712"/>
    </row>
    <row r="467" customFormat="false" ht="13.5" hidden="false" customHeight="false" outlineLevel="0" collapsed="false">
      <c r="E467" s="754"/>
      <c r="F467" s="712"/>
    </row>
    <row r="468" customFormat="false" ht="13.5" hidden="false" customHeight="false" outlineLevel="0" collapsed="false">
      <c r="E468" s="754"/>
      <c r="F468" s="712"/>
    </row>
    <row r="469" customFormat="false" ht="13.5" hidden="false" customHeight="false" outlineLevel="0" collapsed="false">
      <c r="E469" s="754"/>
      <c r="F469" s="712"/>
    </row>
    <row r="470" customFormat="false" ht="13.5" hidden="false" customHeight="false" outlineLevel="0" collapsed="false">
      <c r="E470" s="754"/>
      <c r="F470" s="712"/>
    </row>
    <row r="471" customFormat="false" ht="13.5" hidden="false" customHeight="false" outlineLevel="0" collapsed="false">
      <c r="E471" s="754"/>
      <c r="F471" s="712"/>
    </row>
    <row r="472" customFormat="false" ht="13.5" hidden="false" customHeight="false" outlineLevel="0" collapsed="false">
      <c r="E472" s="754"/>
      <c r="F472" s="712"/>
    </row>
    <row r="473" customFormat="false" ht="13.5" hidden="false" customHeight="false" outlineLevel="0" collapsed="false">
      <c r="E473" s="754"/>
      <c r="F473" s="712"/>
    </row>
    <row r="474" customFormat="false" ht="13.5" hidden="false" customHeight="false" outlineLevel="0" collapsed="false">
      <c r="E474" s="754"/>
      <c r="F474" s="712"/>
    </row>
    <row r="475" customFormat="false" ht="13.5" hidden="false" customHeight="false" outlineLevel="0" collapsed="false">
      <c r="E475" s="754"/>
      <c r="F475" s="712"/>
    </row>
    <row r="476" customFormat="false" ht="13.5" hidden="false" customHeight="false" outlineLevel="0" collapsed="false">
      <c r="E476" s="754"/>
      <c r="F476" s="712"/>
    </row>
    <row r="477" customFormat="false" ht="13.5" hidden="false" customHeight="false" outlineLevel="0" collapsed="false">
      <c r="E477" s="754"/>
      <c r="F477" s="712"/>
    </row>
    <row r="478" customFormat="false" ht="13.5" hidden="false" customHeight="false" outlineLevel="0" collapsed="false">
      <c r="E478" s="754"/>
      <c r="F478" s="712"/>
    </row>
    <row r="479" customFormat="false" ht="13.5" hidden="false" customHeight="false" outlineLevel="0" collapsed="false">
      <c r="E479" s="754"/>
      <c r="F479" s="712"/>
    </row>
    <row r="480" customFormat="false" ht="13.5" hidden="false" customHeight="false" outlineLevel="0" collapsed="false">
      <c r="E480" s="754"/>
      <c r="F480" s="712"/>
    </row>
    <row r="481" customFormat="false" ht="13.5" hidden="false" customHeight="false" outlineLevel="0" collapsed="false">
      <c r="E481" s="754"/>
      <c r="F481" s="712"/>
    </row>
    <row r="482" customFormat="false" ht="13.5" hidden="false" customHeight="false" outlineLevel="0" collapsed="false">
      <c r="E482" s="754"/>
      <c r="F482" s="712"/>
    </row>
    <row r="483" customFormat="false" ht="13.5" hidden="false" customHeight="false" outlineLevel="0" collapsed="false">
      <c r="E483" s="754"/>
      <c r="F483" s="712"/>
    </row>
    <row r="484" customFormat="false" ht="13.5" hidden="false" customHeight="false" outlineLevel="0" collapsed="false">
      <c r="E484" s="754"/>
      <c r="F484" s="712"/>
    </row>
    <row r="485" customFormat="false" ht="13.5" hidden="false" customHeight="false" outlineLevel="0" collapsed="false">
      <c r="E485" s="754"/>
      <c r="F485" s="712"/>
    </row>
    <row r="486" customFormat="false" ht="13.5" hidden="false" customHeight="false" outlineLevel="0" collapsed="false">
      <c r="E486" s="754"/>
      <c r="F486" s="712"/>
    </row>
    <row r="487" customFormat="false" ht="13.5" hidden="false" customHeight="false" outlineLevel="0" collapsed="false">
      <c r="E487" s="754"/>
      <c r="F487" s="712"/>
    </row>
    <row r="488" customFormat="false" ht="13.5" hidden="false" customHeight="false" outlineLevel="0" collapsed="false">
      <c r="E488" s="754"/>
      <c r="F488" s="712"/>
    </row>
    <row r="489" customFormat="false" ht="13.5" hidden="false" customHeight="false" outlineLevel="0" collapsed="false">
      <c r="E489" s="754"/>
      <c r="F489" s="712"/>
    </row>
    <row r="490" customFormat="false" ht="13.5" hidden="false" customHeight="false" outlineLevel="0" collapsed="false">
      <c r="E490" s="754"/>
      <c r="F490" s="712"/>
    </row>
    <row r="491" customFormat="false" ht="13.5" hidden="false" customHeight="false" outlineLevel="0" collapsed="false">
      <c r="E491" s="754"/>
      <c r="F491" s="712"/>
    </row>
    <row r="492" customFormat="false" ht="13.5" hidden="false" customHeight="false" outlineLevel="0" collapsed="false">
      <c r="E492" s="754"/>
      <c r="F492" s="712"/>
    </row>
    <row r="493" customFormat="false" ht="13.5" hidden="false" customHeight="false" outlineLevel="0" collapsed="false">
      <c r="E493" s="754"/>
      <c r="F493" s="712"/>
    </row>
    <row r="494" customFormat="false" ht="13.5" hidden="false" customHeight="false" outlineLevel="0" collapsed="false">
      <c r="E494" s="754"/>
      <c r="F494" s="712"/>
    </row>
    <row r="495" customFormat="false" ht="13.5" hidden="false" customHeight="false" outlineLevel="0" collapsed="false">
      <c r="E495" s="754"/>
      <c r="F495" s="712"/>
    </row>
    <row r="496" customFormat="false" ht="13.5" hidden="false" customHeight="false" outlineLevel="0" collapsed="false">
      <c r="E496" s="754"/>
      <c r="F496" s="712"/>
    </row>
    <row r="497" customFormat="false" ht="13.5" hidden="false" customHeight="false" outlineLevel="0" collapsed="false">
      <c r="E497" s="754"/>
      <c r="F497" s="712"/>
    </row>
    <row r="498" customFormat="false" ht="13.5" hidden="false" customHeight="false" outlineLevel="0" collapsed="false">
      <c r="E498" s="754"/>
      <c r="F498" s="712"/>
    </row>
    <row r="499" customFormat="false" ht="13.5" hidden="false" customHeight="false" outlineLevel="0" collapsed="false">
      <c r="E499" s="754"/>
      <c r="F499" s="712"/>
    </row>
    <row r="500" customFormat="false" ht="13.5" hidden="false" customHeight="false" outlineLevel="0" collapsed="false">
      <c r="E500" s="754"/>
      <c r="F500" s="712"/>
    </row>
    <row r="501" customFormat="false" ht="13.5" hidden="false" customHeight="false" outlineLevel="0" collapsed="false">
      <c r="E501" s="754"/>
      <c r="F501" s="712"/>
    </row>
    <row r="502" customFormat="false" ht="13.5" hidden="false" customHeight="false" outlineLevel="0" collapsed="false">
      <c r="E502" s="754"/>
      <c r="F502" s="712"/>
    </row>
    <row r="503" customFormat="false" ht="13.5" hidden="false" customHeight="false" outlineLevel="0" collapsed="false">
      <c r="E503" s="754"/>
      <c r="F503" s="712"/>
    </row>
    <row r="504" customFormat="false" ht="13.5" hidden="false" customHeight="false" outlineLevel="0" collapsed="false">
      <c r="E504" s="754"/>
      <c r="F504" s="712"/>
    </row>
    <row r="505" customFormat="false" ht="13.5" hidden="false" customHeight="false" outlineLevel="0" collapsed="false">
      <c r="E505" s="754"/>
      <c r="F505" s="712"/>
    </row>
    <row r="506" customFormat="false" ht="13.5" hidden="false" customHeight="false" outlineLevel="0" collapsed="false">
      <c r="E506" s="754"/>
      <c r="F506" s="712"/>
    </row>
    <row r="507" customFormat="false" ht="13.5" hidden="false" customHeight="false" outlineLevel="0" collapsed="false">
      <c r="E507" s="754"/>
      <c r="F507" s="712"/>
    </row>
    <row r="508" customFormat="false" ht="13.5" hidden="false" customHeight="false" outlineLevel="0" collapsed="false">
      <c r="E508" s="754"/>
      <c r="F508" s="712"/>
    </row>
    <row r="509" customFormat="false" ht="13.5" hidden="false" customHeight="false" outlineLevel="0" collapsed="false">
      <c r="E509" s="754"/>
      <c r="F509" s="712"/>
    </row>
    <row r="510" customFormat="false" ht="13.5" hidden="false" customHeight="false" outlineLevel="0" collapsed="false">
      <c r="E510" s="754"/>
      <c r="F510" s="712"/>
    </row>
    <row r="511" customFormat="false" ht="13.5" hidden="false" customHeight="false" outlineLevel="0" collapsed="false">
      <c r="E511" s="754"/>
      <c r="F511" s="712"/>
    </row>
    <row r="512" customFormat="false" ht="13.5" hidden="false" customHeight="false" outlineLevel="0" collapsed="false">
      <c r="E512" s="754"/>
      <c r="F512" s="712"/>
    </row>
    <row r="513" customFormat="false" ht="13.5" hidden="false" customHeight="false" outlineLevel="0" collapsed="false">
      <c r="E513" s="754"/>
      <c r="F513" s="712"/>
    </row>
    <row r="514" customFormat="false" ht="13.5" hidden="false" customHeight="false" outlineLevel="0" collapsed="false">
      <c r="E514" s="754"/>
      <c r="F514" s="712"/>
    </row>
    <row r="515" customFormat="false" ht="13.5" hidden="false" customHeight="false" outlineLevel="0" collapsed="false">
      <c r="E515" s="754"/>
      <c r="F515" s="712"/>
    </row>
    <row r="516" customFormat="false" ht="13.5" hidden="false" customHeight="false" outlineLevel="0" collapsed="false">
      <c r="E516" s="754"/>
      <c r="F516" s="712"/>
    </row>
    <row r="517" customFormat="false" ht="13.5" hidden="false" customHeight="false" outlineLevel="0" collapsed="false">
      <c r="E517" s="754"/>
      <c r="F517" s="712"/>
    </row>
    <row r="518" customFormat="false" ht="13.5" hidden="false" customHeight="false" outlineLevel="0" collapsed="false">
      <c r="E518" s="754"/>
      <c r="F518" s="712"/>
    </row>
    <row r="519" customFormat="false" ht="13.5" hidden="false" customHeight="false" outlineLevel="0" collapsed="false">
      <c r="E519" s="754"/>
      <c r="F519" s="712"/>
    </row>
    <row r="520" customFormat="false" ht="13.5" hidden="false" customHeight="false" outlineLevel="0" collapsed="false">
      <c r="E520" s="754"/>
      <c r="F520" s="712"/>
    </row>
    <row r="521" customFormat="false" ht="13.5" hidden="false" customHeight="false" outlineLevel="0" collapsed="false">
      <c r="E521" s="754"/>
      <c r="F521" s="712"/>
    </row>
    <row r="522" customFormat="false" ht="13.5" hidden="false" customHeight="false" outlineLevel="0" collapsed="false">
      <c r="E522" s="754"/>
      <c r="F522" s="712"/>
    </row>
    <row r="523" customFormat="false" ht="13.5" hidden="false" customHeight="false" outlineLevel="0" collapsed="false">
      <c r="E523" s="754"/>
      <c r="F523" s="712"/>
    </row>
    <row r="524" customFormat="false" ht="13.5" hidden="false" customHeight="false" outlineLevel="0" collapsed="false">
      <c r="E524" s="754"/>
      <c r="F524" s="712"/>
    </row>
    <row r="525" customFormat="false" ht="13.5" hidden="false" customHeight="false" outlineLevel="0" collapsed="false">
      <c r="E525" s="754"/>
      <c r="F525" s="712"/>
    </row>
    <row r="526" customFormat="false" ht="13.5" hidden="false" customHeight="false" outlineLevel="0" collapsed="false">
      <c r="E526" s="754"/>
      <c r="F526" s="712"/>
    </row>
    <row r="527" customFormat="false" ht="13.5" hidden="false" customHeight="false" outlineLevel="0" collapsed="false">
      <c r="E527" s="754"/>
      <c r="F527" s="712"/>
    </row>
    <row r="528" customFormat="false" ht="13.5" hidden="false" customHeight="false" outlineLevel="0" collapsed="false">
      <c r="E528" s="754"/>
      <c r="F528" s="712"/>
    </row>
    <row r="529" customFormat="false" ht="13.5" hidden="false" customHeight="false" outlineLevel="0" collapsed="false">
      <c r="E529" s="754"/>
      <c r="F529" s="712"/>
    </row>
    <row r="530" customFormat="false" ht="13.5" hidden="false" customHeight="false" outlineLevel="0" collapsed="false">
      <c r="E530" s="754"/>
      <c r="F530" s="712"/>
    </row>
    <row r="531" customFormat="false" ht="13.5" hidden="false" customHeight="false" outlineLevel="0" collapsed="false">
      <c r="E531" s="754"/>
      <c r="F531" s="712"/>
    </row>
    <row r="532" customFormat="false" ht="13.5" hidden="false" customHeight="false" outlineLevel="0" collapsed="false">
      <c r="E532" s="754"/>
      <c r="F532" s="712"/>
    </row>
    <row r="533" customFormat="false" ht="13.5" hidden="false" customHeight="false" outlineLevel="0" collapsed="false">
      <c r="E533" s="754"/>
      <c r="F533" s="712"/>
    </row>
    <row r="534" customFormat="false" ht="13.5" hidden="false" customHeight="false" outlineLevel="0" collapsed="false">
      <c r="E534" s="754"/>
      <c r="F534" s="712"/>
    </row>
    <row r="535" customFormat="false" ht="13.5" hidden="false" customHeight="false" outlineLevel="0" collapsed="false">
      <c r="E535" s="754"/>
      <c r="F535" s="712"/>
    </row>
    <row r="536" customFormat="false" ht="13.5" hidden="false" customHeight="false" outlineLevel="0" collapsed="false">
      <c r="E536" s="754"/>
      <c r="F536" s="712"/>
    </row>
    <row r="537" customFormat="false" ht="13.5" hidden="false" customHeight="false" outlineLevel="0" collapsed="false">
      <c r="E537" s="754"/>
      <c r="F537" s="712"/>
    </row>
    <row r="538" customFormat="false" ht="13.5" hidden="false" customHeight="false" outlineLevel="0" collapsed="false">
      <c r="E538" s="754"/>
      <c r="F538" s="712"/>
    </row>
    <row r="539" customFormat="false" ht="13.5" hidden="false" customHeight="false" outlineLevel="0" collapsed="false">
      <c r="E539" s="754"/>
      <c r="F539" s="712"/>
    </row>
    <row r="540" customFormat="false" ht="13.5" hidden="false" customHeight="false" outlineLevel="0" collapsed="false">
      <c r="E540" s="754"/>
      <c r="F540" s="712"/>
    </row>
    <row r="541" customFormat="false" ht="13.5" hidden="false" customHeight="false" outlineLevel="0" collapsed="false">
      <c r="E541" s="754"/>
      <c r="F541" s="712"/>
    </row>
    <row r="542" customFormat="false" ht="13.5" hidden="false" customHeight="false" outlineLevel="0" collapsed="false">
      <c r="E542" s="754"/>
      <c r="F542" s="712"/>
    </row>
    <row r="543" customFormat="false" ht="13.5" hidden="false" customHeight="false" outlineLevel="0" collapsed="false">
      <c r="E543" s="754"/>
      <c r="F543" s="712"/>
    </row>
    <row r="544" customFormat="false" ht="13.5" hidden="false" customHeight="false" outlineLevel="0" collapsed="false">
      <c r="E544" s="754"/>
      <c r="F544" s="712"/>
    </row>
    <row r="545" customFormat="false" ht="13.5" hidden="false" customHeight="false" outlineLevel="0" collapsed="false">
      <c r="E545" s="754"/>
      <c r="F545" s="712"/>
    </row>
    <row r="546" customFormat="false" ht="13.5" hidden="false" customHeight="false" outlineLevel="0" collapsed="false">
      <c r="E546" s="754"/>
      <c r="F546" s="712"/>
    </row>
    <row r="547" customFormat="false" ht="13.5" hidden="false" customHeight="false" outlineLevel="0" collapsed="false">
      <c r="E547" s="754"/>
      <c r="F547" s="712"/>
    </row>
    <row r="548" customFormat="false" ht="13.5" hidden="false" customHeight="false" outlineLevel="0" collapsed="false">
      <c r="E548" s="754"/>
      <c r="F548" s="712"/>
    </row>
    <row r="549" customFormat="false" ht="13.5" hidden="false" customHeight="false" outlineLevel="0" collapsed="false">
      <c r="E549" s="754"/>
      <c r="F549" s="712"/>
    </row>
    <row r="550" customFormat="false" ht="13.5" hidden="false" customHeight="false" outlineLevel="0" collapsed="false">
      <c r="E550" s="754"/>
      <c r="F550" s="712"/>
    </row>
    <row r="551" customFormat="false" ht="13.5" hidden="false" customHeight="false" outlineLevel="0" collapsed="false">
      <c r="E551" s="754"/>
      <c r="F551" s="712"/>
    </row>
    <row r="552" customFormat="false" ht="13.5" hidden="false" customHeight="false" outlineLevel="0" collapsed="false">
      <c r="E552" s="754"/>
      <c r="F552" s="712"/>
    </row>
    <row r="553" customFormat="false" ht="13.5" hidden="false" customHeight="false" outlineLevel="0" collapsed="false">
      <c r="E553" s="754"/>
      <c r="F553" s="712"/>
    </row>
    <row r="554" customFormat="false" ht="13.5" hidden="false" customHeight="false" outlineLevel="0" collapsed="false">
      <c r="E554" s="754"/>
      <c r="F554" s="712"/>
    </row>
    <row r="555" customFormat="false" ht="13.5" hidden="false" customHeight="false" outlineLevel="0" collapsed="false">
      <c r="E555" s="754"/>
      <c r="F555" s="712"/>
    </row>
    <row r="556" customFormat="false" ht="13.5" hidden="false" customHeight="false" outlineLevel="0" collapsed="false">
      <c r="E556" s="754"/>
      <c r="F556" s="712"/>
    </row>
    <row r="557" customFormat="false" ht="13.5" hidden="false" customHeight="false" outlineLevel="0" collapsed="false">
      <c r="E557" s="754"/>
      <c r="F557" s="712"/>
    </row>
    <row r="558" customFormat="false" ht="13.5" hidden="false" customHeight="false" outlineLevel="0" collapsed="false">
      <c r="E558" s="754"/>
      <c r="F558" s="712"/>
    </row>
    <row r="559" customFormat="false" ht="13.5" hidden="false" customHeight="false" outlineLevel="0" collapsed="false">
      <c r="E559" s="754"/>
      <c r="F559" s="712"/>
    </row>
    <row r="560" customFormat="false" ht="13.5" hidden="false" customHeight="false" outlineLevel="0" collapsed="false">
      <c r="E560" s="754"/>
      <c r="F560" s="712"/>
    </row>
    <row r="561" customFormat="false" ht="13.5" hidden="false" customHeight="false" outlineLevel="0" collapsed="false">
      <c r="E561" s="754"/>
      <c r="F561" s="712"/>
    </row>
    <row r="562" customFormat="false" ht="13.5" hidden="false" customHeight="false" outlineLevel="0" collapsed="false">
      <c r="E562" s="754"/>
      <c r="F562" s="712"/>
    </row>
    <row r="563" customFormat="false" ht="13.5" hidden="false" customHeight="false" outlineLevel="0" collapsed="false">
      <c r="E563" s="754"/>
      <c r="F563" s="712"/>
    </row>
    <row r="564" customFormat="false" ht="13.5" hidden="false" customHeight="false" outlineLevel="0" collapsed="false">
      <c r="E564" s="754"/>
      <c r="F564" s="712"/>
    </row>
    <row r="565" customFormat="false" ht="13.5" hidden="false" customHeight="false" outlineLevel="0" collapsed="false">
      <c r="E565" s="754"/>
      <c r="F565" s="712"/>
    </row>
    <row r="566" customFormat="false" ht="13.5" hidden="false" customHeight="false" outlineLevel="0" collapsed="false">
      <c r="E566" s="754"/>
      <c r="F566" s="712"/>
    </row>
    <row r="567" customFormat="false" ht="13.5" hidden="false" customHeight="false" outlineLevel="0" collapsed="false">
      <c r="E567" s="754"/>
      <c r="F567" s="712"/>
    </row>
    <row r="568" customFormat="false" ht="13.5" hidden="false" customHeight="false" outlineLevel="0" collapsed="false">
      <c r="E568" s="754"/>
      <c r="F568" s="712"/>
    </row>
    <row r="569" customFormat="false" ht="13.5" hidden="false" customHeight="false" outlineLevel="0" collapsed="false">
      <c r="E569" s="754"/>
      <c r="F569" s="712"/>
    </row>
    <row r="570" customFormat="false" ht="13.5" hidden="false" customHeight="false" outlineLevel="0" collapsed="false">
      <c r="E570" s="754"/>
      <c r="F570" s="712"/>
    </row>
    <row r="571" customFormat="false" ht="13.5" hidden="false" customHeight="false" outlineLevel="0" collapsed="false">
      <c r="E571" s="754"/>
      <c r="F571" s="712"/>
    </row>
    <row r="572" customFormat="false" ht="13.5" hidden="false" customHeight="false" outlineLevel="0" collapsed="false">
      <c r="E572" s="754"/>
      <c r="F572" s="712"/>
    </row>
    <row r="573" customFormat="false" ht="13.5" hidden="false" customHeight="false" outlineLevel="0" collapsed="false">
      <c r="E573" s="754"/>
      <c r="F573" s="712"/>
    </row>
    <row r="574" customFormat="false" ht="13.5" hidden="false" customHeight="false" outlineLevel="0" collapsed="false">
      <c r="E574" s="754"/>
      <c r="F574" s="712"/>
      <c r="G574" s="712"/>
      <c r="T574" s="754"/>
    </row>
    <row r="575" customFormat="false" ht="13.5" hidden="false" customHeight="false" outlineLevel="0" collapsed="false">
      <c r="E575" s="754"/>
      <c r="F575" s="712"/>
      <c r="G575" s="712"/>
      <c r="T575" s="754"/>
    </row>
    <row r="576" customFormat="false" ht="13.5" hidden="false" customHeight="false" outlineLevel="0" collapsed="false">
      <c r="E576" s="754"/>
      <c r="F576" s="712"/>
      <c r="G576" s="712"/>
      <c r="T576" s="754"/>
    </row>
    <row r="577" customFormat="false" ht="13.5" hidden="false" customHeight="false" outlineLevel="0" collapsed="false">
      <c r="E577" s="754"/>
      <c r="F577" s="712"/>
      <c r="G577" s="712"/>
      <c r="T577" s="754"/>
    </row>
    <row r="578" customFormat="false" ht="13.5" hidden="false" customHeight="false" outlineLevel="0" collapsed="false">
      <c r="T578" s="754"/>
    </row>
    <row r="579" customFormat="false" ht="13.5" hidden="false" customHeight="false" outlineLevel="0" collapsed="false">
      <c r="T579" s="754"/>
    </row>
  </sheetData>
  <mergeCells count="11">
    <mergeCell ref="A1:T1"/>
    <mergeCell ref="A3:A41"/>
    <mergeCell ref="H7:S7"/>
    <mergeCell ref="H9:S9"/>
    <mergeCell ref="A42:A55"/>
    <mergeCell ref="H44:S44"/>
    <mergeCell ref="A56:A61"/>
    <mergeCell ref="A62:A78"/>
    <mergeCell ref="H66:S66"/>
    <mergeCell ref="A79:A85"/>
    <mergeCell ref="A86:T86"/>
  </mergeCells>
  <printOptions headings="false" gridLines="false" gridLinesSet="true" horizontalCentered="false" verticalCentered="false"/>
  <pageMargins left="0.157638888888889" right="0.157638888888889" top="0" bottom="0" header="0.511811023622047" footer="0.511811023622047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L22" activeCellId="0" sqref="AL16:AL22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32" min="1" style="0" width="2.32"/>
  </cols>
  <sheetData>
    <row r="1" customFormat="false" ht="18" hidden="false" customHeight="true" outlineLevel="0" collapsed="false">
      <c r="A1" s="755" t="s">
        <v>2032</v>
      </c>
      <c r="B1" s="755"/>
      <c r="C1" s="755"/>
      <c r="D1" s="755"/>
      <c r="E1" s="756" t="s">
        <v>2033</v>
      </c>
      <c r="F1" s="756"/>
      <c r="G1" s="756"/>
      <c r="H1" s="756"/>
      <c r="I1" s="756" t="s">
        <v>2034</v>
      </c>
      <c r="J1" s="756"/>
      <c r="K1" s="756"/>
      <c r="L1" s="756"/>
      <c r="M1" s="756" t="s">
        <v>2035</v>
      </c>
      <c r="N1" s="756"/>
      <c r="O1" s="756"/>
      <c r="P1" s="756"/>
      <c r="Q1" s="756" t="s">
        <v>2036</v>
      </c>
      <c r="R1" s="756"/>
      <c r="S1" s="756"/>
      <c r="T1" s="756"/>
      <c r="U1" s="756" t="s">
        <v>2037</v>
      </c>
      <c r="V1" s="756"/>
      <c r="W1" s="756"/>
      <c r="X1" s="756"/>
      <c r="Y1" s="757" t="s">
        <v>2038</v>
      </c>
      <c r="Z1" s="757"/>
      <c r="AA1" s="758"/>
      <c r="AB1" s="758"/>
      <c r="AC1" s="758"/>
      <c r="AD1" s="758"/>
      <c r="AE1" s="758"/>
      <c r="AF1" s="758"/>
    </row>
    <row r="2" customFormat="false" ht="18" hidden="false" customHeight="true" outlineLevel="0" collapsed="false">
      <c r="A2" s="755"/>
      <c r="B2" s="755"/>
      <c r="C2" s="755"/>
      <c r="D2" s="755"/>
      <c r="E2" s="759"/>
      <c r="F2" s="759"/>
      <c r="G2" s="759"/>
      <c r="H2" s="759"/>
      <c r="I2" s="760"/>
      <c r="J2" s="760"/>
      <c r="K2" s="760"/>
      <c r="L2" s="760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7"/>
      <c r="Z2" s="757"/>
      <c r="AA2" s="758"/>
      <c r="AB2" s="758"/>
      <c r="AC2" s="758"/>
      <c r="AD2" s="758"/>
      <c r="AE2" s="758"/>
      <c r="AF2" s="758"/>
    </row>
    <row r="3" customFormat="false" ht="33" hidden="false" customHeight="true" outlineLevel="0" collapsed="false">
      <c r="A3" s="755"/>
      <c r="B3" s="755"/>
      <c r="C3" s="755"/>
      <c r="D3" s="755"/>
      <c r="E3" s="759"/>
      <c r="F3" s="759"/>
      <c r="G3" s="759"/>
      <c r="H3" s="759"/>
      <c r="I3" s="760"/>
      <c r="J3" s="760"/>
      <c r="K3" s="760"/>
      <c r="L3" s="760"/>
      <c r="M3" s="759"/>
      <c r="N3" s="759"/>
      <c r="O3" s="759"/>
      <c r="P3" s="759"/>
      <c r="Q3" s="759"/>
      <c r="R3" s="759"/>
      <c r="S3" s="759"/>
      <c r="T3" s="759"/>
      <c r="U3" s="759"/>
      <c r="V3" s="759"/>
      <c r="W3" s="759"/>
      <c r="X3" s="759"/>
      <c r="Y3" s="757"/>
      <c r="Z3" s="757"/>
      <c r="AA3" s="758"/>
      <c r="AB3" s="758"/>
      <c r="AC3" s="758"/>
      <c r="AD3" s="758"/>
      <c r="AE3" s="758"/>
      <c r="AF3" s="758"/>
    </row>
    <row r="4" customFormat="false" ht="18.75" hidden="false" customHeight="true" outlineLevel="0" collapsed="false">
      <c r="A4" s="755"/>
      <c r="B4" s="755"/>
      <c r="C4" s="755"/>
      <c r="D4" s="755"/>
      <c r="E4" s="759" t="s">
        <v>2039</v>
      </c>
      <c r="F4" s="759"/>
      <c r="G4" s="759"/>
      <c r="H4" s="759"/>
      <c r="I4" s="759" t="s">
        <v>2039</v>
      </c>
      <c r="J4" s="759"/>
      <c r="K4" s="759"/>
      <c r="L4" s="759"/>
      <c r="M4" s="759" t="s">
        <v>2039</v>
      </c>
      <c r="N4" s="759"/>
      <c r="O4" s="759"/>
      <c r="P4" s="759"/>
      <c r="Q4" s="759" t="s">
        <v>2039</v>
      </c>
      <c r="R4" s="759"/>
      <c r="S4" s="759"/>
      <c r="T4" s="759"/>
      <c r="U4" s="759" t="s">
        <v>2039</v>
      </c>
      <c r="V4" s="759"/>
      <c r="W4" s="759"/>
      <c r="X4" s="759"/>
      <c r="Y4" s="757"/>
      <c r="Z4" s="757"/>
      <c r="AA4" s="758"/>
      <c r="AB4" s="758"/>
      <c r="AC4" s="758"/>
      <c r="AD4" s="758"/>
      <c r="AE4" s="758"/>
      <c r="AF4" s="758"/>
    </row>
  </sheetData>
  <mergeCells count="18">
    <mergeCell ref="A1:D4"/>
    <mergeCell ref="E1:H1"/>
    <mergeCell ref="I1:L1"/>
    <mergeCell ref="M1:P1"/>
    <mergeCell ref="Q1:T1"/>
    <mergeCell ref="U1:X1"/>
    <mergeCell ref="Y1:Z4"/>
    <mergeCell ref="AA1:AF4"/>
    <mergeCell ref="E2:H3"/>
    <mergeCell ref="I2:L3"/>
    <mergeCell ref="M2:P3"/>
    <mergeCell ref="Q2:T3"/>
    <mergeCell ref="U2:X3"/>
    <mergeCell ref="E4:H4"/>
    <mergeCell ref="I4:L4"/>
    <mergeCell ref="M4:P4"/>
    <mergeCell ref="Q4:T4"/>
    <mergeCell ref="U4:X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2000-11-25T05:12:45Z</dcterms:created>
  <dc:creator>광도건설</dc:creator>
  <dc:description/>
  <dc:language>en-US</dc:language>
  <cp:lastModifiedBy>user</cp:lastModifiedBy>
  <cp:lastPrinted>2025-12-11T13:45:19Z</cp:lastPrinted>
  <dcterms:modified xsi:type="dcterms:W3CDTF">2025-12-15T07:47:05Z</dcterms:modified>
  <cp:revision>0</cp:revision>
  <dc:subject/>
  <dc:title/>
</cp:coreProperties>
</file>