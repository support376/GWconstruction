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회사\급여대장\"/>
    </mc:Choice>
  </mc:AlternateContent>
  <bookViews>
    <workbookView xWindow="-30" yWindow="30" windowWidth="22155" windowHeight="13455" activeTab="1"/>
  </bookViews>
  <sheets>
    <sheet name="건우" sheetId="1" r:id="rId1"/>
    <sheet name="아이엔" sheetId="4" r:id="rId2"/>
    <sheet name="인우" sheetId="5" r:id="rId3"/>
    <sheet name="새암" sheetId="2" r:id="rId4"/>
    <sheet name="다우" sheetId="8" r:id="rId5"/>
    <sheet name="건우이전분" sheetId="7" r:id="rId6"/>
    <sheet name="아이엔이전분" sheetId="9" r:id="rId7"/>
    <sheet name="유신" sheetId="3" r:id="rId8"/>
    <sheet name="직원현황" sheetId="6" r:id="rId9"/>
  </sheets>
  <definedNames>
    <definedName name="_xlnm.Print_Area" localSheetId="8">직원현황!$A$1:$M$346</definedName>
  </definedNames>
  <calcPr calcId="162913"/>
</workbook>
</file>

<file path=xl/calcChain.xml><?xml version="1.0" encoding="utf-8"?>
<calcChain xmlns="http://schemas.openxmlformats.org/spreadsheetml/2006/main">
  <c r="N22" i="4" l="1"/>
  <c r="L22" i="8"/>
  <c r="K22" i="5"/>
  <c r="J22" i="5"/>
  <c r="L24" i="2"/>
  <c r="O25" i="1"/>
  <c r="F9" i="4" l="1"/>
  <c r="F8" i="4"/>
  <c r="G9" i="4"/>
  <c r="G8" i="4"/>
  <c r="H8" i="4"/>
  <c r="H9" i="9" l="1"/>
  <c r="H8" i="9"/>
  <c r="K22" i="9" l="1"/>
  <c r="F11" i="8" l="1"/>
  <c r="K22" i="8"/>
  <c r="N24" i="7" l="1"/>
  <c r="M24" i="7"/>
  <c r="K24" i="7"/>
  <c r="H9" i="7"/>
  <c r="H8" i="7"/>
  <c r="N25" i="1" l="1"/>
  <c r="L25" i="1" l="1"/>
  <c r="J22" i="3" l="1"/>
  <c r="L22" i="4" l="1"/>
  <c r="K24" i="2"/>
  <c r="F11" i="5" l="1"/>
  <c r="G9" i="5" s="1"/>
  <c r="G8" i="5" l="1"/>
  <c r="F11" i="3"/>
  <c r="F11" i="2" l="1"/>
  <c r="G9" i="2" s="1"/>
  <c r="F11" i="1"/>
  <c r="H13" i="1" s="1"/>
  <c r="F11" i="9"/>
  <c r="G8" i="9" s="1"/>
  <c r="G8" i="2" l="1"/>
  <c r="G9" i="9"/>
</calcChain>
</file>

<file path=xl/sharedStrings.xml><?xml version="1.0" encoding="utf-8"?>
<sst xmlns="http://schemas.openxmlformats.org/spreadsheetml/2006/main" count="1005" uniqueCount="688">
  <si>
    <t>주   주   명   부</t>
    <phoneticPr fontId="1" type="noConversion"/>
  </si>
  <si>
    <t>대표이사</t>
    <phoneticPr fontId="1" type="noConversion"/>
  </si>
  <si>
    <t>이    사</t>
    <phoneticPr fontId="1" type="noConversion"/>
  </si>
  <si>
    <t>계</t>
    <phoneticPr fontId="1" type="noConversion"/>
  </si>
  <si>
    <t>성명</t>
    <phoneticPr fontId="1" type="noConversion"/>
  </si>
  <si>
    <t>2명</t>
    <phoneticPr fontId="1" type="noConversion"/>
  </si>
  <si>
    <t>주민등록번호</t>
    <phoneticPr fontId="1" type="noConversion"/>
  </si>
  <si>
    <t>주식수</t>
    <phoneticPr fontId="1" type="noConversion"/>
  </si>
  <si>
    <t>비  율</t>
    <phoneticPr fontId="1" type="noConversion"/>
  </si>
  <si>
    <t>직  위</t>
    <phoneticPr fontId="1" type="noConversion"/>
  </si>
  <si>
    <t>주      소</t>
    <phoneticPr fontId="1" type="noConversion"/>
  </si>
  <si>
    <t>충북영동군양강면괴목리401</t>
    <phoneticPr fontId="1" type="noConversion"/>
  </si>
  <si>
    <t>안경이</t>
    <phoneticPr fontId="1" type="noConversion"/>
  </si>
  <si>
    <t>650228-2226831</t>
    <phoneticPr fontId="1" type="noConversion"/>
  </si>
  <si>
    <t>충북영동군양강면국촌1길6-6</t>
    <phoneticPr fontId="1" type="noConversion"/>
  </si>
  <si>
    <t>이건우</t>
    <phoneticPr fontId="1" type="noConversion"/>
  </si>
  <si>
    <t>601116-1386715</t>
    <phoneticPr fontId="1" type="noConversion"/>
  </si>
  <si>
    <t xml:space="preserve">     사업자등록번호   :  316 - 81 - 05103</t>
    <phoneticPr fontId="1" type="noConversion"/>
  </si>
  <si>
    <t xml:space="preserve">       주          소     :  충북영동군영동읍영산로3길 18-1</t>
    <phoneticPr fontId="1" type="noConversion"/>
  </si>
  <si>
    <t xml:space="preserve">     전  화   번  호     :  043 - 744 - 8948</t>
    <phoneticPr fontId="1" type="noConversion"/>
  </si>
  <si>
    <t xml:space="preserve">       상          호     :  건우건설주식회사 대표이사 안경이</t>
    <phoneticPr fontId="1" type="noConversion"/>
  </si>
  <si>
    <t>이규섭</t>
    <phoneticPr fontId="1" type="noConversion"/>
  </si>
  <si>
    <t>770326-1030617</t>
    <phoneticPr fontId="1" type="noConversion"/>
  </si>
  <si>
    <t>충남천안시서북구광장로260
 102동603호</t>
    <phoneticPr fontId="1" type="noConversion"/>
  </si>
  <si>
    <t>이인혁</t>
    <phoneticPr fontId="1" type="noConversion"/>
  </si>
  <si>
    <t>880830-1386719</t>
    <phoneticPr fontId="1" type="noConversion"/>
  </si>
  <si>
    <t xml:space="preserve">       상          호     :  새암건설주식회사 대표이사 이규섭</t>
    <phoneticPr fontId="1" type="noConversion"/>
  </si>
  <si>
    <t xml:space="preserve">       주          소     :  충북옥천군옥천읍옥천로 1577</t>
    <phoneticPr fontId="1" type="noConversion"/>
  </si>
  <si>
    <t xml:space="preserve">     전  화   번  호     :  043 - 731 - 6497</t>
    <phoneticPr fontId="1" type="noConversion"/>
  </si>
  <si>
    <t xml:space="preserve">     사업자등록번호   :   893 - 81 - 02092</t>
    <phoneticPr fontId="1" type="noConversion"/>
  </si>
  <si>
    <t>김용수</t>
    <phoneticPr fontId="1" type="noConversion"/>
  </si>
  <si>
    <t>610125-1386722</t>
    <phoneticPr fontId="1" type="noConversion"/>
  </si>
  <si>
    <t>충북영동군영동읍영동시장1길26-1</t>
    <phoneticPr fontId="1" type="noConversion"/>
  </si>
  <si>
    <t>김재호</t>
    <phoneticPr fontId="1" type="noConversion"/>
  </si>
  <si>
    <t>541210-1386710</t>
    <phoneticPr fontId="1" type="noConversion"/>
  </si>
  <si>
    <t xml:space="preserve">     전  화   번  호     :  043 - 745 - 6634</t>
    <phoneticPr fontId="1" type="noConversion"/>
  </si>
  <si>
    <t>서울영등포구국제금융로7길
3087호</t>
    <phoneticPr fontId="1" type="noConversion"/>
  </si>
  <si>
    <t xml:space="preserve">     사업자등록번호   :  302 - 81 - 28785</t>
    <phoneticPr fontId="1" type="noConversion"/>
  </si>
  <si>
    <t xml:space="preserve">       상          호     :  ㈜아이엔건설환경 대표이사 이건우</t>
    <phoneticPr fontId="1" type="noConversion"/>
  </si>
  <si>
    <t xml:space="preserve">       주          소     :  충북영동군영동읍영산로3길 19</t>
    <phoneticPr fontId="1" type="noConversion"/>
  </si>
  <si>
    <t xml:space="preserve">     전  화   번  호     :  043 - 744 - 6497</t>
    <phoneticPr fontId="1" type="noConversion"/>
  </si>
  <si>
    <t>이    사</t>
    <phoneticPr fontId="1" type="noConversion"/>
  </si>
  <si>
    <t>대표이사</t>
    <phoneticPr fontId="1" type="noConversion"/>
  </si>
  <si>
    <t>최승열</t>
    <phoneticPr fontId="1" type="noConversion"/>
  </si>
  <si>
    <t>3명</t>
    <phoneticPr fontId="1" type="noConversion"/>
  </si>
  <si>
    <t>620724-1648219</t>
    <phoneticPr fontId="1" type="noConversion"/>
  </si>
  <si>
    <t xml:space="preserve">     사업자등록번호   :  699 - 87 - 00698</t>
    <phoneticPr fontId="1" type="noConversion"/>
  </si>
  <si>
    <t xml:space="preserve">       상          호     :  인우건설주식회사 대표이사 최승열</t>
    <phoneticPr fontId="1" type="noConversion"/>
  </si>
  <si>
    <t>회사명</t>
    <phoneticPr fontId="1" type="noConversion"/>
  </si>
  <si>
    <t>이   름</t>
    <phoneticPr fontId="1" type="noConversion"/>
  </si>
  <si>
    <t>주민번호</t>
    <phoneticPr fontId="1" type="noConversion"/>
  </si>
  <si>
    <t>입사일</t>
    <phoneticPr fontId="1" type="noConversion"/>
  </si>
  <si>
    <t>퇴사일</t>
    <phoneticPr fontId="1" type="noConversion"/>
  </si>
  <si>
    <t>자격증종류</t>
    <phoneticPr fontId="1" type="noConversion"/>
  </si>
  <si>
    <t>관련업종</t>
    <phoneticPr fontId="1" type="noConversion"/>
  </si>
  <si>
    <t>건축,토목 초급</t>
    <phoneticPr fontId="1" type="noConversion"/>
  </si>
  <si>
    <t>석면인력</t>
    <phoneticPr fontId="1" type="noConversion"/>
  </si>
  <si>
    <t>2.김 성 헌</t>
    <phoneticPr fontId="1" type="noConversion"/>
  </si>
  <si>
    <t>3.박 인 식</t>
    <phoneticPr fontId="1" type="noConversion"/>
  </si>
  <si>
    <t>4.최 종 식</t>
    <phoneticPr fontId="1" type="noConversion"/>
  </si>
  <si>
    <t>비  고</t>
    <phoneticPr fontId="1" type="noConversion"/>
  </si>
  <si>
    <t>1.이 건 우</t>
    <phoneticPr fontId="1" type="noConversion"/>
  </si>
  <si>
    <t>1.최 승 열</t>
    <phoneticPr fontId="1" type="noConversion"/>
  </si>
  <si>
    <t>2.안 선 이</t>
    <phoneticPr fontId="1" type="noConversion"/>
  </si>
  <si>
    <t>한오성</t>
    <phoneticPr fontId="1" type="noConversion"/>
  </si>
  <si>
    <t>나산(금왕읍)</t>
    <phoneticPr fontId="1" type="noConversion"/>
  </si>
  <si>
    <t>23.11.02</t>
    <phoneticPr fontId="1" type="noConversion"/>
  </si>
  <si>
    <t>오관영</t>
    <phoneticPr fontId="1" type="noConversion"/>
  </si>
  <si>
    <t>보건(오창고)</t>
    <phoneticPr fontId="1" type="noConversion"/>
  </si>
  <si>
    <t>23.12.21</t>
    <phoneticPr fontId="1" type="noConversion"/>
  </si>
  <si>
    <t>24.01.31</t>
    <phoneticPr fontId="1" type="noConversion"/>
  </si>
  <si>
    <t>홍혜경</t>
    <phoneticPr fontId="1" type="noConversion"/>
  </si>
  <si>
    <t>23.10.02</t>
    <phoneticPr fontId="1" type="noConversion"/>
  </si>
  <si>
    <t>장신진</t>
    <phoneticPr fontId="1" type="noConversion"/>
  </si>
  <si>
    <t>1.이 규 섭</t>
    <phoneticPr fontId="1" type="noConversion"/>
  </si>
  <si>
    <t>방수기능사</t>
    <phoneticPr fontId="1" type="noConversion"/>
  </si>
  <si>
    <t>지게차</t>
    <phoneticPr fontId="1" type="noConversion"/>
  </si>
  <si>
    <t>굴삭기</t>
    <phoneticPr fontId="1" type="noConversion"/>
  </si>
  <si>
    <t>전기</t>
    <phoneticPr fontId="1" type="noConversion"/>
  </si>
  <si>
    <t>23.09.01</t>
    <phoneticPr fontId="1" type="noConversion"/>
  </si>
  <si>
    <t>23.11.30</t>
    <phoneticPr fontId="1" type="noConversion"/>
  </si>
  <si>
    <t>배관기능사</t>
    <phoneticPr fontId="1" type="noConversion"/>
  </si>
  <si>
    <t>비계</t>
    <phoneticPr fontId="1" type="noConversion"/>
  </si>
  <si>
    <t>억</t>
    <phoneticPr fontId="1" type="noConversion"/>
  </si>
  <si>
    <t>금속창호지붕</t>
    <phoneticPr fontId="1" type="noConversion"/>
  </si>
  <si>
    <t>실내건축</t>
    <phoneticPr fontId="1" type="noConversion"/>
  </si>
  <si>
    <t>합계</t>
    <phoneticPr fontId="1" type="noConversion"/>
  </si>
  <si>
    <t>도장습식</t>
    <phoneticPr fontId="1" type="noConversion"/>
  </si>
  <si>
    <t>지반공사업</t>
    <phoneticPr fontId="1" type="noConversion"/>
  </si>
  <si>
    <t>철콘</t>
    <phoneticPr fontId="1" type="noConversion"/>
  </si>
  <si>
    <t>비계구조물</t>
    <phoneticPr fontId="1" type="noConversion"/>
  </si>
  <si>
    <t>합  계</t>
    <phoneticPr fontId="1" type="noConversion"/>
  </si>
  <si>
    <t>토목특급,건축초급</t>
    <phoneticPr fontId="1" type="noConversion"/>
  </si>
  <si>
    <t>토목특급</t>
    <phoneticPr fontId="1" type="noConversion"/>
  </si>
  <si>
    <t>토목고급</t>
    <phoneticPr fontId="1" type="noConversion"/>
  </si>
  <si>
    <t>토목중급</t>
    <phoneticPr fontId="1" type="noConversion"/>
  </si>
  <si>
    <t>건축특급</t>
    <phoneticPr fontId="1" type="noConversion"/>
  </si>
  <si>
    <t>건축초급</t>
    <phoneticPr fontId="1" type="noConversion"/>
  </si>
  <si>
    <t>011113-3352415</t>
    <phoneticPr fontId="1" type="noConversion"/>
  </si>
  <si>
    <t>전기용접</t>
    <phoneticPr fontId="1" type="noConversion"/>
  </si>
  <si>
    <t>700313-2226815</t>
    <phoneticPr fontId="1" type="noConversion"/>
  </si>
  <si>
    <t>661120-1448923</t>
    <phoneticPr fontId="1" type="noConversion"/>
  </si>
  <si>
    <t>610313-1386919</t>
    <phoneticPr fontId="1" type="noConversion"/>
  </si>
  <si>
    <t>610101-1386227</t>
    <phoneticPr fontId="1" type="noConversion"/>
  </si>
  <si>
    <t>520618-1384416</t>
    <phoneticPr fontId="1" type="noConversion"/>
  </si>
  <si>
    <t>600713-1182814</t>
    <phoneticPr fontId="1" type="noConversion"/>
  </si>
  <si>
    <t>580107-1702817</t>
    <phoneticPr fontId="1" type="noConversion"/>
  </si>
  <si>
    <t>661221-2477917</t>
    <phoneticPr fontId="1" type="noConversion"/>
  </si>
  <si>
    <t>23.03.01</t>
    <phoneticPr fontId="1" type="noConversion"/>
  </si>
  <si>
    <t>650616-1386114</t>
    <phoneticPr fontId="1" type="noConversion"/>
  </si>
  <si>
    <t>600825-2386112</t>
    <phoneticPr fontId="1" type="noConversion"/>
  </si>
  <si>
    <t>691006-1531813</t>
    <phoneticPr fontId="1" type="noConversion"/>
  </si>
  <si>
    <t>680409-2387111</t>
    <phoneticPr fontId="1" type="noConversion"/>
  </si>
  <si>
    <t>921222-1386111</t>
    <phoneticPr fontId="1" type="noConversion"/>
  </si>
  <si>
    <t>620215-1401117</t>
    <phoneticPr fontId="1" type="noConversion"/>
  </si>
  <si>
    <t>650319-1392610</t>
    <phoneticPr fontId="1" type="noConversion"/>
  </si>
  <si>
    <t>660520-1386119</t>
    <phoneticPr fontId="1" type="noConversion"/>
  </si>
  <si>
    <t>760101-1384121</t>
    <phoneticPr fontId="1" type="noConversion"/>
  </si>
  <si>
    <t>570228-1387118</t>
    <phoneticPr fontId="1" type="noConversion"/>
  </si>
  <si>
    <t>601010-1386125</t>
    <phoneticPr fontId="1" type="noConversion"/>
  </si>
  <si>
    <t>740128-1382911</t>
    <phoneticPr fontId="1" type="noConversion"/>
  </si>
  <si>
    <t>620908-1386710</t>
    <phoneticPr fontId="1" type="noConversion"/>
  </si>
  <si>
    <t>690401-1384414</t>
    <phoneticPr fontId="1" type="noConversion"/>
  </si>
  <si>
    <t>580417-1386719</t>
    <phoneticPr fontId="1" type="noConversion"/>
  </si>
  <si>
    <t>토목초급</t>
    <phoneticPr fontId="1" type="noConversion"/>
  </si>
  <si>
    <t>건축.토목초급</t>
    <phoneticPr fontId="1" type="noConversion"/>
  </si>
  <si>
    <t>620104-1395211</t>
    <phoneticPr fontId="1" type="noConversion"/>
  </si>
  <si>
    <t>611117-1386123</t>
    <phoneticPr fontId="1" type="noConversion"/>
  </si>
  <si>
    <t>5월중</t>
    <phoneticPr fontId="1" type="noConversion"/>
  </si>
  <si>
    <t>1월중</t>
    <phoneticPr fontId="1" type="noConversion"/>
  </si>
  <si>
    <t>2월초</t>
    <phoneticPr fontId="1" type="noConversion"/>
  </si>
  <si>
    <t>3월초</t>
    <phoneticPr fontId="1" type="noConversion"/>
  </si>
  <si>
    <t>591023-1386112</t>
    <phoneticPr fontId="1" type="noConversion"/>
  </si>
  <si>
    <t>토목초급.건축도장</t>
    <phoneticPr fontId="1" type="noConversion"/>
  </si>
  <si>
    <t>철콘</t>
    <phoneticPr fontId="1" type="noConversion"/>
  </si>
  <si>
    <t>상하</t>
    <phoneticPr fontId="1" type="noConversion"/>
  </si>
  <si>
    <t>구조물</t>
    <phoneticPr fontId="1" type="noConversion"/>
  </si>
  <si>
    <t>합</t>
    <phoneticPr fontId="1" type="noConversion"/>
  </si>
  <si>
    <t>건축중급</t>
    <phoneticPr fontId="1" type="noConversion"/>
  </si>
  <si>
    <t>750125-1386212</t>
    <phoneticPr fontId="1" type="noConversion"/>
  </si>
  <si>
    <t>24.01.31</t>
    <phoneticPr fontId="1" type="noConversion"/>
  </si>
  <si>
    <t>207082-56-018979농협500</t>
    <phoneticPr fontId="1" type="noConversion"/>
  </si>
  <si>
    <t>640301-1683821</t>
    <phoneticPr fontId="1" type="noConversion"/>
  </si>
  <si>
    <t>24.02.01</t>
    <phoneticPr fontId="1" type="noConversion"/>
  </si>
  <si>
    <t>790915-2813026</t>
    <phoneticPr fontId="1" type="noConversion"/>
  </si>
  <si>
    <t>790915-2813026</t>
    <phoneticPr fontId="1" type="noConversion"/>
  </si>
  <si>
    <t>24.02.29</t>
    <phoneticPr fontId="1" type="noConversion"/>
  </si>
  <si>
    <t>김 충 식</t>
    <phoneticPr fontId="1" type="noConversion"/>
  </si>
  <si>
    <t>방수기능사</t>
    <phoneticPr fontId="1" type="noConversion"/>
  </si>
  <si>
    <t>701208-2386116</t>
    <phoneticPr fontId="1" type="noConversion"/>
  </si>
  <si>
    <t>24.03.01</t>
    <phoneticPr fontId="1" type="noConversion"/>
  </si>
  <si>
    <t>유신입사23.12.01</t>
    <phoneticPr fontId="1" type="noConversion"/>
  </si>
  <si>
    <t>건우입사24.02.01</t>
    <phoneticPr fontId="1" type="noConversion"/>
  </si>
  <si>
    <t>건축초급,건축제도</t>
    <phoneticPr fontId="1" type="noConversion"/>
  </si>
  <si>
    <t>650320-1386730</t>
    <phoneticPr fontId="1" type="noConversion"/>
  </si>
  <si>
    <t xml:space="preserve">   김 영 완</t>
    <phoneticPr fontId="1" type="noConversion"/>
  </si>
  <si>
    <t xml:space="preserve">   조 용 제</t>
    <phoneticPr fontId="1" type="noConversion"/>
  </si>
  <si>
    <t xml:space="preserve">   박 봉 환</t>
    <phoneticPr fontId="1" type="noConversion"/>
  </si>
  <si>
    <t>23.06.26</t>
    <phoneticPr fontId="1" type="noConversion"/>
  </si>
  <si>
    <t>23.09.11</t>
    <phoneticPr fontId="1" type="noConversion"/>
  </si>
  <si>
    <t>23.06.26</t>
    <phoneticPr fontId="1" type="noConversion"/>
  </si>
  <si>
    <t>23.10.01</t>
    <phoneticPr fontId="1" type="noConversion"/>
  </si>
  <si>
    <t>23.09.15</t>
    <phoneticPr fontId="1" type="noConversion"/>
  </si>
  <si>
    <t>21.01.27</t>
    <phoneticPr fontId="1" type="noConversion"/>
  </si>
  <si>
    <t>건축초급</t>
    <phoneticPr fontId="1" type="noConversion"/>
  </si>
  <si>
    <t>24.03.01</t>
    <phoneticPr fontId="1" type="noConversion"/>
  </si>
  <si>
    <t>24.02.29</t>
    <phoneticPr fontId="1" type="noConversion"/>
  </si>
  <si>
    <t xml:space="preserve">   김 기 면</t>
    <phoneticPr fontId="1" type="noConversion"/>
  </si>
  <si>
    <t>나산입사</t>
    <phoneticPr fontId="1" type="noConversion"/>
  </si>
  <si>
    <t>24.02.29</t>
    <phoneticPr fontId="1" type="noConversion"/>
  </si>
  <si>
    <t>23.09.01</t>
    <phoneticPr fontId="1" type="noConversion"/>
  </si>
  <si>
    <t xml:space="preserve">         이 재 현</t>
    <phoneticPr fontId="1" type="noConversion"/>
  </si>
  <si>
    <t>김정길</t>
    <phoneticPr fontId="1" type="noConversion"/>
  </si>
  <si>
    <t>601110-1386115</t>
    <phoneticPr fontId="1" type="noConversion"/>
  </si>
  <si>
    <t>건우</t>
    <phoneticPr fontId="1" type="noConversion"/>
  </si>
  <si>
    <t>유지안</t>
    <phoneticPr fontId="1" type="noConversion"/>
  </si>
  <si>
    <t>24.02.01</t>
    <phoneticPr fontId="1" type="noConversion"/>
  </si>
  <si>
    <t>23.11.16</t>
    <phoneticPr fontId="1" type="noConversion"/>
  </si>
  <si>
    <t>조태현</t>
    <phoneticPr fontId="1" type="noConversion"/>
  </si>
  <si>
    <t>홍혜경</t>
    <phoneticPr fontId="1" type="noConversion"/>
  </si>
  <si>
    <t>박봉환</t>
    <phoneticPr fontId="1" type="noConversion"/>
  </si>
  <si>
    <t>IN</t>
    <phoneticPr fontId="1" type="noConversion"/>
  </si>
  <si>
    <t>김충식</t>
    <phoneticPr fontId="1" type="noConversion"/>
  </si>
  <si>
    <t>이재현</t>
    <phoneticPr fontId="1" type="noConversion"/>
  </si>
  <si>
    <t>윤현희</t>
    <phoneticPr fontId="1" type="noConversion"/>
  </si>
  <si>
    <t>조선휘</t>
    <phoneticPr fontId="1" type="noConversion"/>
  </si>
  <si>
    <t>인우</t>
    <phoneticPr fontId="1" type="noConversion"/>
  </si>
  <si>
    <t>오관영</t>
    <phoneticPr fontId="1" type="noConversion"/>
  </si>
  <si>
    <t>장신진</t>
    <phoneticPr fontId="1" type="noConversion"/>
  </si>
  <si>
    <t>새암</t>
    <phoneticPr fontId="1" type="noConversion"/>
  </si>
  <si>
    <t>김기면</t>
    <phoneticPr fontId="1" type="noConversion"/>
  </si>
  <si>
    <t>이호균</t>
    <phoneticPr fontId="1" type="noConversion"/>
  </si>
  <si>
    <t>임상철</t>
    <phoneticPr fontId="1" type="noConversion"/>
  </si>
  <si>
    <t>박희서</t>
    <phoneticPr fontId="1" type="noConversion"/>
  </si>
  <si>
    <t>이재현</t>
    <phoneticPr fontId="1" type="noConversion"/>
  </si>
  <si>
    <t>701006-1390515</t>
    <phoneticPr fontId="1" type="noConversion"/>
  </si>
  <si>
    <t>퇴사 02/29</t>
    <phoneticPr fontId="1" type="noConversion"/>
  </si>
  <si>
    <t>02/01 입사</t>
    <phoneticPr fontId="1" type="noConversion"/>
  </si>
  <si>
    <t>퇴사  2/29</t>
    <phoneticPr fontId="1" type="noConversion"/>
  </si>
  <si>
    <t>퇴사 2/29</t>
    <phoneticPr fontId="1" type="noConversion"/>
  </si>
  <si>
    <t>03/01 입사</t>
    <phoneticPr fontId="1" type="noConversion"/>
  </si>
  <si>
    <t>퇴사 01/31</t>
    <phoneticPr fontId="1" type="noConversion"/>
  </si>
  <si>
    <t>퇴사 03/28</t>
    <phoneticPr fontId="1" type="noConversion"/>
  </si>
  <si>
    <t>IN입사</t>
    <phoneticPr fontId="1" type="noConversion"/>
  </si>
  <si>
    <t>건우입사</t>
    <phoneticPr fontId="1" type="noConversion"/>
  </si>
  <si>
    <t>건우입사</t>
    <phoneticPr fontId="1" type="noConversion"/>
  </si>
  <si>
    <t>새암입사</t>
    <phoneticPr fontId="1" type="noConversion"/>
  </si>
  <si>
    <t>나산</t>
    <phoneticPr fontId="1" type="noConversion"/>
  </si>
  <si>
    <t>유동</t>
    <phoneticPr fontId="1" type="noConversion"/>
  </si>
  <si>
    <t>보건</t>
    <phoneticPr fontId="1" type="noConversion"/>
  </si>
  <si>
    <t>2024년 1-3월 월급여자 인력변경내역</t>
    <phoneticPr fontId="1" type="noConversion"/>
  </si>
  <si>
    <t>석면</t>
    <phoneticPr fontId="1" type="noConversion"/>
  </si>
  <si>
    <t>11.05.20</t>
    <phoneticPr fontId="1" type="noConversion"/>
  </si>
  <si>
    <t>23.07.01</t>
    <phoneticPr fontId="1" type="noConversion"/>
  </si>
  <si>
    <t>23.02.07</t>
    <phoneticPr fontId="1" type="noConversion"/>
  </si>
  <si>
    <t>17.12.01</t>
    <phoneticPr fontId="1" type="noConversion"/>
  </si>
  <si>
    <t>16.04.25</t>
    <phoneticPr fontId="1" type="noConversion"/>
  </si>
  <si>
    <t>17.09.08</t>
    <phoneticPr fontId="1" type="noConversion"/>
  </si>
  <si>
    <t>20.10.05</t>
    <phoneticPr fontId="1" type="noConversion"/>
  </si>
  <si>
    <t>23.05.01</t>
    <phoneticPr fontId="1" type="noConversion"/>
  </si>
  <si>
    <t>08.03.14</t>
    <phoneticPr fontId="1" type="noConversion"/>
  </si>
  <si>
    <t>23.06.01</t>
    <phoneticPr fontId="1" type="noConversion"/>
  </si>
  <si>
    <t>790706-1386711</t>
    <phoneticPr fontId="1" type="noConversion"/>
  </si>
  <si>
    <t>12.05.01</t>
    <phoneticPr fontId="1" type="noConversion"/>
  </si>
  <si>
    <r>
      <rPr>
        <sz val="11"/>
        <color theme="8"/>
        <rFont val="맑은 고딕"/>
        <family val="3"/>
        <charset val="129"/>
        <scheme val="minor"/>
      </rPr>
      <t>전기기능사</t>
    </r>
    <r>
      <rPr>
        <sz val="11"/>
        <color theme="1"/>
        <rFont val="맑은 고딕"/>
        <family val="2"/>
        <charset val="129"/>
        <scheme val="minor"/>
      </rPr>
      <t>,전기초급</t>
    </r>
    <phoneticPr fontId="1" type="noConversion"/>
  </si>
  <si>
    <t>24.04.01</t>
    <phoneticPr fontId="1" type="noConversion"/>
  </si>
  <si>
    <t>651001-1382116</t>
    <phoneticPr fontId="1" type="noConversion"/>
  </si>
  <si>
    <t>*김정길</t>
    <phoneticPr fontId="1" type="noConversion"/>
  </si>
  <si>
    <t>IN입사24.03.01</t>
    <phoneticPr fontId="1" type="noConversion"/>
  </si>
  <si>
    <t>760607-1386119</t>
    <phoneticPr fontId="1" type="noConversion"/>
  </si>
  <si>
    <t>새암입사3.1</t>
    <phoneticPr fontId="1" type="noConversion"/>
  </si>
  <si>
    <t>24.04.30</t>
    <phoneticPr fontId="1" type="noConversion"/>
  </si>
  <si>
    <t>24.05.16</t>
    <phoneticPr fontId="1" type="noConversion"/>
  </si>
  <si>
    <t>24.05.31</t>
    <phoneticPr fontId="1" type="noConversion"/>
  </si>
  <si>
    <t>24.05.13</t>
    <phoneticPr fontId="1" type="noConversion"/>
  </si>
  <si>
    <t>790321-1231112</t>
    <phoneticPr fontId="1" type="noConversion"/>
  </si>
  <si>
    <t>굴삭기</t>
    <phoneticPr fontId="1" type="noConversion"/>
  </si>
  <si>
    <t>24.07.01</t>
    <phoneticPr fontId="1" type="noConversion"/>
  </si>
  <si>
    <t>670120-1921312</t>
    <phoneticPr fontId="1" type="noConversion"/>
  </si>
  <si>
    <t>동환기업</t>
    <phoneticPr fontId="1" type="noConversion"/>
  </si>
  <si>
    <t>억</t>
    <phoneticPr fontId="1" type="noConversion"/>
  </si>
  <si>
    <t>도장습식석공</t>
    <phoneticPr fontId="1" type="noConversion"/>
  </si>
  <si>
    <t>24.06.30</t>
    <phoneticPr fontId="1" type="noConversion"/>
  </si>
  <si>
    <t>김 칠 성</t>
    <phoneticPr fontId="1" type="noConversion"/>
  </si>
  <si>
    <t>670201-1380410</t>
    <phoneticPr fontId="1" type="noConversion"/>
  </si>
  <si>
    <t>건축초급</t>
    <phoneticPr fontId="1" type="noConversion"/>
  </si>
  <si>
    <t>정밀안전점검기관</t>
    <phoneticPr fontId="1" type="noConversion"/>
  </si>
  <si>
    <t>억</t>
    <phoneticPr fontId="1" type="noConversion"/>
  </si>
  <si>
    <t>신규2종추가</t>
    <phoneticPr fontId="1" type="noConversion"/>
  </si>
  <si>
    <t>합계주식수</t>
    <phoneticPr fontId="1" type="noConversion"/>
  </si>
  <si>
    <t>박희상</t>
    <phoneticPr fontId="1" type="noConversion"/>
  </si>
  <si>
    <t>방창환</t>
    <phoneticPr fontId="1" type="noConversion"/>
  </si>
  <si>
    <t>2024년07월100만선지급(안경이계좌)</t>
    <phoneticPr fontId="1" type="noConversion"/>
  </si>
  <si>
    <t>2024년07월100만선지급(안경이계좌)</t>
    <phoneticPr fontId="1" type="noConversion"/>
  </si>
  <si>
    <t>보건03.01입사,
퇴사06.15</t>
    <phoneticPr fontId="1" type="noConversion"/>
  </si>
  <si>
    <t>도장습식공사업</t>
    <phoneticPr fontId="1" type="noConversion"/>
  </si>
  <si>
    <t>24.07.31</t>
    <phoneticPr fontId="1" type="noConversion"/>
  </si>
  <si>
    <t>23.05.16
24.08.01</t>
    <phoneticPr fontId="1" type="noConversion"/>
  </si>
  <si>
    <r>
      <t xml:space="preserve">[아이엔]
</t>
    </r>
    <r>
      <rPr>
        <b/>
        <i/>
        <sz val="11"/>
        <color theme="1"/>
        <rFont val="맑은 고딕"/>
        <family val="3"/>
        <charset val="129"/>
        <scheme val="minor"/>
      </rPr>
      <t>토공</t>
    </r>
    <r>
      <rPr>
        <b/>
        <sz val="11"/>
        <color theme="1"/>
        <rFont val="맑은 고딕"/>
        <family val="3"/>
        <charset val="129"/>
        <scheme val="minor"/>
      </rPr>
      <t>2</t>
    </r>
    <r>
      <rPr>
        <b/>
        <i/>
        <sz val="11"/>
        <color theme="1"/>
        <rFont val="맑은 고딕"/>
        <family val="3"/>
        <charset val="129"/>
        <scheme val="minor"/>
      </rPr>
      <t>명
포장2명
구조물1명
철콘2명
합7명</t>
    </r>
    <phoneticPr fontId="1" type="noConversion"/>
  </si>
  <si>
    <t>24.08.31</t>
    <phoneticPr fontId="1" type="noConversion"/>
  </si>
  <si>
    <t>조태현</t>
    <phoneticPr fontId="1" type="noConversion"/>
  </si>
  <si>
    <t>조규용</t>
    <phoneticPr fontId="1" type="noConversion"/>
  </si>
  <si>
    <t>시설물(토목)</t>
    <phoneticPr fontId="1" type="noConversion"/>
  </si>
  <si>
    <t>26년까지
기술자</t>
    <phoneticPr fontId="1" type="noConversion"/>
  </si>
  <si>
    <t>2027년
자본금</t>
    <phoneticPr fontId="1" type="noConversion"/>
  </si>
  <si>
    <t>27년
기술자</t>
    <phoneticPr fontId="1" type="noConversion"/>
  </si>
  <si>
    <t>충북영동군양강면국촌1길6-6</t>
    <phoneticPr fontId="1" type="noConversion"/>
  </si>
  <si>
    <t>352-0258-4022-83농헙150선</t>
    <phoneticPr fontId="1" type="noConversion"/>
  </si>
  <si>
    <t>300160-02-244616우체국(150)선</t>
    <phoneticPr fontId="1" type="noConversion"/>
  </si>
  <si>
    <t>5월중356-4735-0385-23농협100후</t>
    <phoneticPr fontId="1" type="noConversion"/>
  </si>
  <si>
    <t>407012-52-140679(150)선</t>
    <phoneticPr fontId="1" type="noConversion"/>
  </si>
  <si>
    <t>417-02-072797농협,선</t>
    <phoneticPr fontId="1" type="noConversion"/>
  </si>
  <si>
    <t>21.01.11</t>
    <phoneticPr fontId="1" type="noConversion"/>
  </si>
  <si>
    <t>경기도화성시송산동97-15
화산주택 다동305</t>
    <phoneticPr fontId="1" type="noConversion"/>
  </si>
  <si>
    <t>방창환</t>
    <phoneticPr fontId="1" type="noConversion"/>
  </si>
  <si>
    <t>811204-1386114</t>
    <phoneticPr fontId="1" type="noConversion"/>
  </si>
  <si>
    <t>24.08.01</t>
    <phoneticPr fontId="1" type="noConversion"/>
  </si>
  <si>
    <t>24.10.01</t>
    <phoneticPr fontId="1" type="noConversion"/>
  </si>
  <si>
    <t>24.10.01유동입사</t>
    <phoneticPr fontId="1" type="noConversion"/>
  </si>
  <si>
    <t>590910-1386110</t>
    <phoneticPr fontId="1" type="noConversion"/>
  </si>
  <si>
    <t>전기기능사</t>
    <phoneticPr fontId="1" type="noConversion"/>
  </si>
  <si>
    <t>건축일반산업기사
타일기능사</t>
    <phoneticPr fontId="1" type="noConversion"/>
  </si>
  <si>
    <t>도배기능사
온수온돌기능사</t>
    <phoneticPr fontId="1" type="noConversion"/>
  </si>
  <si>
    <t>김 용 수</t>
    <phoneticPr fontId="1" type="noConversion"/>
  </si>
  <si>
    <t>1.김 충 식</t>
    <phoneticPr fontId="1" type="noConversion"/>
  </si>
  <si>
    <t>24.10.01</t>
    <phoneticPr fontId="1" type="noConversion"/>
  </si>
  <si>
    <t>산업안전기사2급</t>
    <phoneticPr fontId="1" type="noConversion"/>
  </si>
  <si>
    <t>590801-1386129</t>
    <phoneticPr fontId="1" type="noConversion"/>
  </si>
  <si>
    <t>24.10.01</t>
    <phoneticPr fontId="1" type="noConversion"/>
  </si>
  <si>
    <t>임 상 철</t>
    <phoneticPr fontId="1" type="noConversion"/>
  </si>
  <si>
    <r>
      <t xml:space="preserve">23.08.01
</t>
    </r>
    <r>
      <rPr>
        <sz val="8"/>
        <color theme="9" tint="-0.249977111117893"/>
        <rFont val="맑은 고딕"/>
        <family val="3"/>
        <charset val="129"/>
        <scheme val="minor"/>
      </rPr>
      <t>24.06.16
24.10.01</t>
    </r>
    <phoneticPr fontId="1" type="noConversion"/>
  </si>
  <si>
    <t>24.10.07</t>
    <phoneticPr fontId="1" type="noConversion"/>
  </si>
  <si>
    <t>24.10.06</t>
    <phoneticPr fontId="1" type="noConversion"/>
  </si>
  <si>
    <t>유동입사03.01
유신입사24.10.01</t>
    <phoneticPr fontId="1" type="noConversion"/>
  </si>
  <si>
    <t xml:space="preserve">       주          소     :  충북영동군영동읍영동시장 1길 34</t>
    <phoneticPr fontId="1" type="noConversion"/>
  </si>
  <si>
    <t>24.10.01</t>
    <phoneticPr fontId="1" type="noConversion"/>
  </si>
  <si>
    <t>유 지 안</t>
    <phoneticPr fontId="1" type="noConversion"/>
  </si>
  <si>
    <t>삼마입사</t>
    <phoneticPr fontId="1" type="noConversion"/>
  </si>
  <si>
    <t>건우05.15퇴사,
새암입사8.1</t>
    <phoneticPr fontId="1" type="noConversion"/>
  </si>
  <si>
    <t>건우입사24.10.10</t>
    <phoneticPr fontId="1" type="noConversion"/>
  </si>
  <si>
    <t>24.10.18</t>
    <phoneticPr fontId="1" type="noConversion"/>
  </si>
  <si>
    <t>나산</t>
    <phoneticPr fontId="1" type="noConversion"/>
  </si>
  <si>
    <t>이 덕 재</t>
    <phoneticPr fontId="1" type="noConversion"/>
  </si>
  <si>
    <t>790310-1386129</t>
    <phoneticPr fontId="1" type="noConversion"/>
  </si>
  <si>
    <t>24.10.21</t>
    <phoneticPr fontId="1" type="noConversion"/>
  </si>
  <si>
    <t>김강석과교체</t>
    <phoneticPr fontId="1" type="noConversion"/>
  </si>
  <si>
    <t>유동입사10/21</t>
    <phoneticPr fontId="1" type="noConversion"/>
  </si>
  <si>
    <t xml:space="preserve">     상             호     :  유신건설주식회사 대표이사 김용수</t>
    <phoneticPr fontId="1" type="noConversion"/>
  </si>
  <si>
    <t xml:space="preserve">     주             소     :  충북영동군영동읍영동시장1길26-1</t>
    <phoneticPr fontId="1" type="noConversion"/>
  </si>
  <si>
    <t xml:space="preserve">     사업자등록번호    :  403 - 81 - 32317</t>
    <phoneticPr fontId="1" type="noConversion"/>
  </si>
  <si>
    <t>3명</t>
    <phoneticPr fontId="1" type="noConversion"/>
  </si>
  <si>
    <t xml:space="preserve">     상             호     :  다우건설주식회사 대표이사 김충식</t>
    <phoneticPr fontId="1" type="noConversion"/>
  </si>
  <si>
    <t>성명식</t>
    <phoneticPr fontId="1" type="noConversion"/>
  </si>
  <si>
    <t>충남천안시서북구광장로260 102/603</t>
    <phoneticPr fontId="1" type="noConversion"/>
  </si>
  <si>
    <t>경기도고양시덕양구화신로298
802/1304</t>
    <phoneticPr fontId="1" type="noConversion"/>
  </si>
  <si>
    <t>24.10.31</t>
    <phoneticPr fontId="1" type="noConversion"/>
  </si>
  <si>
    <t>24.11.01</t>
    <phoneticPr fontId="1" type="noConversion"/>
  </si>
  <si>
    <t>660724-1401114</t>
    <phoneticPr fontId="1" type="noConversion"/>
  </si>
  <si>
    <t>토목특급</t>
    <phoneticPr fontId="1" type="noConversion"/>
  </si>
  <si>
    <t>710605-1386318</t>
    <phoneticPr fontId="1" type="noConversion"/>
  </si>
  <si>
    <t>토목초급</t>
    <phoneticPr fontId="1" type="noConversion"/>
  </si>
  <si>
    <t>700510-1696411</t>
    <phoneticPr fontId="1" type="noConversion"/>
  </si>
  <si>
    <t>11월 110-0024-46787우체국100선</t>
    <phoneticPr fontId="1" type="noConversion"/>
  </si>
  <si>
    <t>도장습식석공사업</t>
    <phoneticPr fontId="1" type="noConversion"/>
  </si>
  <si>
    <t>실내건축</t>
    <phoneticPr fontId="1" type="noConversion"/>
  </si>
  <si>
    <t>대덕구계족로
690번길21</t>
    <phoneticPr fontId="1" type="noConversion"/>
  </si>
  <si>
    <t>유동&lt;-&gt;이덕재</t>
    <phoneticPr fontId="1" type="noConversion"/>
  </si>
  <si>
    <t>유동 김영완분</t>
    <phoneticPr fontId="1" type="noConversion"/>
  </si>
  <si>
    <t xml:space="preserve">24.01.31 
24.10.31 </t>
    <phoneticPr fontId="1" type="noConversion"/>
  </si>
  <si>
    <t>이은애</t>
    <phoneticPr fontId="1" type="noConversion"/>
  </si>
  <si>
    <t>24.10.15</t>
    <phoneticPr fontId="1" type="noConversion"/>
  </si>
  <si>
    <t>24.11.16</t>
    <phoneticPr fontId="1" type="noConversion"/>
  </si>
  <si>
    <t>정 재 순</t>
    <phoneticPr fontId="1" type="noConversion"/>
  </si>
  <si>
    <t>24.11.15</t>
    <phoneticPr fontId="1" type="noConversion"/>
  </si>
  <si>
    <t>다우입사11.16</t>
    <phoneticPr fontId="1" type="noConversion"/>
  </si>
  <si>
    <t xml:space="preserve">  조 태 현</t>
    <phoneticPr fontId="1" type="noConversion"/>
  </si>
  <si>
    <t>24.11.20</t>
    <phoneticPr fontId="1" type="noConversion"/>
  </si>
  <si>
    <t>한종수</t>
    <phoneticPr fontId="1" type="noConversion"/>
  </si>
  <si>
    <t xml:space="preserve">24.02.29 08.17  24.10.14
</t>
    <phoneticPr fontId="1" type="noConversion"/>
  </si>
  <si>
    <t>590616-1279619</t>
    <phoneticPr fontId="1" type="noConversion"/>
  </si>
  <si>
    <t>661129-1386116</t>
    <phoneticPr fontId="1" type="noConversion"/>
  </si>
  <si>
    <t>함철</t>
    <phoneticPr fontId="1" type="noConversion"/>
  </si>
  <si>
    <t>사망</t>
    <phoneticPr fontId="1" type="noConversion"/>
  </si>
  <si>
    <t>충북청주시청원구북이면
석성길24-5</t>
    <phoneticPr fontId="1" type="noConversion"/>
  </si>
  <si>
    <t>24.12.10</t>
    <phoneticPr fontId="1" type="noConversion"/>
  </si>
  <si>
    <t>710127-1379610</t>
    <phoneticPr fontId="1" type="noConversion"/>
  </si>
  <si>
    <t>24.12.11</t>
    <phoneticPr fontId="1" type="noConversion"/>
  </si>
  <si>
    <t>건축초금</t>
    <phoneticPr fontId="1" type="noConversion"/>
  </si>
  <si>
    <t>동환기업</t>
    <phoneticPr fontId="1" type="noConversion"/>
  </si>
  <si>
    <t>석면인력(퇴사)</t>
    <phoneticPr fontId="1" type="noConversion"/>
  </si>
  <si>
    <t>석면"가"인력</t>
    <phoneticPr fontId="1" type="noConversion"/>
  </si>
  <si>
    <t>철콘</t>
    <phoneticPr fontId="1" type="noConversion"/>
  </si>
  <si>
    <t>741025-1384011</t>
    <phoneticPr fontId="1" type="noConversion"/>
  </si>
  <si>
    <t>25.01.01</t>
    <phoneticPr fontId="1" type="noConversion"/>
  </si>
  <si>
    <t>굴삭기</t>
    <phoneticPr fontId="1" type="noConversion"/>
  </si>
  <si>
    <t>충북영동군,읍상부용로7-50 1505호</t>
    <phoneticPr fontId="1" type="noConversion"/>
  </si>
  <si>
    <t xml:space="preserve">       주          소     :  충북옥천군옥천읍성신로25</t>
    <phoneticPr fontId="1" type="noConversion"/>
  </si>
  <si>
    <t>010 5429 3455</t>
    <phoneticPr fontId="1" type="noConversion"/>
  </si>
  <si>
    <t>김 미 란</t>
    <phoneticPr fontId="1" type="noConversion"/>
  </si>
  <si>
    <t>25.01.31</t>
    <phoneticPr fontId="1" type="noConversion"/>
  </si>
  <si>
    <t>인우5.16입사
지엘선02.14입사</t>
    <phoneticPr fontId="1" type="noConversion"/>
  </si>
  <si>
    <t>22.08.16
24.12.16</t>
    <phoneticPr fontId="1" type="noConversion"/>
  </si>
  <si>
    <t>24.03.28
25.02.10</t>
    <phoneticPr fontId="1" type="noConversion"/>
  </si>
  <si>
    <t>홍 혜 경</t>
    <phoneticPr fontId="1" type="noConversion"/>
  </si>
  <si>
    <t>사망</t>
    <phoneticPr fontId="1" type="noConversion"/>
  </si>
  <si>
    <t>010-9409-3209</t>
    <phoneticPr fontId="1" type="noConversion"/>
  </si>
  <si>
    <t>25.02.01</t>
    <phoneticPr fontId="1" type="noConversion"/>
  </si>
  <si>
    <t>25.01.31</t>
    <phoneticPr fontId="1" type="noConversion"/>
  </si>
  <si>
    <t>이진초</t>
    <phoneticPr fontId="1" type="noConversion"/>
  </si>
  <si>
    <t>석면인력</t>
    <phoneticPr fontId="1" type="noConversion"/>
  </si>
  <si>
    <t>정용휘</t>
    <phoneticPr fontId="1" type="noConversion"/>
  </si>
  <si>
    <t>731020-2350717</t>
    <phoneticPr fontId="1" type="noConversion"/>
  </si>
  <si>
    <r>
      <t xml:space="preserve">[건우건설]  
</t>
    </r>
    <r>
      <rPr>
        <b/>
        <i/>
        <sz val="11"/>
        <color theme="1"/>
        <rFont val="맑은 고딕"/>
        <family val="3"/>
        <charset val="129"/>
        <scheme val="minor"/>
      </rPr>
      <t>토목4명   
구조물1명   
금속창호2명
지붕1명  
실내건축2명
도장2명
습식1명
석공1명
                   합14명</t>
    </r>
    <phoneticPr fontId="1" type="noConversion"/>
  </si>
  <si>
    <t>1.안 경 이</t>
    <phoneticPr fontId="1" type="noConversion"/>
  </si>
  <si>
    <t>토목중급</t>
    <phoneticPr fontId="1" type="noConversion"/>
  </si>
  <si>
    <t>조 태 현</t>
    <phoneticPr fontId="1" type="noConversion"/>
  </si>
  <si>
    <t>25.03.31</t>
    <phoneticPr fontId="1" type="noConversion"/>
  </si>
  <si>
    <t>25.03.31</t>
    <phoneticPr fontId="1" type="noConversion"/>
  </si>
  <si>
    <t>25.04.01</t>
    <phoneticPr fontId="1" type="noConversion"/>
  </si>
  <si>
    <t>김지헌</t>
    <phoneticPr fontId="1" type="noConversion"/>
  </si>
  <si>
    <t>임 상 철</t>
    <phoneticPr fontId="1" type="noConversion"/>
  </si>
  <si>
    <t>640906-1538319</t>
    <phoneticPr fontId="1" type="noConversion"/>
  </si>
  <si>
    <t>25.04.01</t>
    <phoneticPr fontId="1" type="noConversion"/>
  </si>
  <si>
    <t>토목초급</t>
    <phoneticPr fontId="1" type="noConversion"/>
  </si>
  <si>
    <t>전기초급</t>
    <phoneticPr fontId="1" type="noConversion"/>
  </si>
  <si>
    <t>25.04.01</t>
    <phoneticPr fontId="1" type="noConversion"/>
  </si>
  <si>
    <t>방수기능사</t>
    <phoneticPr fontId="1" type="noConversion"/>
  </si>
  <si>
    <t>토목초급</t>
    <phoneticPr fontId="1" type="noConversion"/>
  </si>
  <si>
    <t>25.03.31</t>
    <phoneticPr fontId="1" type="noConversion"/>
  </si>
  <si>
    <t>박희서</t>
    <phoneticPr fontId="1" type="noConversion"/>
  </si>
  <si>
    <t>25.04.01</t>
    <phoneticPr fontId="1" type="noConversion"/>
  </si>
  <si>
    <t>25.03.14</t>
    <phoneticPr fontId="1" type="noConversion"/>
  </si>
  <si>
    <t>2.1건우입사</t>
    <phoneticPr fontId="1" type="noConversion"/>
  </si>
  <si>
    <t>03.31건우퇴사</t>
    <phoneticPr fontId="1" type="noConversion"/>
  </si>
  <si>
    <t>03.13 지엘선퇴사</t>
    <phoneticPr fontId="1" type="noConversion"/>
  </si>
  <si>
    <t>25.04.01</t>
    <phoneticPr fontId="1" type="noConversion"/>
  </si>
  <si>
    <t>도장습식</t>
    <phoneticPr fontId="1" type="noConversion"/>
  </si>
  <si>
    <t>아이엔입사</t>
    <phoneticPr fontId="1" type="noConversion"/>
  </si>
  <si>
    <t>25.03.31</t>
    <phoneticPr fontId="1" type="noConversion"/>
  </si>
  <si>
    <t>25.03.31</t>
    <phoneticPr fontId="1" type="noConversion"/>
  </si>
  <si>
    <t xml:space="preserve">24.02.01
24.11.01 </t>
    <phoneticPr fontId="1" type="noConversion"/>
  </si>
  <si>
    <t>700510-1696411</t>
    <phoneticPr fontId="1" type="noConversion"/>
  </si>
  <si>
    <t>굴삭기</t>
    <phoneticPr fontId="1" type="noConversion"/>
  </si>
  <si>
    <t>23.05.01
25.04.01</t>
    <phoneticPr fontId="1" type="noConversion"/>
  </si>
  <si>
    <t>701208-2386116</t>
    <phoneticPr fontId="1" type="noConversion"/>
  </si>
  <si>
    <t>25.04.01</t>
    <phoneticPr fontId="1" type="noConversion"/>
  </si>
  <si>
    <t>방수기능사</t>
    <phoneticPr fontId="1" type="noConversion"/>
  </si>
  <si>
    <t>도장습식석공사업</t>
    <phoneticPr fontId="1" type="noConversion"/>
  </si>
  <si>
    <t>김철동</t>
    <phoneticPr fontId="1" type="noConversion"/>
  </si>
  <si>
    <t>25.05.01</t>
    <phoneticPr fontId="1" type="noConversion"/>
  </si>
  <si>
    <t>25.04.30</t>
    <phoneticPr fontId="1" type="noConversion"/>
  </si>
  <si>
    <t>홍혜경</t>
    <phoneticPr fontId="1" type="noConversion"/>
  </si>
  <si>
    <t>25.04.30</t>
    <phoneticPr fontId="1" type="noConversion"/>
  </si>
  <si>
    <t>아이엔입사5/1</t>
    <phoneticPr fontId="1" type="noConversion"/>
  </si>
  <si>
    <t>박 승 용</t>
    <phoneticPr fontId="1" type="noConversion"/>
  </si>
  <si>
    <t>11.5개월근무</t>
    <phoneticPr fontId="1" type="noConversion"/>
  </si>
  <si>
    <t>유동&lt;-&gt;김충식
새압입사</t>
    <phoneticPr fontId="1" type="noConversion"/>
  </si>
  <si>
    <t>352-1814-9940-33추석50 구정50 휴가50</t>
    <phoneticPr fontId="1" type="noConversion"/>
  </si>
  <si>
    <t>윤현희</t>
    <phoneticPr fontId="1" type="noConversion"/>
  </si>
  <si>
    <t>조선휘</t>
    <phoneticPr fontId="1" type="noConversion"/>
  </si>
  <si>
    <t>새암입사</t>
    <phoneticPr fontId="1" type="noConversion"/>
  </si>
  <si>
    <t>25.03.31</t>
    <phoneticPr fontId="1" type="noConversion"/>
  </si>
  <si>
    <t>유창열</t>
    <phoneticPr fontId="1" type="noConversion"/>
  </si>
  <si>
    <t>25.04.16</t>
    <phoneticPr fontId="1" type="noConversion"/>
  </si>
  <si>
    <t>540910-1386711</t>
    <phoneticPr fontId="1" type="noConversion"/>
  </si>
  <si>
    <t>비계기능사</t>
    <phoneticPr fontId="1" type="noConversion"/>
  </si>
  <si>
    <t>25.05.18</t>
    <phoneticPr fontId="1" type="noConversion"/>
  </si>
  <si>
    <t>전의수</t>
    <phoneticPr fontId="1" type="noConversion"/>
  </si>
  <si>
    <t>750711-2384110</t>
    <phoneticPr fontId="1" type="noConversion"/>
  </si>
  <si>
    <t>방수기능사</t>
    <phoneticPr fontId="1" type="noConversion"/>
  </si>
  <si>
    <t>창신</t>
    <phoneticPr fontId="1" type="noConversion"/>
  </si>
  <si>
    <t>600825-2386112</t>
    <phoneticPr fontId="1" type="noConversion"/>
  </si>
  <si>
    <t>25.06.11</t>
    <phoneticPr fontId="1" type="noConversion"/>
  </si>
  <si>
    <t>건축.토목초급</t>
    <phoneticPr fontId="1" type="noConversion"/>
  </si>
  <si>
    <t>24.12.16
25.06.01</t>
    <phoneticPr fontId="1" type="noConversion"/>
  </si>
  <si>
    <t>재입사,유동퇴사05.31</t>
    <phoneticPr fontId="1" type="noConversion"/>
  </si>
  <si>
    <t>토목,건축초급</t>
    <phoneticPr fontId="1" type="noConversion"/>
  </si>
  <si>
    <t>이재곤씨,건우입사</t>
    <phoneticPr fontId="1" type="noConversion"/>
  </si>
  <si>
    <t>24.11.</t>
    <phoneticPr fontId="1" type="noConversion"/>
  </si>
  <si>
    <t>아이엔입사</t>
    <phoneticPr fontId="1" type="noConversion"/>
  </si>
  <si>
    <t>박 종 구</t>
    <phoneticPr fontId="1" type="noConversion"/>
  </si>
  <si>
    <t>24.11.15</t>
    <phoneticPr fontId="1" type="noConversion"/>
  </si>
  <si>
    <t>민선희</t>
    <phoneticPr fontId="1" type="noConversion"/>
  </si>
  <si>
    <t>571210-5100892</t>
    <phoneticPr fontId="1" type="noConversion"/>
  </si>
  <si>
    <t>700214-1382924</t>
    <phoneticPr fontId="1" type="noConversion"/>
  </si>
  <si>
    <t>25.07.17</t>
    <phoneticPr fontId="1" type="noConversion"/>
  </si>
  <si>
    <t>25.07.01</t>
    <phoneticPr fontId="1" type="noConversion"/>
  </si>
  <si>
    <t>건축고급</t>
    <phoneticPr fontId="1" type="noConversion"/>
  </si>
  <si>
    <t>551120-1455311</t>
    <phoneticPr fontId="1" type="noConversion"/>
  </si>
  <si>
    <t>창신,재입사</t>
    <phoneticPr fontId="1" type="noConversion"/>
  </si>
  <si>
    <t>아이엔입사</t>
    <phoneticPr fontId="1" type="noConversion"/>
  </si>
  <si>
    <t>조규용</t>
    <phoneticPr fontId="1" type="noConversion"/>
  </si>
  <si>
    <t>방수기능사</t>
    <phoneticPr fontId="1" type="noConversion"/>
  </si>
  <si>
    <r>
      <rPr>
        <sz val="11"/>
        <rFont val="맑은 고딕"/>
        <family val="3"/>
        <charset val="129"/>
        <scheme val="minor"/>
      </rPr>
      <t>토목초급</t>
    </r>
    <r>
      <rPr>
        <sz val="11"/>
        <color theme="8" tint="0.39997558519241921"/>
        <rFont val="맑은 고딕"/>
        <family val="3"/>
        <charset val="129"/>
        <scheme val="minor"/>
      </rPr>
      <t>,</t>
    </r>
    <r>
      <rPr>
        <sz val="11"/>
        <color theme="8"/>
        <rFont val="맑은 고딕"/>
        <family val="3"/>
        <charset val="129"/>
        <scheme val="minor"/>
      </rPr>
      <t>방수기능사</t>
    </r>
    <phoneticPr fontId="1" type="noConversion"/>
  </si>
  <si>
    <t>700303-2380524</t>
    <phoneticPr fontId="1" type="noConversion"/>
  </si>
  <si>
    <t>25.08.18변경</t>
    <phoneticPr fontId="1" type="noConversion"/>
  </si>
  <si>
    <t>주주명부</t>
    <phoneticPr fontId="1" type="noConversion"/>
  </si>
  <si>
    <t>23.12.01
25.08.06</t>
    <phoneticPr fontId="1" type="noConversion"/>
  </si>
  <si>
    <t>25.08.31</t>
    <phoneticPr fontId="1" type="noConversion"/>
  </si>
  <si>
    <t>25.05.01
25.09.01</t>
    <phoneticPr fontId="1" type="noConversion"/>
  </si>
  <si>
    <t>김종부</t>
    <phoneticPr fontId="1" type="noConversion"/>
  </si>
  <si>
    <t>인우입사09.01</t>
    <phoneticPr fontId="1" type="noConversion"/>
  </si>
  <si>
    <t>3.김종부</t>
    <phoneticPr fontId="1" type="noConversion"/>
  </si>
  <si>
    <t>25.09.01</t>
    <phoneticPr fontId="1" type="noConversion"/>
  </si>
  <si>
    <t>4.이종성</t>
    <phoneticPr fontId="1" type="noConversion"/>
  </si>
  <si>
    <t>25.09.11</t>
    <phoneticPr fontId="1" type="noConversion"/>
  </si>
  <si>
    <t>25.08.31</t>
    <phoneticPr fontId="1" type="noConversion"/>
  </si>
  <si>
    <t>변 응 수</t>
    <phoneticPr fontId="1" type="noConversion"/>
  </si>
  <si>
    <t>2.최 석 현</t>
    <phoneticPr fontId="1" type="noConversion"/>
  </si>
  <si>
    <t>박헌태</t>
    <phoneticPr fontId="1" type="noConversion"/>
  </si>
  <si>
    <t>25.09.01</t>
    <phoneticPr fontId="1" type="noConversion"/>
  </si>
  <si>
    <t>25.08.31</t>
    <phoneticPr fontId="1" type="noConversion"/>
  </si>
  <si>
    <t>건우입사</t>
    <phoneticPr fontId="1" type="noConversion"/>
  </si>
  <si>
    <t>25.09.16</t>
    <phoneticPr fontId="1" type="noConversion"/>
  </si>
  <si>
    <t>641026-1386829</t>
    <phoneticPr fontId="1" type="noConversion"/>
  </si>
  <si>
    <t>860104-1402917</t>
    <phoneticPr fontId="1" type="noConversion"/>
  </si>
  <si>
    <t>건축응용제도기능사</t>
    <phoneticPr fontId="1" type="noConversion"/>
  </si>
  <si>
    <t>충북영동군영동읍부용1길15
 101/502</t>
    <phoneticPr fontId="1" type="noConversion"/>
  </si>
  <si>
    <t>김기면</t>
    <phoneticPr fontId="1" type="noConversion"/>
  </si>
  <si>
    <t>25.08.31</t>
    <phoneticPr fontId="1" type="noConversion"/>
  </si>
  <si>
    <t>박 봉 환</t>
    <phoneticPr fontId="1" type="noConversion"/>
  </si>
  <si>
    <t>(김환배)</t>
    <phoneticPr fontId="1" type="noConversion"/>
  </si>
  <si>
    <t>구정50 휴가50 추석50 농협302 2003 3226 81</t>
    <phoneticPr fontId="1" type="noConversion"/>
  </si>
  <si>
    <t>토목초급</t>
    <phoneticPr fontId="1" type="noConversion"/>
  </si>
  <si>
    <r>
      <rPr>
        <sz val="10"/>
        <color theme="9"/>
        <rFont val="맑은 고딕"/>
        <family val="3"/>
        <charset val="129"/>
        <scheme val="minor"/>
      </rPr>
      <t>25.03.31</t>
    </r>
    <r>
      <rPr>
        <sz val="10"/>
        <color rgb="FFFF0000"/>
        <rFont val="맑은 고딕"/>
        <family val="2"/>
        <charset val="129"/>
        <scheme val="minor"/>
      </rPr>
      <t xml:space="preserve">
25.07.31</t>
    </r>
    <phoneticPr fontId="1" type="noConversion"/>
  </si>
  <si>
    <t>800201-1320918</t>
    <phoneticPr fontId="1" type="noConversion"/>
  </si>
  <si>
    <t>25.08.13</t>
    <phoneticPr fontId="1" type="noConversion"/>
  </si>
  <si>
    <t>25.07.31
25.09.30</t>
    <phoneticPr fontId="1" type="noConversion"/>
  </si>
  <si>
    <t>조 용 제</t>
    <phoneticPr fontId="1" type="noConversion"/>
  </si>
  <si>
    <r>
      <t xml:space="preserve">[인우건설]
</t>
    </r>
    <r>
      <rPr>
        <b/>
        <i/>
        <sz val="11"/>
        <color theme="1"/>
        <rFont val="맑은 고딕"/>
        <family val="3"/>
        <charset val="129"/>
        <scheme val="minor"/>
      </rPr>
      <t>구조물2명
토공사1명
포장공사업2명
합5명</t>
    </r>
    <phoneticPr fontId="1" type="noConversion"/>
  </si>
  <si>
    <t>이재곤씨</t>
    <phoneticPr fontId="1" type="noConversion"/>
  </si>
  <si>
    <t>25.11.04</t>
    <phoneticPr fontId="1" type="noConversion"/>
  </si>
  <si>
    <r>
      <t xml:space="preserve">24.02.29
</t>
    </r>
    <r>
      <rPr>
        <sz val="10"/>
        <color rgb="FFFF0000"/>
        <rFont val="맑은 고딕"/>
        <family val="3"/>
        <charset val="129"/>
        <scheme val="minor"/>
      </rPr>
      <t>25.10.31</t>
    </r>
    <phoneticPr fontId="1" type="noConversion"/>
  </si>
  <si>
    <t xml:space="preserve">24.01.31 </t>
    <phoneticPr fontId="1" type="noConversion"/>
  </si>
  <si>
    <t>25.10.31</t>
    <phoneticPr fontId="1" type="noConversion"/>
  </si>
  <si>
    <t>25.06.30
25.10.31</t>
    <phoneticPr fontId="1" type="noConversion"/>
  </si>
  <si>
    <t>25.10.31</t>
    <phoneticPr fontId="1" type="noConversion"/>
  </si>
  <si>
    <t>봉승선</t>
    <phoneticPr fontId="1" type="noConversion"/>
  </si>
  <si>
    <t xml:space="preserve">  조 선 휘</t>
    <phoneticPr fontId="1" type="noConversion"/>
  </si>
  <si>
    <t>3.이 호 균</t>
    <phoneticPr fontId="1" type="noConversion"/>
  </si>
  <si>
    <t>4.이재현</t>
    <phoneticPr fontId="1" type="noConversion"/>
  </si>
  <si>
    <t>5.최동경</t>
    <phoneticPr fontId="1" type="noConversion"/>
  </si>
  <si>
    <t>9월중</t>
    <phoneticPr fontId="1" type="noConversion"/>
  </si>
  <si>
    <t>302-0885-8845-81농협100선</t>
    <phoneticPr fontId="1" type="noConversion"/>
  </si>
  <si>
    <r>
      <t xml:space="preserve">[다우건설]
</t>
    </r>
    <r>
      <rPr>
        <b/>
        <i/>
        <sz val="11"/>
        <color theme="1"/>
        <rFont val="맑은 고딕"/>
        <family val="3"/>
        <charset val="129"/>
        <scheme val="minor"/>
      </rPr>
      <t>상하수도2명
철콘2명
구조물1명
석면가인력1명
합6명</t>
    </r>
    <phoneticPr fontId="1" type="noConversion"/>
  </si>
  <si>
    <t>5.이 은 애</t>
    <phoneticPr fontId="1" type="noConversion"/>
  </si>
  <si>
    <t>이은애</t>
    <phoneticPr fontId="1" type="noConversion"/>
  </si>
  <si>
    <t>25.10.31</t>
    <phoneticPr fontId="1" type="noConversion"/>
  </si>
  <si>
    <t>5.이덕재</t>
    <phoneticPr fontId="1" type="noConversion"/>
  </si>
  <si>
    <t>25.11.01</t>
    <phoneticPr fontId="1" type="noConversion"/>
  </si>
  <si>
    <t>굴삭기</t>
    <phoneticPr fontId="1" type="noConversion"/>
  </si>
  <si>
    <t>790510-1696610</t>
    <phoneticPr fontId="1" type="noConversion"/>
  </si>
  <si>
    <t>맹소장</t>
    <phoneticPr fontId="1" type="noConversion"/>
  </si>
  <si>
    <t>25.11.01</t>
    <phoneticPr fontId="1" type="noConversion"/>
  </si>
  <si>
    <t>25.10.17</t>
    <phoneticPr fontId="1" type="noConversion"/>
  </si>
  <si>
    <t>수자원,대민</t>
    <phoneticPr fontId="1" type="noConversion"/>
  </si>
  <si>
    <t>민호,김선호와맞</t>
    <phoneticPr fontId="1" type="noConversion"/>
  </si>
  <si>
    <t>무병묘</t>
    <phoneticPr fontId="1" type="noConversion"/>
  </si>
  <si>
    <t>맹소장</t>
    <phoneticPr fontId="1" type="noConversion"/>
  </si>
  <si>
    <t>25.11.16</t>
    <phoneticPr fontId="1" type="noConversion"/>
  </si>
  <si>
    <t>25.11.17</t>
    <phoneticPr fontId="1" type="noConversion"/>
  </si>
  <si>
    <t>25.11.30</t>
    <phoneticPr fontId="1" type="noConversion"/>
  </si>
  <si>
    <t>25.12.17</t>
    <phoneticPr fontId="1" type="noConversion"/>
  </si>
  <si>
    <t>700328-1626417</t>
    <phoneticPr fontId="1" type="noConversion"/>
  </si>
  <si>
    <t>730501-1382410</t>
    <phoneticPr fontId="1" type="noConversion"/>
  </si>
  <si>
    <t>790510-1696610</t>
    <phoneticPr fontId="1" type="noConversion"/>
  </si>
  <si>
    <t>이은원</t>
    <phoneticPr fontId="1" type="noConversion"/>
  </si>
  <si>
    <t>김경태</t>
    <phoneticPr fontId="1" type="noConversion"/>
  </si>
  <si>
    <t>25.12.20</t>
    <phoneticPr fontId="1" type="noConversion"/>
  </si>
  <si>
    <t>25.12.21</t>
    <phoneticPr fontId="1" type="noConversion"/>
  </si>
  <si>
    <t>이 경 민</t>
    <phoneticPr fontId="1" type="noConversion"/>
  </si>
  <si>
    <t>2.성명식</t>
    <phoneticPr fontId="1" type="noConversion"/>
  </si>
  <si>
    <t>3.유인정</t>
    <phoneticPr fontId="1" type="noConversion"/>
  </si>
  <si>
    <t>4.정태산</t>
    <phoneticPr fontId="1" type="noConversion"/>
  </si>
  <si>
    <t>다우입사12.21</t>
    <phoneticPr fontId="1" type="noConversion"/>
  </si>
  <si>
    <t>25.12.20</t>
    <phoneticPr fontId="1" type="noConversion"/>
  </si>
  <si>
    <t>25.12.15</t>
    <phoneticPr fontId="1" type="noConversion"/>
  </si>
  <si>
    <t>24.10.11
25.07.01
25.12.18</t>
    <phoneticPr fontId="1" type="noConversion"/>
  </si>
  <si>
    <t>충북영동군.읍상부용로7-50
더웰1차 1505호</t>
    <phoneticPr fontId="1" type="noConversion"/>
  </si>
  <si>
    <t>이정숙</t>
    <phoneticPr fontId="1" type="noConversion"/>
  </si>
  <si>
    <t>임영준</t>
    <phoneticPr fontId="1" type="noConversion"/>
  </si>
  <si>
    <t>윤학수</t>
    <phoneticPr fontId="1" type="noConversion"/>
  </si>
  <si>
    <t>26.01.12</t>
    <phoneticPr fontId="1" type="noConversion"/>
  </si>
  <si>
    <t>김경태</t>
    <phoneticPr fontId="1" type="noConversion"/>
  </si>
  <si>
    <t>26.01.21</t>
    <phoneticPr fontId="1" type="noConversion"/>
  </si>
  <si>
    <t>새암입사</t>
    <phoneticPr fontId="1" type="noConversion"/>
  </si>
  <si>
    <t>구정50 추석50</t>
    <phoneticPr fontId="1" type="noConversion"/>
  </si>
  <si>
    <t>구정50 추석50</t>
    <phoneticPr fontId="1" type="noConversion"/>
  </si>
  <si>
    <t>구정50 추석50</t>
    <phoneticPr fontId="1" type="noConversion"/>
  </si>
  <si>
    <t>구정20 추석20</t>
    <phoneticPr fontId="1" type="noConversion"/>
  </si>
  <si>
    <t>구정20 추석20</t>
    <phoneticPr fontId="1" type="noConversion"/>
  </si>
  <si>
    <t>구정20 추석20</t>
    <phoneticPr fontId="1" type="noConversion"/>
  </si>
  <si>
    <t>6.이경민</t>
    <phoneticPr fontId="1" type="noConversion"/>
  </si>
  <si>
    <t>7.윤현희</t>
    <phoneticPr fontId="1" type="noConversion"/>
  </si>
  <si>
    <t>8.김지헌</t>
    <phoneticPr fontId="1" type="noConversion"/>
  </si>
  <si>
    <t>9.최재원</t>
    <phoneticPr fontId="1" type="noConversion"/>
  </si>
  <si>
    <t>다우퇴사25.12.20</t>
    <phoneticPr fontId="1" type="noConversion"/>
  </si>
  <si>
    <t>구조물,습식방수</t>
    <phoneticPr fontId="1" type="noConversion"/>
  </si>
  <si>
    <t>금속창호</t>
    <phoneticPr fontId="1" type="noConversion"/>
  </si>
  <si>
    <t>금속창호,도장습식,구조물</t>
    <phoneticPr fontId="1" type="noConversion"/>
  </si>
  <si>
    <t>실내건축</t>
    <phoneticPr fontId="1" type="noConversion"/>
  </si>
  <si>
    <t>토목</t>
    <phoneticPr fontId="1" type="noConversion"/>
  </si>
  <si>
    <t>토목</t>
    <phoneticPr fontId="1" type="noConversion"/>
  </si>
  <si>
    <t>실내건축</t>
    <phoneticPr fontId="1" type="noConversion"/>
  </si>
  <si>
    <t>토목</t>
    <phoneticPr fontId="1" type="noConversion"/>
  </si>
  <si>
    <t>토목,도장습식</t>
    <phoneticPr fontId="1" type="noConversion"/>
  </si>
  <si>
    <t>토공</t>
    <phoneticPr fontId="1" type="noConversion"/>
  </si>
  <si>
    <t>토공</t>
    <phoneticPr fontId="1" type="noConversion"/>
  </si>
  <si>
    <t>포장</t>
    <phoneticPr fontId="1" type="noConversion"/>
  </si>
  <si>
    <t>철콘</t>
    <phoneticPr fontId="1" type="noConversion"/>
  </si>
  <si>
    <t>나산</t>
    <phoneticPr fontId="1" type="noConversion"/>
  </si>
  <si>
    <t>구조물,</t>
    <phoneticPr fontId="1" type="noConversion"/>
  </si>
  <si>
    <t>포장</t>
    <phoneticPr fontId="1" type="noConversion"/>
  </si>
  <si>
    <t>포장</t>
    <phoneticPr fontId="1" type="noConversion"/>
  </si>
  <si>
    <t>포장</t>
    <phoneticPr fontId="1" type="noConversion"/>
  </si>
  <si>
    <t>구조물</t>
    <phoneticPr fontId="1" type="noConversion"/>
  </si>
  <si>
    <t>구조물</t>
    <phoneticPr fontId="1" type="noConversion"/>
  </si>
  <si>
    <t>구조물</t>
    <phoneticPr fontId="1" type="noConversion"/>
  </si>
  <si>
    <t>금속</t>
    <phoneticPr fontId="1" type="noConversion"/>
  </si>
  <si>
    <t>실내건축</t>
    <phoneticPr fontId="1" type="noConversion"/>
  </si>
  <si>
    <t>철콘</t>
    <phoneticPr fontId="1" type="noConversion"/>
  </si>
  <si>
    <t>철콘,구조물,상하수도</t>
    <phoneticPr fontId="1" type="noConversion"/>
  </si>
  <si>
    <t>철콘,구조물,상하수도</t>
    <phoneticPr fontId="1" type="noConversion"/>
  </si>
  <si>
    <t xml:space="preserve">구정100 추석100 농헙352 0768 1802 </t>
    <phoneticPr fontId="1" type="noConversion"/>
  </si>
  <si>
    <t>4월말(후)26.02구정100만이체완료</t>
    <phoneticPr fontId="1" type="noConversion"/>
  </si>
  <si>
    <t>14.이명철</t>
    <phoneticPr fontId="1" type="noConversion"/>
  </si>
  <si>
    <t>26.01.31</t>
    <phoneticPr fontId="1" type="noConversion"/>
  </si>
  <si>
    <t>24.05.15 
25.02.13</t>
    <phoneticPr fontId="1" type="noConversion"/>
  </si>
  <si>
    <t>이 일 복</t>
    <phoneticPr fontId="1" type="noConversion"/>
  </si>
  <si>
    <t>000329-3691911</t>
    <phoneticPr fontId="1" type="noConversion"/>
  </si>
  <si>
    <t>김환배</t>
    <phoneticPr fontId="1" type="noConversion"/>
  </si>
  <si>
    <t>530810-1057646</t>
    <phoneticPr fontId="1" type="noConversion"/>
  </si>
  <si>
    <t>26.02.11</t>
    <phoneticPr fontId="1" type="noConversion"/>
  </si>
  <si>
    <t>23.09.15
26.02.01</t>
    <phoneticPr fontId="1" type="noConversion"/>
  </si>
  <si>
    <t>26.01.</t>
    <phoneticPr fontId="1" type="noConversion"/>
  </si>
  <si>
    <t>26.01.31</t>
    <phoneticPr fontId="1" type="noConversion"/>
  </si>
  <si>
    <t>건우입사</t>
    <phoneticPr fontId="1" type="noConversion"/>
  </si>
  <si>
    <t>김경옥</t>
    <phoneticPr fontId="1" type="noConversion"/>
  </si>
  <si>
    <t>650424-2785412</t>
    <phoneticPr fontId="1" type="noConversion"/>
  </si>
  <si>
    <r>
      <t xml:space="preserve">25.08.01
</t>
    </r>
    <r>
      <rPr>
        <sz val="10"/>
        <color rgb="FFFF0000"/>
        <rFont val="맑은 고딕"/>
        <family val="3"/>
        <charset val="129"/>
        <scheme val="minor"/>
      </rPr>
      <t>26.04.01</t>
    </r>
    <phoneticPr fontId="1" type="noConversion"/>
  </si>
  <si>
    <r>
      <t xml:space="preserve">25.04.30
</t>
    </r>
    <r>
      <rPr>
        <sz val="10"/>
        <rFont val="맑은 고딕"/>
        <family val="3"/>
        <charset val="129"/>
        <scheme val="minor"/>
      </rPr>
      <t>25.08.31</t>
    </r>
    <r>
      <rPr>
        <sz val="10"/>
        <color rgb="FFFF0000"/>
        <rFont val="맑은 고딕"/>
        <family val="3"/>
        <charset val="129"/>
        <scheme val="minor"/>
      </rPr>
      <t xml:space="preserve">
26.03.29</t>
    </r>
    <phoneticPr fontId="1" type="noConversion"/>
  </si>
  <si>
    <t>26.03.31</t>
    <phoneticPr fontId="1" type="noConversion"/>
  </si>
  <si>
    <t>5.조규용</t>
    <phoneticPr fontId="1" type="noConversion"/>
  </si>
  <si>
    <t>6.김선호</t>
    <phoneticPr fontId="1" type="noConversion"/>
  </si>
  <si>
    <t>26.03.30</t>
    <phoneticPr fontId="1" type="noConversion"/>
  </si>
  <si>
    <t>26.04.01</t>
    <phoneticPr fontId="1" type="noConversion"/>
  </si>
  <si>
    <t>김선호</t>
    <phoneticPr fontId="1" type="noConversion"/>
  </si>
  <si>
    <t>6.김종원</t>
    <phoneticPr fontId="1" type="noConversion"/>
  </si>
  <si>
    <t>7.김 태 현</t>
    <phoneticPr fontId="1" type="noConversion"/>
  </si>
  <si>
    <t>8.이진초</t>
    <phoneticPr fontId="1" type="noConversion"/>
  </si>
  <si>
    <t>9.박희서</t>
    <phoneticPr fontId="1" type="noConversion"/>
  </si>
  <si>
    <t>10.김정근</t>
    <phoneticPr fontId="1" type="noConversion"/>
  </si>
  <si>
    <t>11.배진식</t>
    <phoneticPr fontId="1" type="noConversion"/>
  </si>
  <si>
    <t>12.이정숙</t>
    <phoneticPr fontId="1" type="noConversion"/>
  </si>
  <si>
    <t>13.박헌태</t>
    <phoneticPr fontId="1" type="noConversion"/>
  </si>
  <si>
    <t>15.안한기</t>
    <phoneticPr fontId="1" type="noConversion"/>
  </si>
  <si>
    <t>7.이석현</t>
    <phoneticPr fontId="1" type="noConversion"/>
  </si>
  <si>
    <t>730406-1380910</t>
    <phoneticPr fontId="1" type="noConversion"/>
  </si>
  <si>
    <t>26.04.</t>
    <phoneticPr fontId="1" type="noConversion"/>
  </si>
  <si>
    <t>건축초급</t>
    <phoneticPr fontId="1" type="noConversion"/>
  </si>
  <si>
    <t>토목초급</t>
    <phoneticPr fontId="1" type="noConversion"/>
  </si>
  <si>
    <t>석면</t>
    <phoneticPr fontId="1" type="noConversion"/>
  </si>
  <si>
    <t>대신입사정수중</t>
    <phoneticPr fontId="1" type="noConversion"/>
  </si>
  <si>
    <t>대민충주구치소</t>
    <phoneticPr fontId="1" type="noConversion"/>
  </si>
  <si>
    <t>8.맹형근</t>
    <phoneticPr fontId="1" type="noConversion"/>
  </si>
  <si>
    <t>16.이재용</t>
    <phoneticPr fontId="1" type="noConversion"/>
  </si>
  <si>
    <t>881223-1386111</t>
    <phoneticPr fontId="1" type="noConversion"/>
  </si>
  <si>
    <t>굴삭기</t>
    <phoneticPr fontId="1" type="noConversion"/>
  </si>
  <si>
    <t>남 기 호</t>
    <phoneticPr fontId="1" type="noConversion"/>
  </si>
  <si>
    <t>2.김강석</t>
    <phoneticPr fontId="1" type="noConversion"/>
  </si>
  <si>
    <t>3.정용휘</t>
    <phoneticPr fontId="1" type="noConversion"/>
  </si>
  <si>
    <t>4.임상철</t>
    <phoneticPr fontId="1" type="noConversion"/>
  </si>
  <si>
    <t>5.조태현</t>
    <phoneticPr fontId="1" type="noConversion"/>
  </si>
  <si>
    <t>6.홍혜경</t>
    <phoneticPr fontId="1" type="noConversion"/>
  </si>
  <si>
    <t>7.정재순</t>
    <phoneticPr fontId="1" type="noConversion"/>
  </si>
  <si>
    <t>8.권현호</t>
    <phoneticPr fontId="1" type="noConversion"/>
  </si>
  <si>
    <t>700920-1</t>
    <phoneticPr fontId="1" type="noConversion"/>
  </si>
  <si>
    <t>26.04.30</t>
    <phoneticPr fontId="1" type="noConversion"/>
  </si>
  <si>
    <r>
      <rPr>
        <sz val="11"/>
        <rFont val="맑은 고딕"/>
        <family val="3"/>
        <charset val="129"/>
        <scheme val="minor"/>
      </rPr>
      <t>25.02.01</t>
    </r>
    <r>
      <rPr>
        <sz val="11"/>
        <color rgb="FFFF0000"/>
        <rFont val="맑은 고딕"/>
        <family val="3"/>
        <charset val="129"/>
        <scheme val="minor"/>
      </rPr>
      <t xml:space="preserve">
26.02.11</t>
    </r>
    <phoneticPr fontId="1" type="noConversion"/>
  </si>
  <si>
    <t>굴석가</t>
    <phoneticPr fontId="1" type="noConversion"/>
  </si>
  <si>
    <t>석공반납완료</t>
    <phoneticPr fontId="1" type="noConversion"/>
  </si>
  <si>
    <r>
      <t xml:space="preserve">[새암건설]
</t>
    </r>
    <r>
      <rPr>
        <b/>
        <i/>
        <sz val="11"/>
        <color theme="1"/>
        <rFont val="맑은 고딕"/>
        <family val="3"/>
        <charset val="129"/>
        <scheme val="minor"/>
      </rPr>
      <t xml:space="preserve">습식1명
도장1명
금속2명
</t>
    </r>
    <r>
      <rPr>
        <b/>
        <i/>
        <sz val="11"/>
        <color theme="9" tint="-0.249977111117893"/>
        <rFont val="맑은 고딕"/>
        <family val="3"/>
        <charset val="129"/>
        <scheme val="minor"/>
      </rPr>
      <t>지붕1명</t>
    </r>
    <r>
      <rPr>
        <b/>
        <i/>
        <sz val="11"/>
        <color theme="1"/>
        <rFont val="맑은 고딕"/>
        <family val="3"/>
        <charset val="129"/>
        <scheme val="minor"/>
      </rPr>
      <t xml:space="preserve">
구조물2명
실내건축2명
합8명
</t>
    </r>
    <r>
      <rPr>
        <b/>
        <i/>
        <sz val="11"/>
        <color theme="9"/>
        <rFont val="맑은 고딕"/>
        <family val="3"/>
        <charset val="129"/>
        <scheme val="minor"/>
      </rPr>
      <t>(9명)</t>
    </r>
    <phoneticPr fontId="1" type="noConversion"/>
  </si>
  <si>
    <t>김양수</t>
    <phoneticPr fontId="1" type="noConversion"/>
  </si>
  <si>
    <t>25.02.02</t>
    <phoneticPr fontId="1" type="noConversion"/>
  </si>
  <si>
    <t>610205-2400329</t>
    <phoneticPr fontId="1" type="noConversion"/>
  </si>
  <si>
    <t>352-1814-9940-33추석100 구정100</t>
    <phoneticPr fontId="1" type="noConversion"/>
  </si>
  <si>
    <t>630113-1357819</t>
    <phoneticPr fontId="1" type="noConversion"/>
  </si>
  <si>
    <t>26.04.16</t>
    <phoneticPr fontId="1" type="noConversion"/>
  </si>
  <si>
    <t>26.04.01</t>
    <phoneticPr fontId="1" type="noConversion"/>
  </si>
  <si>
    <t>토목공사업</t>
    <phoneticPr fontId="1" type="noConversion"/>
  </si>
  <si>
    <t>26년까지 
자본금(억)</t>
    <phoneticPr fontId="1" type="noConversion"/>
  </si>
  <si>
    <t>2027년부터
자본금(억)</t>
    <phoneticPr fontId="1" type="noConversion"/>
  </si>
  <si>
    <t>27년부터
기술자(명)</t>
    <phoneticPr fontId="1" type="noConversion"/>
  </si>
  <si>
    <t>종  목</t>
    <phoneticPr fontId="1" type="noConversion"/>
  </si>
  <si>
    <t>면허번호</t>
    <phoneticPr fontId="1" type="noConversion"/>
  </si>
  <si>
    <t>보유종목</t>
    <phoneticPr fontId="1" type="noConversion"/>
  </si>
  <si>
    <t>등록번호</t>
    <phoneticPr fontId="1" type="noConversion"/>
  </si>
  <si>
    <t>구조물해체</t>
    <phoneticPr fontId="1" type="noConversion"/>
  </si>
  <si>
    <t>상하수도</t>
    <phoneticPr fontId="1" type="noConversion"/>
  </si>
  <si>
    <t>충북영동17-06-02</t>
    <phoneticPr fontId="1" type="noConversion"/>
  </si>
  <si>
    <t>제12-0550</t>
    <phoneticPr fontId="1" type="noConversion"/>
  </si>
  <si>
    <t>충북영동24-라-05</t>
    <phoneticPr fontId="1" type="noConversion"/>
  </si>
  <si>
    <t>충북영동23-다-03</t>
    <phoneticPr fontId="1" type="noConversion"/>
  </si>
  <si>
    <t>충북영동24-나-01</t>
    <phoneticPr fontId="1" type="noConversion"/>
  </si>
  <si>
    <t>충북영동14-06-01</t>
    <phoneticPr fontId="1" type="noConversion"/>
  </si>
  <si>
    <t>석면해체제거</t>
    <phoneticPr fontId="1" type="noConversion"/>
  </si>
  <si>
    <t>충북-7</t>
    <phoneticPr fontId="1" type="noConversion"/>
  </si>
  <si>
    <t>보유종목</t>
    <phoneticPr fontId="1" type="noConversion"/>
  </si>
  <si>
    <t>등록번호</t>
    <phoneticPr fontId="1" type="noConversion"/>
  </si>
  <si>
    <t>자본금</t>
    <phoneticPr fontId="1" type="noConversion"/>
  </si>
  <si>
    <t>기술자</t>
    <phoneticPr fontId="1" type="noConversion"/>
  </si>
  <si>
    <t>(필요)자본금</t>
    <phoneticPr fontId="1" type="noConversion"/>
  </si>
  <si>
    <t>옥천21-03-01</t>
    <phoneticPr fontId="1" type="noConversion"/>
  </si>
  <si>
    <t>옥천23-다-01</t>
    <phoneticPr fontId="1" type="noConversion"/>
  </si>
  <si>
    <t>옥천23-나-01</t>
    <phoneticPr fontId="1" type="noConversion"/>
  </si>
  <si>
    <t>옥천21-06-01</t>
    <phoneticPr fontId="1" type="noConversion"/>
  </si>
  <si>
    <t>전북익산2003-10-75</t>
    <phoneticPr fontId="1" type="noConversion"/>
  </si>
  <si>
    <t>전북익산2003-13-68</t>
    <phoneticPr fontId="1" type="noConversion"/>
  </si>
  <si>
    <t>지반조성</t>
    <phoneticPr fontId="1" type="noConversion"/>
  </si>
  <si>
    <t>기술자</t>
    <phoneticPr fontId="1" type="noConversion"/>
  </si>
  <si>
    <t>옥천25-가-03</t>
    <phoneticPr fontId="1" type="noConversion"/>
  </si>
  <si>
    <t>기술자</t>
    <phoneticPr fontId="1" type="noConversion"/>
  </si>
  <si>
    <t>보유종목</t>
    <phoneticPr fontId="1" type="noConversion"/>
  </si>
  <si>
    <t>자본금</t>
    <phoneticPr fontId="1" type="noConversion"/>
  </si>
  <si>
    <t>등록번호</t>
    <phoneticPr fontId="1" type="noConversion"/>
  </si>
  <si>
    <t>충북영동23-바-02</t>
    <phoneticPr fontId="1" type="noConversion"/>
  </si>
  <si>
    <t>충북영동1602-04</t>
    <phoneticPr fontId="1" type="noConversion"/>
  </si>
  <si>
    <t>충북영동15-06-01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</si>
</sst>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.0%"/>
    <numFmt numFmtId="177" formatCode="0.00_ "/>
  </numFmts>
  <fonts count="7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8" tint="0.39997558519241921"/>
      <name val="맑은 고딕"/>
      <family val="2"/>
      <charset val="129"/>
      <scheme val="minor"/>
    </font>
    <font>
      <sz val="11"/>
      <color theme="8" tint="0.39997558519241921"/>
      <name val="맑은 고딕"/>
      <family val="3"/>
      <charset val="129"/>
      <scheme val="minor"/>
    </font>
    <font>
      <sz val="11"/>
      <color theme="9" tint="-0.249977111117893"/>
      <name val="맑은 고딕"/>
      <family val="2"/>
      <charset val="129"/>
      <scheme val="minor"/>
    </font>
    <font>
      <sz val="11"/>
      <color theme="9" tint="-0.249977111117893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8"/>
      <name val="맑은 고딕"/>
      <family val="2"/>
      <charset val="129"/>
      <scheme val="minor"/>
    </font>
    <font>
      <sz val="11"/>
      <color theme="9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1"/>
      <color theme="3" tint="0.39997558519241921"/>
      <name val="맑은 고딕"/>
      <family val="3"/>
      <charset val="129"/>
      <scheme val="minor"/>
    </font>
    <font>
      <sz val="11"/>
      <color theme="9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color theme="9" tint="-0.249977111117893"/>
      <name val="맑은 고딕"/>
      <family val="3"/>
      <charset val="129"/>
      <scheme val="minor"/>
    </font>
    <font>
      <sz val="9"/>
      <color rgb="FF00B0F0"/>
      <name val="맑은 고딕"/>
      <family val="3"/>
      <charset val="129"/>
      <scheme val="minor"/>
    </font>
    <font>
      <sz val="9"/>
      <color theme="8"/>
      <name val="맑은 고딕"/>
      <family val="2"/>
      <charset val="129"/>
      <scheme val="minor"/>
    </font>
    <font>
      <sz val="11"/>
      <color theme="3" tint="0.39997558519241921"/>
      <name val="맑은 고딕"/>
      <family val="2"/>
      <charset val="129"/>
      <scheme val="minor"/>
    </font>
    <font>
      <sz val="8"/>
      <color rgb="FFFF0000"/>
      <name val="맑은 고딕"/>
      <family val="2"/>
      <charset val="129"/>
      <scheme val="minor"/>
    </font>
    <font>
      <sz val="11"/>
      <color theme="9" tint="0.39997558519241921"/>
      <name val="맑은 고딕"/>
      <family val="2"/>
      <charset val="129"/>
      <scheme val="minor"/>
    </font>
    <font>
      <sz val="11"/>
      <color rgb="FF7030A0"/>
      <name val="맑은 고딕"/>
      <family val="2"/>
      <charset val="129"/>
      <scheme val="minor"/>
    </font>
    <font>
      <sz val="11"/>
      <color theme="5" tint="0.39997558519241921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theme="9" tint="0.39997558519241921"/>
      <name val="맑은 고딕"/>
      <family val="3"/>
      <charset val="129"/>
      <scheme val="minor"/>
    </font>
    <font>
      <b/>
      <sz val="11"/>
      <color theme="8" tint="0.3999755851924192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8"/>
      <name val="맑은 고딕"/>
      <family val="3"/>
      <charset val="129"/>
      <scheme val="minor"/>
    </font>
    <font>
      <b/>
      <i/>
      <sz val="11"/>
      <color theme="9" tint="-0.249977111117893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rgb="FF00B0F0"/>
      <name val="맑은 고딕"/>
      <family val="2"/>
      <charset val="129"/>
      <scheme val="minor"/>
    </font>
    <font>
      <sz val="9"/>
      <color theme="9" tint="-0.24997711111789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9"/>
      <name val="맑은 고딕"/>
      <family val="3"/>
      <charset val="129"/>
      <scheme val="minor"/>
    </font>
    <font>
      <sz val="11"/>
      <color rgb="FFFFC000"/>
      <name val="맑은 고딕"/>
      <family val="2"/>
      <charset val="129"/>
      <scheme val="minor"/>
    </font>
    <font>
      <sz val="11"/>
      <color rgb="FFFFC000"/>
      <name val="맑은 고딕"/>
      <family val="3"/>
      <charset val="129"/>
      <scheme val="minor"/>
    </font>
    <font>
      <sz val="10"/>
      <color theme="9"/>
      <name val="맑은 고딕"/>
      <family val="3"/>
      <charset val="129"/>
      <scheme val="minor"/>
    </font>
    <font>
      <b/>
      <i/>
      <sz val="11"/>
      <color theme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6" tint="0.39997558519241921"/>
      <name val="맑은 고딕"/>
      <family val="2"/>
      <charset val="129"/>
      <scheme val="minor"/>
    </font>
    <font>
      <sz val="11"/>
      <color theme="6" tint="0.39997558519241921"/>
      <name val="맑은 고딕"/>
      <family val="3"/>
      <charset val="129"/>
      <scheme val="minor"/>
    </font>
    <font>
      <sz val="11"/>
      <color theme="9" tint="0.59999389629810485"/>
      <name val="맑은 고딕"/>
      <family val="2"/>
      <charset val="129"/>
      <scheme val="minor"/>
    </font>
    <font>
      <sz val="11"/>
      <color theme="9" tint="0.59999389629810485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36" fillId="0" borderId="0" applyFont="0" applyFill="0" applyBorder="0" applyAlignment="0" applyProtection="0">
      <alignment vertical="center"/>
    </xf>
  </cellStyleXfs>
  <cellXfs count="270">
    <xf numFmtId="0" fontId="0" fillId="0" borderId="0" xfId="0">
      <alignment vertical="center"/>
    </xf>
    <xf numFmtId="0" fontId="2" fillId="0" borderId="0" xfId="0" applyFont="1">
      <alignment vertical="center"/>
    </xf>
    <xf numFmtId="3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3" fontId="4" fillId="0" borderId="4" xfId="0" applyNumberFormat="1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1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176" fontId="4" fillId="0" borderId="4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6" fillId="2" borderId="1" xfId="0" applyFont="1" applyFill="1" applyBorder="1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11" xfId="0" applyFill="1" applyBorder="1">
      <alignment vertical="center"/>
    </xf>
    <xf numFmtId="2" fontId="3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2" fontId="9" fillId="0" borderId="0" xfId="0" applyNumberFormat="1" applyFont="1">
      <alignment vertical="center"/>
    </xf>
    <xf numFmtId="177" fontId="0" fillId="0" borderId="0" xfId="0" applyNumberFormat="1">
      <alignment vertical="center"/>
    </xf>
    <xf numFmtId="0" fontId="10" fillId="0" borderId="0" xfId="0" applyFont="1">
      <alignment vertical="center"/>
    </xf>
    <xf numFmtId="0" fontId="14" fillId="0" borderId="10" xfId="0" applyFont="1" applyBorder="1">
      <alignment vertical="center"/>
    </xf>
    <xf numFmtId="0" fontId="15" fillId="0" borderId="0" xfId="0" applyFont="1">
      <alignment vertical="center"/>
    </xf>
    <xf numFmtId="0" fontId="15" fillId="0" borderId="5" xfId="0" applyFont="1" applyBorder="1">
      <alignment vertical="center"/>
    </xf>
    <xf numFmtId="0" fontId="15" fillId="0" borderId="0" xfId="0" applyFont="1" applyBorder="1">
      <alignment vertical="center"/>
    </xf>
    <xf numFmtId="0" fontId="15" fillId="0" borderId="0" xfId="0" applyFont="1" applyFill="1" applyBorder="1">
      <alignment vertical="center"/>
    </xf>
    <xf numFmtId="0" fontId="15" fillId="0" borderId="9" xfId="0" applyFont="1" applyBorder="1">
      <alignment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 applyBorder="1">
      <alignment vertical="center"/>
    </xf>
    <xf numFmtId="0" fontId="19" fillId="0" borderId="0" xfId="0" applyFont="1" applyBorder="1">
      <alignment vertical="center"/>
    </xf>
    <xf numFmtId="0" fontId="22" fillId="0" borderId="0" xfId="0" applyFont="1" applyBorder="1">
      <alignment vertical="center"/>
    </xf>
    <xf numFmtId="0" fontId="0" fillId="0" borderId="0" xfId="0" applyBorder="1" applyAlignment="1">
      <alignment horizontal="right" vertical="center"/>
    </xf>
    <xf numFmtId="0" fontId="12" fillId="0" borderId="0" xfId="0" applyFont="1" applyBorder="1" applyAlignment="1">
      <alignment horizontal="right" vertical="center"/>
    </xf>
    <xf numFmtId="0" fontId="17" fillId="0" borderId="0" xfId="0" applyFont="1" applyFill="1" applyBorder="1" applyAlignment="1">
      <alignment horizontal="right" vertical="center"/>
    </xf>
    <xf numFmtId="0" fontId="17" fillId="0" borderId="0" xfId="0" applyFont="1" applyBorder="1" applyAlignment="1">
      <alignment horizontal="right" vertical="center"/>
    </xf>
    <xf numFmtId="0" fontId="23" fillId="0" borderId="0" xfId="0" applyFont="1">
      <alignment vertical="center"/>
    </xf>
    <xf numFmtId="0" fontId="0" fillId="3" borderId="0" xfId="0" applyFill="1">
      <alignment vertical="center"/>
    </xf>
    <xf numFmtId="0" fontId="15" fillId="3" borderId="0" xfId="0" applyFont="1" applyFill="1">
      <alignment vertical="center"/>
    </xf>
    <xf numFmtId="0" fontId="0" fillId="3" borderId="1" xfId="0" applyFill="1" applyBorder="1">
      <alignment vertical="center"/>
    </xf>
    <xf numFmtId="0" fontId="23" fillId="3" borderId="0" xfId="0" applyFont="1" applyFill="1">
      <alignment vertical="center"/>
    </xf>
    <xf numFmtId="0" fontId="0" fillId="3" borderId="0" xfId="0" applyFill="1" applyBorder="1">
      <alignment vertical="center"/>
    </xf>
    <xf numFmtId="0" fontId="15" fillId="3" borderId="0" xfId="0" applyFont="1" applyFill="1" applyBorder="1">
      <alignment vertical="center"/>
    </xf>
    <xf numFmtId="0" fontId="17" fillId="3" borderId="0" xfId="0" applyFont="1" applyFill="1" applyBorder="1">
      <alignment vertical="center"/>
    </xf>
    <xf numFmtId="0" fontId="21" fillId="3" borderId="0" xfId="0" applyFont="1" applyFill="1" applyBorder="1">
      <alignment vertical="center"/>
    </xf>
    <xf numFmtId="0" fontId="22" fillId="3" borderId="0" xfId="0" applyFont="1" applyFill="1" applyBorder="1">
      <alignment vertical="center"/>
    </xf>
    <xf numFmtId="0" fontId="17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0" fillId="4" borderId="0" xfId="0" applyFill="1">
      <alignment vertical="center"/>
    </xf>
    <xf numFmtId="0" fontId="0" fillId="4" borderId="0" xfId="0" applyFill="1" applyBorder="1">
      <alignment vertical="center"/>
    </xf>
    <xf numFmtId="0" fontId="20" fillId="4" borderId="0" xfId="0" applyFont="1" applyFill="1" applyBorder="1">
      <alignment vertical="center"/>
    </xf>
    <xf numFmtId="0" fontId="20" fillId="2" borderId="0" xfId="0" applyFont="1" applyFill="1" applyBorder="1">
      <alignment vertical="center"/>
    </xf>
    <xf numFmtId="0" fontId="6" fillId="0" borderId="0" xfId="0" applyFont="1">
      <alignment vertical="center"/>
    </xf>
    <xf numFmtId="0" fontId="0" fillId="4" borderId="1" xfId="0" applyFill="1" applyBorder="1">
      <alignment vertical="center"/>
    </xf>
    <xf numFmtId="0" fontId="20" fillId="4" borderId="1" xfId="0" applyFont="1" applyFill="1" applyBorder="1">
      <alignment vertical="center"/>
    </xf>
    <xf numFmtId="0" fontId="0" fillId="0" borderId="1" xfId="0" applyBorder="1">
      <alignment vertical="center"/>
    </xf>
    <xf numFmtId="0" fontId="20" fillId="2" borderId="1" xfId="0" applyFont="1" applyFill="1" applyBorder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5" fillId="0" borderId="11" xfId="0" applyFont="1" applyBorder="1">
      <alignment vertical="center"/>
    </xf>
    <xf numFmtId="0" fontId="25" fillId="0" borderId="12" xfId="0" applyFont="1" applyBorder="1">
      <alignment vertical="center"/>
    </xf>
    <xf numFmtId="0" fontId="25" fillId="0" borderId="4" xfId="0" applyFont="1" applyBorder="1">
      <alignment vertical="center"/>
    </xf>
    <xf numFmtId="0" fontId="26" fillId="0" borderId="0" xfId="0" applyFont="1" applyAlignment="1">
      <alignment horizontal="right" vertical="center"/>
    </xf>
    <xf numFmtId="0" fontId="26" fillId="5" borderId="0" xfId="0" applyFont="1" applyFill="1" applyAlignment="1">
      <alignment horizontal="right" vertical="center"/>
    </xf>
    <xf numFmtId="0" fontId="26" fillId="5" borderId="1" xfId="0" applyFont="1" applyFill="1" applyBorder="1" applyAlignment="1">
      <alignment horizontal="right" vertical="center"/>
    </xf>
    <xf numFmtId="0" fontId="27" fillId="4" borderId="1" xfId="0" applyFont="1" applyFill="1" applyBorder="1">
      <alignment vertical="center"/>
    </xf>
    <xf numFmtId="0" fontId="28" fillId="0" borderId="0" xfId="0" applyFont="1">
      <alignment vertical="center"/>
    </xf>
    <xf numFmtId="0" fontId="27" fillId="4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right" vertical="center"/>
    </xf>
    <xf numFmtId="0" fontId="27" fillId="4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0" fillId="4" borderId="1" xfId="0" applyFont="1" applyFill="1" applyBorder="1">
      <alignment vertical="center"/>
    </xf>
    <xf numFmtId="0" fontId="20" fillId="4" borderId="1" xfId="0" applyFont="1" applyFill="1" applyBorder="1" applyAlignment="1">
      <alignment horizontal="left" vertical="center"/>
    </xf>
    <xf numFmtId="0" fontId="25" fillId="0" borderId="1" xfId="0" applyFont="1" applyBorder="1">
      <alignment vertical="center"/>
    </xf>
    <xf numFmtId="0" fontId="16" fillId="0" borderId="0" xfId="0" applyFont="1">
      <alignment vertical="center"/>
    </xf>
    <xf numFmtId="0" fontId="21" fillId="0" borderId="0" xfId="0" applyFont="1">
      <alignment vertical="center"/>
    </xf>
    <xf numFmtId="0" fontId="16" fillId="0" borderId="0" xfId="0" applyFont="1" applyFill="1" applyBorder="1">
      <alignment vertical="center"/>
    </xf>
    <xf numFmtId="0" fontId="16" fillId="0" borderId="0" xfId="0" applyFont="1" applyBorder="1">
      <alignment vertical="center"/>
    </xf>
    <xf numFmtId="0" fontId="29" fillId="0" borderId="0" xfId="0" applyFont="1">
      <alignment vertical="center"/>
    </xf>
    <xf numFmtId="0" fontId="20" fillId="3" borderId="0" xfId="0" applyFont="1" applyFill="1">
      <alignment vertical="center"/>
    </xf>
    <xf numFmtId="0" fontId="22" fillId="0" borderId="0" xfId="0" applyFont="1" applyFill="1" applyBorder="1">
      <alignment vertical="center"/>
    </xf>
    <xf numFmtId="0" fontId="22" fillId="0" borderId="0" xfId="0" applyFont="1" applyAlignment="1">
      <alignment horizontal="right" vertical="center"/>
    </xf>
    <xf numFmtId="0" fontId="31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2" fontId="9" fillId="0" borderId="0" xfId="0" applyNumberFormat="1" applyFont="1" applyAlignment="1">
      <alignment horizontal="right"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right" vertical="center"/>
    </xf>
    <xf numFmtId="0" fontId="32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177" fontId="33" fillId="0" borderId="0" xfId="0" applyNumberFormat="1" applyFont="1" applyAlignment="1">
      <alignment vertical="center"/>
    </xf>
    <xf numFmtId="177" fontId="34" fillId="0" borderId="0" xfId="0" applyNumberFormat="1" applyFont="1" applyAlignment="1">
      <alignment vertical="center"/>
    </xf>
    <xf numFmtId="177" fontId="35" fillId="0" borderId="0" xfId="0" applyNumberFormat="1" applyFont="1" applyAlignment="1">
      <alignment vertical="center"/>
    </xf>
    <xf numFmtId="0" fontId="19" fillId="0" borderId="0" xfId="0" applyFont="1">
      <alignment vertical="center"/>
    </xf>
    <xf numFmtId="0" fontId="37" fillId="4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41" fontId="0" fillId="4" borderId="0" xfId="1" applyFont="1" applyFill="1">
      <alignment vertical="center"/>
    </xf>
    <xf numFmtId="41" fontId="0" fillId="4" borderId="0" xfId="0" applyNumberFormat="1" applyFill="1">
      <alignment vertical="center"/>
    </xf>
    <xf numFmtId="0" fontId="8" fillId="2" borderId="1" xfId="0" applyFont="1" applyFill="1" applyBorder="1" applyAlignment="1">
      <alignment vertical="center" wrapText="1"/>
    </xf>
    <xf numFmtId="0" fontId="18" fillId="3" borderId="0" xfId="0" applyFont="1" applyFill="1">
      <alignment vertical="center"/>
    </xf>
    <xf numFmtId="0" fontId="8" fillId="0" borderId="0" xfId="0" applyFont="1" applyAlignment="1">
      <alignment vertical="center" wrapText="1"/>
    </xf>
    <xf numFmtId="0" fontId="18" fillId="0" borderId="0" xfId="0" applyFont="1" applyFill="1" applyBorder="1">
      <alignment vertical="center"/>
    </xf>
    <xf numFmtId="0" fontId="12" fillId="0" borderId="0" xfId="0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right" vertical="center"/>
    </xf>
    <xf numFmtId="0" fontId="31" fillId="0" borderId="0" xfId="0" applyFont="1" applyAlignment="1">
      <alignment horizontal="right" vertical="center" wrapText="1"/>
    </xf>
    <xf numFmtId="0" fontId="38" fillId="0" borderId="0" xfId="0" applyFont="1" applyAlignment="1">
      <alignment vertical="top" wrapText="1"/>
    </xf>
    <xf numFmtId="0" fontId="31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 applyAlignment="1">
      <alignment vertical="center" wrapText="1"/>
    </xf>
    <xf numFmtId="0" fontId="41" fillId="0" borderId="0" xfId="0" applyFont="1">
      <alignment vertical="center"/>
    </xf>
    <xf numFmtId="0" fontId="22" fillId="0" borderId="0" xfId="0" applyFont="1" applyFill="1" applyBorder="1" applyAlignment="1">
      <alignment horizontal="right" vertical="center"/>
    </xf>
    <xf numFmtId="0" fontId="19" fillId="0" borderId="5" xfId="0" applyFont="1" applyBorder="1">
      <alignment vertical="center"/>
    </xf>
    <xf numFmtId="0" fontId="32" fillId="2" borderId="1" xfId="0" applyFont="1" applyFill="1" applyBorder="1" applyAlignment="1">
      <alignment vertical="center" wrapText="1"/>
    </xf>
    <xf numFmtId="0" fontId="42" fillId="3" borderId="1" xfId="0" applyFont="1" applyFill="1" applyBorder="1" applyAlignment="1">
      <alignment vertical="center" wrapText="1"/>
    </xf>
    <xf numFmtId="0" fontId="11" fillId="0" borderId="0" xfId="0" applyFont="1" applyBorder="1">
      <alignment vertical="center"/>
    </xf>
    <xf numFmtId="0" fontId="4" fillId="0" borderId="0" xfId="0" applyFont="1" applyFill="1" applyBorder="1">
      <alignment vertical="center"/>
    </xf>
    <xf numFmtId="0" fontId="20" fillId="0" borderId="1" xfId="0" applyFont="1" applyBorder="1" applyAlignment="1">
      <alignment vertical="center" wrapText="1"/>
    </xf>
    <xf numFmtId="0" fontId="0" fillId="0" borderId="0" xfId="0" applyAlignment="1">
      <alignment horizontal="right"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0" fontId="39" fillId="0" borderId="0" xfId="0" applyFont="1" applyBorder="1" applyAlignment="1">
      <alignment vertical="center" wrapText="1"/>
    </xf>
    <xf numFmtId="0" fontId="13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48" fillId="0" borderId="0" xfId="0" applyFont="1" applyFill="1" applyBorder="1">
      <alignment vertical="center"/>
    </xf>
    <xf numFmtId="0" fontId="48" fillId="0" borderId="0" xfId="0" applyFont="1">
      <alignment vertical="center"/>
    </xf>
    <xf numFmtId="0" fontId="50" fillId="0" borderId="0" xfId="0" applyFont="1" applyAlignment="1">
      <alignment horizontal="right" vertical="center"/>
    </xf>
    <xf numFmtId="0" fontId="50" fillId="0" borderId="0" xfId="0" applyFont="1">
      <alignment vertical="center"/>
    </xf>
    <xf numFmtId="0" fontId="52" fillId="0" borderId="0" xfId="0" applyFont="1" applyAlignment="1">
      <alignment vertical="center" wrapText="1"/>
    </xf>
    <xf numFmtId="0" fontId="53" fillId="0" borderId="0" xfId="0" applyFont="1">
      <alignment vertical="center"/>
    </xf>
    <xf numFmtId="0" fontId="50" fillId="0" borderId="0" xfId="0" applyFont="1" applyBorder="1">
      <alignment vertical="center"/>
    </xf>
    <xf numFmtId="0" fontId="49" fillId="0" borderId="0" xfId="0" applyFont="1">
      <alignment vertical="center"/>
    </xf>
    <xf numFmtId="0" fontId="19" fillId="3" borderId="0" xfId="0" applyFont="1" applyFill="1">
      <alignment vertical="center"/>
    </xf>
    <xf numFmtId="0" fontId="51" fillId="3" borderId="0" xfId="0" applyFont="1" applyFill="1" applyAlignment="1">
      <alignment vertical="center" wrapText="1"/>
    </xf>
    <xf numFmtId="0" fontId="50" fillId="0" borderId="0" xfId="0" applyFont="1" applyBorder="1" applyAlignment="1">
      <alignment horizontal="right" vertical="center"/>
    </xf>
    <xf numFmtId="0" fontId="50" fillId="0" borderId="0" xfId="0" applyFont="1" applyFill="1" applyBorder="1">
      <alignment vertical="center"/>
    </xf>
    <xf numFmtId="0" fontId="17" fillId="0" borderId="5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21" fillId="0" borderId="0" xfId="0" applyFont="1" applyBorder="1">
      <alignment vertical="center"/>
    </xf>
    <xf numFmtId="0" fontId="57" fillId="0" borderId="0" xfId="0" applyFont="1" applyAlignment="1">
      <alignment horizontal="right" vertical="center"/>
    </xf>
    <xf numFmtId="31" fontId="0" fillId="0" borderId="0" xfId="0" applyNumberFormat="1">
      <alignment vertical="center"/>
    </xf>
    <xf numFmtId="0" fontId="6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0" fillId="5" borderId="0" xfId="0" applyFill="1">
      <alignment vertical="center"/>
    </xf>
    <xf numFmtId="0" fontId="15" fillId="5" borderId="0" xfId="0" applyFont="1" applyFill="1">
      <alignment vertical="center"/>
    </xf>
    <xf numFmtId="0" fontId="47" fillId="5" borderId="1" xfId="0" applyFont="1" applyFill="1" applyBorder="1" applyAlignment="1">
      <alignment vertical="center" wrapText="1"/>
    </xf>
    <xf numFmtId="0" fontId="23" fillId="5" borderId="0" xfId="0" applyFont="1" applyFill="1">
      <alignment vertical="center"/>
    </xf>
    <xf numFmtId="0" fontId="0" fillId="5" borderId="1" xfId="0" applyFill="1" applyBorder="1">
      <alignment vertical="center"/>
    </xf>
    <xf numFmtId="0" fontId="56" fillId="5" borderId="0" xfId="0" applyFont="1" applyFill="1">
      <alignment vertical="center"/>
    </xf>
    <xf numFmtId="0" fontId="57" fillId="0" borderId="0" xfId="0" applyFont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12" fillId="3" borderId="0" xfId="0" applyFont="1" applyFill="1" applyAlignment="1">
      <alignment horizontal="right" vertical="center"/>
    </xf>
    <xf numFmtId="0" fontId="13" fillId="3" borderId="0" xfId="0" applyFont="1" applyFill="1">
      <alignment vertical="center"/>
    </xf>
    <xf numFmtId="0" fontId="58" fillId="5" borderId="0" xfId="0" applyFont="1" applyFill="1" applyAlignment="1">
      <alignment vertical="center" wrapText="1"/>
    </xf>
    <xf numFmtId="0" fontId="13" fillId="5" borderId="0" xfId="0" applyFont="1" applyFill="1">
      <alignment vertical="center"/>
    </xf>
    <xf numFmtId="0" fontId="23" fillId="0" borderId="0" xfId="0" applyFont="1" applyFill="1" applyBorder="1">
      <alignment vertical="center"/>
    </xf>
    <xf numFmtId="0" fontId="19" fillId="0" borderId="0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3" borderId="0" xfId="0" applyFont="1" applyFill="1" applyBorder="1" applyAlignment="1">
      <alignment horizontal="right" vertical="center"/>
    </xf>
    <xf numFmtId="0" fontId="30" fillId="0" borderId="0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23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41" fontId="0" fillId="0" borderId="0" xfId="1" applyFont="1">
      <alignment vertical="center"/>
    </xf>
    <xf numFmtId="0" fontId="30" fillId="0" borderId="0" xfId="0" applyFont="1">
      <alignment vertical="center"/>
    </xf>
    <xf numFmtId="0" fontId="17" fillId="5" borderId="0" xfId="0" applyFont="1" applyFill="1">
      <alignment vertical="center"/>
    </xf>
    <xf numFmtId="0" fontId="17" fillId="0" borderId="0" xfId="0" applyFont="1" applyBorder="1">
      <alignment vertical="center"/>
    </xf>
    <xf numFmtId="0" fontId="17" fillId="0" borderId="0" xfId="0" applyFont="1">
      <alignment vertical="center"/>
    </xf>
    <xf numFmtId="0" fontId="30" fillId="3" borderId="0" xfId="0" applyFont="1" applyFill="1" applyAlignment="1">
      <alignment horizontal="right" vertical="center"/>
    </xf>
    <xf numFmtId="0" fontId="60" fillId="3" borderId="0" xfId="0" applyFont="1" applyFill="1" applyAlignment="1">
      <alignment horizontal="right" vertical="center"/>
    </xf>
    <xf numFmtId="0" fontId="30" fillId="3" borderId="0" xfId="0" applyFont="1" applyFill="1" applyBorder="1">
      <alignment vertical="center"/>
    </xf>
    <xf numFmtId="0" fontId="60" fillId="0" borderId="0" xfId="0" applyFont="1" applyFill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8" fillId="2" borderId="11" xfId="0" applyFont="1" applyFill="1" applyBorder="1">
      <alignment vertical="center"/>
    </xf>
    <xf numFmtId="0" fontId="19" fillId="3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1" fillId="0" borderId="0" xfId="0" applyFont="1">
      <alignment vertical="center"/>
    </xf>
    <xf numFmtId="0" fontId="62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5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1" fillId="0" borderId="0" xfId="0" applyFont="1" applyAlignment="1">
      <alignment vertical="top" wrapText="1"/>
    </xf>
    <xf numFmtId="0" fontId="10" fillId="0" borderId="0" xfId="0" applyFont="1" applyBorder="1">
      <alignment vertical="center"/>
    </xf>
    <xf numFmtId="0" fontId="18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5" fillId="0" borderId="0" xfId="0" applyFont="1" applyAlignment="1">
      <alignment horizontal="left" vertical="center"/>
    </xf>
    <xf numFmtId="0" fontId="30" fillId="3" borderId="0" xfId="0" applyFont="1" applyFill="1">
      <alignment vertical="center"/>
    </xf>
    <xf numFmtId="0" fontId="30" fillId="0" borderId="0" xfId="0" applyFont="1" applyFill="1" applyBorder="1">
      <alignment vertical="center"/>
    </xf>
    <xf numFmtId="0" fontId="30" fillId="0" borderId="0" xfId="0" applyFont="1" applyBorder="1">
      <alignment vertical="center"/>
    </xf>
    <xf numFmtId="0" fontId="4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6" fillId="3" borderId="0" xfId="0" applyFont="1" applyFill="1">
      <alignment vertical="center"/>
    </xf>
    <xf numFmtId="0" fontId="67" fillId="3" borderId="0" xfId="0" applyFont="1" applyFill="1">
      <alignment vertical="center"/>
    </xf>
    <xf numFmtId="0" fontId="66" fillId="0" borderId="0" xfId="0" applyFont="1">
      <alignment vertical="center"/>
    </xf>
    <xf numFmtId="0" fontId="67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9" fillId="3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18" fillId="3" borderId="0" xfId="0" applyFont="1" applyFill="1" applyBorder="1">
      <alignment vertical="center"/>
    </xf>
    <xf numFmtId="0" fontId="6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Fill="1" applyBorder="1">
      <alignment vertical="center"/>
    </xf>
    <xf numFmtId="0" fontId="6" fillId="0" borderId="0" xfId="0" applyFont="1" applyBorder="1" applyAlignment="1">
      <alignment horizontal="center" vertical="center" wrapText="1"/>
    </xf>
    <xf numFmtId="0" fontId="19" fillId="0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0" borderId="0" xfId="0" applyFont="1" applyFill="1" applyBorder="1" applyAlignment="1">
      <alignment vertical="center" wrapText="1"/>
    </xf>
    <xf numFmtId="0" fontId="16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Border="1" applyAlignment="1">
      <alignment horizontal="center" vertical="center"/>
    </xf>
    <xf numFmtId="0" fontId="68" fillId="3" borderId="0" xfId="0" applyFont="1" applyFill="1">
      <alignment vertical="center"/>
    </xf>
    <xf numFmtId="0" fontId="69" fillId="3" borderId="0" xfId="0" applyFont="1" applyFill="1">
      <alignment vertical="center"/>
    </xf>
    <xf numFmtId="0" fontId="2" fillId="0" borderId="2" xfId="0" applyFont="1" applyBorder="1" applyAlignment="1">
      <alignment horizontal="center" vertical="center"/>
    </xf>
    <xf numFmtId="31" fontId="3" fillId="0" borderId="0" xfId="0" applyNumberFormat="1" applyFont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2" fontId="70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/>
    </xf>
    <xf numFmtId="0" fontId="70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70" fillId="3" borderId="0" xfId="0" applyFont="1" applyFill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33" fillId="0" borderId="0" xfId="0" applyFont="1">
      <alignment vertical="center"/>
    </xf>
    <xf numFmtId="0" fontId="71" fillId="0" borderId="0" xfId="0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5"/>
  <sheetViews>
    <sheetView topLeftCell="A6" workbookViewId="0">
      <selection activeCell="S23" sqref="S23"/>
    </sheetView>
  </sheetViews>
  <sheetFormatPr defaultRowHeight="16.5" x14ac:dyDescent="0.3"/>
  <cols>
    <col min="1" max="1" width="5.625" customWidth="1"/>
    <col min="2" max="2" width="10.25" customWidth="1"/>
    <col min="4" max="4" width="18.375" customWidth="1"/>
    <col min="5" max="5" width="27.5" customWidth="1"/>
    <col min="8" max="8" width="15.375" customWidth="1"/>
    <col min="10" max="11" width="12.875" customWidth="1"/>
    <col min="12" max="12" width="5.125" customWidth="1"/>
    <col min="13" max="13" width="4.25" customWidth="1"/>
    <col min="14" max="14" width="7.625" customWidth="1"/>
    <col min="15" max="15" width="7.125" customWidth="1"/>
    <col min="16" max="16" width="4.875" customWidth="1"/>
  </cols>
  <sheetData>
    <row r="2" spans="2:11" ht="45.75" customHeight="1" x14ac:dyDescent="0.3"/>
    <row r="3" spans="2:11" s="1" customFormat="1" ht="65.25" customHeight="1" thickBot="1" x14ac:dyDescent="0.35">
      <c r="B3" s="251" t="s">
        <v>0</v>
      </c>
      <c r="C3" s="251"/>
      <c r="D3" s="251"/>
      <c r="E3" s="251"/>
      <c r="F3" s="251"/>
      <c r="G3" s="251"/>
    </row>
    <row r="4" spans="2:11" ht="17.25" thickTop="1" x14ac:dyDescent="0.3"/>
    <row r="6" spans="2:11" ht="45.75" customHeight="1" x14ac:dyDescent="0.3"/>
    <row r="7" spans="2:11" ht="35.1" customHeight="1" thickBot="1" x14ac:dyDescent="0.35">
      <c r="B7" s="13" t="s">
        <v>9</v>
      </c>
      <c r="C7" s="13" t="s">
        <v>4</v>
      </c>
      <c r="D7" s="13" t="s">
        <v>6</v>
      </c>
      <c r="E7" s="13" t="s">
        <v>10</v>
      </c>
      <c r="F7" s="13" t="s">
        <v>7</v>
      </c>
      <c r="G7" s="13" t="s">
        <v>8</v>
      </c>
      <c r="H7" s="110"/>
      <c r="I7" s="111"/>
      <c r="J7" s="111" t="s">
        <v>249</v>
      </c>
      <c r="K7" s="263"/>
    </row>
    <row r="8" spans="2:11" ht="35.1" customHeight="1" thickTop="1" x14ac:dyDescent="0.3">
      <c r="B8" s="6" t="s">
        <v>1</v>
      </c>
      <c r="C8" s="6" t="s">
        <v>12</v>
      </c>
      <c r="D8" s="7" t="s">
        <v>13</v>
      </c>
      <c r="E8" s="11" t="s">
        <v>14</v>
      </c>
      <c r="F8" s="8">
        <v>41250</v>
      </c>
      <c r="G8" s="9">
        <v>0.5</v>
      </c>
      <c r="H8" s="112"/>
      <c r="I8" s="112"/>
      <c r="J8" s="113">
        <v>49500</v>
      </c>
      <c r="K8" s="113"/>
    </row>
    <row r="9" spans="2:11" ht="35.1" customHeight="1" x14ac:dyDescent="0.3">
      <c r="B9" s="4" t="s">
        <v>2</v>
      </c>
      <c r="C9" s="4" t="s">
        <v>15</v>
      </c>
      <c r="D9" s="10" t="s">
        <v>16</v>
      </c>
      <c r="E9" s="12" t="s">
        <v>266</v>
      </c>
      <c r="F9" s="2">
        <v>41250</v>
      </c>
      <c r="G9" s="3">
        <v>0.5</v>
      </c>
      <c r="H9" s="112"/>
      <c r="I9" s="112"/>
      <c r="J9" s="113">
        <v>33000</v>
      </c>
      <c r="K9" s="113"/>
    </row>
    <row r="10" spans="2:11" ht="35.1" customHeight="1" x14ac:dyDescent="0.3">
      <c r="B10" s="4"/>
      <c r="C10" s="4"/>
      <c r="D10" s="10"/>
      <c r="E10" s="10"/>
      <c r="F10" s="4"/>
      <c r="G10" s="4"/>
      <c r="H10" s="61"/>
      <c r="I10" s="61"/>
      <c r="J10" s="61"/>
      <c r="K10" s="61"/>
    </row>
    <row r="11" spans="2:11" ht="35.1" customHeight="1" x14ac:dyDescent="0.3">
      <c r="B11" s="4" t="s">
        <v>3</v>
      </c>
      <c r="C11" s="4" t="s">
        <v>5</v>
      </c>
      <c r="D11" s="10"/>
      <c r="E11" s="10"/>
      <c r="F11" s="2">
        <f>F8+F9</f>
        <v>82500</v>
      </c>
      <c r="G11" s="3">
        <v>1</v>
      </c>
      <c r="H11" s="61"/>
      <c r="I11" s="61"/>
      <c r="J11" s="113">
        <v>825000000</v>
      </c>
      <c r="K11" s="113"/>
    </row>
    <row r="13" spans="2:11" ht="50.25" customHeight="1" x14ac:dyDescent="0.3">
      <c r="E13" s="163">
        <v>45890</v>
      </c>
      <c r="H13">
        <f>F11*0.5</f>
        <v>41250</v>
      </c>
    </row>
    <row r="14" spans="2:11" s="5" customFormat="1" ht="30" customHeight="1" x14ac:dyDescent="0.3">
      <c r="B14" s="5" t="s">
        <v>17</v>
      </c>
    </row>
    <row r="15" spans="2:11" s="5" customFormat="1" ht="30" customHeight="1" x14ac:dyDescent="0.3">
      <c r="B15" s="5" t="s">
        <v>20</v>
      </c>
    </row>
    <row r="16" spans="2:11" s="5" customFormat="1" ht="30" customHeight="1" x14ac:dyDescent="0.3">
      <c r="B16" s="5" t="s">
        <v>294</v>
      </c>
    </row>
    <row r="17" spans="2:15" s="5" customFormat="1" ht="45.75" customHeight="1" x14ac:dyDescent="0.3">
      <c r="B17" s="5" t="s">
        <v>19</v>
      </c>
      <c r="I17" s="120" t="s">
        <v>263</v>
      </c>
      <c r="J17" s="98" t="s">
        <v>653</v>
      </c>
      <c r="K17" s="99" t="s">
        <v>654</v>
      </c>
      <c r="L17" s="262" t="s">
        <v>650</v>
      </c>
      <c r="M17" s="261"/>
      <c r="N17" s="97" t="s">
        <v>651</v>
      </c>
      <c r="O17" s="97" t="s">
        <v>652</v>
      </c>
    </row>
    <row r="18" spans="2:15" x14ac:dyDescent="0.3">
      <c r="I18">
        <v>4</v>
      </c>
      <c r="J18" s="98" t="s">
        <v>649</v>
      </c>
      <c r="K18" s="265" t="s">
        <v>660</v>
      </c>
      <c r="L18" s="100">
        <v>2</v>
      </c>
      <c r="M18" s="99" t="s">
        <v>83</v>
      </c>
      <c r="N18" s="104">
        <v>5</v>
      </c>
      <c r="O18">
        <v>6</v>
      </c>
    </row>
    <row r="19" spans="2:15" x14ac:dyDescent="0.3">
      <c r="I19">
        <v>1</v>
      </c>
      <c r="J19" s="99" t="s">
        <v>82</v>
      </c>
      <c r="K19" s="265" t="s">
        <v>664</v>
      </c>
      <c r="L19" s="101">
        <v>0.75</v>
      </c>
      <c r="M19" s="99" t="s">
        <v>83</v>
      </c>
      <c r="N19" s="104">
        <v>0.75</v>
      </c>
      <c r="O19">
        <v>1</v>
      </c>
    </row>
    <row r="20" spans="2:15" ht="19.5" customHeight="1" x14ac:dyDescent="0.3">
      <c r="I20">
        <v>3</v>
      </c>
      <c r="J20" s="99" t="s">
        <v>84</v>
      </c>
      <c r="K20" s="267" t="s">
        <v>662</v>
      </c>
      <c r="L20" s="100">
        <v>1.5</v>
      </c>
      <c r="M20" s="99" t="s">
        <v>83</v>
      </c>
      <c r="N20" s="104">
        <v>1.5</v>
      </c>
      <c r="O20">
        <v>3</v>
      </c>
    </row>
    <row r="21" spans="2:15" x14ac:dyDescent="0.3">
      <c r="I21">
        <v>2</v>
      </c>
      <c r="J21" s="99" t="s">
        <v>85</v>
      </c>
      <c r="K21" s="265" t="s">
        <v>663</v>
      </c>
      <c r="L21" s="100">
        <v>1.5</v>
      </c>
      <c r="M21" s="99" t="s">
        <v>83</v>
      </c>
      <c r="N21" s="104">
        <v>1.5</v>
      </c>
      <c r="O21">
        <v>2</v>
      </c>
    </row>
    <row r="22" spans="2:15" x14ac:dyDescent="0.3">
      <c r="I22" s="50">
        <v>4</v>
      </c>
      <c r="J22" s="102" t="s">
        <v>241</v>
      </c>
      <c r="K22" s="266" t="s">
        <v>661</v>
      </c>
      <c r="L22" s="103">
        <v>1.5</v>
      </c>
      <c r="M22" s="102" t="s">
        <v>240</v>
      </c>
      <c r="N22" s="104">
        <v>1.5</v>
      </c>
      <c r="O22">
        <v>4</v>
      </c>
    </row>
    <row r="23" spans="2:15" x14ac:dyDescent="0.3">
      <c r="J23" s="102" t="s">
        <v>246</v>
      </c>
      <c r="K23" s="102" t="s">
        <v>666</v>
      </c>
      <c r="L23" s="103">
        <v>1</v>
      </c>
      <c r="M23" s="102" t="s">
        <v>247</v>
      </c>
      <c r="N23" s="104">
        <v>1</v>
      </c>
      <c r="O23">
        <v>0</v>
      </c>
    </row>
    <row r="24" spans="2:15" x14ac:dyDescent="0.3">
      <c r="J24" s="102" t="s">
        <v>665</v>
      </c>
      <c r="K24" s="102">
        <v>3211</v>
      </c>
      <c r="L24" s="103"/>
      <c r="M24" s="102"/>
      <c r="N24" s="104"/>
    </row>
    <row r="25" spans="2:15" x14ac:dyDescent="0.3">
      <c r="I25">
        <v>14</v>
      </c>
      <c r="J25" s="105" t="s">
        <v>86</v>
      </c>
      <c r="K25" s="105"/>
      <c r="L25" s="106">
        <f>L18+L19+L20+L21+L22+L23</f>
        <v>8.25</v>
      </c>
      <c r="M25" s="105" t="s">
        <v>240</v>
      </c>
      <c r="N25" s="107">
        <f>N18+N19+N20+N21+N22+N23</f>
        <v>11.25</v>
      </c>
      <c r="O25" s="108">
        <f>O18+O19+O20+O21+O22</f>
        <v>16</v>
      </c>
    </row>
  </sheetData>
  <mergeCells count="2">
    <mergeCell ref="B3:G3"/>
    <mergeCell ref="L17:M17"/>
  </mergeCells>
  <phoneticPr fontId="1" type="noConversion"/>
  <pageMargins left="0.12" right="0.12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2"/>
  <sheetViews>
    <sheetView tabSelected="1" topLeftCell="A4" zoomScale="90" zoomScaleNormal="90" workbookViewId="0">
      <selection activeCell="K20" sqref="K20"/>
    </sheetView>
  </sheetViews>
  <sheetFormatPr defaultRowHeight="16.5" x14ac:dyDescent="0.3"/>
  <cols>
    <col min="1" max="1" width="1.5" customWidth="1"/>
    <col min="2" max="2" width="10.25" customWidth="1"/>
    <col min="4" max="4" width="18.375" customWidth="1"/>
    <col min="5" max="5" width="27.5" customWidth="1"/>
    <col min="6" max="6" width="14.875" customWidth="1"/>
    <col min="7" max="7" width="9.375" bestFit="1" customWidth="1"/>
    <col min="8" max="8" width="11.75" customWidth="1"/>
    <col min="10" max="10" width="10" customWidth="1"/>
    <col min="11" max="11" width="15" customWidth="1"/>
    <col min="12" max="12" width="8" customWidth="1"/>
    <col min="13" max="13" width="3.625" customWidth="1"/>
  </cols>
  <sheetData>
    <row r="2" spans="2:10" ht="45.75" customHeight="1" x14ac:dyDescent="0.3"/>
    <row r="3" spans="2:10" s="1" customFormat="1" ht="65.25" customHeight="1" thickBot="1" x14ac:dyDescent="0.35">
      <c r="B3" s="251" t="s">
        <v>0</v>
      </c>
      <c r="C3" s="251"/>
      <c r="D3" s="251"/>
      <c r="E3" s="251"/>
      <c r="F3" s="251"/>
      <c r="G3" s="251"/>
    </row>
    <row r="4" spans="2:10" ht="17.25" thickTop="1" x14ac:dyDescent="0.3"/>
    <row r="5" spans="2:10" ht="35.25" customHeight="1" x14ac:dyDescent="0.3"/>
    <row r="6" spans="2:10" ht="33.75" customHeight="1" x14ac:dyDescent="0.3"/>
    <row r="7" spans="2:10" ht="35.1" customHeight="1" thickBot="1" x14ac:dyDescent="0.35">
      <c r="B7" s="13" t="s">
        <v>9</v>
      </c>
      <c r="C7" s="13" t="s">
        <v>4</v>
      </c>
      <c r="D7" s="13" t="s">
        <v>6</v>
      </c>
      <c r="E7" s="13" t="s">
        <v>10</v>
      </c>
      <c r="F7" s="13" t="s">
        <v>7</v>
      </c>
      <c r="G7" s="13" t="s">
        <v>8</v>
      </c>
    </row>
    <row r="8" spans="2:10" ht="35.1" customHeight="1" thickTop="1" x14ac:dyDescent="0.3">
      <c r="B8" s="6" t="s">
        <v>1</v>
      </c>
      <c r="C8" s="6" t="s">
        <v>15</v>
      </c>
      <c r="D8" s="10" t="s">
        <v>16</v>
      </c>
      <c r="E8" s="11" t="s">
        <v>14</v>
      </c>
      <c r="F8" s="8">
        <f>F11*G8</f>
        <v>35000</v>
      </c>
      <c r="G8" s="199">
        <f>H8/H11</f>
        <v>0.66666666666666663</v>
      </c>
      <c r="H8">
        <f>H11-H9</f>
        <v>35000</v>
      </c>
    </row>
    <row r="9" spans="2:10" ht="49.5" customHeight="1" x14ac:dyDescent="0.3">
      <c r="B9" s="4" t="s">
        <v>2</v>
      </c>
      <c r="C9" s="4" t="s">
        <v>24</v>
      </c>
      <c r="D9" s="10" t="s">
        <v>25</v>
      </c>
      <c r="E9" s="17" t="s">
        <v>538</v>
      </c>
      <c r="F9" s="2">
        <f>F11*G9</f>
        <v>17500</v>
      </c>
      <c r="G9" s="200">
        <f>H9/H11</f>
        <v>0.33333333333333331</v>
      </c>
      <c r="H9">
        <v>17500</v>
      </c>
    </row>
    <row r="10" spans="2:10" ht="35.1" customHeight="1" x14ac:dyDescent="0.3">
      <c r="B10" s="4"/>
      <c r="C10" s="4"/>
      <c r="D10" s="10"/>
      <c r="E10" s="10"/>
      <c r="F10" s="4"/>
      <c r="G10" s="4"/>
    </row>
    <row r="11" spans="2:10" ht="35.1" customHeight="1" x14ac:dyDescent="0.3">
      <c r="B11" s="4" t="s">
        <v>3</v>
      </c>
      <c r="C11" s="4" t="s">
        <v>5</v>
      </c>
      <c r="D11" s="10"/>
      <c r="E11" s="10"/>
      <c r="F11" s="2">
        <v>52500</v>
      </c>
      <c r="G11" s="3">
        <v>1</v>
      </c>
      <c r="H11">
        <v>52500</v>
      </c>
    </row>
    <row r="13" spans="2:10" ht="50.25" customHeight="1" x14ac:dyDescent="0.3"/>
    <row r="14" spans="2:10" s="5" customFormat="1" ht="30" customHeight="1" x14ac:dyDescent="0.3">
      <c r="B14" s="5" t="s">
        <v>37</v>
      </c>
    </row>
    <row r="15" spans="2:10" s="5" customFormat="1" ht="30" customHeight="1" x14ac:dyDescent="0.3">
      <c r="B15" s="5" t="s">
        <v>38</v>
      </c>
      <c r="J15" s="5" t="s">
        <v>456</v>
      </c>
    </row>
    <row r="16" spans="2:10" s="5" customFormat="1" ht="30" customHeight="1" x14ac:dyDescent="0.3">
      <c r="B16" s="5" t="s">
        <v>39</v>
      </c>
      <c r="J16" s="5" t="s">
        <v>455</v>
      </c>
    </row>
    <row r="17" spans="2:14" s="5" customFormat="1" ht="30" customHeight="1" x14ac:dyDescent="0.3">
      <c r="B17" s="5" t="s">
        <v>40</v>
      </c>
      <c r="J17" s="269" t="s">
        <v>682</v>
      </c>
      <c r="K17" s="269" t="s">
        <v>684</v>
      </c>
      <c r="L17" s="269" t="s">
        <v>683</v>
      </c>
      <c r="M17" s="269"/>
      <c r="N17" s="269" t="s">
        <v>681</v>
      </c>
    </row>
    <row r="18" spans="2:14" x14ac:dyDescent="0.3">
      <c r="J18" t="s">
        <v>88</v>
      </c>
      <c r="K18" t="s">
        <v>686</v>
      </c>
      <c r="L18">
        <v>1.5</v>
      </c>
      <c r="M18" t="s">
        <v>83</v>
      </c>
      <c r="N18">
        <v>3</v>
      </c>
    </row>
    <row r="19" spans="2:14" x14ac:dyDescent="0.3">
      <c r="J19" t="s">
        <v>89</v>
      </c>
      <c r="K19" t="s">
        <v>685</v>
      </c>
      <c r="L19">
        <v>1.5</v>
      </c>
      <c r="M19" t="s">
        <v>83</v>
      </c>
      <c r="N19">
        <v>2</v>
      </c>
    </row>
    <row r="20" spans="2:14" x14ac:dyDescent="0.3">
      <c r="J20" t="s">
        <v>90</v>
      </c>
      <c r="K20" t="s">
        <v>687</v>
      </c>
      <c r="L20">
        <v>0.75</v>
      </c>
      <c r="M20" t="s">
        <v>83</v>
      </c>
      <c r="N20">
        <v>2</v>
      </c>
    </row>
    <row r="22" spans="2:14" x14ac:dyDescent="0.3">
      <c r="J22" t="s">
        <v>91</v>
      </c>
      <c r="L22">
        <f>L18+L19+L20</f>
        <v>3.75</v>
      </c>
      <c r="M22" t="s">
        <v>83</v>
      </c>
      <c r="N22">
        <f>N18+N19+N20</f>
        <v>7</v>
      </c>
    </row>
  </sheetData>
  <mergeCells count="1">
    <mergeCell ref="B3:G3"/>
  </mergeCells>
  <phoneticPr fontId="1" type="noConversion"/>
  <pageMargins left="0.17" right="0.1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topLeftCell="A4" workbookViewId="0">
      <selection activeCell="P13" sqref="P13"/>
    </sheetView>
  </sheetViews>
  <sheetFormatPr defaultRowHeight="16.5" x14ac:dyDescent="0.3"/>
  <cols>
    <col min="1" max="1" width="5.625" customWidth="1"/>
    <col min="2" max="2" width="10.25" customWidth="1"/>
    <col min="4" max="4" width="18.375" customWidth="1"/>
    <col min="5" max="5" width="27.5" customWidth="1"/>
    <col min="9" max="9" width="16.625" customWidth="1"/>
  </cols>
  <sheetData>
    <row r="2" spans="2:15" ht="45.75" customHeight="1" x14ac:dyDescent="0.3"/>
    <row r="3" spans="2:15" s="1" customFormat="1" ht="65.25" customHeight="1" thickBot="1" x14ac:dyDescent="0.35">
      <c r="B3" s="251" t="s">
        <v>0</v>
      </c>
      <c r="C3" s="251"/>
      <c r="D3" s="251"/>
      <c r="E3" s="251"/>
      <c r="F3" s="251"/>
      <c r="G3" s="251"/>
    </row>
    <row r="4" spans="2:15" ht="17.25" thickTop="1" x14ac:dyDescent="0.3"/>
    <row r="6" spans="2:15" ht="45.75" customHeight="1" x14ac:dyDescent="0.3"/>
    <row r="7" spans="2:15" ht="35.1" customHeight="1" thickBot="1" x14ac:dyDescent="0.35">
      <c r="B7" s="13" t="s">
        <v>9</v>
      </c>
      <c r="C7" s="13" t="s">
        <v>4</v>
      </c>
      <c r="D7" s="13" t="s">
        <v>6</v>
      </c>
      <c r="E7" s="13" t="s">
        <v>10</v>
      </c>
      <c r="F7" s="13" t="s">
        <v>7</v>
      </c>
      <c r="G7" s="13" t="s">
        <v>8</v>
      </c>
    </row>
    <row r="8" spans="2:15" ht="35.1" customHeight="1" thickTop="1" x14ac:dyDescent="0.3">
      <c r="B8" s="6" t="s">
        <v>41</v>
      </c>
      <c r="C8" s="6" t="s">
        <v>12</v>
      </c>
      <c r="D8" s="7" t="s">
        <v>13</v>
      </c>
      <c r="E8" s="11" t="s">
        <v>14</v>
      </c>
      <c r="F8" s="8">
        <v>9800</v>
      </c>
      <c r="G8" s="9">
        <f>F8/F11</f>
        <v>0.32666666666666666</v>
      </c>
    </row>
    <row r="9" spans="2:15" ht="35.1" customHeight="1" x14ac:dyDescent="0.3">
      <c r="B9" s="4"/>
      <c r="C9" s="4" t="s">
        <v>15</v>
      </c>
      <c r="D9" s="10" t="s">
        <v>16</v>
      </c>
      <c r="E9" s="11" t="s">
        <v>14</v>
      </c>
      <c r="F9" s="2">
        <v>10000</v>
      </c>
      <c r="G9" s="3">
        <f>F9/F11</f>
        <v>0.33333333333333331</v>
      </c>
    </row>
    <row r="10" spans="2:15" ht="35.1" customHeight="1" x14ac:dyDescent="0.3">
      <c r="B10" s="4" t="s">
        <v>42</v>
      </c>
      <c r="C10" s="4" t="s">
        <v>43</v>
      </c>
      <c r="D10" s="10" t="s">
        <v>45</v>
      </c>
      <c r="E10" s="17" t="s">
        <v>477</v>
      </c>
      <c r="F10" s="2">
        <v>10200</v>
      </c>
      <c r="G10" s="3">
        <v>0.34</v>
      </c>
    </row>
    <row r="11" spans="2:15" ht="35.1" customHeight="1" x14ac:dyDescent="0.3">
      <c r="B11" s="4" t="s">
        <v>3</v>
      </c>
      <c r="C11" s="4" t="s">
        <v>44</v>
      </c>
      <c r="D11" s="10"/>
      <c r="E11" s="10"/>
      <c r="F11" s="2">
        <f>F8+F9+F10</f>
        <v>30000</v>
      </c>
      <c r="G11" s="3">
        <v>1</v>
      </c>
    </row>
    <row r="13" spans="2:15" ht="50.25" customHeight="1" x14ac:dyDescent="0.3"/>
    <row r="14" spans="2:15" s="5" customFormat="1" ht="30" customHeight="1" x14ac:dyDescent="0.3">
      <c r="B14" s="5" t="s">
        <v>46</v>
      </c>
    </row>
    <row r="15" spans="2:15" s="5" customFormat="1" ht="30" customHeight="1" x14ac:dyDescent="0.3">
      <c r="B15" s="5" t="s">
        <v>47</v>
      </c>
      <c r="M15" s="30" t="s">
        <v>657</v>
      </c>
      <c r="N15" s="122" t="s">
        <v>659</v>
      </c>
      <c r="O15">
        <v>0.75</v>
      </c>
    </row>
    <row r="16" spans="2:15" s="5" customFormat="1" ht="30" customHeight="1" x14ac:dyDescent="0.3">
      <c r="B16" s="5" t="s">
        <v>356</v>
      </c>
    </row>
    <row r="17" spans="2:11" s="5" customFormat="1" ht="30" customHeight="1" x14ac:dyDescent="0.3">
      <c r="B17" s="5" t="s">
        <v>28</v>
      </c>
    </row>
    <row r="18" spans="2:11" x14ac:dyDescent="0.3">
      <c r="H18" s="104" t="s">
        <v>655</v>
      </c>
      <c r="I18" s="264" t="s">
        <v>656</v>
      </c>
      <c r="J18" s="264" t="s">
        <v>671</v>
      </c>
      <c r="K18" s="267" t="s">
        <v>679</v>
      </c>
    </row>
    <row r="19" spans="2:11" x14ac:dyDescent="0.3">
      <c r="H19" s="30" t="s">
        <v>657</v>
      </c>
      <c r="I19" s="122" t="s">
        <v>659</v>
      </c>
      <c r="J19">
        <v>1.5</v>
      </c>
      <c r="K19">
        <v>2</v>
      </c>
    </row>
    <row r="20" spans="2:11" x14ac:dyDescent="0.3">
      <c r="H20" s="30" t="s">
        <v>678</v>
      </c>
      <c r="I20" s="264" t="s">
        <v>680</v>
      </c>
      <c r="J20">
        <v>0.75</v>
      </c>
      <c r="K20">
        <v>3</v>
      </c>
    </row>
    <row r="21" spans="2:11" x14ac:dyDescent="0.3">
      <c r="H21" s="30"/>
      <c r="I21" s="122"/>
    </row>
    <row r="22" spans="2:11" x14ac:dyDescent="0.3">
      <c r="H22" t="s">
        <v>137</v>
      </c>
      <c r="J22">
        <f>J19+J20+J21</f>
        <v>2.25</v>
      </c>
      <c r="K22">
        <f>K19+K20</f>
        <v>5</v>
      </c>
    </row>
  </sheetData>
  <mergeCells count="1">
    <mergeCell ref="B3:G3"/>
  </mergeCells>
  <phoneticPr fontId="1" type="noConversion"/>
  <pageMargins left="0.17" right="0.17" top="0.75" bottom="0.75" header="0.3" footer="0.3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4"/>
  <sheetViews>
    <sheetView topLeftCell="A4" workbookViewId="0">
      <selection activeCell="P16" sqref="P16"/>
    </sheetView>
  </sheetViews>
  <sheetFormatPr defaultRowHeight="16.5" x14ac:dyDescent="0.3"/>
  <cols>
    <col min="1" max="1" width="5.625" customWidth="1"/>
    <col min="2" max="2" width="10.25" customWidth="1"/>
    <col min="4" max="4" width="18.375" customWidth="1"/>
    <col min="5" max="5" width="27.5" customWidth="1"/>
    <col min="9" max="10" width="10.375" customWidth="1"/>
    <col min="12" max="12" width="6.875" customWidth="1"/>
  </cols>
  <sheetData>
    <row r="2" spans="2:13" ht="45.75" customHeight="1" x14ac:dyDescent="0.3"/>
    <row r="3" spans="2:13" s="1" customFormat="1" ht="65.25" customHeight="1" thickBot="1" x14ac:dyDescent="0.35">
      <c r="B3" s="251" t="s">
        <v>0</v>
      </c>
      <c r="C3" s="251"/>
      <c r="D3" s="251"/>
      <c r="E3" s="251"/>
      <c r="F3" s="251"/>
      <c r="G3" s="251"/>
    </row>
    <row r="4" spans="2:13" ht="17.25" thickTop="1" x14ac:dyDescent="0.3"/>
    <row r="6" spans="2:13" ht="45.75" customHeight="1" x14ac:dyDescent="0.3"/>
    <row r="7" spans="2:13" ht="35.1" customHeight="1" thickBot="1" x14ac:dyDescent="0.35">
      <c r="B7" s="13" t="s">
        <v>9</v>
      </c>
      <c r="C7" s="13" t="s">
        <v>4</v>
      </c>
      <c r="D7" s="13" t="s">
        <v>6</v>
      </c>
      <c r="E7" s="13" t="s">
        <v>10</v>
      </c>
      <c r="F7" s="13" t="s">
        <v>7</v>
      </c>
      <c r="G7" s="13" t="s">
        <v>8</v>
      </c>
    </row>
    <row r="8" spans="2:13" ht="35.1" customHeight="1" thickTop="1" x14ac:dyDescent="0.3">
      <c r="B8" s="6" t="s">
        <v>1</v>
      </c>
      <c r="C8" s="6" t="s">
        <v>21</v>
      </c>
      <c r="D8" s="7" t="s">
        <v>22</v>
      </c>
      <c r="E8" s="14" t="s">
        <v>23</v>
      </c>
      <c r="F8" s="8">
        <v>26500</v>
      </c>
      <c r="G8" s="15">
        <f>F8/F11</f>
        <v>0.50476190476190474</v>
      </c>
    </row>
    <row r="9" spans="2:13" ht="35.1" customHeight="1" x14ac:dyDescent="0.3">
      <c r="B9" s="4" t="s">
        <v>2</v>
      </c>
      <c r="C9" s="4" t="s">
        <v>24</v>
      </c>
      <c r="D9" s="10" t="s">
        <v>25</v>
      </c>
      <c r="E9" s="17" t="s">
        <v>355</v>
      </c>
      <c r="F9" s="2">
        <v>26000</v>
      </c>
      <c r="G9" s="16">
        <f>F9/F11</f>
        <v>0.49523809523809526</v>
      </c>
    </row>
    <row r="10" spans="2:13" ht="35.1" customHeight="1" x14ac:dyDescent="0.3">
      <c r="B10" s="4"/>
      <c r="C10" s="4"/>
      <c r="D10" s="10"/>
      <c r="E10" s="10"/>
      <c r="F10" s="4"/>
      <c r="G10" s="4"/>
    </row>
    <row r="11" spans="2:13" ht="35.1" customHeight="1" x14ac:dyDescent="0.3">
      <c r="B11" s="4" t="s">
        <v>3</v>
      </c>
      <c r="C11" s="4" t="s">
        <v>5</v>
      </c>
      <c r="D11" s="10"/>
      <c r="E11" s="10"/>
      <c r="F11" s="2">
        <f>F8+F9</f>
        <v>52500</v>
      </c>
      <c r="G11" s="3">
        <v>1</v>
      </c>
    </row>
    <row r="13" spans="2:13" ht="50.25" customHeight="1" x14ac:dyDescent="0.3">
      <c r="E13" s="163">
        <v>45742</v>
      </c>
    </row>
    <row r="14" spans="2:13" s="5" customFormat="1" ht="30" customHeight="1" x14ac:dyDescent="0.3">
      <c r="B14" s="5" t="s">
        <v>29</v>
      </c>
      <c r="M14" s="29" t="s">
        <v>672</v>
      </c>
    </row>
    <row r="15" spans="2:13" s="5" customFormat="1" ht="30" customHeight="1" x14ac:dyDescent="0.3">
      <c r="B15" s="5" t="s">
        <v>26</v>
      </c>
    </row>
    <row r="16" spans="2:13" s="5" customFormat="1" ht="30" customHeight="1" x14ac:dyDescent="0.3">
      <c r="B16" s="5" t="s">
        <v>27</v>
      </c>
    </row>
    <row r="17" spans="2:12" s="5" customFormat="1" ht="30" customHeight="1" x14ac:dyDescent="0.3">
      <c r="B17" s="5" t="s">
        <v>28</v>
      </c>
    </row>
    <row r="18" spans="2:12" x14ac:dyDescent="0.3">
      <c r="I18" s="65" t="s">
        <v>667</v>
      </c>
      <c r="J18" s="65" t="s">
        <v>668</v>
      </c>
      <c r="K18" s="65" t="s">
        <v>669</v>
      </c>
      <c r="L18" s="65" t="s">
        <v>670</v>
      </c>
    </row>
    <row r="19" spans="2:12" x14ac:dyDescent="0.3">
      <c r="I19" s="29" t="s">
        <v>87</v>
      </c>
      <c r="J19" s="29" t="s">
        <v>672</v>
      </c>
      <c r="K19" s="30">
        <v>1.5</v>
      </c>
      <c r="L19">
        <v>2</v>
      </c>
    </row>
    <row r="20" spans="2:12" x14ac:dyDescent="0.3">
      <c r="I20" s="30" t="s">
        <v>82</v>
      </c>
      <c r="J20" s="29" t="s">
        <v>675</v>
      </c>
      <c r="K20" s="31">
        <v>0.75</v>
      </c>
      <c r="L20">
        <v>2</v>
      </c>
    </row>
    <row r="21" spans="2:12" x14ac:dyDescent="0.3">
      <c r="I21" s="30" t="s">
        <v>84</v>
      </c>
      <c r="J21" s="30" t="s">
        <v>673</v>
      </c>
      <c r="K21" s="30">
        <v>1.5</v>
      </c>
      <c r="L21">
        <v>2</v>
      </c>
    </row>
    <row r="22" spans="2:12" x14ac:dyDescent="0.3">
      <c r="I22" s="30" t="s">
        <v>85</v>
      </c>
      <c r="J22" s="30" t="s">
        <v>674</v>
      </c>
      <c r="K22" s="30">
        <v>1.5</v>
      </c>
      <c r="L22">
        <v>2</v>
      </c>
    </row>
    <row r="24" spans="2:12" x14ac:dyDescent="0.3">
      <c r="I24" s="30" t="s">
        <v>86</v>
      </c>
      <c r="J24" s="30"/>
      <c r="K24" s="32">
        <f>K19+K20+K21+K22</f>
        <v>5.25</v>
      </c>
      <c r="L24">
        <f>SUM(L19:L23)</f>
        <v>8</v>
      </c>
    </row>
  </sheetData>
  <mergeCells count="1">
    <mergeCell ref="B3:G3"/>
  </mergeCells>
  <phoneticPr fontId="1" type="noConversion"/>
  <pageMargins left="0.28000000000000003" right="0.1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2"/>
  <sheetViews>
    <sheetView topLeftCell="A7" workbookViewId="0">
      <selection activeCell="N13" sqref="N13"/>
    </sheetView>
  </sheetViews>
  <sheetFormatPr defaultRowHeight="16.5" x14ac:dyDescent="0.3"/>
  <cols>
    <col min="1" max="1" width="1.75" customWidth="1"/>
    <col min="2" max="2" width="10.25" customWidth="1"/>
    <col min="4" max="4" width="18.375" customWidth="1"/>
    <col min="5" max="5" width="32.625" customWidth="1"/>
    <col min="9" max="9" width="9.125" customWidth="1"/>
    <col min="10" max="10" width="15" customWidth="1"/>
    <col min="11" max="11" width="10.75" customWidth="1"/>
    <col min="12" max="12" width="7" customWidth="1"/>
  </cols>
  <sheetData>
    <row r="2" spans="2:7" ht="45.75" customHeight="1" x14ac:dyDescent="0.3"/>
    <row r="3" spans="2:7" s="1" customFormat="1" ht="65.25" customHeight="1" thickBot="1" x14ac:dyDescent="0.35">
      <c r="B3" s="251" t="s">
        <v>0</v>
      </c>
      <c r="C3" s="251"/>
      <c r="D3" s="251"/>
      <c r="E3" s="251"/>
      <c r="F3" s="251"/>
      <c r="G3" s="251"/>
    </row>
    <row r="4" spans="2:7" ht="17.25" thickTop="1" x14ac:dyDescent="0.3"/>
    <row r="6" spans="2:7" ht="32.25" customHeight="1" x14ac:dyDescent="0.3"/>
    <row r="7" spans="2:7" ht="35.1" customHeight="1" thickBot="1" x14ac:dyDescent="0.35">
      <c r="B7" s="13" t="s">
        <v>9</v>
      </c>
      <c r="C7" s="13" t="s">
        <v>4</v>
      </c>
      <c r="D7" s="13" t="s">
        <v>6</v>
      </c>
      <c r="E7" s="13" t="s">
        <v>10</v>
      </c>
      <c r="F7" s="13" t="s">
        <v>7</v>
      </c>
      <c r="G7" s="13" t="s">
        <v>8</v>
      </c>
    </row>
    <row r="8" spans="2:7" ht="35.1" customHeight="1" thickTop="1" x14ac:dyDescent="0.3">
      <c r="B8" s="6" t="s">
        <v>1</v>
      </c>
      <c r="C8" s="6" t="s">
        <v>182</v>
      </c>
      <c r="D8" s="7" t="s">
        <v>31</v>
      </c>
      <c r="E8" s="14" t="s">
        <v>343</v>
      </c>
      <c r="F8" s="8">
        <v>43000</v>
      </c>
      <c r="G8" s="9">
        <v>0.5</v>
      </c>
    </row>
    <row r="9" spans="2:7" ht="35.1" customHeight="1" x14ac:dyDescent="0.3">
      <c r="B9" s="4"/>
      <c r="C9" s="4" t="s">
        <v>21</v>
      </c>
      <c r="D9" s="5" t="s">
        <v>22</v>
      </c>
      <c r="E9" s="17" t="s">
        <v>313</v>
      </c>
      <c r="F9" s="2">
        <v>21500</v>
      </c>
      <c r="G9" s="3">
        <v>0.25</v>
      </c>
    </row>
    <row r="10" spans="2:7" ht="35.1" customHeight="1" x14ac:dyDescent="0.3">
      <c r="B10" s="4"/>
      <c r="C10" s="4" t="s">
        <v>312</v>
      </c>
      <c r="D10" s="131" t="s">
        <v>287</v>
      </c>
      <c r="E10" s="132" t="s">
        <v>314</v>
      </c>
      <c r="F10" s="4">
        <v>21500</v>
      </c>
      <c r="G10" s="3">
        <v>0.25</v>
      </c>
    </row>
    <row r="11" spans="2:7" ht="35.1" customHeight="1" x14ac:dyDescent="0.3">
      <c r="B11" s="4" t="s">
        <v>3</v>
      </c>
      <c r="C11" s="4" t="s">
        <v>310</v>
      </c>
      <c r="D11" s="10"/>
      <c r="E11" s="10"/>
      <c r="F11" s="2">
        <f>F8+F9+F10</f>
        <v>86000</v>
      </c>
      <c r="G11" s="3">
        <v>1</v>
      </c>
    </row>
    <row r="12" spans="2:7" x14ac:dyDescent="0.3">
      <c r="E12" s="25"/>
    </row>
    <row r="13" spans="2:7" ht="125.25" customHeight="1" x14ac:dyDescent="0.3">
      <c r="E13" s="252">
        <v>45636</v>
      </c>
      <c r="F13" s="252"/>
      <c r="G13" s="252"/>
    </row>
    <row r="14" spans="2:7" s="5" customFormat="1" ht="30" customHeight="1" x14ac:dyDescent="0.3">
      <c r="B14" s="5" t="s">
        <v>309</v>
      </c>
    </row>
    <row r="15" spans="2:7" s="5" customFormat="1" ht="30" customHeight="1" x14ac:dyDescent="0.3">
      <c r="B15" s="5" t="s">
        <v>311</v>
      </c>
    </row>
    <row r="16" spans="2:7" s="5" customFormat="1" ht="30" customHeight="1" x14ac:dyDescent="0.3">
      <c r="B16" s="5" t="s">
        <v>308</v>
      </c>
    </row>
    <row r="17" spans="2:12" s="5" customFormat="1" ht="30" customHeight="1" x14ac:dyDescent="0.3">
      <c r="B17" s="5" t="s">
        <v>35</v>
      </c>
      <c r="I17" s="268" t="s">
        <v>655</v>
      </c>
      <c r="J17" s="268" t="s">
        <v>656</v>
      </c>
      <c r="K17" s="268" t="s">
        <v>671</v>
      </c>
      <c r="L17" s="105" t="s">
        <v>681</v>
      </c>
    </row>
    <row r="18" spans="2:12" x14ac:dyDescent="0.3">
      <c r="I18" s="29" t="s">
        <v>89</v>
      </c>
      <c r="J18" s="264" t="s">
        <v>676</v>
      </c>
      <c r="K18">
        <v>1.5</v>
      </c>
      <c r="L18">
        <v>2</v>
      </c>
    </row>
    <row r="19" spans="2:12" x14ac:dyDescent="0.3">
      <c r="I19" s="30" t="s">
        <v>658</v>
      </c>
      <c r="J19" s="264" t="s">
        <v>677</v>
      </c>
      <c r="K19">
        <v>1.5</v>
      </c>
      <c r="L19">
        <v>2</v>
      </c>
    </row>
    <row r="20" spans="2:12" x14ac:dyDescent="0.3">
      <c r="I20" s="30" t="s">
        <v>657</v>
      </c>
      <c r="J20" s="122" t="s">
        <v>659</v>
      </c>
      <c r="K20">
        <v>0.75</v>
      </c>
      <c r="L20">
        <v>2</v>
      </c>
    </row>
    <row r="22" spans="2:12" x14ac:dyDescent="0.3">
      <c r="I22" t="s">
        <v>137</v>
      </c>
      <c r="K22">
        <f>K18+K19+K20</f>
        <v>3.75</v>
      </c>
      <c r="L22">
        <f>L18+L19+L20</f>
        <v>6</v>
      </c>
    </row>
  </sheetData>
  <mergeCells count="2">
    <mergeCell ref="B3:G3"/>
    <mergeCell ref="E13:G13"/>
  </mergeCells>
  <phoneticPr fontId="1" type="noConversion"/>
  <pageMargins left="0.18" right="0.1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4"/>
  <sheetViews>
    <sheetView workbookViewId="0">
      <selection activeCell="E19" sqref="E19"/>
    </sheetView>
  </sheetViews>
  <sheetFormatPr defaultRowHeight="16.5" x14ac:dyDescent="0.3"/>
  <cols>
    <col min="1" max="1" width="5.625" customWidth="1"/>
    <col min="2" max="2" width="10.25" customWidth="1"/>
    <col min="4" max="4" width="18.375" customWidth="1"/>
    <col min="5" max="5" width="27.5" customWidth="1"/>
    <col min="8" max="8" width="15.375" customWidth="1"/>
    <col min="10" max="10" width="12.875" customWidth="1"/>
    <col min="11" max="11" width="5.125" customWidth="1"/>
    <col min="12" max="12" width="4.25" customWidth="1"/>
    <col min="13" max="13" width="5" customWidth="1"/>
    <col min="14" max="15" width="4.875" customWidth="1"/>
  </cols>
  <sheetData>
    <row r="2" spans="2:10" ht="45.75" customHeight="1" x14ac:dyDescent="0.3"/>
    <row r="3" spans="2:10" s="1" customFormat="1" ht="65.25" customHeight="1" thickBot="1" x14ac:dyDescent="0.35">
      <c r="B3" s="251" t="s">
        <v>0</v>
      </c>
      <c r="C3" s="251"/>
      <c r="D3" s="251"/>
      <c r="E3" s="251"/>
      <c r="F3" s="251"/>
      <c r="G3" s="251"/>
    </row>
    <row r="4" spans="2:10" ht="17.25" thickTop="1" x14ac:dyDescent="0.3"/>
    <row r="6" spans="2:10" ht="45.75" customHeight="1" x14ac:dyDescent="0.3"/>
    <row r="7" spans="2:10" ht="35.1" customHeight="1" thickBot="1" x14ac:dyDescent="0.35">
      <c r="B7" s="13" t="s">
        <v>9</v>
      </c>
      <c r="C7" s="13" t="s">
        <v>4</v>
      </c>
      <c r="D7" s="13" t="s">
        <v>6</v>
      </c>
      <c r="E7" s="13" t="s">
        <v>10</v>
      </c>
      <c r="F7" s="13" t="s">
        <v>7</v>
      </c>
      <c r="G7" s="13" t="s">
        <v>8</v>
      </c>
      <c r="H7" s="110" t="s">
        <v>248</v>
      </c>
      <c r="I7" s="111" t="s">
        <v>7</v>
      </c>
      <c r="J7" s="111" t="s">
        <v>249</v>
      </c>
    </row>
    <row r="8" spans="2:10" ht="35.1" customHeight="1" thickTop="1" x14ac:dyDescent="0.3">
      <c r="B8" s="6" t="s">
        <v>1</v>
      </c>
      <c r="C8" s="6" t="s">
        <v>12</v>
      </c>
      <c r="D8" s="7" t="s">
        <v>13</v>
      </c>
      <c r="E8" s="11" t="s">
        <v>14</v>
      </c>
      <c r="F8" s="8">
        <v>36300</v>
      </c>
      <c r="G8" s="9">
        <v>0.6</v>
      </c>
      <c r="H8" s="112">
        <f>250000000*0.6</f>
        <v>150000000</v>
      </c>
      <c r="I8" s="112">
        <v>15000</v>
      </c>
      <c r="J8" s="113">
        <v>49500</v>
      </c>
    </row>
    <row r="9" spans="2:10" ht="35.1" customHeight="1" x14ac:dyDescent="0.3">
      <c r="B9" s="4" t="s">
        <v>2</v>
      </c>
      <c r="C9" s="4" t="s">
        <v>15</v>
      </c>
      <c r="D9" s="10" t="s">
        <v>16</v>
      </c>
      <c r="E9" s="12" t="s">
        <v>11</v>
      </c>
      <c r="F9" s="2">
        <v>24200</v>
      </c>
      <c r="G9" s="3">
        <v>0.4</v>
      </c>
      <c r="H9" s="112">
        <f>250000000*0.4</f>
        <v>100000000</v>
      </c>
      <c r="I9" s="112">
        <v>10000</v>
      </c>
      <c r="J9" s="113">
        <v>33000</v>
      </c>
    </row>
    <row r="10" spans="2:10" ht="35.1" customHeight="1" x14ac:dyDescent="0.3">
      <c r="B10" s="4"/>
      <c r="C10" s="4"/>
      <c r="D10" s="10"/>
      <c r="E10" s="10"/>
      <c r="F10" s="4"/>
      <c r="G10" s="4"/>
      <c r="H10" s="61"/>
      <c r="I10" s="61"/>
      <c r="J10" s="61"/>
    </row>
    <row r="11" spans="2:10" ht="35.1" customHeight="1" x14ac:dyDescent="0.3">
      <c r="B11" s="4" t="s">
        <v>3</v>
      </c>
      <c r="C11" s="4" t="s">
        <v>5</v>
      </c>
      <c r="D11" s="10"/>
      <c r="E11" s="10"/>
      <c r="F11" s="2">
        <v>60500</v>
      </c>
      <c r="G11" s="3">
        <v>1</v>
      </c>
      <c r="H11" s="61"/>
      <c r="I11" s="61"/>
      <c r="J11" s="113">
        <v>825000000</v>
      </c>
    </row>
    <row r="13" spans="2:10" ht="50.25" customHeight="1" x14ac:dyDescent="0.3"/>
    <row r="14" spans="2:10" s="5" customFormat="1" ht="30" customHeight="1" x14ac:dyDescent="0.3">
      <c r="B14" s="5" t="s">
        <v>17</v>
      </c>
    </row>
    <row r="15" spans="2:10" s="5" customFormat="1" ht="30" customHeight="1" x14ac:dyDescent="0.3">
      <c r="B15" s="5" t="s">
        <v>20</v>
      </c>
    </row>
    <row r="16" spans="2:10" s="5" customFormat="1" ht="30" customHeight="1" x14ac:dyDescent="0.3">
      <c r="B16" s="5" t="s">
        <v>18</v>
      </c>
    </row>
    <row r="17" spans="2:14" s="5" customFormat="1" ht="30" customHeight="1" x14ac:dyDescent="0.3">
      <c r="B17" s="5" t="s">
        <v>19</v>
      </c>
      <c r="I17" s="120" t="s">
        <v>263</v>
      </c>
      <c r="K17" s="28"/>
      <c r="M17" s="97" t="s">
        <v>264</v>
      </c>
      <c r="N17" s="97" t="s">
        <v>265</v>
      </c>
    </row>
    <row r="18" spans="2:14" x14ac:dyDescent="0.3">
      <c r="I18">
        <v>4</v>
      </c>
      <c r="J18" s="98" t="s">
        <v>262</v>
      </c>
      <c r="K18" s="100">
        <v>2</v>
      </c>
      <c r="L18" s="99" t="s">
        <v>83</v>
      </c>
      <c r="M18" s="104">
        <v>5</v>
      </c>
      <c r="N18">
        <v>6</v>
      </c>
    </row>
    <row r="19" spans="2:14" x14ac:dyDescent="0.3">
      <c r="I19">
        <v>1</v>
      </c>
      <c r="J19" s="99" t="s">
        <v>82</v>
      </c>
      <c r="K19" s="101">
        <v>0.75</v>
      </c>
      <c r="L19" s="99" t="s">
        <v>83</v>
      </c>
      <c r="M19" s="104">
        <v>0.75</v>
      </c>
      <c r="N19">
        <v>1</v>
      </c>
    </row>
    <row r="20" spans="2:14" ht="19.5" customHeight="1" x14ac:dyDescent="0.3">
      <c r="I20">
        <v>3</v>
      </c>
      <c r="J20" s="99" t="s">
        <v>84</v>
      </c>
      <c r="K20" s="100">
        <v>1.5</v>
      </c>
      <c r="L20" s="99" t="s">
        <v>83</v>
      </c>
      <c r="M20" s="104">
        <v>1.5</v>
      </c>
      <c r="N20">
        <v>3</v>
      </c>
    </row>
    <row r="21" spans="2:14" x14ac:dyDescent="0.3">
      <c r="I21">
        <v>2</v>
      </c>
      <c r="J21" s="99" t="s">
        <v>85</v>
      </c>
      <c r="K21" s="100">
        <v>1.5</v>
      </c>
      <c r="L21" s="99" t="s">
        <v>83</v>
      </c>
      <c r="M21" s="104">
        <v>1.5</v>
      </c>
      <c r="N21">
        <v>2</v>
      </c>
    </row>
    <row r="22" spans="2:14" x14ac:dyDescent="0.3">
      <c r="I22" s="50">
        <v>4</v>
      </c>
      <c r="J22" s="102" t="s">
        <v>241</v>
      </c>
      <c r="K22" s="103">
        <v>1.5</v>
      </c>
      <c r="L22" s="102" t="s">
        <v>240</v>
      </c>
      <c r="M22" s="104">
        <v>1.5</v>
      </c>
      <c r="N22">
        <v>4</v>
      </c>
    </row>
    <row r="23" spans="2:14" x14ac:dyDescent="0.3">
      <c r="J23" s="102" t="s">
        <v>246</v>
      </c>
      <c r="K23" s="103">
        <v>1</v>
      </c>
      <c r="L23" s="102" t="s">
        <v>240</v>
      </c>
      <c r="M23" s="104">
        <v>1</v>
      </c>
    </row>
    <row r="24" spans="2:14" x14ac:dyDescent="0.3">
      <c r="I24">
        <v>14</v>
      </c>
      <c r="J24" s="105" t="s">
        <v>86</v>
      </c>
      <c r="K24" s="106">
        <f>K18+K19+K20+K21+K22+K23</f>
        <v>8.25</v>
      </c>
      <c r="L24" s="105" t="s">
        <v>240</v>
      </c>
      <c r="M24" s="107">
        <f>M18+M19+M20+M21+M22+M23</f>
        <v>11.25</v>
      </c>
      <c r="N24" s="108">
        <f>N18+N19+N20+N21+N22</f>
        <v>16</v>
      </c>
    </row>
  </sheetData>
  <mergeCells count="1">
    <mergeCell ref="B3:G3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2"/>
  <sheetViews>
    <sheetView workbookViewId="0">
      <selection activeCell="K11" sqref="K11"/>
    </sheetView>
  </sheetViews>
  <sheetFormatPr defaultRowHeight="16.5" x14ac:dyDescent="0.3"/>
  <cols>
    <col min="1" max="1" width="1.5" customWidth="1"/>
    <col min="2" max="2" width="10.25" customWidth="1"/>
    <col min="4" max="4" width="18.375" customWidth="1"/>
    <col min="5" max="5" width="27.5" customWidth="1"/>
    <col min="8" max="8" width="10.5" bestFit="1" customWidth="1"/>
    <col min="10" max="10" width="10" customWidth="1"/>
    <col min="11" max="11" width="5.625" customWidth="1"/>
    <col min="12" max="12" width="3.625" customWidth="1"/>
  </cols>
  <sheetData>
    <row r="2" spans="2:8" ht="45.75" customHeight="1" x14ac:dyDescent="0.3"/>
    <row r="3" spans="2:8" s="1" customFormat="1" ht="65.25" customHeight="1" thickBot="1" x14ac:dyDescent="0.35">
      <c r="B3" s="251" t="s">
        <v>0</v>
      </c>
      <c r="C3" s="251"/>
      <c r="D3" s="251"/>
      <c r="E3" s="251"/>
      <c r="F3" s="251"/>
      <c r="G3" s="251"/>
    </row>
    <row r="4" spans="2:8" ht="17.25" thickTop="1" x14ac:dyDescent="0.3"/>
    <row r="5" spans="2:8" ht="35.25" customHeight="1" x14ac:dyDescent="0.3"/>
    <row r="6" spans="2:8" ht="33.75" customHeight="1" x14ac:dyDescent="0.3"/>
    <row r="7" spans="2:8" ht="35.1" customHeight="1" thickBot="1" x14ac:dyDescent="0.35">
      <c r="B7" s="13" t="s">
        <v>9</v>
      </c>
      <c r="C7" s="13" t="s">
        <v>4</v>
      </c>
      <c r="D7" s="13" t="s">
        <v>6</v>
      </c>
      <c r="E7" s="13" t="s">
        <v>10</v>
      </c>
      <c r="F7" s="13" t="s">
        <v>7</v>
      </c>
      <c r="G7" s="13" t="s">
        <v>8</v>
      </c>
    </row>
    <row r="8" spans="2:8" ht="35.1" customHeight="1" thickTop="1" x14ac:dyDescent="0.3">
      <c r="B8" s="6" t="s">
        <v>1</v>
      </c>
      <c r="C8" s="6" t="s">
        <v>15</v>
      </c>
      <c r="D8" s="10" t="s">
        <v>16</v>
      </c>
      <c r="E8" s="11" t="s">
        <v>14</v>
      </c>
      <c r="F8" s="8">
        <v>20000</v>
      </c>
      <c r="G8" s="9">
        <f>F8/F11</f>
        <v>0.53333333333333333</v>
      </c>
      <c r="H8" s="190">
        <f>H11*0.6667</f>
        <v>25001.25</v>
      </c>
    </row>
    <row r="9" spans="2:8" ht="49.5" customHeight="1" x14ac:dyDescent="0.3">
      <c r="B9" s="4" t="s">
        <v>2</v>
      </c>
      <c r="C9" s="4" t="s">
        <v>24</v>
      </c>
      <c r="D9" s="10" t="s">
        <v>25</v>
      </c>
      <c r="E9" s="17" t="s">
        <v>36</v>
      </c>
      <c r="F9" s="2">
        <v>17500</v>
      </c>
      <c r="G9" s="3">
        <f>F9/F11</f>
        <v>0.46666666666666667</v>
      </c>
      <c r="H9" s="190">
        <f>F11*0.3333</f>
        <v>12498.75</v>
      </c>
    </row>
    <row r="10" spans="2:8" ht="35.1" customHeight="1" x14ac:dyDescent="0.3">
      <c r="B10" s="4"/>
      <c r="C10" s="4"/>
      <c r="D10" s="10"/>
      <c r="E10" s="10"/>
      <c r="F10" s="4"/>
      <c r="G10" s="4"/>
    </row>
    <row r="11" spans="2:8" ht="35.1" customHeight="1" x14ac:dyDescent="0.3">
      <c r="B11" s="4" t="s">
        <v>3</v>
      </c>
      <c r="C11" s="4" t="s">
        <v>5</v>
      </c>
      <c r="D11" s="10"/>
      <c r="E11" s="10"/>
      <c r="F11" s="2">
        <f>F8+F9</f>
        <v>37500</v>
      </c>
      <c r="G11" s="3">
        <v>1</v>
      </c>
      <c r="H11">
        <v>37500</v>
      </c>
    </row>
    <row r="13" spans="2:8" ht="50.25" customHeight="1" x14ac:dyDescent="0.3"/>
    <row r="14" spans="2:8" s="5" customFormat="1" ht="30" customHeight="1" x14ac:dyDescent="0.3">
      <c r="B14" s="5" t="s">
        <v>37</v>
      </c>
    </row>
    <row r="15" spans="2:8" s="5" customFormat="1" ht="30" customHeight="1" x14ac:dyDescent="0.3">
      <c r="B15" s="5" t="s">
        <v>38</v>
      </c>
    </row>
    <row r="16" spans="2:8" s="5" customFormat="1" ht="30" customHeight="1" x14ac:dyDescent="0.3">
      <c r="B16" s="5" t="s">
        <v>39</v>
      </c>
    </row>
    <row r="17" spans="2:12" s="5" customFormat="1" ht="30" customHeight="1" x14ac:dyDescent="0.3">
      <c r="B17" s="5" t="s">
        <v>40</v>
      </c>
    </row>
    <row r="18" spans="2:12" x14ac:dyDescent="0.3">
      <c r="J18" t="s">
        <v>88</v>
      </c>
      <c r="K18">
        <v>1.5</v>
      </c>
      <c r="L18" t="s">
        <v>83</v>
      </c>
    </row>
    <row r="19" spans="2:12" x14ac:dyDescent="0.3">
      <c r="J19" t="s">
        <v>89</v>
      </c>
      <c r="K19">
        <v>1.5</v>
      </c>
      <c r="L19" t="s">
        <v>83</v>
      </c>
    </row>
    <row r="20" spans="2:12" x14ac:dyDescent="0.3">
      <c r="J20" t="s">
        <v>90</v>
      </c>
      <c r="K20">
        <v>0.75</v>
      </c>
      <c r="L20" t="s">
        <v>83</v>
      </c>
    </row>
    <row r="22" spans="2:12" x14ac:dyDescent="0.3">
      <c r="J22" t="s">
        <v>91</v>
      </c>
      <c r="K22">
        <f>K18+K19+K20</f>
        <v>3.75</v>
      </c>
      <c r="L22" t="s">
        <v>83</v>
      </c>
    </row>
  </sheetData>
  <mergeCells count="1">
    <mergeCell ref="B3:G3"/>
  </mergeCells>
  <phoneticPr fontId="1" type="noConversion"/>
  <pageMargins left="0.51" right="0.17" top="0.75" bottom="0.75" header="0.3" footer="0.3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view="pageBreakPreview" zoomScale="60" zoomScaleNormal="90" workbookViewId="0">
      <selection activeCell="L37" sqref="L37"/>
    </sheetView>
  </sheetViews>
  <sheetFormatPr defaultRowHeight="16.5" x14ac:dyDescent="0.3"/>
  <cols>
    <col min="1" max="1" width="1.75" customWidth="1"/>
    <col min="2" max="2" width="10.25" customWidth="1"/>
    <col min="4" max="4" width="18.375" customWidth="1"/>
    <col min="5" max="5" width="32.625" customWidth="1"/>
    <col min="9" max="10" width="5.625" customWidth="1"/>
  </cols>
  <sheetData>
    <row r="2" spans="2:7" ht="45.75" customHeight="1" x14ac:dyDescent="0.3"/>
    <row r="3" spans="2:7" s="1" customFormat="1" ht="65.25" customHeight="1" thickBot="1" x14ac:dyDescent="0.35">
      <c r="B3" s="251" t="s">
        <v>0</v>
      </c>
      <c r="C3" s="251"/>
      <c r="D3" s="251"/>
      <c r="E3" s="251"/>
      <c r="F3" s="251"/>
      <c r="G3" s="251"/>
    </row>
    <row r="4" spans="2:7" ht="17.25" thickTop="1" x14ac:dyDescent="0.3"/>
    <row r="6" spans="2:7" ht="32.25" customHeight="1" x14ac:dyDescent="0.3"/>
    <row r="7" spans="2:7" ht="35.1" customHeight="1" thickBot="1" x14ac:dyDescent="0.35">
      <c r="B7" s="13" t="s">
        <v>9</v>
      </c>
      <c r="C7" s="13" t="s">
        <v>4</v>
      </c>
      <c r="D7" s="13" t="s">
        <v>6</v>
      </c>
      <c r="E7" s="13" t="s">
        <v>10</v>
      </c>
      <c r="F7" s="13" t="s">
        <v>7</v>
      </c>
      <c r="G7" s="13" t="s">
        <v>8</v>
      </c>
    </row>
    <row r="8" spans="2:7" ht="35.1" customHeight="1" thickTop="1" x14ac:dyDescent="0.3">
      <c r="B8" s="6" t="s">
        <v>1</v>
      </c>
      <c r="C8" s="6" t="s">
        <v>30</v>
      </c>
      <c r="D8" s="7" t="s">
        <v>31</v>
      </c>
      <c r="E8" s="11" t="s">
        <v>32</v>
      </c>
      <c r="F8" s="8">
        <v>42140</v>
      </c>
      <c r="G8" s="9">
        <v>0.49</v>
      </c>
    </row>
    <row r="9" spans="2:7" ht="35.1" customHeight="1" x14ac:dyDescent="0.3">
      <c r="B9" s="4" t="s">
        <v>2</v>
      </c>
      <c r="C9" s="4" t="s">
        <v>33</v>
      </c>
      <c r="D9" s="10" t="s">
        <v>34</v>
      </c>
      <c r="E9" s="17" t="s">
        <v>273</v>
      </c>
      <c r="F9" s="2">
        <v>43860</v>
      </c>
      <c r="G9" s="3">
        <v>0.51</v>
      </c>
    </row>
    <row r="10" spans="2:7" ht="35.1" customHeight="1" x14ac:dyDescent="0.3">
      <c r="B10" s="4"/>
      <c r="C10" s="4"/>
      <c r="D10" s="10"/>
      <c r="E10" s="10"/>
      <c r="F10" s="4"/>
      <c r="G10" s="4"/>
    </row>
    <row r="11" spans="2:7" ht="35.1" customHeight="1" x14ac:dyDescent="0.3">
      <c r="B11" s="4" t="s">
        <v>3</v>
      </c>
      <c r="C11" s="4" t="s">
        <v>310</v>
      </c>
      <c r="D11" s="10"/>
      <c r="E11" s="10"/>
      <c r="F11" s="2">
        <f>F8+F9</f>
        <v>86000</v>
      </c>
      <c r="G11" s="3">
        <v>1</v>
      </c>
    </row>
    <row r="13" spans="2:7" ht="125.25" customHeight="1" x14ac:dyDescent="0.3">
      <c r="E13" s="252">
        <v>45555</v>
      </c>
      <c r="F13" s="252"/>
      <c r="G13" s="252"/>
    </row>
    <row r="14" spans="2:7" s="5" customFormat="1" ht="30" customHeight="1" x14ac:dyDescent="0.3">
      <c r="B14" s="5" t="s">
        <v>309</v>
      </c>
    </row>
    <row r="15" spans="2:7" s="5" customFormat="1" ht="30" customHeight="1" x14ac:dyDescent="0.3">
      <c r="B15" s="5" t="s">
        <v>307</v>
      </c>
    </row>
    <row r="16" spans="2:7" s="5" customFormat="1" ht="30" customHeight="1" x14ac:dyDescent="0.3">
      <c r="B16" s="5" t="s">
        <v>308</v>
      </c>
    </row>
    <row r="17" spans="2:10" s="5" customFormat="1" ht="30" customHeight="1" x14ac:dyDescent="0.3">
      <c r="B17" s="5" t="s">
        <v>35</v>
      </c>
    </row>
    <row r="18" spans="2:10" x14ac:dyDescent="0.3">
      <c r="I18" t="s">
        <v>134</v>
      </c>
      <c r="J18">
        <v>1.5</v>
      </c>
    </row>
    <row r="19" spans="2:10" x14ac:dyDescent="0.3">
      <c r="I19" t="s">
        <v>135</v>
      </c>
      <c r="J19">
        <v>1.5</v>
      </c>
    </row>
    <row r="20" spans="2:10" x14ac:dyDescent="0.3">
      <c r="I20" t="s">
        <v>136</v>
      </c>
      <c r="J20">
        <v>0.75</v>
      </c>
    </row>
    <row r="22" spans="2:10" x14ac:dyDescent="0.3">
      <c r="I22" t="s">
        <v>137</v>
      </c>
      <c r="J22">
        <f>J18+J19+J20</f>
        <v>3.75</v>
      </c>
    </row>
  </sheetData>
  <mergeCells count="2">
    <mergeCell ref="B3:G3"/>
    <mergeCell ref="E13:G13"/>
  </mergeCells>
  <phoneticPr fontId="1" type="noConversion"/>
  <pageMargins left="0.5" right="0.17" top="0.75" bottom="0.75" header="0.3" footer="0.3"/>
  <pageSetup paperSize="9" scale="99" orientation="portrait" r:id="rId1"/>
  <colBreaks count="1" manualBreakCount="1">
    <brk id="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6"/>
  <sheetViews>
    <sheetView view="pageBreakPreview" topLeftCell="A67" zoomScale="90" zoomScaleNormal="100" zoomScaleSheetLayoutView="90" workbookViewId="0">
      <selection activeCell="Q9" sqref="Q9"/>
    </sheetView>
  </sheetViews>
  <sheetFormatPr defaultRowHeight="16.5" x14ac:dyDescent="0.3"/>
  <cols>
    <col min="1" max="1" width="13.75" customWidth="1"/>
    <col min="2" max="2" width="13.125" customWidth="1"/>
    <col min="3" max="3" width="16.75" customWidth="1"/>
    <col min="4" max="4" width="8.75" customWidth="1"/>
    <col min="5" max="5" width="8.375" customWidth="1"/>
    <col min="6" max="6" width="18.5" customWidth="1"/>
    <col min="7" max="7" width="16.125" customWidth="1"/>
    <col min="8" max="8" width="12.125" style="35" customWidth="1"/>
    <col min="9" max="9" width="15.625" style="23" customWidth="1"/>
    <col min="10" max="10" width="5.875" style="49" customWidth="1"/>
    <col min="11" max="13" width="9" style="49"/>
    <col min="14" max="14" width="7" customWidth="1"/>
    <col min="15" max="15" width="9" customWidth="1"/>
    <col min="16" max="16" width="8.75" customWidth="1"/>
    <col min="17" max="17" width="30.5" customWidth="1"/>
    <col min="18" max="18" width="13.75" customWidth="1"/>
  </cols>
  <sheetData>
    <row r="1" spans="1:15" ht="24" customHeight="1" x14ac:dyDescent="0.3">
      <c r="A1" s="18" t="s">
        <v>48</v>
      </c>
      <c r="B1" s="18" t="s">
        <v>49</v>
      </c>
      <c r="C1" s="18" t="s">
        <v>50</v>
      </c>
      <c r="D1" s="18" t="s">
        <v>51</v>
      </c>
      <c r="E1" s="18" t="s">
        <v>52</v>
      </c>
      <c r="F1" s="18" t="s">
        <v>53</v>
      </c>
      <c r="G1" s="18" t="s">
        <v>54</v>
      </c>
      <c r="H1" s="34" t="s">
        <v>211</v>
      </c>
      <c r="I1" s="22" t="s">
        <v>60</v>
      </c>
      <c r="N1" t="s">
        <v>250</v>
      </c>
      <c r="O1" t="s">
        <v>252</v>
      </c>
    </row>
    <row r="2" spans="1:15" ht="24" customHeight="1" x14ac:dyDescent="0.3">
      <c r="A2" s="253" t="s">
        <v>372</v>
      </c>
      <c r="B2" s="159" t="s">
        <v>373</v>
      </c>
      <c r="C2" t="s">
        <v>13</v>
      </c>
      <c r="D2" t="s">
        <v>212</v>
      </c>
      <c r="F2" s="159" t="s">
        <v>55</v>
      </c>
      <c r="G2" t="s">
        <v>560</v>
      </c>
      <c r="H2" s="35" t="s">
        <v>56</v>
      </c>
      <c r="I2" s="26"/>
      <c r="N2" t="s">
        <v>251</v>
      </c>
      <c r="O2" t="s">
        <v>253</v>
      </c>
    </row>
    <row r="3" spans="1:15" ht="24" customHeight="1" x14ac:dyDescent="0.3">
      <c r="A3" s="256"/>
      <c r="B3" s="159" t="s">
        <v>57</v>
      </c>
      <c r="C3" t="s">
        <v>109</v>
      </c>
      <c r="D3" t="s">
        <v>214</v>
      </c>
      <c r="F3" s="160" t="s">
        <v>92</v>
      </c>
      <c r="G3" t="s">
        <v>561</v>
      </c>
      <c r="H3" s="35" t="s">
        <v>56</v>
      </c>
      <c r="I3" s="26"/>
    </row>
    <row r="4" spans="1:15" s="50" customFormat="1" ht="24" customHeight="1" x14ac:dyDescent="0.3">
      <c r="A4" s="256"/>
      <c r="B4" s="171" t="s">
        <v>58</v>
      </c>
      <c r="C4" s="166" t="s">
        <v>118</v>
      </c>
      <c r="D4" s="166" t="s">
        <v>215</v>
      </c>
      <c r="E4" s="166"/>
      <c r="F4" s="171" t="s">
        <v>93</v>
      </c>
      <c r="G4" s="166" t="s">
        <v>562</v>
      </c>
      <c r="H4" s="167"/>
      <c r="I4" s="170"/>
      <c r="J4" s="53" t="s">
        <v>131</v>
      </c>
      <c r="K4" s="53" t="s">
        <v>141</v>
      </c>
      <c r="L4" s="53"/>
      <c r="M4" s="53"/>
    </row>
    <row r="5" spans="1:15" ht="24" customHeight="1" x14ac:dyDescent="0.3">
      <c r="A5" s="256"/>
      <c r="B5" s="160" t="s">
        <v>59</v>
      </c>
      <c r="C5" t="s">
        <v>115</v>
      </c>
      <c r="D5" t="s">
        <v>213</v>
      </c>
      <c r="F5" s="160" t="s">
        <v>94</v>
      </c>
      <c r="G5" t="s">
        <v>562</v>
      </c>
      <c r="I5" s="26"/>
    </row>
    <row r="6" spans="1:15" ht="24" customHeight="1" x14ac:dyDescent="0.3">
      <c r="A6" s="256"/>
      <c r="B6" s="221" t="s">
        <v>505</v>
      </c>
      <c r="C6" s="109" t="s">
        <v>112</v>
      </c>
      <c r="D6" s="109" t="s">
        <v>170</v>
      </c>
      <c r="E6" s="49" t="s">
        <v>315</v>
      </c>
      <c r="F6" s="159" t="s">
        <v>55</v>
      </c>
      <c r="G6" t="s">
        <v>563</v>
      </c>
      <c r="H6" s="142" t="s">
        <v>56</v>
      </c>
      <c r="I6" s="26"/>
    </row>
    <row r="7" spans="1:15" ht="24" customHeight="1" x14ac:dyDescent="0.3">
      <c r="A7" s="256"/>
      <c r="B7" s="195" t="s">
        <v>380</v>
      </c>
      <c r="C7" s="54" t="s">
        <v>123</v>
      </c>
      <c r="D7" s="54" t="s">
        <v>291</v>
      </c>
      <c r="E7" s="54" t="s">
        <v>376</v>
      </c>
      <c r="F7" s="193" t="s">
        <v>95</v>
      </c>
      <c r="H7" s="142"/>
      <c r="I7" s="26" t="s">
        <v>397</v>
      </c>
      <c r="J7" s="249" t="s">
        <v>131</v>
      </c>
      <c r="K7" s="250" t="s">
        <v>270</v>
      </c>
      <c r="L7" s="250"/>
      <c r="M7" s="250"/>
    </row>
    <row r="8" spans="1:15" ht="39" customHeight="1" x14ac:dyDescent="0.3">
      <c r="A8" s="256"/>
      <c r="B8" s="59" t="s">
        <v>296</v>
      </c>
      <c r="C8" t="s">
        <v>117</v>
      </c>
      <c r="D8" s="97" t="s">
        <v>290</v>
      </c>
      <c r="E8" s="121" t="s">
        <v>338</v>
      </c>
      <c r="F8" s="191" t="s">
        <v>96</v>
      </c>
      <c r="H8" s="142" t="s">
        <v>56</v>
      </c>
      <c r="I8" s="114" t="s">
        <v>254</v>
      </c>
      <c r="J8" s="49" t="s">
        <v>297</v>
      </c>
    </row>
    <row r="9" spans="1:15" ht="24" customHeight="1" x14ac:dyDescent="0.3">
      <c r="A9" s="256"/>
      <c r="B9" s="133" t="s">
        <v>588</v>
      </c>
      <c r="C9" t="s">
        <v>103</v>
      </c>
      <c r="D9" t="s">
        <v>177</v>
      </c>
      <c r="E9" s="109" t="s">
        <v>586</v>
      </c>
      <c r="F9" s="89" t="s">
        <v>75</v>
      </c>
      <c r="G9" t="s">
        <v>396</v>
      </c>
      <c r="I9" s="26"/>
    </row>
    <row r="10" spans="1:15" s="50" customFormat="1" ht="31.5" customHeight="1" x14ac:dyDescent="0.3">
      <c r="A10" s="256"/>
      <c r="B10" s="196" t="s">
        <v>375</v>
      </c>
      <c r="C10" s="149" t="s">
        <v>116</v>
      </c>
      <c r="D10" s="150" t="s">
        <v>400</v>
      </c>
      <c r="E10" s="234" t="s">
        <v>587</v>
      </c>
      <c r="F10" s="192" t="s">
        <v>97</v>
      </c>
      <c r="G10" s="166"/>
      <c r="H10" s="167"/>
      <c r="I10" s="168" t="s">
        <v>360</v>
      </c>
      <c r="J10" s="169"/>
      <c r="K10" s="169"/>
      <c r="L10" s="169"/>
      <c r="M10" s="169"/>
    </row>
    <row r="11" spans="1:15" ht="24" customHeight="1" x14ac:dyDescent="0.3">
      <c r="A11" s="256"/>
      <c r="B11" s="138" t="s">
        <v>363</v>
      </c>
      <c r="C11" s="20" t="s">
        <v>144</v>
      </c>
      <c r="D11" t="s">
        <v>143</v>
      </c>
      <c r="E11" s="49" t="s">
        <v>333</v>
      </c>
      <c r="F11" s="191"/>
      <c r="G11" s="180"/>
      <c r="I11" s="26" t="s">
        <v>334</v>
      </c>
    </row>
    <row r="12" spans="1:15" ht="24" customHeight="1" x14ac:dyDescent="0.3">
      <c r="A12" s="256"/>
      <c r="B12" s="208" t="s">
        <v>480</v>
      </c>
      <c r="C12" t="s">
        <v>105</v>
      </c>
      <c r="D12" t="s">
        <v>143</v>
      </c>
      <c r="E12" s="40" t="s">
        <v>479</v>
      </c>
      <c r="F12" s="191" t="s">
        <v>280</v>
      </c>
      <c r="G12" s="194"/>
      <c r="I12" s="26"/>
    </row>
    <row r="13" spans="1:15" ht="24" customHeight="1" x14ac:dyDescent="0.3">
      <c r="A13" s="256"/>
      <c r="B13" s="174" t="s">
        <v>379</v>
      </c>
      <c r="C13" s="175" t="s">
        <v>229</v>
      </c>
      <c r="D13" s="175" t="s">
        <v>225</v>
      </c>
      <c r="E13" s="175" t="s">
        <v>377</v>
      </c>
      <c r="F13" s="176" t="s">
        <v>281</v>
      </c>
      <c r="G13" s="177"/>
      <c r="H13" s="167"/>
      <c r="I13" s="170"/>
      <c r="J13" s="169"/>
      <c r="K13" s="169"/>
      <c r="L13" s="169"/>
      <c r="M13" s="169"/>
    </row>
    <row r="14" spans="1:15" ht="24" customHeight="1" x14ac:dyDescent="0.3">
      <c r="A14" s="256"/>
      <c r="B14" s="133" t="s">
        <v>460</v>
      </c>
      <c r="C14" t="s">
        <v>238</v>
      </c>
      <c r="D14" t="s">
        <v>237</v>
      </c>
      <c r="E14" s="40" t="s">
        <v>458</v>
      </c>
      <c r="F14" s="90" t="s">
        <v>236</v>
      </c>
      <c r="I14" s="26" t="s">
        <v>461</v>
      </c>
    </row>
    <row r="15" spans="1:15" ht="24" customHeight="1" x14ac:dyDescent="0.3">
      <c r="A15" s="256"/>
      <c r="B15" s="59" t="s">
        <v>337</v>
      </c>
      <c r="C15" t="s">
        <v>279</v>
      </c>
      <c r="D15" t="s">
        <v>277</v>
      </c>
      <c r="E15" s="49" t="s">
        <v>336</v>
      </c>
      <c r="F15" s="191" t="s">
        <v>124</v>
      </c>
      <c r="H15" s="35" t="s">
        <v>342</v>
      </c>
      <c r="I15" s="49" t="s">
        <v>327</v>
      </c>
    </row>
    <row r="16" spans="1:15" ht="36" customHeight="1" x14ac:dyDescent="0.3">
      <c r="A16" s="256"/>
      <c r="B16" s="133" t="s">
        <v>606</v>
      </c>
      <c r="C16" s="25" t="s">
        <v>340</v>
      </c>
      <c r="D16" s="187" t="s">
        <v>537</v>
      </c>
      <c r="E16" s="245" t="s">
        <v>600</v>
      </c>
      <c r="F16" s="130" t="s">
        <v>453</v>
      </c>
      <c r="G16" s="25" t="s">
        <v>565</v>
      </c>
      <c r="I16" s="26" t="s">
        <v>449</v>
      </c>
    </row>
    <row r="17" spans="1:17" ht="24" customHeight="1" x14ac:dyDescent="0.3">
      <c r="A17" s="256"/>
      <c r="B17" s="59" t="s">
        <v>341</v>
      </c>
      <c r="C17" s="25" t="s">
        <v>339</v>
      </c>
      <c r="D17" s="25" t="s">
        <v>300</v>
      </c>
      <c r="E17" s="49" t="s">
        <v>344</v>
      </c>
      <c r="F17" s="90"/>
      <c r="I17" s="26" t="s">
        <v>301</v>
      </c>
    </row>
    <row r="18" spans="1:17" ht="24" customHeight="1" x14ac:dyDescent="0.3">
      <c r="A18" s="256"/>
      <c r="B18" s="59" t="s">
        <v>370</v>
      </c>
      <c r="C18" s="25" t="s">
        <v>317</v>
      </c>
      <c r="D18" s="25" t="s">
        <v>316</v>
      </c>
      <c r="E18" s="149" t="s">
        <v>367</v>
      </c>
      <c r="F18" s="191" t="s">
        <v>318</v>
      </c>
      <c r="I18" s="26" t="s">
        <v>450</v>
      </c>
    </row>
    <row r="19" spans="1:17" ht="24" customHeight="1" x14ac:dyDescent="0.3">
      <c r="A19" s="256"/>
      <c r="B19" t="s">
        <v>607</v>
      </c>
      <c r="C19" s="25" t="s">
        <v>319</v>
      </c>
      <c r="D19" s="25" t="s">
        <v>316</v>
      </c>
      <c r="F19" s="160" t="s">
        <v>320</v>
      </c>
      <c r="G19" t="s">
        <v>564</v>
      </c>
      <c r="I19" s="26" t="s">
        <v>329</v>
      </c>
      <c r="J19" s="49" t="s">
        <v>322</v>
      </c>
      <c r="N19">
        <v>241201</v>
      </c>
      <c r="O19">
        <v>260127</v>
      </c>
    </row>
    <row r="20" spans="1:17" ht="24" customHeight="1" x14ac:dyDescent="0.3">
      <c r="A20" s="256"/>
      <c r="B20" s="59" t="s">
        <v>422</v>
      </c>
      <c r="C20" s="25" t="s">
        <v>345</v>
      </c>
      <c r="D20" s="25" t="s">
        <v>346</v>
      </c>
      <c r="E20" s="25" t="s">
        <v>421</v>
      </c>
      <c r="F20" s="191" t="s">
        <v>347</v>
      </c>
      <c r="I20" s="26" t="s">
        <v>348</v>
      </c>
    </row>
    <row r="21" spans="1:17" ht="24" customHeight="1" x14ac:dyDescent="0.3">
      <c r="A21" s="256"/>
      <c r="B21" s="215" t="s">
        <v>608</v>
      </c>
      <c r="C21" t="s">
        <v>113</v>
      </c>
      <c r="D21" s="116" t="s">
        <v>593</v>
      </c>
      <c r="E21" s="49" t="s">
        <v>259</v>
      </c>
      <c r="F21" s="160" t="s">
        <v>95</v>
      </c>
      <c r="I21" s="26"/>
    </row>
    <row r="22" spans="1:17" ht="24" customHeight="1" x14ac:dyDescent="0.3">
      <c r="A22" s="154"/>
      <c r="B22" s="247" t="s">
        <v>609</v>
      </c>
      <c r="C22" s="25" t="s">
        <v>352</v>
      </c>
      <c r="D22" s="115" t="s">
        <v>366</v>
      </c>
      <c r="E22" s="40"/>
      <c r="F22" s="160" t="s">
        <v>77</v>
      </c>
      <c r="G22" t="s">
        <v>557</v>
      </c>
      <c r="I22" s="26"/>
    </row>
    <row r="23" spans="1:17" ht="24" customHeight="1" x14ac:dyDescent="0.3">
      <c r="A23" s="139"/>
      <c r="B23" s="59" t="s">
        <v>451</v>
      </c>
      <c r="C23" s="25" t="s">
        <v>235</v>
      </c>
      <c r="D23" s="116" t="s">
        <v>434</v>
      </c>
      <c r="E23" s="210" t="s">
        <v>484</v>
      </c>
      <c r="F23" s="191" t="s">
        <v>77</v>
      </c>
      <c r="I23" s="26" t="s">
        <v>435</v>
      </c>
    </row>
    <row r="24" spans="1:17" ht="24" customHeight="1" x14ac:dyDescent="0.3">
      <c r="A24" s="155"/>
      <c r="B24" s="140" t="s">
        <v>610</v>
      </c>
      <c r="C24" t="s">
        <v>154</v>
      </c>
      <c r="D24" s="115" t="s">
        <v>378</v>
      </c>
      <c r="E24" s="40"/>
      <c r="F24" s="160" t="s">
        <v>384</v>
      </c>
      <c r="G24" t="s">
        <v>558</v>
      </c>
      <c r="I24" s="26"/>
      <c r="J24" s="49" t="s">
        <v>645</v>
      </c>
    </row>
    <row r="25" spans="1:17" ht="24" customHeight="1" x14ac:dyDescent="0.3">
      <c r="A25" s="157"/>
      <c r="B25" s="247" t="s">
        <v>611</v>
      </c>
      <c r="C25" t="s">
        <v>381</v>
      </c>
      <c r="D25" s="149" t="s">
        <v>382</v>
      </c>
      <c r="E25" s="40"/>
      <c r="F25" s="160" t="s">
        <v>383</v>
      </c>
      <c r="I25" s="26"/>
      <c r="J25" s="49" t="s">
        <v>482</v>
      </c>
    </row>
    <row r="26" spans="1:17" ht="24" customHeight="1" x14ac:dyDescent="0.3">
      <c r="A26" s="164"/>
      <c r="B26" s="188" t="s">
        <v>408</v>
      </c>
      <c r="C26" t="s">
        <v>401</v>
      </c>
      <c r="D26" s="149" t="s">
        <v>395</v>
      </c>
      <c r="E26" s="40" t="s">
        <v>494</v>
      </c>
      <c r="F26" s="165" t="s">
        <v>402</v>
      </c>
      <c r="I26" s="26" t="s">
        <v>490</v>
      </c>
    </row>
    <row r="27" spans="1:17" ht="24" customHeight="1" x14ac:dyDescent="0.3">
      <c r="A27" s="164"/>
      <c r="B27" s="140" t="s">
        <v>612</v>
      </c>
      <c r="C27" t="s">
        <v>424</v>
      </c>
      <c r="D27" s="149" t="s">
        <v>423</v>
      </c>
      <c r="E27" s="40"/>
      <c r="F27" s="160" t="s">
        <v>425</v>
      </c>
      <c r="G27" s="33" t="s">
        <v>559</v>
      </c>
      <c r="I27" s="26"/>
    </row>
    <row r="28" spans="1:17" ht="24" customHeight="1" x14ac:dyDescent="0.3">
      <c r="A28" s="185"/>
      <c r="B28" s="188" t="s">
        <v>442</v>
      </c>
      <c r="C28" t="s">
        <v>428</v>
      </c>
      <c r="D28" s="202" t="s">
        <v>459</v>
      </c>
      <c r="E28" s="219" t="s">
        <v>495</v>
      </c>
      <c r="F28" s="191" t="s">
        <v>429</v>
      </c>
      <c r="I28" s="26" t="s">
        <v>430</v>
      </c>
    </row>
    <row r="29" spans="1:17" ht="24" customHeight="1" x14ac:dyDescent="0.3">
      <c r="A29" s="189"/>
      <c r="B29" s="140" t="s">
        <v>613</v>
      </c>
      <c r="C29" t="s">
        <v>454</v>
      </c>
      <c r="D29" s="234" t="s">
        <v>599</v>
      </c>
      <c r="E29" s="40" t="s">
        <v>535</v>
      </c>
      <c r="F29" s="160" t="s">
        <v>452</v>
      </c>
      <c r="I29" s="26" t="s">
        <v>534</v>
      </c>
    </row>
    <row r="30" spans="1:17" ht="24" customHeight="1" x14ac:dyDescent="0.3">
      <c r="A30" s="203"/>
      <c r="B30" s="180" t="s">
        <v>614</v>
      </c>
      <c r="C30" t="s">
        <v>448</v>
      </c>
      <c r="D30" t="s">
        <v>463</v>
      </c>
      <c r="E30" s="109"/>
      <c r="F30" s="160" t="s">
        <v>425</v>
      </c>
      <c r="G30" s="33" t="s">
        <v>559</v>
      </c>
      <c r="I30" s="27"/>
      <c r="N30" s="65"/>
      <c r="O30" s="24"/>
      <c r="P30" s="24"/>
      <c r="Q30" s="24"/>
    </row>
    <row r="31" spans="1:17" ht="24" customHeight="1" x14ac:dyDescent="0.3">
      <c r="A31" s="211"/>
      <c r="B31" s="133" t="s">
        <v>540</v>
      </c>
      <c r="C31" t="s">
        <v>523</v>
      </c>
      <c r="D31" s="149" t="s">
        <v>514</v>
      </c>
      <c r="E31" s="109" t="s">
        <v>536</v>
      </c>
      <c r="F31" s="160"/>
      <c r="G31" s="33"/>
      <c r="I31" s="27" t="s">
        <v>515</v>
      </c>
      <c r="N31" s="65"/>
      <c r="O31" s="24"/>
      <c r="P31" s="24"/>
      <c r="Q31" s="24"/>
    </row>
    <row r="32" spans="1:17" ht="24" customHeight="1" x14ac:dyDescent="0.3">
      <c r="A32" s="213"/>
      <c r="B32" s="59" t="s">
        <v>541</v>
      </c>
      <c r="C32" s="191" t="s">
        <v>524</v>
      </c>
      <c r="D32" s="191" t="s">
        <v>513</v>
      </c>
      <c r="E32" s="109" t="s">
        <v>522</v>
      </c>
      <c r="F32" s="160"/>
      <c r="G32" s="33"/>
      <c r="I32" s="27" t="s">
        <v>516</v>
      </c>
      <c r="N32" s="65"/>
      <c r="O32" s="24"/>
      <c r="P32" s="24"/>
      <c r="Q32" s="24"/>
    </row>
    <row r="33" spans="1:17" ht="24" customHeight="1" x14ac:dyDescent="0.3">
      <c r="A33" s="214"/>
      <c r="B33" s="59" t="s">
        <v>543</v>
      </c>
      <c r="C33" s="191" t="s">
        <v>525</v>
      </c>
      <c r="D33" s="191" t="s">
        <v>520</v>
      </c>
      <c r="E33" s="109" t="s">
        <v>542</v>
      </c>
      <c r="F33" s="160"/>
      <c r="G33" s="33"/>
      <c r="I33" s="27" t="s">
        <v>518</v>
      </c>
      <c r="N33" s="65"/>
      <c r="O33" s="24"/>
      <c r="P33" s="24"/>
      <c r="Q33" s="24"/>
    </row>
    <row r="34" spans="1:17" ht="24" customHeight="1" x14ac:dyDescent="0.3">
      <c r="A34" s="227"/>
      <c r="B34" s="140" t="s">
        <v>585</v>
      </c>
      <c r="C34" s="191" t="s">
        <v>589</v>
      </c>
      <c r="D34" s="109" t="s">
        <v>544</v>
      </c>
      <c r="E34" s="109"/>
      <c r="F34" s="160" t="s">
        <v>425</v>
      </c>
      <c r="G34" s="33" t="s">
        <v>559</v>
      </c>
      <c r="I34" s="27"/>
      <c r="N34" s="65"/>
      <c r="O34" s="24"/>
      <c r="P34" s="24"/>
      <c r="Q34" s="24"/>
    </row>
    <row r="35" spans="1:17" ht="24" customHeight="1" x14ac:dyDescent="0.3">
      <c r="A35" s="243"/>
      <c r="B35" s="247" t="s">
        <v>615</v>
      </c>
      <c r="C35" s="191" t="s">
        <v>646</v>
      </c>
      <c r="D35" s="109" t="s">
        <v>647</v>
      </c>
      <c r="E35" s="109"/>
      <c r="F35" s="160" t="s">
        <v>75</v>
      </c>
      <c r="G35" s="33"/>
      <c r="I35" s="27"/>
      <c r="N35" s="65"/>
      <c r="O35" s="24"/>
      <c r="P35" s="24"/>
      <c r="Q35" s="24"/>
    </row>
    <row r="36" spans="1:17" ht="24" customHeight="1" x14ac:dyDescent="0.3">
      <c r="A36" s="243"/>
      <c r="B36" s="247" t="s">
        <v>625</v>
      </c>
      <c r="C36" s="191" t="s">
        <v>626</v>
      </c>
      <c r="D36" s="109" t="s">
        <v>648</v>
      </c>
      <c r="E36" s="109"/>
      <c r="F36" s="160" t="s">
        <v>627</v>
      </c>
      <c r="G36" s="33"/>
      <c r="I36" s="27"/>
      <c r="N36" s="65"/>
      <c r="O36" s="24"/>
      <c r="P36" s="24"/>
      <c r="Q36" s="24"/>
    </row>
    <row r="37" spans="1:17" ht="24" customHeight="1" x14ac:dyDescent="0.3">
      <c r="A37" s="232"/>
      <c r="B37" s="235" t="s">
        <v>590</v>
      </c>
      <c r="C37" s="191" t="s">
        <v>591</v>
      </c>
      <c r="D37" s="109" t="s">
        <v>592</v>
      </c>
      <c r="E37" s="109"/>
      <c r="F37" s="89"/>
      <c r="G37" s="33"/>
      <c r="I37" s="27"/>
      <c r="N37" s="65"/>
      <c r="O37" s="24"/>
      <c r="P37" s="24"/>
      <c r="Q37" s="24"/>
    </row>
    <row r="38" spans="1:17" ht="24" customHeight="1" x14ac:dyDescent="0.3">
      <c r="A38" s="253" t="s">
        <v>258</v>
      </c>
      <c r="B38" s="19" t="s">
        <v>61</v>
      </c>
      <c r="C38" s="19" t="s">
        <v>16</v>
      </c>
      <c r="D38" s="19" t="s">
        <v>216</v>
      </c>
      <c r="E38" s="19"/>
      <c r="F38" s="19" t="s">
        <v>125</v>
      </c>
      <c r="G38" s="19" t="s">
        <v>566</v>
      </c>
      <c r="H38" s="36" t="s">
        <v>56</v>
      </c>
      <c r="I38" s="26"/>
    </row>
    <row r="39" spans="1:17" ht="24" customHeight="1" x14ac:dyDescent="0.3">
      <c r="A39" s="257"/>
      <c r="B39" s="48" t="s">
        <v>147</v>
      </c>
      <c r="C39" s="20" t="s">
        <v>104</v>
      </c>
      <c r="D39" s="20" t="s">
        <v>158</v>
      </c>
      <c r="E39" s="44" t="s">
        <v>146</v>
      </c>
      <c r="F39" s="92" t="s">
        <v>77</v>
      </c>
      <c r="G39" s="20"/>
      <c r="H39" s="37"/>
      <c r="I39" s="128" t="s">
        <v>293</v>
      </c>
    </row>
    <row r="40" spans="1:17" ht="24" customHeight="1" x14ac:dyDescent="0.3">
      <c r="A40" s="257"/>
      <c r="B40" s="45" t="s">
        <v>628</v>
      </c>
      <c r="C40" s="20" t="s">
        <v>102</v>
      </c>
      <c r="D40" s="20" t="s">
        <v>159</v>
      </c>
      <c r="E40" s="25" t="s">
        <v>594</v>
      </c>
      <c r="F40" s="20" t="s">
        <v>133</v>
      </c>
      <c r="G40" s="25" t="s">
        <v>567</v>
      </c>
      <c r="H40" s="37"/>
      <c r="I40" s="26"/>
    </row>
    <row r="41" spans="1:17" s="50" customFormat="1" ht="24" customHeight="1" x14ac:dyDescent="0.3">
      <c r="A41" s="257"/>
      <c r="B41" s="183" t="s">
        <v>414</v>
      </c>
      <c r="C41" s="54" t="s">
        <v>127</v>
      </c>
      <c r="D41" s="54" t="s">
        <v>177</v>
      </c>
      <c r="E41" s="236" t="s">
        <v>595</v>
      </c>
      <c r="F41" s="54" t="s">
        <v>124</v>
      </c>
      <c r="G41" s="54"/>
      <c r="H41" s="55"/>
      <c r="I41" s="52" t="s">
        <v>357</v>
      </c>
      <c r="J41" s="228" t="s">
        <v>129</v>
      </c>
      <c r="K41" s="229" t="s">
        <v>268</v>
      </c>
      <c r="L41" s="229"/>
      <c r="M41" s="229"/>
      <c r="N41" s="229" t="s">
        <v>415</v>
      </c>
      <c r="O41" s="229"/>
    </row>
    <row r="42" spans="1:17" ht="24" customHeight="1" x14ac:dyDescent="0.3">
      <c r="A42" s="257"/>
      <c r="B42" s="45" t="s">
        <v>302</v>
      </c>
      <c r="C42" s="25" t="s">
        <v>126</v>
      </c>
      <c r="D42" s="20" t="s">
        <v>177</v>
      </c>
      <c r="E42" s="178" t="s">
        <v>304</v>
      </c>
      <c r="F42" s="92" t="s">
        <v>77</v>
      </c>
      <c r="G42" s="20"/>
      <c r="H42" s="37"/>
      <c r="I42" s="26" t="s">
        <v>305</v>
      </c>
      <c r="J42" s="49" t="s">
        <v>306</v>
      </c>
    </row>
    <row r="43" spans="1:17" ht="24" customHeight="1" x14ac:dyDescent="0.3">
      <c r="A43" s="257"/>
      <c r="B43" s="151" t="s">
        <v>358</v>
      </c>
      <c r="C43" s="152" t="s">
        <v>107</v>
      </c>
      <c r="D43" s="147" t="s">
        <v>108</v>
      </c>
      <c r="E43" s="237" t="s">
        <v>359</v>
      </c>
      <c r="F43" s="198" t="s">
        <v>97</v>
      </c>
      <c r="G43" s="20"/>
      <c r="H43" s="141" t="s">
        <v>56</v>
      </c>
      <c r="I43" s="26"/>
    </row>
    <row r="44" spans="1:17" s="50" customFormat="1" ht="24" customHeight="1" x14ac:dyDescent="0.3">
      <c r="A44" s="257"/>
      <c r="B44" s="56" t="s">
        <v>171</v>
      </c>
      <c r="C44" s="57" t="s">
        <v>101</v>
      </c>
      <c r="D44" s="57" t="s">
        <v>170</v>
      </c>
      <c r="E44" s="58" t="s">
        <v>166</v>
      </c>
      <c r="F44" s="197" t="s">
        <v>97</v>
      </c>
      <c r="G44" s="54"/>
      <c r="H44" s="55"/>
      <c r="I44" s="52" t="s">
        <v>230</v>
      </c>
      <c r="J44" s="169"/>
      <c r="K44" s="169"/>
      <c r="L44" s="169"/>
      <c r="M44" s="169"/>
    </row>
    <row r="45" spans="1:17" ht="24" customHeight="1" x14ac:dyDescent="0.3">
      <c r="A45" s="257"/>
      <c r="B45" s="47" t="s">
        <v>418</v>
      </c>
      <c r="C45" s="25" t="s">
        <v>149</v>
      </c>
      <c r="D45" s="20" t="s">
        <v>150</v>
      </c>
      <c r="E45" s="238" t="s">
        <v>399</v>
      </c>
      <c r="F45" s="91" t="s">
        <v>148</v>
      </c>
      <c r="G45" s="20"/>
      <c r="H45" s="37"/>
      <c r="I45" s="128" t="s">
        <v>416</v>
      </c>
    </row>
    <row r="46" spans="1:17" ht="24" customHeight="1" x14ac:dyDescent="0.3">
      <c r="A46" s="257"/>
      <c r="B46" s="184" t="s">
        <v>419</v>
      </c>
      <c r="C46" t="s">
        <v>106</v>
      </c>
      <c r="D46" s="20" t="s">
        <v>165</v>
      </c>
      <c r="E46" s="20"/>
      <c r="F46" s="161" t="s">
        <v>77</v>
      </c>
      <c r="G46" s="20"/>
      <c r="H46" s="37"/>
      <c r="I46" s="26" t="s">
        <v>420</v>
      </c>
      <c r="J46" s="228" t="s">
        <v>269</v>
      </c>
      <c r="K46" s="229"/>
      <c r="L46" s="229"/>
      <c r="M46" s="229"/>
    </row>
    <row r="47" spans="1:17" ht="24" customHeight="1" x14ac:dyDescent="0.3">
      <c r="A47" s="257"/>
      <c r="B47" s="42" t="s">
        <v>629</v>
      </c>
      <c r="C47" s="20" t="s">
        <v>303</v>
      </c>
      <c r="D47" s="25" t="s">
        <v>304</v>
      </c>
      <c r="E47" s="117" t="s">
        <v>637</v>
      </c>
      <c r="F47" s="178" t="s">
        <v>387</v>
      </c>
      <c r="G47" s="25" t="s">
        <v>572</v>
      </c>
      <c r="H47" s="137" t="s">
        <v>325</v>
      </c>
      <c r="I47" s="26" t="s">
        <v>326</v>
      </c>
    </row>
    <row r="48" spans="1:17" ht="24" customHeight="1" x14ac:dyDescent="0.3">
      <c r="A48" s="257"/>
      <c r="B48" s="45" t="s">
        <v>368</v>
      </c>
      <c r="C48" s="25" t="s">
        <v>352</v>
      </c>
      <c r="D48" s="178" t="s">
        <v>353</v>
      </c>
      <c r="E48" s="239" t="s">
        <v>367</v>
      </c>
      <c r="F48" s="91" t="s">
        <v>354</v>
      </c>
      <c r="G48" s="20"/>
      <c r="H48" s="38"/>
      <c r="I48" s="26" t="s">
        <v>392</v>
      </c>
    </row>
    <row r="49" spans="1:17" ht="24" customHeight="1" x14ac:dyDescent="0.3">
      <c r="A49" s="257"/>
      <c r="B49" s="247" t="s">
        <v>630</v>
      </c>
      <c r="C49" s="25" t="s">
        <v>317</v>
      </c>
      <c r="D49" s="241" t="s">
        <v>638</v>
      </c>
      <c r="E49" t="s">
        <v>410</v>
      </c>
      <c r="F49" s="165" t="s">
        <v>93</v>
      </c>
      <c r="H49" s="35" t="s">
        <v>369</v>
      </c>
      <c r="I49" s="26" t="s">
        <v>570</v>
      </c>
    </row>
    <row r="50" spans="1:17" ht="24" customHeight="1" x14ac:dyDescent="0.3">
      <c r="A50" s="257"/>
      <c r="B50" s="172" t="s">
        <v>631</v>
      </c>
      <c r="C50" s="54" t="s">
        <v>123</v>
      </c>
      <c r="D50" s="95" t="s">
        <v>385</v>
      </c>
      <c r="E50" s="20"/>
      <c r="F50" s="44" t="s">
        <v>374</v>
      </c>
      <c r="G50" s="20" t="s">
        <v>568</v>
      </c>
      <c r="H50" s="37"/>
      <c r="I50" s="26" t="s">
        <v>393</v>
      </c>
      <c r="J50" s="53" t="s">
        <v>131</v>
      </c>
      <c r="K50" s="53" t="s">
        <v>270</v>
      </c>
      <c r="L50" s="53"/>
      <c r="M50" s="53"/>
      <c r="O50" s="61"/>
      <c r="P50" s="61"/>
      <c r="Q50" s="61"/>
    </row>
    <row r="51" spans="1:17" ht="24" customHeight="1" x14ac:dyDescent="0.3">
      <c r="A51" s="158"/>
      <c r="B51" s="172" t="s">
        <v>632</v>
      </c>
      <c r="C51" s="50" t="s">
        <v>116</v>
      </c>
      <c r="D51" s="95" t="s">
        <v>391</v>
      </c>
      <c r="E51" s="20"/>
      <c r="F51" s="44" t="s">
        <v>436</v>
      </c>
      <c r="G51" s="20" t="s">
        <v>571</v>
      </c>
      <c r="H51" s="37"/>
      <c r="I51" s="26" t="s">
        <v>394</v>
      </c>
      <c r="J51" s="169" t="s">
        <v>128</v>
      </c>
      <c r="K51" s="169" t="s">
        <v>267</v>
      </c>
      <c r="L51" s="169"/>
      <c r="M51" s="169"/>
      <c r="O51" s="61"/>
      <c r="P51" s="61"/>
      <c r="Q51" s="61"/>
    </row>
    <row r="52" spans="1:17" ht="24" customHeight="1" x14ac:dyDescent="0.3">
      <c r="A52" s="158"/>
      <c r="B52" s="172" t="s">
        <v>633</v>
      </c>
      <c r="C52" s="20" t="s">
        <v>144</v>
      </c>
      <c r="D52" s="95" t="s">
        <v>409</v>
      </c>
      <c r="E52" s="20"/>
      <c r="F52" s="161" t="s">
        <v>386</v>
      </c>
      <c r="G52" s="25" t="s">
        <v>569</v>
      </c>
      <c r="H52" s="37"/>
      <c r="I52" s="26"/>
      <c r="J52" s="49" t="s">
        <v>551</v>
      </c>
      <c r="O52" s="61"/>
      <c r="P52" s="61"/>
      <c r="Q52" s="61"/>
    </row>
    <row r="53" spans="1:17" ht="24" customHeight="1" x14ac:dyDescent="0.3">
      <c r="A53" s="181"/>
      <c r="B53" s="172" t="s">
        <v>634</v>
      </c>
      <c r="C53" s="25" t="s">
        <v>431</v>
      </c>
      <c r="D53" s="95" t="s">
        <v>432</v>
      </c>
      <c r="E53" s="20"/>
      <c r="F53" s="161" t="s">
        <v>433</v>
      </c>
      <c r="G53" s="20" t="s">
        <v>351</v>
      </c>
      <c r="H53" s="37"/>
      <c r="I53" s="26"/>
      <c r="J53" s="49" t="s">
        <v>546</v>
      </c>
      <c r="O53" s="61"/>
      <c r="P53" s="61"/>
      <c r="Q53" s="61"/>
    </row>
    <row r="54" spans="1:17" ht="24" customHeight="1" x14ac:dyDescent="0.3">
      <c r="A54" s="244"/>
      <c r="B54" s="172" t="s">
        <v>635</v>
      </c>
      <c r="C54" s="25" t="s">
        <v>636</v>
      </c>
      <c r="D54" s="179"/>
      <c r="E54" s="20"/>
      <c r="F54" s="161" t="s">
        <v>639</v>
      </c>
      <c r="G54" s="20"/>
      <c r="H54" s="37"/>
      <c r="I54" s="26"/>
      <c r="O54" s="61"/>
      <c r="P54" s="61"/>
      <c r="Q54" s="61"/>
    </row>
    <row r="55" spans="1:17" ht="24" customHeight="1" x14ac:dyDescent="0.3">
      <c r="A55" s="233"/>
      <c r="B55" s="248" t="s">
        <v>597</v>
      </c>
      <c r="C55" s="25" t="s">
        <v>598</v>
      </c>
      <c r="D55" s="179"/>
      <c r="E55" s="20"/>
      <c r="F55" s="161"/>
      <c r="G55" s="20"/>
      <c r="H55" s="37"/>
      <c r="I55" s="26"/>
      <c r="O55" s="61"/>
      <c r="P55" s="61"/>
      <c r="Q55" s="61"/>
    </row>
    <row r="56" spans="1:17" ht="24" customHeight="1" x14ac:dyDescent="0.3">
      <c r="A56" s="258" t="s">
        <v>489</v>
      </c>
      <c r="B56" s="19" t="s">
        <v>62</v>
      </c>
      <c r="C56" s="19" t="s">
        <v>45</v>
      </c>
      <c r="D56" s="19" t="s">
        <v>217</v>
      </c>
      <c r="E56" s="19"/>
      <c r="F56" s="19" t="s">
        <v>97</v>
      </c>
      <c r="G56" s="19" t="s">
        <v>567</v>
      </c>
      <c r="H56" s="36" t="s">
        <v>56</v>
      </c>
      <c r="I56" s="26"/>
      <c r="O56" s="23"/>
      <c r="P56" s="23"/>
      <c r="Q56" s="24"/>
    </row>
    <row r="57" spans="1:17" ht="24" customHeight="1" x14ac:dyDescent="0.3">
      <c r="A57" s="259"/>
      <c r="B57" s="20" t="s">
        <v>63</v>
      </c>
      <c r="C57" s="20" t="s">
        <v>100</v>
      </c>
      <c r="D57" s="20" t="s">
        <v>218</v>
      </c>
      <c r="E57" s="20"/>
      <c r="F57" s="20" t="s">
        <v>97</v>
      </c>
      <c r="G57" s="25" t="s">
        <v>575</v>
      </c>
      <c r="H57" s="37" t="s">
        <v>56</v>
      </c>
      <c r="I57" s="26"/>
      <c r="O57" s="23"/>
      <c r="P57" s="23"/>
      <c r="Q57" s="23"/>
    </row>
    <row r="58" spans="1:17" ht="24" customHeight="1" x14ac:dyDescent="0.3">
      <c r="A58" s="259"/>
      <c r="B58" s="45" t="s">
        <v>227</v>
      </c>
      <c r="C58" s="25" t="s">
        <v>173</v>
      </c>
      <c r="D58" s="25" t="s">
        <v>150</v>
      </c>
      <c r="E58" s="193" t="s">
        <v>233</v>
      </c>
      <c r="F58" s="20"/>
      <c r="G58" s="20"/>
      <c r="H58" s="37"/>
      <c r="I58" s="26"/>
    </row>
    <row r="59" spans="1:17" ht="24" customHeight="1" x14ac:dyDescent="0.3">
      <c r="A59" s="259"/>
      <c r="B59" s="118" t="s">
        <v>260</v>
      </c>
      <c r="C59" s="50" t="s">
        <v>116</v>
      </c>
      <c r="D59" s="50" t="s">
        <v>232</v>
      </c>
      <c r="E59" s="222" t="s">
        <v>256</v>
      </c>
      <c r="F59" s="50" t="s">
        <v>97</v>
      </c>
      <c r="G59" s="50"/>
      <c r="H59" s="51"/>
      <c r="I59" s="129" t="s">
        <v>298</v>
      </c>
      <c r="J59" s="53"/>
      <c r="K59" s="53"/>
      <c r="L59" s="53"/>
      <c r="M59" s="53"/>
      <c r="O59" s="61"/>
      <c r="P59" s="61"/>
      <c r="Q59" s="62"/>
    </row>
    <row r="60" spans="1:17" ht="24" customHeight="1" x14ac:dyDescent="0.3">
      <c r="A60" s="259"/>
      <c r="B60" s="119" t="s">
        <v>261</v>
      </c>
      <c r="C60" s="25" t="s">
        <v>235</v>
      </c>
      <c r="D60" s="25" t="s">
        <v>234</v>
      </c>
      <c r="E60" s="223" t="s">
        <v>259</v>
      </c>
      <c r="F60" s="25" t="s">
        <v>236</v>
      </c>
      <c r="G60" s="20"/>
      <c r="H60" s="37"/>
      <c r="I60" s="26"/>
      <c r="O60" s="61"/>
      <c r="P60" s="61"/>
      <c r="Q60" s="63"/>
    </row>
    <row r="61" spans="1:17" ht="24" customHeight="1" x14ac:dyDescent="0.3">
      <c r="A61" s="259"/>
      <c r="B61" s="180" t="s">
        <v>462</v>
      </c>
      <c r="C61" t="s">
        <v>238</v>
      </c>
      <c r="D61" s="205" t="s">
        <v>463</v>
      </c>
      <c r="E61" s="191"/>
      <c r="F61" s="90" t="s">
        <v>77</v>
      </c>
      <c r="G61" t="s">
        <v>573</v>
      </c>
      <c r="I61" s="26" t="s">
        <v>461</v>
      </c>
    </row>
    <row r="62" spans="1:17" ht="24" customHeight="1" x14ac:dyDescent="0.3">
      <c r="A62" s="259"/>
      <c r="B62" s="45" t="s">
        <v>64</v>
      </c>
      <c r="C62" s="20" t="s">
        <v>122</v>
      </c>
      <c r="D62" s="20" t="s">
        <v>66</v>
      </c>
      <c r="E62" s="224" t="s">
        <v>231</v>
      </c>
      <c r="F62" s="20"/>
      <c r="G62" s="20"/>
      <c r="H62" s="37"/>
      <c r="I62" s="26" t="s">
        <v>65</v>
      </c>
      <c r="O62" s="23"/>
      <c r="P62" s="23"/>
      <c r="Q62" s="23"/>
    </row>
    <row r="63" spans="1:17" ht="24" customHeight="1" x14ac:dyDescent="0.3">
      <c r="A63" s="259"/>
      <c r="B63" s="45" t="s">
        <v>67</v>
      </c>
      <c r="C63" s="20" t="s">
        <v>195</v>
      </c>
      <c r="D63" s="20" t="s">
        <v>69</v>
      </c>
      <c r="E63" s="224" t="s">
        <v>70</v>
      </c>
      <c r="F63" s="20"/>
      <c r="G63" s="20"/>
      <c r="H63" s="37"/>
      <c r="I63" s="26" t="s">
        <v>68</v>
      </c>
    </row>
    <row r="64" spans="1:17" ht="24" customHeight="1" x14ac:dyDescent="0.3">
      <c r="A64" s="259"/>
      <c r="B64" s="46" t="s">
        <v>71</v>
      </c>
      <c r="C64" s="20" t="s">
        <v>145</v>
      </c>
      <c r="D64" s="20" t="s">
        <v>72</v>
      </c>
      <c r="E64" s="224" t="s">
        <v>70</v>
      </c>
      <c r="F64" s="25" t="s">
        <v>75</v>
      </c>
      <c r="G64" s="25"/>
      <c r="H64" s="37"/>
      <c r="I64" s="26" t="s">
        <v>152</v>
      </c>
      <c r="O64" s="61"/>
      <c r="P64" s="61"/>
      <c r="Q64" s="20"/>
    </row>
    <row r="65" spans="1:17" ht="24" customHeight="1" x14ac:dyDescent="0.3">
      <c r="A65" s="259"/>
      <c r="B65" s="47" t="s">
        <v>73</v>
      </c>
      <c r="C65" s="20" t="s">
        <v>121</v>
      </c>
      <c r="D65" s="25" t="s">
        <v>72</v>
      </c>
      <c r="E65" s="224" t="s">
        <v>169</v>
      </c>
      <c r="F65" s="20"/>
      <c r="G65" s="20"/>
      <c r="H65" s="37"/>
      <c r="I65" s="26"/>
      <c r="O65" s="61"/>
      <c r="P65" s="61"/>
      <c r="Q65" s="62"/>
    </row>
    <row r="66" spans="1:17" ht="24" customHeight="1" x14ac:dyDescent="0.3">
      <c r="A66" s="259"/>
      <c r="B66" s="20" t="s">
        <v>464</v>
      </c>
      <c r="C66" s="25" t="s">
        <v>474</v>
      </c>
      <c r="D66" s="25" t="s">
        <v>465</v>
      </c>
      <c r="E66" s="20"/>
      <c r="F66" s="25" t="s">
        <v>483</v>
      </c>
      <c r="G66" s="25" t="s">
        <v>576</v>
      </c>
      <c r="H66" s="37"/>
      <c r="I66" s="26"/>
      <c r="O66" s="61"/>
      <c r="P66" s="61"/>
      <c r="Q66" s="62"/>
    </row>
    <row r="67" spans="1:17" ht="24" customHeight="1" x14ac:dyDescent="0.3">
      <c r="A67" s="259"/>
      <c r="B67" s="45" t="s">
        <v>506</v>
      </c>
      <c r="C67" s="109" t="s">
        <v>112</v>
      </c>
      <c r="D67" s="206" t="s">
        <v>470</v>
      </c>
      <c r="E67" s="40" t="s">
        <v>507</v>
      </c>
      <c r="F67" s="194" t="s">
        <v>55</v>
      </c>
      <c r="G67" s="20"/>
      <c r="H67" s="37"/>
      <c r="I67" s="26"/>
      <c r="K67" s="49" t="s">
        <v>138</v>
      </c>
      <c r="L67" s="49">
        <v>2</v>
      </c>
      <c r="O67" s="23"/>
      <c r="P67" s="23"/>
      <c r="Q67" s="24"/>
    </row>
    <row r="68" spans="1:17" ht="24" customHeight="1" x14ac:dyDescent="0.3">
      <c r="A68" s="260"/>
      <c r="B68" s="21" t="s">
        <v>508</v>
      </c>
      <c r="C68" s="25" t="s">
        <v>126</v>
      </c>
      <c r="D68" s="21" t="s">
        <v>509</v>
      </c>
      <c r="E68" s="21"/>
      <c r="F68" s="21" t="s">
        <v>510</v>
      </c>
      <c r="G68" s="21" t="s">
        <v>574</v>
      </c>
      <c r="H68" s="39"/>
      <c r="I68" s="26"/>
      <c r="J68" s="49" t="s">
        <v>583</v>
      </c>
    </row>
    <row r="69" spans="1:17" ht="24" customHeight="1" x14ac:dyDescent="0.3">
      <c r="A69" s="253" t="s">
        <v>641</v>
      </c>
      <c r="B69" t="s">
        <v>74</v>
      </c>
      <c r="C69" t="s">
        <v>22</v>
      </c>
      <c r="D69" t="s">
        <v>163</v>
      </c>
      <c r="F69" t="s">
        <v>153</v>
      </c>
      <c r="G69" s="134" t="s">
        <v>324</v>
      </c>
      <c r="H69" s="35" t="s">
        <v>56</v>
      </c>
      <c r="I69" s="26"/>
      <c r="O69" s="61"/>
      <c r="P69" s="61"/>
      <c r="Q69" s="61"/>
    </row>
    <row r="70" spans="1:17" ht="24" customHeight="1" x14ac:dyDescent="0.3">
      <c r="A70" s="256"/>
      <c r="B70" s="143" t="s">
        <v>167</v>
      </c>
      <c r="C70" s="144" t="s">
        <v>119</v>
      </c>
      <c r="D70" s="145" t="s">
        <v>361</v>
      </c>
      <c r="E70" s="145" t="s">
        <v>362</v>
      </c>
      <c r="F70" s="146" t="s">
        <v>75</v>
      </c>
      <c r="H70" s="142" t="s">
        <v>56</v>
      </c>
      <c r="I70" s="26" t="s">
        <v>168</v>
      </c>
      <c r="O70" s="61"/>
      <c r="P70" s="61"/>
      <c r="Q70" s="61"/>
    </row>
    <row r="71" spans="1:17" ht="24" customHeight="1" x14ac:dyDescent="0.3">
      <c r="A71" s="256"/>
      <c r="B71" s="59" t="s">
        <v>243</v>
      </c>
      <c r="C71" t="s">
        <v>114</v>
      </c>
      <c r="D71" t="s">
        <v>162</v>
      </c>
      <c r="E71" s="109" t="s">
        <v>242</v>
      </c>
      <c r="F71" t="s">
        <v>124</v>
      </c>
      <c r="I71" s="26"/>
      <c r="O71" s="61"/>
      <c r="P71" s="61"/>
      <c r="Q71" s="61"/>
    </row>
    <row r="72" spans="1:17" ht="24" customHeight="1" x14ac:dyDescent="0.3">
      <c r="A72" s="256"/>
      <c r="B72" s="133" t="s">
        <v>467</v>
      </c>
      <c r="C72" t="s">
        <v>132</v>
      </c>
      <c r="D72" t="s">
        <v>160</v>
      </c>
      <c r="E72" s="194" t="s">
        <v>466</v>
      </c>
      <c r="F72" s="124" t="s">
        <v>282</v>
      </c>
      <c r="G72" s="134"/>
      <c r="I72" s="26"/>
      <c r="O72" s="61"/>
      <c r="P72" s="61"/>
      <c r="Q72" s="61"/>
    </row>
    <row r="73" spans="1:17" ht="24" customHeight="1" x14ac:dyDescent="0.3">
      <c r="A73" s="256"/>
      <c r="B73" t="s">
        <v>468</v>
      </c>
      <c r="C73" t="s">
        <v>120</v>
      </c>
      <c r="D73" t="s">
        <v>161</v>
      </c>
      <c r="F73" s="90" t="s">
        <v>76</v>
      </c>
      <c r="G73" s="135" t="s">
        <v>323</v>
      </c>
      <c r="I73" s="26"/>
      <c r="J73" s="49" t="s">
        <v>550</v>
      </c>
      <c r="O73" s="23"/>
      <c r="P73" s="23"/>
      <c r="Q73" s="23"/>
    </row>
    <row r="74" spans="1:17" ht="24" customHeight="1" x14ac:dyDescent="0.3">
      <c r="A74" s="256"/>
      <c r="B74" s="188" t="s">
        <v>498</v>
      </c>
      <c r="C74" t="s">
        <v>106</v>
      </c>
      <c r="D74" s="116" t="s">
        <v>403</v>
      </c>
      <c r="E74" s="116" t="s">
        <v>492</v>
      </c>
      <c r="F74" s="90" t="s">
        <v>77</v>
      </c>
      <c r="G74" s="135"/>
      <c r="I74" s="26" t="s">
        <v>228</v>
      </c>
      <c r="J74" s="228" t="s">
        <v>269</v>
      </c>
      <c r="K74" s="229"/>
      <c r="L74" s="229"/>
      <c r="M74" s="229"/>
      <c r="O74" s="23"/>
      <c r="P74" s="23"/>
      <c r="Q74" s="24"/>
    </row>
    <row r="75" spans="1:17" ht="24" customHeight="1" x14ac:dyDescent="0.3">
      <c r="A75" s="256"/>
      <c r="B75" s="60" t="s">
        <v>157</v>
      </c>
      <c r="C75" t="s">
        <v>105</v>
      </c>
      <c r="D75" t="s">
        <v>219</v>
      </c>
      <c r="E75" s="216" t="s">
        <v>493</v>
      </c>
      <c r="F75" s="90" t="s">
        <v>78</v>
      </c>
      <c r="I75" s="26" t="s">
        <v>152</v>
      </c>
      <c r="O75" s="23"/>
      <c r="P75" s="23"/>
      <c r="Q75" s="23"/>
    </row>
    <row r="76" spans="1:17" ht="21.75" customHeight="1" x14ac:dyDescent="0.3">
      <c r="A76" s="256"/>
      <c r="B76" s="162" t="s">
        <v>335</v>
      </c>
      <c r="C76" t="s">
        <v>116</v>
      </c>
      <c r="D76" s="116" t="s">
        <v>257</v>
      </c>
      <c r="E76" s="217" t="s">
        <v>328</v>
      </c>
      <c r="F76" t="s">
        <v>97</v>
      </c>
      <c r="G76" s="136"/>
      <c r="I76" s="26" t="s">
        <v>152</v>
      </c>
      <c r="O76" s="23"/>
      <c r="P76" s="23"/>
      <c r="Q76" s="64"/>
    </row>
    <row r="77" spans="1:17" ht="24" customHeight="1" x14ac:dyDescent="0.3">
      <c r="A77" s="256"/>
      <c r="B77" s="49" t="s">
        <v>499</v>
      </c>
      <c r="C77" t="s">
        <v>142</v>
      </c>
      <c r="D77" t="s">
        <v>143</v>
      </c>
      <c r="F77" s="89" t="s">
        <v>77</v>
      </c>
      <c r="G77" s="33" t="s">
        <v>577</v>
      </c>
      <c r="I77" s="26"/>
    </row>
    <row r="78" spans="1:17" ht="24" customHeight="1" x14ac:dyDescent="0.3">
      <c r="A78" s="256"/>
      <c r="B78" s="126" t="s">
        <v>289</v>
      </c>
      <c r="C78" s="25" t="s">
        <v>123</v>
      </c>
      <c r="D78" s="20" t="s">
        <v>143</v>
      </c>
      <c r="E78" s="218" t="s">
        <v>292</v>
      </c>
      <c r="F78" s="20" t="s">
        <v>95</v>
      </c>
      <c r="I78" s="26" t="s">
        <v>299</v>
      </c>
      <c r="J78" s="228"/>
      <c r="K78" s="229"/>
      <c r="L78" s="229"/>
      <c r="M78" s="229"/>
    </row>
    <row r="79" spans="1:17" ht="24" customHeight="1" x14ac:dyDescent="0.3">
      <c r="A79" s="256"/>
      <c r="B79" s="96" t="s">
        <v>156</v>
      </c>
      <c r="C79" t="s">
        <v>111</v>
      </c>
      <c r="D79" t="s">
        <v>79</v>
      </c>
      <c r="E79" s="216" t="s">
        <v>80</v>
      </c>
      <c r="I79" s="26" t="s">
        <v>151</v>
      </c>
    </row>
    <row r="80" spans="1:17" ht="24" customHeight="1" x14ac:dyDescent="0.3">
      <c r="A80" s="256"/>
      <c r="B80" s="173" t="s">
        <v>389</v>
      </c>
      <c r="C80" t="s">
        <v>154</v>
      </c>
      <c r="D80" t="s">
        <v>150</v>
      </c>
      <c r="E80" s="40" t="s">
        <v>388</v>
      </c>
      <c r="F80" s="41" t="s">
        <v>224</v>
      </c>
      <c r="G80" s="136"/>
      <c r="I80" s="26" t="s">
        <v>596</v>
      </c>
      <c r="J80" s="230" t="s">
        <v>417</v>
      </c>
      <c r="K80" s="231"/>
      <c r="L80" s="231"/>
      <c r="M80" s="231"/>
    </row>
    <row r="81" spans="1:17" s="50" customFormat="1" ht="24" customHeight="1" x14ac:dyDescent="0.3">
      <c r="A81" s="256"/>
      <c r="B81" s="55" t="s">
        <v>500</v>
      </c>
      <c r="C81" s="57" t="s">
        <v>101</v>
      </c>
      <c r="D81" s="50" t="s">
        <v>165</v>
      </c>
      <c r="F81" s="94" t="s">
        <v>164</v>
      </c>
      <c r="G81" s="50" t="s">
        <v>579</v>
      </c>
      <c r="H81" s="51" t="s">
        <v>56</v>
      </c>
      <c r="I81" s="52"/>
      <c r="J81" s="53" t="s">
        <v>130</v>
      </c>
      <c r="K81" s="53" t="s">
        <v>271</v>
      </c>
      <c r="L81" s="53"/>
      <c r="M81" s="53"/>
    </row>
    <row r="82" spans="1:17" ht="24" customHeight="1" x14ac:dyDescent="0.3">
      <c r="A82" s="256"/>
      <c r="B82" s="95" t="s">
        <v>501</v>
      </c>
      <c r="C82" t="s">
        <v>226</v>
      </c>
      <c r="D82" t="s">
        <v>225</v>
      </c>
      <c r="F82" s="93" t="s">
        <v>75</v>
      </c>
      <c r="G82" s="135" t="s">
        <v>323</v>
      </c>
      <c r="I82" s="26"/>
      <c r="J82" s="49" t="s">
        <v>584</v>
      </c>
    </row>
    <row r="83" spans="1:17" ht="24" customHeight="1" x14ac:dyDescent="0.3">
      <c r="A83" s="256"/>
      <c r="B83" s="209" t="s">
        <v>552</v>
      </c>
      <c r="C83" t="s">
        <v>98</v>
      </c>
      <c r="D83" s="109" t="s">
        <v>529</v>
      </c>
      <c r="E83" s="40"/>
      <c r="F83" s="194" t="s">
        <v>354</v>
      </c>
      <c r="G83" s="20" t="s">
        <v>578</v>
      </c>
      <c r="H83" s="37"/>
      <c r="I83" s="26" t="s">
        <v>556</v>
      </c>
      <c r="J83" s="49" t="s">
        <v>550</v>
      </c>
      <c r="O83" s="23"/>
      <c r="P83" s="23"/>
      <c r="Q83" s="24"/>
    </row>
    <row r="84" spans="1:17" ht="24" customHeight="1" x14ac:dyDescent="0.3">
      <c r="A84" s="256"/>
      <c r="B84" s="133" t="s">
        <v>427</v>
      </c>
      <c r="C84" t="s">
        <v>244</v>
      </c>
      <c r="D84" t="s">
        <v>237</v>
      </c>
      <c r="E84" t="s">
        <v>426</v>
      </c>
      <c r="F84" t="s">
        <v>245</v>
      </c>
      <c r="I84" s="26" t="s">
        <v>239</v>
      </c>
      <c r="N84" s="65"/>
      <c r="O84" s="26"/>
      <c r="P84" s="26"/>
      <c r="Q84" s="26"/>
    </row>
    <row r="85" spans="1:17" ht="24" customHeight="1" x14ac:dyDescent="0.3">
      <c r="A85" s="256"/>
      <c r="B85" s="212" t="s">
        <v>274</v>
      </c>
      <c r="C85" t="s">
        <v>275</v>
      </c>
      <c r="D85" t="s">
        <v>276</v>
      </c>
      <c r="I85" s="26"/>
      <c r="N85" s="65"/>
      <c r="O85" s="26"/>
      <c r="P85" s="26"/>
      <c r="Q85" s="26"/>
    </row>
    <row r="86" spans="1:17" ht="24" customHeight="1" x14ac:dyDescent="0.3">
      <c r="A86" s="256"/>
      <c r="B86" s="133" t="s">
        <v>408</v>
      </c>
      <c r="C86" t="s">
        <v>321</v>
      </c>
      <c r="D86" t="s">
        <v>316</v>
      </c>
      <c r="E86" s="109" t="s">
        <v>398</v>
      </c>
      <c r="F86" s="89" t="s">
        <v>77</v>
      </c>
      <c r="G86" s="33"/>
      <c r="I86" s="201" t="s">
        <v>437</v>
      </c>
      <c r="N86" s="65"/>
      <c r="O86" s="26"/>
      <c r="P86" s="26"/>
      <c r="Q86" s="26"/>
    </row>
    <row r="87" spans="1:17" ht="24" customHeight="1" x14ac:dyDescent="0.3">
      <c r="A87" s="164" t="s">
        <v>640</v>
      </c>
      <c r="B87" s="180" t="s">
        <v>553</v>
      </c>
      <c r="C87" t="s">
        <v>404</v>
      </c>
      <c r="D87" t="s">
        <v>405</v>
      </c>
      <c r="E87" s="109"/>
      <c r="F87" s="89" t="s">
        <v>406</v>
      </c>
      <c r="G87" s="33" t="s">
        <v>407</v>
      </c>
      <c r="I87" s="27"/>
      <c r="N87" s="65"/>
      <c r="O87" s="24"/>
      <c r="P87" s="24"/>
      <c r="Q87" s="24"/>
    </row>
    <row r="88" spans="1:17" ht="24" customHeight="1" x14ac:dyDescent="0.3">
      <c r="A88" s="182"/>
      <c r="B88" s="133" t="s">
        <v>469</v>
      </c>
      <c r="C88" t="s">
        <v>448</v>
      </c>
      <c r="D88" t="s">
        <v>446</v>
      </c>
      <c r="E88" s="109" t="s">
        <v>471</v>
      </c>
      <c r="F88" s="89" t="s">
        <v>425</v>
      </c>
      <c r="G88" s="33"/>
      <c r="I88" s="27" t="s">
        <v>472</v>
      </c>
      <c r="N88" s="65"/>
      <c r="O88" s="24"/>
      <c r="P88" s="24"/>
      <c r="Q88" s="24"/>
    </row>
    <row r="89" spans="1:17" ht="24" customHeight="1" x14ac:dyDescent="0.3">
      <c r="A89" s="186"/>
      <c r="B89" s="133" t="s">
        <v>497</v>
      </c>
      <c r="C89" t="s">
        <v>444</v>
      </c>
      <c r="D89" t="s">
        <v>445</v>
      </c>
      <c r="E89" s="109" t="s">
        <v>496</v>
      </c>
      <c r="F89" s="89" t="s">
        <v>447</v>
      </c>
      <c r="G89" s="33"/>
      <c r="I89" s="27" t="s">
        <v>622</v>
      </c>
      <c r="N89" s="65"/>
      <c r="O89" s="24"/>
      <c r="P89" s="24"/>
      <c r="Q89" s="24"/>
    </row>
    <row r="90" spans="1:17" ht="24" customHeight="1" x14ac:dyDescent="0.3">
      <c r="A90" s="203"/>
      <c r="B90" s="180" t="s">
        <v>554</v>
      </c>
      <c r="C90" s="175" t="s">
        <v>229</v>
      </c>
      <c r="D90" s="175" t="s">
        <v>473</v>
      </c>
      <c r="E90" s="175"/>
      <c r="F90" s="176" t="s">
        <v>281</v>
      </c>
      <c r="G90" s="177" t="s">
        <v>255</v>
      </c>
      <c r="I90" s="27"/>
      <c r="J90" s="169" t="s">
        <v>502</v>
      </c>
      <c r="K90" s="169" t="s">
        <v>503</v>
      </c>
      <c r="L90" s="169"/>
      <c r="M90" s="169"/>
      <c r="N90" s="65"/>
      <c r="O90" s="24"/>
      <c r="P90" s="24"/>
      <c r="Q90" s="24"/>
    </row>
    <row r="91" spans="1:17" ht="24" customHeight="1" x14ac:dyDescent="0.3">
      <c r="A91" s="204"/>
      <c r="B91" s="20" t="s">
        <v>555</v>
      </c>
      <c r="C91" s="109" t="s">
        <v>475</v>
      </c>
      <c r="D91" s="206" t="s">
        <v>470</v>
      </c>
      <c r="E91" s="49"/>
      <c r="F91" s="194" t="s">
        <v>476</v>
      </c>
      <c r="G91" s="20" t="s">
        <v>563</v>
      </c>
      <c r="H91" s="37"/>
      <c r="I91" s="26"/>
      <c r="J91" s="49" t="s">
        <v>547</v>
      </c>
      <c r="L91" s="49">
        <v>2</v>
      </c>
      <c r="O91" s="23"/>
      <c r="P91" s="23"/>
      <c r="Q91" s="24"/>
    </row>
    <row r="92" spans="1:17" ht="24" customHeight="1" x14ac:dyDescent="0.3">
      <c r="A92" s="207"/>
      <c r="B92" s="45" t="s">
        <v>526</v>
      </c>
      <c r="C92" s="109" t="s">
        <v>485</v>
      </c>
      <c r="D92" s="206" t="s">
        <v>486</v>
      </c>
      <c r="E92" s="49" t="s">
        <v>521</v>
      </c>
      <c r="F92" s="194"/>
      <c r="G92" s="20"/>
      <c r="H92" s="37"/>
      <c r="I92" s="26" t="s">
        <v>517</v>
      </c>
      <c r="O92" s="23"/>
      <c r="P92" s="23"/>
      <c r="Q92" s="24"/>
    </row>
    <row r="93" spans="1:17" ht="24" customHeight="1" x14ac:dyDescent="0.3">
      <c r="A93" s="220"/>
      <c r="B93" s="45" t="s">
        <v>527</v>
      </c>
      <c r="C93" s="109" t="s">
        <v>511</v>
      </c>
      <c r="D93" s="109" t="s">
        <v>513</v>
      </c>
      <c r="E93" s="40" t="s">
        <v>519</v>
      </c>
      <c r="F93" s="194"/>
      <c r="G93" s="20"/>
      <c r="H93" s="37"/>
      <c r="I93" s="26" t="s">
        <v>512</v>
      </c>
      <c r="O93" s="23"/>
      <c r="P93" s="23"/>
      <c r="Q93" s="24"/>
    </row>
    <row r="94" spans="1:17" ht="24" customHeight="1" x14ac:dyDescent="0.3">
      <c r="A94" s="226"/>
      <c r="B94" s="248" t="s">
        <v>642</v>
      </c>
      <c r="C94" s="109" t="s">
        <v>644</v>
      </c>
      <c r="D94" s="109" t="s">
        <v>643</v>
      </c>
      <c r="E94" s="40"/>
      <c r="F94" s="194"/>
      <c r="G94" s="20"/>
      <c r="H94" s="37"/>
      <c r="I94" s="26"/>
      <c r="O94" s="23"/>
      <c r="P94" s="23"/>
      <c r="Q94" s="24"/>
    </row>
    <row r="95" spans="1:17" ht="24" customHeight="1" x14ac:dyDescent="0.3">
      <c r="A95" s="253" t="s">
        <v>504</v>
      </c>
      <c r="B95" s="19" t="s">
        <v>284</v>
      </c>
      <c r="C95" s="20" t="s">
        <v>104</v>
      </c>
      <c r="D95" s="20" t="s">
        <v>285</v>
      </c>
      <c r="E95" s="43"/>
      <c r="F95" s="92" t="s">
        <v>77</v>
      </c>
      <c r="G95" s="19" t="s">
        <v>581</v>
      </c>
      <c r="H95" s="36" t="s">
        <v>56</v>
      </c>
      <c r="I95" s="128" t="s">
        <v>293</v>
      </c>
      <c r="J95" s="49" t="s">
        <v>546</v>
      </c>
      <c r="N95" s="65"/>
    </row>
    <row r="96" spans="1:17" ht="24" customHeight="1" x14ac:dyDescent="0.3">
      <c r="A96" s="254"/>
      <c r="B96" s="143" t="s">
        <v>332</v>
      </c>
      <c r="C96" s="144" t="s">
        <v>110</v>
      </c>
      <c r="D96" s="144" t="s">
        <v>221</v>
      </c>
      <c r="E96" s="144" t="s">
        <v>330</v>
      </c>
      <c r="F96" s="148" t="s">
        <v>55</v>
      </c>
      <c r="G96" s="65"/>
      <c r="H96" s="144" t="s">
        <v>349</v>
      </c>
      <c r="I96" s="26" t="s">
        <v>439</v>
      </c>
      <c r="N96" s="65"/>
      <c r="O96" s="66"/>
      <c r="P96" s="66"/>
      <c r="Q96" s="66"/>
    </row>
    <row r="97" spans="1:17" ht="24" customHeight="1" x14ac:dyDescent="0.3">
      <c r="A97" s="254"/>
      <c r="B97" s="133" t="s">
        <v>440</v>
      </c>
      <c r="C97" t="s">
        <v>222</v>
      </c>
      <c r="D97" t="s">
        <v>223</v>
      </c>
      <c r="E97" s="40" t="s">
        <v>438</v>
      </c>
      <c r="F97" s="89" t="s">
        <v>77</v>
      </c>
      <c r="I97" s="26" t="s">
        <v>365</v>
      </c>
      <c r="N97" s="65"/>
      <c r="O97" s="66"/>
      <c r="P97" s="66"/>
      <c r="Q97" s="67"/>
    </row>
    <row r="98" spans="1:17" ht="24" customHeight="1" x14ac:dyDescent="0.3">
      <c r="A98" s="254"/>
      <c r="B98" s="133" t="s">
        <v>488</v>
      </c>
      <c r="C98" t="s">
        <v>111</v>
      </c>
      <c r="D98" s="116" t="s">
        <v>457</v>
      </c>
      <c r="E98" s="116" t="s">
        <v>487</v>
      </c>
      <c r="F98" s="90" t="s">
        <v>81</v>
      </c>
      <c r="I98" s="26"/>
      <c r="N98" s="65"/>
      <c r="O98" s="26"/>
      <c r="P98" s="26"/>
      <c r="Q98" s="26"/>
    </row>
    <row r="99" spans="1:17" ht="24" customHeight="1" x14ac:dyDescent="0.3">
      <c r="A99" s="254"/>
      <c r="B99" s="59" t="s">
        <v>155</v>
      </c>
      <c r="C99" t="s">
        <v>139</v>
      </c>
      <c r="D99" s="122" t="s">
        <v>272</v>
      </c>
      <c r="E99" s="40" t="s">
        <v>140</v>
      </c>
      <c r="F99" s="90" t="s">
        <v>99</v>
      </c>
      <c r="H99" s="123"/>
      <c r="I99" s="123" t="s">
        <v>278</v>
      </c>
      <c r="N99" s="65"/>
      <c r="O99" s="26"/>
      <c r="P99" s="26"/>
      <c r="Q99" s="26"/>
    </row>
    <row r="100" spans="1:17" ht="24" customHeight="1" x14ac:dyDescent="0.3">
      <c r="A100" s="254"/>
      <c r="B100" s="188" t="s">
        <v>530</v>
      </c>
      <c r="C100" t="s">
        <v>98</v>
      </c>
      <c r="D100" t="s">
        <v>176</v>
      </c>
      <c r="E100" s="40" t="s">
        <v>528</v>
      </c>
      <c r="F100" s="90" t="s">
        <v>77</v>
      </c>
      <c r="H100" s="35" t="s">
        <v>545</v>
      </c>
      <c r="I100" s="26"/>
      <c r="N100" s="65"/>
    </row>
    <row r="101" spans="1:17" ht="24" customHeight="1" x14ac:dyDescent="0.3">
      <c r="A101" s="254"/>
      <c r="B101" s="153" t="s">
        <v>283</v>
      </c>
      <c r="C101" s="19" t="s">
        <v>31</v>
      </c>
      <c r="D101" s="19" t="s">
        <v>220</v>
      </c>
      <c r="E101" s="127" t="s">
        <v>295</v>
      </c>
      <c r="F101" s="19" t="s">
        <v>55</v>
      </c>
      <c r="G101" s="19"/>
      <c r="H101" s="36"/>
      <c r="I101" s="26" t="s">
        <v>364</v>
      </c>
      <c r="N101" s="65"/>
      <c r="O101" s="66"/>
      <c r="P101" s="66"/>
      <c r="Q101" s="68"/>
    </row>
    <row r="102" spans="1:17" ht="24" customHeight="1" x14ac:dyDescent="0.3">
      <c r="A102" s="254"/>
      <c r="B102" s="125" t="s">
        <v>531</v>
      </c>
      <c r="C102" s="25" t="s">
        <v>287</v>
      </c>
      <c r="D102" s="25" t="s">
        <v>288</v>
      </c>
      <c r="F102" s="90" t="s">
        <v>286</v>
      </c>
      <c r="G102" t="s">
        <v>350</v>
      </c>
      <c r="H102" s="35" t="s">
        <v>56</v>
      </c>
      <c r="I102" s="26"/>
      <c r="N102" s="65"/>
      <c r="O102" s="66"/>
      <c r="P102" s="66"/>
      <c r="Q102" s="66"/>
    </row>
    <row r="103" spans="1:17" ht="24" customHeight="1" x14ac:dyDescent="0.3">
      <c r="A103" s="254"/>
      <c r="B103" s="59" t="s">
        <v>411</v>
      </c>
      <c r="C103" s="20" t="s">
        <v>144</v>
      </c>
      <c r="D103" s="25" t="s">
        <v>331</v>
      </c>
      <c r="E103" t="s">
        <v>412</v>
      </c>
      <c r="F103" s="90" t="s">
        <v>75</v>
      </c>
      <c r="I103" s="35" t="s">
        <v>413</v>
      </c>
      <c r="N103" s="65"/>
      <c r="O103" s="66"/>
      <c r="P103" s="66"/>
      <c r="Q103" s="66"/>
    </row>
    <row r="104" spans="1:17" ht="24" customHeight="1" x14ac:dyDescent="0.3">
      <c r="A104" s="254"/>
      <c r="B104" s="156" t="s">
        <v>532</v>
      </c>
      <c r="C104" s="91" t="s">
        <v>371</v>
      </c>
      <c r="D104" s="25" t="s">
        <v>390</v>
      </c>
      <c r="E104" s="40"/>
      <c r="F104" s="90" t="s">
        <v>77</v>
      </c>
      <c r="G104" t="s">
        <v>582</v>
      </c>
      <c r="I104" s="26"/>
      <c r="J104" s="49" t="s">
        <v>549</v>
      </c>
    </row>
    <row r="105" spans="1:17" ht="24" customHeight="1" x14ac:dyDescent="0.3">
      <c r="A105" s="254"/>
      <c r="B105" s="89" t="s">
        <v>533</v>
      </c>
      <c r="C105" s="25" t="s">
        <v>443</v>
      </c>
      <c r="D105" s="25" t="s">
        <v>441</v>
      </c>
      <c r="I105" s="26"/>
      <c r="J105" s="49" t="s">
        <v>548</v>
      </c>
      <c r="N105" s="65"/>
    </row>
    <row r="106" spans="1:17" ht="24" customHeight="1" x14ac:dyDescent="0.3">
      <c r="A106" s="254"/>
      <c r="B106" s="246" t="s">
        <v>539</v>
      </c>
      <c r="C106" t="s">
        <v>454</v>
      </c>
      <c r="D106" s="25" t="s">
        <v>529</v>
      </c>
      <c r="E106" s="40" t="s">
        <v>601</v>
      </c>
      <c r="F106" s="90" t="s">
        <v>75</v>
      </c>
      <c r="G106" t="s">
        <v>580</v>
      </c>
      <c r="I106" s="26"/>
      <c r="N106" s="65"/>
    </row>
    <row r="107" spans="1:17" ht="24" customHeight="1" x14ac:dyDescent="0.3">
      <c r="A107" s="255"/>
      <c r="B107" s="215" t="s">
        <v>602</v>
      </c>
      <c r="C107" s="25" t="s">
        <v>235</v>
      </c>
      <c r="D107" s="225" t="s">
        <v>491</v>
      </c>
      <c r="E107" s="210"/>
      <c r="F107" s="165" t="s">
        <v>77</v>
      </c>
      <c r="G107" t="s">
        <v>582</v>
      </c>
      <c r="I107" s="26"/>
    </row>
    <row r="108" spans="1:17" ht="24" customHeight="1" x14ac:dyDescent="0.3">
      <c r="A108" s="240"/>
      <c r="B108" s="215" t="s">
        <v>603</v>
      </c>
      <c r="C108" s="25" t="s">
        <v>340</v>
      </c>
      <c r="D108" s="225" t="s">
        <v>604</v>
      </c>
      <c r="E108" s="210"/>
      <c r="F108" s="165" t="s">
        <v>620</v>
      </c>
      <c r="H108" s="35" t="s">
        <v>621</v>
      </c>
      <c r="I108" s="24"/>
    </row>
    <row r="109" spans="1:17" ht="24" customHeight="1" x14ac:dyDescent="0.3">
      <c r="A109" s="242"/>
      <c r="B109" s="215" t="s">
        <v>616</v>
      </c>
      <c r="C109" s="25" t="s">
        <v>617</v>
      </c>
      <c r="D109" s="225" t="s">
        <v>618</v>
      </c>
      <c r="E109" s="210"/>
      <c r="F109" s="165" t="s">
        <v>619</v>
      </c>
      <c r="H109" s="35" t="s">
        <v>623</v>
      </c>
      <c r="I109" s="24"/>
    </row>
    <row r="110" spans="1:17" ht="24" customHeight="1" x14ac:dyDescent="0.3">
      <c r="A110" s="240"/>
      <c r="B110" s="215" t="s">
        <v>624</v>
      </c>
      <c r="C110" s="25"/>
      <c r="D110" s="225" t="s">
        <v>605</v>
      </c>
      <c r="E110" s="210"/>
      <c r="F110" s="165"/>
      <c r="I110" s="24"/>
    </row>
    <row r="111" spans="1:17" x14ac:dyDescent="0.3">
      <c r="A111" s="19"/>
      <c r="B111" s="19"/>
      <c r="C111" s="19"/>
      <c r="D111" s="19"/>
      <c r="E111" s="19" t="s">
        <v>478</v>
      </c>
      <c r="F111" s="19"/>
      <c r="G111" s="19" t="s">
        <v>481</v>
      </c>
      <c r="H111" s="36"/>
      <c r="I111" s="24"/>
      <c r="J111" s="44"/>
      <c r="O111" s="26"/>
      <c r="P111" s="26"/>
      <c r="Q111" s="26"/>
    </row>
    <row r="112" spans="1:17" x14ac:dyDescent="0.3">
      <c r="C112" s="25"/>
      <c r="I112" s="24"/>
      <c r="J112" s="44"/>
      <c r="O112" s="26"/>
      <c r="P112" s="26"/>
      <c r="Q112" s="69"/>
    </row>
    <row r="113" spans="9:18" x14ac:dyDescent="0.3">
      <c r="I113" s="24"/>
      <c r="J113" s="44"/>
    </row>
    <row r="114" spans="9:18" x14ac:dyDescent="0.3">
      <c r="I114" s="24"/>
      <c r="J114" s="44"/>
    </row>
    <row r="115" spans="9:18" x14ac:dyDescent="0.3">
      <c r="I115" s="24"/>
      <c r="J115" s="44"/>
    </row>
    <row r="116" spans="9:18" x14ac:dyDescent="0.3">
      <c r="I116" s="24"/>
      <c r="J116" s="44"/>
    </row>
    <row r="117" spans="9:18" x14ac:dyDescent="0.3">
      <c r="I117" s="24"/>
      <c r="J117" s="44"/>
    </row>
    <row r="118" spans="9:18" x14ac:dyDescent="0.3">
      <c r="I118" s="24"/>
      <c r="J118" s="44"/>
    </row>
    <row r="119" spans="9:18" x14ac:dyDescent="0.3">
      <c r="I119" s="24"/>
      <c r="J119" s="44"/>
    </row>
    <row r="120" spans="9:18" x14ac:dyDescent="0.3">
      <c r="I120" s="24"/>
      <c r="J120" s="44"/>
    </row>
    <row r="121" spans="9:18" x14ac:dyDescent="0.3">
      <c r="I121" s="24"/>
      <c r="J121" s="44"/>
    </row>
    <row r="122" spans="9:18" x14ac:dyDescent="0.3">
      <c r="I122" s="24"/>
      <c r="J122" s="44"/>
    </row>
    <row r="123" spans="9:18" x14ac:dyDescent="0.3">
      <c r="I123" s="24"/>
      <c r="J123" s="44"/>
    </row>
    <row r="124" spans="9:18" ht="55.5" customHeight="1" x14ac:dyDescent="0.3">
      <c r="I124" s="24"/>
      <c r="J124" s="44"/>
      <c r="N124" s="70" t="s">
        <v>210</v>
      </c>
    </row>
    <row r="125" spans="9:18" ht="27.95" customHeight="1" x14ac:dyDescent="0.3">
      <c r="I125" s="24"/>
      <c r="J125" s="44"/>
      <c r="N125" s="72" t="s">
        <v>174</v>
      </c>
      <c r="O125" s="82" t="s">
        <v>175</v>
      </c>
      <c r="P125" s="80" t="s">
        <v>196</v>
      </c>
      <c r="Q125" s="82" t="s">
        <v>117</v>
      </c>
      <c r="R125" s="86" t="s">
        <v>209</v>
      </c>
    </row>
    <row r="126" spans="9:18" ht="27.95" customHeight="1" x14ac:dyDescent="0.3">
      <c r="I126" s="24"/>
      <c r="J126" s="44"/>
      <c r="N126" s="73"/>
      <c r="O126" s="83" t="s">
        <v>178</v>
      </c>
      <c r="P126" s="81" t="s">
        <v>197</v>
      </c>
      <c r="Q126" s="83" t="s">
        <v>116</v>
      </c>
      <c r="R126" s="41"/>
    </row>
    <row r="127" spans="9:18" ht="27.95" customHeight="1" x14ac:dyDescent="0.3">
      <c r="I127" s="24"/>
      <c r="J127" s="44"/>
      <c r="N127" s="73"/>
      <c r="O127" s="83" t="s">
        <v>179</v>
      </c>
      <c r="P127" s="81" t="s">
        <v>197</v>
      </c>
      <c r="Q127" s="83" t="s">
        <v>144</v>
      </c>
      <c r="R127" s="41"/>
    </row>
    <row r="128" spans="9:18" ht="27.95" customHeight="1" x14ac:dyDescent="0.3">
      <c r="I128" s="24"/>
      <c r="J128" s="44"/>
      <c r="N128" s="74"/>
      <c r="O128" s="83" t="s">
        <v>180</v>
      </c>
      <c r="P128" s="81" t="s">
        <v>197</v>
      </c>
      <c r="Q128" s="83" t="s">
        <v>105</v>
      </c>
      <c r="R128" s="41"/>
    </row>
    <row r="129" spans="9:18" ht="27.95" customHeight="1" x14ac:dyDescent="0.3">
      <c r="I129" s="24"/>
      <c r="J129" s="44"/>
      <c r="N129" s="71"/>
      <c r="O129" s="84"/>
      <c r="P129" s="79"/>
      <c r="Q129" s="84"/>
      <c r="R129" s="41"/>
    </row>
    <row r="130" spans="9:18" ht="27.95" customHeight="1" x14ac:dyDescent="0.3">
      <c r="I130" s="24"/>
      <c r="J130" s="44"/>
      <c r="N130" s="72" t="s">
        <v>181</v>
      </c>
      <c r="O130" s="82" t="s">
        <v>182</v>
      </c>
      <c r="P130" s="80" t="s">
        <v>198</v>
      </c>
      <c r="Q130" s="82" t="s">
        <v>104</v>
      </c>
      <c r="R130" s="67" t="s">
        <v>208</v>
      </c>
    </row>
    <row r="131" spans="9:18" ht="27.95" customHeight="1" x14ac:dyDescent="0.3">
      <c r="I131" s="24"/>
      <c r="J131" s="44"/>
      <c r="N131" s="73"/>
      <c r="O131" s="82" t="s">
        <v>183</v>
      </c>
      <c r="P131" s="80" t="s">
        <v>199</v>
      </c>
      <c r="Q131" s="85" t="s">
        <v>101</v>
      </c>
      <c r="R131" s="77" t="s">
        <v>206</v>
      </c>
    </row>
    <row r="132" spans="9:18" ht="27.95" customHeight="1" x14ac:dyDescent="0.3">
      <c r="I132" s="24"/>
      <c r="J132" s="44"/>
      <c r="N132" s="73"/>
      <c r="O132" s="83" t="s">
        <v>184</v>
      </c>
      <c r="P132" s="81" t="s">
        <v>200</v>
      </c>
      <c r="Q132" s="83" t="s">
        <v>149</v>
      </c>
      <c r="R132" s="76"/>
    </row>
    <row r="133" spans="9:18" ht="27.95" customHeight="1" x14ac:dyDescent="0.3">
      <c r="I133" s="24"/>
      <c r="J133" s="44"/>
      <c r="N133" s="74"/>
      <c r="O133" s="83" t="s">
        <v>185</v>
      </c>
      <c r="P133" s="81" t="s">
        <v>200</v>
      </c>
      <c r="Q133" s="83" t="s">
        <v>106</v>
      </c>
      <c r="R133" s="76"/>
    </row>
    <row r="134" spans="9:18" ht="27.95" customHeight="1" x14ac:dyDescent="0.3">
      <c r="I134" s="24"/>
      <c r="J134" s="44"/>
      <c r="N134" s="71"/>
      <c r="O134" s="84"/>
      <c r="P134" s="79"/>
      <c r="Q134" s="84"/>
      <c r="R134" s="76"/>
    </row>
    <row r="135" spans="9:18" ht="27.95" customHeight="1" x14ac:dyDescent="0.3">
      <c r="I135" s="24"/>
      <c r="J135" s="44"/>
      <c r="N135" s="72" t="s">
        <v>186</v>
      </c>
      <c r="O135" s="82" t="s">
        <v>187</v>
      </c>
      <c r="P135" s="78" t="s">
        <v>201</v>
      </c>
      <c r="Q135" s="85" t="s">
        <v>195</v>
      </c>
      <c r="R135" s="76"/>
    </row>
    <row r="136" spans="9:18" ht="27.95" customHeight="1" x14ac:dyDescent="0.3">
      <c r="I136" s="24"/>
      <c r="J136" s="44"/>
      <c r="N136" s="73"/>
      <c r="O136" s="82" t="s">
        <v>179</v>
      </c>
      <c r="P136" s="78" t="s">
        <v>201</v>
      </c>
      <c r="Q136" s="82" t="s">
        <v>144</v>
      </c>
      <c r="R136" s="77" t="s">
        <v>205</v>
      </c>
    </row>
    <row r="137" spans="9:18" ht="27.95" customHeight="1" x14ac:dyDescent="0.3">
      <c r="I137" s="24"/>
      <c r="J137" s="44"/>
      <c r="N137" s="73"/>
      <c r="O137" s="82" t="s">
        <v>188</v>
      </c>
      <c r="P137" s="78" t="s">
        <v>196</v>
      </c>
      <c r="Q137" s="82" t="s">
        <v>121</v>
      </c>
      <c r="R137" s="75"/>
    </row>
    <row r="138" spans="9:18" ht="27.95" customHeight="1" x14ac:dyDescent="0.3">
      <c r="I138" s="24"/>
      <c r="J138" s="44"/>
      <c r="N138" s="74"/>
      <c r="O138" s="83" t="s">
        <v>172</v>
      </c>
      <c r="P138" s="81" t="s">
        <v>200</v>
      </c>
      <c r="Q138" s="83" t="s">
        <v>173</v>
      </c>
      <c r="R138" s="75"/>
    </row>
    <row r="139" spans="9:18" ht="27.95" customHeight="1" x14ac:dyDescent="0.3">
      <c r="I139" s="24"/>
      <c r="J139" s="44"/>
      <c r="N139" s="71"/>
      <c r="O139" s="84"/>
      <c r="P139" s="79"/>
      <c r="Q139" s="84"/>
      <c r="R139" s="75"/>
    </row>
    <row r="140" spans="9:18" ht="27.95" customHeight="1" x14ac:dyDescent="0.3">
      <c r="I140" s="24"/>
      <c r="J140" s="44"/>
      <c r="N140" s="88" t="s">
        <v>189</v>
      </c>
      <c r="O140" s="82" t="s">
        <v>190</v>
      </c>
      <c r="P140" s="78" t="s">
        <v>202</v>
      </c>
      <c r="Q140" s="82" t="s">
        <v>119</v>
      </c>
      <c r="R140" s="87" t="s">
        <v>207</v>
      </c>
    </row>
    <row r="141" spans="9:18" ht="27.95" customHeight="1" x14ac:dyDescent="0.3">
      <c r="I141" s="24"/>
      <c r="J141" s="44"/>
      <c r="N141" s="68"/>
      <c r="O141" s="82" t="s">
        <v>185</v>
      </c>
      <c r="P141" s="78" t="s">
        <v>196</v>
      </c>
      <c r="Q141" s="82" t="s">
        <v>106</v>
      </c>
      <c r="R141" s="77" t="s">
        <v>203</v>
      </c>
    </row>
    <row r="142" spans="9:18" ht="27.95" customHeight="1" x14ac:dyDescent="0.3">
      <c r="I142" s="24"/>
      <c r="J142" s="44"/>
      <c r="N142" s="68"/>
      <c r="O142" s="82" t="s">
        <v>180</v>
      </c>
      <c r="P142" s="78" t="s">
        <v>201</v>
      </c>
      <c r="Q142" s="82" t="s">
        <v>105</v>
      </c>
      <c r="R142" s="77" t="s">
        <v>204</v>
      </c>
    </row>
    <row r="143" spans="9:18" ht="27.95" customHeight="1" x14ac:dyDescent="0.3">
      <c r="I143" s="24"/>
      <c r="J143" s="44"/>
      <c r="N143" s="68"/>
      <c r="O143" s="82" t="s">
        <v>178</v>
      </c>
      <c r="P143" s="78" t="s">
        <v>201</v>
      </c>
      <c r="Q143" s="82" t="s">
        <v>116</v>
      </c>
      <c r="R143" s="77" t="s">
        <v>205</v>
      </c>
    </row>
    <row r="144" spans="9:18" ht="27.95" customHeight="1" x14ac:dyDescent="0.3">
      <c r="I144" s="24"/>
      <c r="J144" s="44"/>
      <c r="N144" s="68"/>
      <c r="O144" s="83" t="s">
        <v>191</v>
      </c>
      <c r="P144" s="81" t="s">
        <v>197</v>
      </c>
      <c r="Q144" s="83" t="s">
        <v>142</v>
      </c>
    </row>
    <row r="145" spans="9:17" ht="27.95" customHeight="1" x14ac:dyDescent="0.3">
      <c r="I145" s="24"/>
      <c r="J145" s="44"/>
      <c r="N145" s="68"/>
      <c r="O145" s="83" t="s">
        <v>192</v>
      </c>
      <c r="P145" s="81" t="s">
        <v>197</v>
      </c>
      <c r="Q145" s="83" t="s">
        <v>123</v>
      </c>
    </row>
    <row r="146" spans="9:17" ht="27.95" customHeight="1" x14ac:dyDescent="0.3">
      <c r="I146" s="24"/>
      <c r="J146" s="44"/>
      <c r="N146" s="68"/>
      <c r="O146" s="83" t="s">
        <v>193</v>
      </c>
      <c r="P146" s="81" t="s">
        <v>200</v>
      </c>
      <c r="Q146" s="83" t="s">
        <v>154</v>
      </c>
    </row>
    <row r="147" spans="9:17" ht="27.95" customHeight="1" x14ac:dyDescent="0.3">
      <c r="I147" s="24"/>
      <c r="J147" s="44"/>
      <c r="N147" s="68"/>
      <c r="O147" s="83" t="s">
        <v>194</v>
      </c>
      <c r="P147" s="81" t="s">
        <v>200</v>
      </c>
      <c r="Q147" s="83" t="s">
        <v>101</v>
      </c>
    </row>
    <row r="148" spans="9:17" x14ac:dyDescent="0.3">
      <c r="I148" s="24"/>
      <c r="J148" s="44"/>
    </row>
    <row r="149" spans="9:17" x14ac:dyDescent="0.3">
      <c r="I149" s="24"/>
      <c r="J149" s="44"/>
    </row>
    <row r="150" spans="9:17" x14ac:dyDescent="0.3">
      <c r="I150" s="24"/>
      <c r="J150" s="44"/>
    </row>
    <row r="151" spans="9:17" x14ac:dyDescent="0.3">
      <c r="I151" s="24"/>
      <c r="J151" s="44"/>
    </row>
    <row r="152" spans="9:17" x14ac:dyDescent="0.3">
      <c r="I152" s="24"/>
      <c r="J152" s="44"/>
    </row>
    <row r="153" spans="9:17" x14ac:dyDescent="0.3">
      <c r="I153" s="24"/>
      <c r="J153" s="44"/>
    </row>
    <row r="154" spans="9:17" x14ac:dyDescent="0.3">
      <c r="I154" s="24"/>
      <c r="J154" s="44"/>
    </row>
    <row r="155" spans="9:17" x14ac:dyDescent="0.3">
      <c r="I155" s="24"/>
      <c r="J155" s="44"/>
    </row>
    <row r="156" spans="9:17" x14ac:dyDescent="0.3">
      <c r="I156" s="24"/>
      <c r="J156" s="44"/>
    </row>
    <row r="157" spans="9:17" x14ac:dyDescent="0.3">
      <c r="I157" s="24"/>
      <c r="J157" s="44"/>
    </row>
    <row r="158" spans="9:17" x14ac:dyDescent="0.3">
      <c r="I158" s="24"/>
      <c r="J158" s="44"/>
    </row>
    <row r="159" spans="9:17" x14ac:dyDescent="0.3">
      <c r="I159" s="24"/>
      <c r="J159" s="44"/>
    </row>
    <row r="160" spans="9:17" x14ac:dyDescent="0.3">
      <c r="I160" s="24"/>
      <c r="J160" s="44"/>
    </row>
    <row r="161" spans="9:10" x14ac:dyDescent="0.3">
      <c r="I161" s="24"/>
      <c r="J161" s="44"/>
    </row>
    <row r="162" spans="9:10" x14ac:dyDescent="0.3">
      <c r="I162" s="24"/>
      <c r="J162" s="44"/>
    </row>
    <row r="163" spans="9:10" x14ac:dyDescent="0.3">
      <c r="I163" s="24"/>
      <c r="J163" s="44"/>
    </row>
    <row r="164" spans="9:10" x14ac:dyDescent="0.3">
      <c r="I164" s="24"/>
      <c r="J164" s="44"/>
    </row>
    <row r="165" spans="9:10" x14ac:dyDescent="0.3">
      <c r="I165" s="24"/>
      <c r="J165" s="44"/>
    </row>
    <row r="166" spans="9:10" x14ac:dyDescent="0.3">
      <c r="I166" s="24"/>
      <c r="J166" s="44"/>
    </row>
    <row r="167" spans="9:10" x14ac:dyDescent="0.3">
      <c r="I167" s="24"/>
      <c r="J167" s="44"/>
    </row>
    <row r="168" spans="9:10" x14ac:dyDescent="0.3">
      <c r="I168" s="24"/>
      <c r="J168" s="44"/>
    </row>
    <row r="169" spans="9:10" x14ac:dyDescent="0.3">
      <c r="I169" s="24"/>
      <c r="J169" s="44"/>
    </row>
    <row r="170" spans="9:10" x14ac:dyDescent="0.3">
      <c r="I170" s="24"/>
      <c r="J170" s="44"/>
    </row>
    <row r="171" spans="9:10" x14ac:dyDescent="0.3">
      <c r="I171" s="24"/>
      <c r="J171" s="44"/>
    </row>
    <row r="172" spans="9:10" x14ac:dyDescent="0.3">
      <c r="I172" s="24"/>
      <c r="J172" s="44"/>
    </row>
    <row r="173" spans="9:10" x14ac:dyDescent="0.3">
      <c r="I173" s="24"/>
      <c r="J173" s="44"/>
    </row>
    <row r="174" spans="9:10" x14ac:dyDescent="0.3">
      <c r="I174" s="24"/>
      <c r="J174" s="44"/>
    </row>
    <row r="175" spans="9:10" x14ac:dyDescent="0.3">
      <c r="I175" s="24"/>
      <c r="J175" s="44"/>
    </row>
    <row r="176" spans="9:10" x14ac:dyDescent="0.3">
      <c r="I176" s="24"/>
      <c r="J176" s="44"/>
    </row>
    <row r="177" spans="9:10" x14ac:dyDescent="0.3">
      <c r="I177" s="24"/>
      <c r="J177" s="44"/>
    </row>
    <row r="178" spans="9:10" x14ac:dyDescent="0.3">
      <c r="I178" s="24"/>
      <c r="J178" s="44"/>
    </row>
    <row r="179" spans="9:10" x14ac:dyDescent="0.3">
      <c r="I179" s="24"/>
      <c r="J179" s="44"/>
    </row>
    <row r="180" spans="9:10" x14ac:dyDescent="0.3">
      <c r="I180" s="24"/>
      <c r="J180" s="44"/>
    </row>
    <row r="181" spans="9:10" x14ac:dyDescent="0.3">
      <c r="I181" s="24"/>
      <c r="J181" s="44"/>
    </row>
    <row r="182" spans="9:10" x14ac:dyDescent="0.3">
      <c r="I182" s="24"/>
      <c r="J182" s="44"/>
    </row>
    <row r="183" spans="9:10" x14ac:dyDescent="0.3">
      <c r="I183" s="24"/>
      <c r="J183" s="44"/>
    </row>
    <row r="184" spans="9:10" x14ac:dyDescent="0.3">
      <c r="I184" s="24"/>
      <c r="J184" s="44"/>
    </row>
    <row r="185" spans="9:10" x14ac:dyDescent="0.3">
      <c r="I185" s="24"/>
      <c r="J185" s="44"/>
    </row>
    <row r="186" spans="9:10" x14ac:dyDescent="0.3">
      <c r="I186" s="24"/>
      <c r="J186" s="44"/>
    </row>
    <row r="187" spans="9:10" x14ac:dyDescent="0.3">
      <c r="I187" s="24"/>
      <c r="J187" s="44"/>
    </row>
    <row r="188" spans="9:10" x14ac:dyDescent="0.3">
      <c r="I188" s="24"/>
      <c r="J188" s="44"/>
    </row>
    <row r="189" spans="9:10" x14ac:dyDescent="0.3">
      <c r="I189" s="24"/>
      <c r="J189" s="44"/>
    </row>
    <row r="190" spans="9:10" x14ac:dyDescent="0.3">
      <c r="I190" s="24"/>
      <c r="J190" s="44"/>
    </row>
    <row r="191" spans="9:10" x14ac:dyDescent="0.3">
      <c r="I191" s="24"/>
      <c r="J191" s="44"/>
    </row>
    <row r="192" spans="9:10" x14ac:dyDescent="0.3">
      <c r="I192" s="24"/>
      <c r="J192" s="44"/>
    </row>
    <row r="193" spans="9:10" x14ac:dyDescent="0.3">
      <c r="I193" s="24"/>
      <c r="J193" s="44"/>
    </row>
    <row r="194" spans="9:10" x14ac:dyDescent="0.3">
      <c r="I194" s="24"/>
      <c r="J194" s="44"/>
    </row>
    <row r="195" spans="9:10" x14ac:dyDescent="0.3">
      <c r="I195" s="24"/>
      <c r="J195" s="44"/>
    </row>
    <row r="196" spans="9:10" x14ac:dyDescent="0.3">
      <c r="I196" s="24"/>
      <c r="J196" s="44"/>
    </row>
    <row r="197" spans="9:10" x14ac:dyDescent="0.3">
      <c r="I197" s="24"/>
      <c r="J197" s="44"/>
    </row>
    <row r="198" spans="9:10" x14ac:dyDescent="0.3">
      <c r="I198" s="24"/>
      <c r="J198" s="44"/>
    </row>
    <row r="199" spans="9:10" x14ac:dyDescent="0.3">
      <c r="I199" s="24"/>
      <c r="J199" s="44"/>
    </row>
    <row r="200" spans="9:10" x14ac:dyDescent="0.3">
      <c r="I200" s="24"/>
      <c r="J200" s="44"/>
    </row>
    <row r="201" spans="9:10" x14ac:dyDescent="0.3">
      <c r="I201" s="24"/>
      <c r="J201" s="44"/>
    </row>
    <row r="202" spans="9:10" x14ac:dyDescent="0.3">
      <c r="I202" s="24"/>
      <c r="J202" s="44"/>
    </row>
    <row r="203" spans="9:10" x14ac:dyDescent="0.3">
      <c r="I203" s="24"/>
      <c r="J203" s="44"/>
    </row>
    <row r="204" spans="9:10" x14ac:dyDescent="0.3">
      <c r="I204" s="24"/>
      <c r="J204" s="44"/>
    </row>
    <row r="205" spans="9:10" x14ac:dyDescent="0.3">
      <c r="I205" s="24"/>
      <c r="J205" s="44"/>
    </row>
    <row r="206" spans="9:10" x14ac:dyDescent="0.3">
      <c r="I206" s="24"/>
      <c r="J206" s="44"/>
    </row>
    <row r="207" spans="9:10" x14ac:dyDescent="0.3">
      <c r="I207" s="24"/>
      <c r="J207" s="44"/>
    </row>
    <row r="208" spans="9:10" x14ac:dyDescent="0.3">
      <c r="I208" s="24"/>
      <c r="J208" s="44"/>
    </row>
    <row r="209" spans="9:10" x14ac:dyDescent="0.3">
      <c r="I209" s="24"/>
      <c r="J209" s="44"/>
    </row>
    <row r="210" spans="9:10" x14ac:dyDescent="0.3">
      <c r="I210" s="24"/>
      <c r="J210" s="44"/>
    </row>
    <row r="211" spans="9:10" x14ac:dyDescent="0.3">
      <c r="I211" s="24"/>
      <c r="J211" s="44"/>
    </row>
    <row r="212" spans="9:10" x14ac:dyDescent="0.3">
      <c r="I212" s="24"/>
      <c r="J212" s="44"/>
    </row>
    <row r="213" spans="9:10" x14ac:dyDescent="0.3">
      <c r="I213" s="24"/>
      <c r="J213" s="44"/>
    </row>
    <row r="214" spans="9:10" x14ac:dyDescent="0.3">
      <c r="I214" s="24"/>
      <c r="J214" s="44"/>
    </row>
    <row r="215" spans="9:10" x14ac:dyDescent="0.3">
      <c r="I215" s="24"/>
      <c r="J215" s="44"/>
    </row>
    <row r="216" spans="9:10" x14ac:dyDescent="0.3">
      <c r="I216" s="24"/>
      <c r="J216" s="44"/>
    </row>
    <row r="217" spans="9:10" x14ac:dyDescent="0.3">
      <c r="I217" s="24"/>
      <c r="J217" s="44"/>
    </row>
    <row r="218" spans="9:10" x14ac:dyDescent="0.3">
      <c r="I218" s="24"/>
      <c r="J218" s="44"/>
    </row>
    <row r="219" spans="9:10" x14ac:dyDescent="0.3">
      <c r="I219" s="24"/>
      <c r="J219" s="44"/>
    </row>
    <row r="220" spans="9:10" x14ac:dyDescent="0.3">
      <c r="I220" s="24"/>
      <c r="J220" s="44"/>
    </row>
    <row r="221" spans="9:10" x14ac:dyDescent="0.3">
      <c r="I221" s="24"/>
      <c r="J221" s="44"/>
    </row>
    <row r="222" spans="9:10" x14ac:dyDescent="0.3">
      <c r="I222" s="24"/>
      <c r="J222" s="44"/>
    </row>
    <row r="223" spans="9:10" x14ac:dyDescent="0.3">
      <c r="I223" s="24"/>
      <c r="J223" s="44"/>
    </row>
    <row r="224" spans="9:10" x14ac:dyDescent="0.3">
      <c r="I224" s="24"/>
      <c r="J224" s="44"/>
    </row>
    <row r="225" spans="9:10" x14ac:dyDescent="0.3">
      <c r="I225" s="24"/>
      <c r="J225" s="44"/>
    </row>
    <row r="226" spans="9:10" x14ac:dyDescent="0.3">
      <c r="I226" s="24"/>
      <c r="J226" s="44"/>
    </row>
    <row r="227" spans="9:10" x14ac:dyDescent="0.3">
      <c r="I227" s="24"/>
      <c r="J227" s="44"/>
    </row>
    <row r="228" spans="9:10" x14ac:dyDescent="0.3">
      <c r="I228" s="24"/>
      <c r="J228" s="44"/>
    </row>
    <row r="229" spans="9:10" x14ac:dyDescent="0.3">
      <c r="I229" s="24"/>
      <c r="J229" s="44"/>
    </row>
    <row r="230" spans="9:10" x14ac:dyDescent="0.3">
      <c r="I230" s="24"/>
      <c r="J230" s="44"/>
    </row>
    <row r="231" spans="9:10" x14ac:dyDescent="0.3">
      <c r="I231" s="24"/>
      <c r="J231" s="44"/>
    </row>
    <row r="232" spans="9:10" x14ac:dyDescent="0.3">
      <c r="I232" s="24"/>
      <c r="J232" s="44"/>
    </row>
    <row r="233" spans="9:10" x14ac:dyDescent="0.3">
      <c r="I233" s="24"/>
      <c r="J233" s="44"/>
    </row>
    <row r="234" spans="9:10" x14ac:dyDescent="0.3">
      <c r="I234" s="24"/>
      <c r="J234" s="44"/>
    </row>
    <row r="235" spans="9:10" x14ac:dyDescent="0.3">
      <c r="I235" s="24"/>
      <c r="J235" s="44"/>
    </row>
    <row r="236" spans="9:10" x14ac:dyDescent="0.3">
      <c r="I236" s="24"/>
      <c r="J236" s="44"/>
    </row>
    <row r="237" spans="9:10" x14ac:dyDescent="0.3">
      <c r="I237" s="24"/>
      <c r="J237" s="44"/>
    </row>
    <row r="238" spans="9:10" x14ac:dyDescent="0.3">
      <c r="I238" s="24"/>
      <c r="J238" s="44"/>
    </row>
    <row r="239" spans="9:10" x14ac:dyDescent="0.3">
      <c r="I239" s="24"/>
      <c r="J239" s="44"/>
    </row>
    <row r="240" spans="9:10" x14ac:dyDescent="0.3">
      <c r="I240" s="24"/>
      <c r="J240" s="44"/>
    </row>
    <row r="241" spans="9:10" x14ac:dyDescent="0.3">
      <c r="I241" s="24"/>
      <c r="J241" s="44"/>
    </row>
    <row r="242" spans="9:10" x14ac:dyDescent="0.3">
      <c r="I242" s="24"/>
      <c r="J242" s="44"/>
    </row>
    <row r="243" spans="9:10" x14ac:dyDescent="0.3">
      <c r="I243" s="24"/>
      <c r="J243" s="44"/>
    </row>
    <row r="244" spans="9:10" x14ac:dyDescent="0.3">
      <c r="I244" s="24"/>
      <c r="J244" s="44"/>
    </row>
    <row r="245" spans="9:10" x14ac:dyDescent="0.3">
      <c r="I245" s="24"/>
      <c r="J245" s="44"/>
    </row>
    <row r="246" spans="9:10" x14ac:dyDescent="0.3">
      <c r="I246" s="24"/>
      <c r="J246" s="44"/>
    </row>
    <row r="247" spans="9:10" x14ac:dyDescent="0.3">
      <c r="I247" s="24"/>
      <c r="J247" s="44"/>
    </row>
    <row r="248" spans="9:10" x14ac:dyDescent="0.3">
      <c r="I248" s="24"/>
      <c r="J248" s="44"/>
    </row>
    <row r="249" spans="9:10" x14ac:dyDescent="0.3">
      <c r="I249" s="24"/>
      <c r="J249" s="44"/>
    </row>
    <row r="250" spans="9:10" x14ac:dyDescent="0.3">
      <c r="I250" s="24"/>
      <c r="J250" s="44"/>
    </row>
    <row r="251" spans="9:10" x14ac:dyDescent="0.3">
      <c r="I251" s="24"/>
      <c r="J251" s="44"/>
    </row>
    <row r="252" spans="9:10" x14ac:dyDescent="0.3">
      <c r="I252" s="24"/>
      <c r="J252" s="44"/>
    </row>
    <row r="253" spans="9:10" x14ac:dyDescent="0.3">
      <c r="I253" s="24"/>
      <c r="J253" s="44"/>
    </row>
    <row r="254" spans="9:10" x14ac:dyDescent="0.3">
      <c r="I254" s="24"/>
      <c r="J254" s="44"/>
    </row>
    <row r="255" spans="9:10" x14ac:dyDescent="0.3">
      <c r="I255" s="24"/>
      <c r="J255" s="44"/>
    </row>
    <row r="256" spans="9:10" x14ac:dyDescent="0.3">
      <c r="I256" s="24"/>
      <c r="J256" s="44"/>
    </row>
    <row r="257" spans="9:10" x14ac:dyDescent="0.3">
      <c r="I257" s="24"/>
      <c r="J257" s="44"/>
    </row>
    <row r="258" spans="9:10" x14ac:dyDescent="0.3">
      <c r="I258" s="24"/>
      <c r="J258" s="44"/>
    </row>
    <row r="259" spans="9:10" x14ac:dyDescent="0.3">
      <c r="I259" s="24"/>
      <c r="J259" s="44"/>
    </row>
    <row r="260" spans="9:10" x14ac:dyDescent="0.3">
      <c r="I260" s="24"/>
      <c r="J260" s="44"/>
    </row>
    <row r="261" spans="9:10" x14ac:dyDescent="0.3">
      <c r="I261" s="24"/>
      <c r="J261" s="44"/>
    </row>
    <row r="262" spans="9:10" x14ac:dyDescent="0.3">
      <c r="I262" s="24"/>
      <c r="J262" s="44"/>
    </row>
    <row r="263" spans="9:10" x14ac:dyDescent="0.3">
      <c r="I263" s="24"/>
      <c r="J263" s="44"/>
    </row>
    <row r="264" spans="9:10" x14ac:dyDescent="0.3">
      <c r="I264" s="24"/>
      <c r="J264" s="44"/>
    </row>
    <row r="265" spans="9:10" x14ac:dyDescent="0.3">
      <c r="I265" s="24"/>
      <c r="J265" s="44"/>
    </row>
    <row r="266" spans="9:10" x14ac:dyDescent="0.3">
      <c r="I266" s="24"/>
      <c r="J266" s="44"/>
    </row>
    <row r="267" spans="9:10" x14ac:dyDescent="0.3">
      <c r="I267" s="24"/>
      <c r="J267" s="44"/>
    </row>
    <row r="268" spans="9:10" x14ac:dyDescent="0.3">
      <c r="I268" s="24"/>
      <c r="J268" s="44"/>
    </row>
    <row r="269" spans="9:10" x14ac:dyDescent="0.3">
      <c r="I269" s="24"/>
      <c r="J269" s="44"/>
    </row>
    <row r="270" spans="9:10" x14ac:dyDescent="0.3">
      <c r="I270" s="24"/>
      <c r="J270" s="44"/>
    </row>
    <row r="271" spans="9:10" x14ac:dyDescent="0.3">
      <c r="I271" s="24"/>
      <c r="J271" s="44"/>
    </row>
    <row r="272" spans="9:10" x14ac:dyDescent="0.3">
      <c r="I272" s="24"/>
      <c r="J272" s="44"/>
    </row>
    <row r="273" spans="9:10" x14ac:dyDescent="0.3">
      <c r="I273" s="24"/>
      <c r="J273" s="44"/>
    </row>
    <row r="274" spans="9:10" x14ac:dyDescent="0.3">
      <c r="I274" s="24"/>
      <c r="J274" s="44"/>
    </row>
    <row r="275" spans="9:10" x14ac:dyDescent="0.3">
      <c r="I275" s="24"/>
      <c r="J275" s="44"/>
    </row>
    <row r="276" spans="9:10" x14ac:dyDescent="0.3">
      <c r="I276" s="24"/>
      <c r="J276" s="44"/>
    </row>
    <row r="277" spans="9:10" x14ac:dyDescent="0.3">
      <c r="I277" s="24"/>
      <c r="J277" s="44"/>
    </row>
    <row r="278" spans="9:10" x14ac:dyDescent="0.3">
      <c r="I278" s="24"/>
      <c r="J278" s="44"/>
    </row>
    <row r="279" spans="9:10" x14ac:dyDescent="0.3">
      <c r="I279" s="24"/>
      <c r="J279" s="44"/>
    </row>
    <row r="280" spans="9:10" x14ac:dyDescent="0.3">
      <c r="I280" s="24"/>
      <c r="J280" s="44"/>
    </row>
    <row r="281" spans="9:10" x14ac:dyDescent="0.3">
      <c r="I281" s="24"/>
      <c r="J281" s="44"/>
    </row>
    <row r="282" spans="9:10" x14ac:dyDescent="0.3">
      <c r="I282" s="24"/>
      <c r="J282" s="44"/>
    </row>
    <row r="283" spans="9:10" x14ac:dyDescent="0.3">
      <c r="I283" s="24"/>
      <c r="J283" s="44"/>
    </row>
    <row r="284" spans="9:10" x14ac:dyDescent="0.3">
      <c r="I284" s="24"/>
      <c r="J284" s="44"/>
    </row>
    <row r="285" spans="9:10" x14ac:dyDescent="0.3">
      <c r="I285" s="24"/>
      <c r="J285" s="44"/>
    </row>
    <row r="286" spans="9:10" x14ac:dyDescent="0.3">
      <c r="I286" s="24"/>
      <c r="J286" s="44"/>
    </row>
    <row r="287" spans="9:10" x14ac:dyDescent="0.3">
      <c r="I287" s="24"/>
      <c r="J287" s="44"/>
    </row>
    <row r="288" spans="9:10" x14ac:dyDescent="0.3">
      <c r="I288" s="24"/>
      <c r="J288" s="44"/>
    </row>
    <row r="289" spans="9:10" x14ac:dyDescent="0.3">
      <c r="I289" s="24"/>
      <c r="J289" s="44"/>
    </row>
    <row r="290" spans="9:10" x14ac:dyDescent="0.3">
      <c r="I290" s="24"/>
      <c r="J290" s="44"/>
    </row>
    <row r="291" spans="9:10" x14ac:dyDescent="0.3">
      <c r="I291" s="24"/>
      <c r="J291" s="44"/>
    </row>
    <row r="292" spans="9:10" x14ac:dyDescent="0.3">
      <c r="I292" s="24"/>
      <c r="J292" s="44"/>
    </row>
    <row r="293" spans="9:10" x14ac:dyDescent="0.3">
      <c r="I293" s="24"/>
      <c r="J293" s="44"/>
    </row>
    <row r="294" spans="9:10" x14ac:dyDescent="0.3">
      <c r="I294" s="24"/>
      <c r="J294" s="44"/>
    </row>
    <row r="295" spans="9:10" x14ac:dyDescent="0.3">
      <c r="I295" s="24"/>
      <c r="J295" s="44"/>
    </row>
    <row r="296" spans="9:10" x14ac:dyDescent="0.3">
      <c r="I296" s="24"/>
      <c r="J296" s="44"/>
    </row>
    <row r="297" spans="9:10" x14ac:dyDescent="0.3">
      <c r="I297" s="24"/>
      <c r="J297" s="44"/>
    </row>
    <row r="298" spans="9:10" x14ac:dyDescent="0.3">
      <c r="I298" s="24"/>
      <c r="J298" s="44"/>
    </row>
    <row r="299" spans="9:10" x14ac:dyDescent="0.3">
      <c r="I299" s="24"/>
      <c r="J299" s="44"/>
    </row>
    <row r="300" spans="9:10" x14ac:dyDescent="0.3">
      <c r="I300" s="24"/>
      <c r="J300" s="44"/>
    </row>
    <row r="301" spans="9:10" x14ac:dyDescent="0.3">
      <c r="I301" s="24"/>
      <c r="J301" s="44"/>
    </row>
    <row r="302" spans="9:10" x14ac:dyDescent="0.3">
      <c r="I302" s="24"/>
      <c r="J302" s="44"/>
    </row>
    <row r="303" spans="9:10" x14ac:dyDescent="0.3">
      <c r="I303" s="24"/>
      <c r="J303" s="44"/>
    </row>
    <row r="304" spans="9:10" x14ac:dyDescent="0.3">
      <c r="I304" s="24"/>
      <c r="J304" s="44"/>
    </row>
    <row r="305" spans="9:10" x14ac:dyDescent="0.3">
      <c r="I305" s="24"/>
      <c r="J305" s="44"/>
    </row>
    <row r="306" spans="9:10" x14ac:dyDescent="0.3">
      <c r="I306" s="24"/>
      <c r="J306" s="44"/>
    </row>
    <row r="307" spans="9:10" x14ac:dyDescent="0.3">
      <c r="I307" s="24"/>
      <c r="J307" s="44"/>
    </row>
    <row r="308" spans="9:10" x14ac:dyDescent="0.3">
      <c r="I308" s="24"/>
      <c r="J308" s="44"/>
    </row>
    <row r="309" spans="9:10" x14ac:dyDescent="0.3">
      <c r="I309" s="24"/>
      <c r="J309" s="44"/>
    </row>
    <row r="310" spans="9:10" x14ac:dyDescent="0.3">
      <c r="I310" s="24"/>
      <c r="J310" s="44"/>
    </row>
    <row r="311" spans="9:10" x14ac:dyDescent="0.3">
      <c r="I311" s="24"/>
      <c r="J311" s="44"/>
    </row>
    <row r="312" spans="9:10" x14ac:dyDescent="0.3">
      <c r="I312" s="24"/>
      <c r="J312" s="44"/>
    </row>
    <row r="313" spans="9:10" x14ac:dyDescent="0.3">
      <c r="I313" s="24"/>
      <c r="J313" s="44"/>
    </row>
    <row r="314" spans="9:10" x14ac:dyDescent="0.3">
      <c r="I314" s="24"/>
      <c r="J314" s="44"/>
    </row>
    <row r="315" spans="9:10" x14ac:dyDescent="0.3">
      <c r="I315" s="24"/>
      <c r="J315" s="44"/>
    </row>
    <row r="316" spans="9:10" x14ac:dyDescent="0.3">
      <c r="I316" s="24"/>
      <c r="J316" s="44"/>
    </row>
    <row r="317" spans="9:10" x14ac:dyDescent="0.3">
      <c r="I317" s="24"/>
      <c r="J317" s="44"/>
    </row>
    <row r="318" spans="9:10" x14ac:dyDescent="0.3">
      <c r="I318" s="24"/>
      <c r="J318" s="44"/>
    </row>
    <row r="319" spans="9:10" x14ac:dyDescent="0.3">
      <c r="I319" s="24"/>
      <c r="J319" s="44"/>
    </row>
    <row r="320" spans="9:10" x14ac:dyDescent="0.3">
      <c r="I320" s="24"/>
      <c r="J320" s="44"/>
    </row>
    <row r="321" spans="9:10" x14ac:dyDescent="0.3">
      <c r="I321" s="24"/>
      <c r="J321" s="44"/>
    </row>
    <row r="322" spans="9:10" x14ac:dyDescent="0.3">
      <c r="I322" s="24"/>
      <c r="J322" s="44"/>
    </row>
    <row r="323" spans="9:10" x14ac:dyDescent="0.3">
      <c r="I323" s="24"/>
      <c r="J323" s="44"/>
    </row>
    <row r="324" spans="9:10" x14ac:dyDescent="0.3">
      <c r="I324" s="24"/>
      <c r="J324" s="44"/>
    </row>
    <row r="325" spans="9:10" x14ac:dyDescent="0.3">
      <c r="I325" s="24"/>
      <c r="J325" s="44"/>
    </row>
    <row r="326" spans="9:10" x14ac:dyDescent="0.3">
      <c r="I326" s="24"/>
      <c r="J326" s="44"/>
    </row>
    <row r="327" spans="9:10" x14ac:dyDescent="0.3">
      <c r="I327" s="24"/>
      <c r="J327" s="44"/>
    </row>
    <row r="328" spans="9:10" x14ac:dyDescent="0.3">
      <c r="I328" s="24"/>
      <c r="J328" s="44"/>
    </row>
    <row r="329" spans="9:10" x14ac:dyDescent="0.3">
      <c r="I329" s="24"/>
      <c r="J329" s="44"/>
    </row>
    <row r="330" spans="9:10" x14ac:dyDescent="0.3">
      <c r="I330" s="24"/>
      <c r="J330" s="44"/>
    </row>
    <row r="331" spans="9:10" x14ac:dyDescent="0.3">
      <c r="I331" s="24"/>
      <c r="J331" s="44"/>
    </row>
    <row r="332" spans="9:10" x14ac:dyDescent="0.3">
      <c r="I332" s="24"/>
      <c r="J332" s="44"/>
    </row>
    <row r="333" spans="9:10" x14ac:dyDescent="0.3">
      <c r="I333" s="24"/>
      <c r="J333" s="44"/>
    </row>
    <row r="334" spans="9:10" x14ac:dyDescent="0.3">
      <c r="I334" s="24"/>
      <c r="J334" s="44"/>
    </row>
    <row r="335" spans="9:10" x14ac:dyDescent="0.3">
      <c r="I335" s="24"/>
      <c r="J335" s="44"/>
    </row>
    <row r="336" spans="9:10" x14ac:dyDescent="0.3">
      <c r="I336" s="24"/>
      <c r="J336" s="44"/>
    </row>
    <row r="337" spans="9:10" x14ac:dyDescent="0.3">
      <c r="I337" s="24"/>
      <c r="J337" s="44"/>
    </row>
    <row r="338" spans="9:10" x14ac:dyDescent="0.3">
      <c r="I338" s="24"/>
      <c r="J338" s="44"/>
    </row>
    <row r="339" spans="9:10" x14ac:dyDescent="0.3">
      <c r="I339" s="24"/>
      <c r="J339" s="44"/>
    </row>
    <row r="340" spans="9:10" x14ac:dyDescent="0.3">
      <c r="I340" s="24"/>
      <c r="J340" s="44"/>
    </row>
    <row r="341" spans="9:10" x14ac:dyDescent="0.3">
      <c r="I341" s="24"/>
      <c r="J341" s="44"/>
    </row>
    <row r="342" spans="9:10" x14ac:dyDescent="0.3">
      <c r="I342" s="24"/>
      <c r="J342" s="44"/>
    </row>
    <row r="343" spans="9:10" x14ac:dyDescent="0.3">
      <c r="I343" s="24"/>
      <c r="J343" s="44"/>
    </row>
    <row r="344" spans="9:10" x14ac:dyDescent="0.3">
      <c r="I344" s="24"/>
      <c r="J344" s="44"/>
    </row>
    <row r="345" spans="9:10" x14ac:dyDescent="0.3">
      <c r="I345" s="24"/>
      <c r="J345" s="44"/>
    </row>
    <row r="346" spans="9:10" x14ac:dyDescent="0.3">
      <c r="I346" s="24"/>
      <c r="J346" s="44"/>
    </row>
  </sheetData>
  <mergeCells count="5">
    <mergeCell ref="A95:A107"/>
    <mergeCell ref="A2:A21"/>
    <mergeCell ref="A38:A50"/>
    <mergeCell ref="A56:A68"/>
    <mergeCell ref="A69:A86"/>
  </mergeCells>
  <phoneticPr fontId="1" type="noConversion"/>
  <pageMargins left="0.7" right="0.7" top="0.67" bottom="0.17" header="0.3" footer="0.3"/>
  <pageSetup paperSize="9" scale="57" orientation="landscape" r:id="rId1"/>
  <rowBreaks count="4" manualBreakCount="4">
    <brk id="37" max="12" man="1"/>
    <brk id="55" max="12" man="1"/>
    <brk id="68" max="12" man="1"/>
    <brk id="94" max="12" man="1"/>
  </rowBreaks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1</vt:i4>
      </vt:variant>
    </vt:vector>
  </HeadingPairs>
  <TitlesOfParts>
    <vt:vector size="10" baseType="lpstr">
      <vt:lpstr>건우</vt:lpstr>
      <vt:lpstr>아이엔</vt:lpstr>
      <vt:lpstr>인우</vt:lpstr>
      <vt:lpstr>새암</vt:lpstr>
      <vt:lpstr>다우</vt:lpstr>
      <vt:lpstr>건우이전분</vt:lpstr>
      <vt:lpstr>아이엔이전분</vt:lpstr>
      <vt:lpstr>유신</vt:lpstr>
      <vt:lpstr>직원현황</vt:lpstr>
      <vt:lpstr>직원현황!Print_Area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MYCOM101</dc:creator>
  <cp:lastModifiedBy>user</cp:lastModifiedBy>
  <cp:lastPrinted>2026-04-22T08:12:53Z</cp:lastPrinted>
  <dcterms:created xsi:type="dcterms:W3CDTF">2017-05-30T02:24:06Z</dcterms:created>
  <dcterms:modified xsi:type="dcterms:W3CDTF">2026-04-26T12:50:45Z</dcterms:modified>
</cp:coreProperties>
</file>